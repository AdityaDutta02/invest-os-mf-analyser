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view\2019-20\4. Jul 2019\final\"/>
    </mc:Choice>
  </mc:AlternateContent>
  <xr:revisionPtr revIDLastSave="0" documentId="13_ncr:1_{8398E73F-669D-417D-8421-8CA413A93243}" xr6:coauthVersionLast="43" xr6:coauthVersionMax="43" xr10:uidLastSave="{00000000-0000-0000-0000-000000000000}"/>
  <bookViews>
    <workbookView xWindow="-120" yWindow="-120" windowWidth="20730" windowHeight="11160" tabRatio="931" xr2:uid="{00000000-000D-0000-FFFF-FFFF00000000}"/>
  </bookViews>
  <sheets>
    <sheet name="CAPEXG" sheetId="1" r:id="rId1"/>
    <sheet name="MICAP10" sheetId="2" r:id="rId2"/>
    <sheet name="MICAP11" sheetId="3" r:id="rId3"/>
    <sheet name="MICAP12" sheetId="4" r:id="rId4"/>
    <sheet name="MICAP14" sheetId="5" r:id="rId5"/>
    <sheet name="MICAP15" sheetId="6" r:id="rId6"/>
    <sheet name="MICAP16" sheetId="7" r:id="rId7"/>
    <sheet name="MICAP17" sheetId="8" r:id="rId8"/>
    <sheet name="MICAP8" sheetId="9" r:id="rId9"/>
    <sheet name="MICAP9" sheetId="10" r:id="rId10"/>
    <sheet name="MIDCAP" sheetId="11" r:id="rId11"/>
    <sheet name="MULTI1" sheetId="12" r:id="rId12"/>
    <sheet name="MULTI2" sheetId="13" r:id="rId13"/>
    <sheet name="MULTIP" sheetId="14" r:id="rId14"/>
    <sheet name="SESCAP1" sheetId="15" r:id="rId15"/>
    <sheet name="SESCAP2" sheetId="16" r:id="rId16"/>
    <sheet name="SESCAP3" sheetId="17" r:id="rId17"/>
    <sheet name="SESCAP4" sheetId="18" r:id="rId18"/>
    <sheet name="SESCAP5" sheetId="19" r:id="rId19"/>
    <sheet name="SESCAP6" sheetId="20" r:id="rId20"/>
    <sheet name="SESCAP7" sheetId="21" r:id="rId21"/>
    <sheet name="SFOCUS" sheetId="22" r:id="rId22"/>
    <sheet name="SLTADV3" sheetId="23" r:id="rId23"/>
    <sheet name="SLTADV4" sheetId="24" r:id="rId24"/>
    <sheet name="SLTAX1" sheetId="25" r:id="rId25"/>
    <sheet name="SLTAX2" sheetId="26" r:id="rId26"/>
    <sheet name="SLTAX3" sheetId="27" r:id="rId27"/>
    <sheet name="SLTAX4" sheetId="28" r:id="rId28"/>
    <sheet name="SLTAX5" sheetId="29" r:id="rId29"/>
    <sheet name="SLTAX6" sheetId="30" r:id="rId30"/>
    <sheet name="SMALL3" sheetId="31" r:id="rId31"/>
    <sheet name="SMALL4" sheetId="32" r:id="rId32"/>
    <sheet name="SMALL5" sheetId="33" r:id="rId33"/>
    <sheet name="SMALL6" sheetId="34" r:id="rId34"/>
    <sheet name="SMILE" sheetId="35" r:id="rId35"/>
    <sheet name="SRURAL" sheetId="36" r:id="rId36"/>
    <sheet name="SSFUND" sheetId="37" r:id="rId37"/>
    <sheet name="SSN100" sheetId="38" r:id="rId38"/>
    <sheet name="STAX" sheetId="39" r:id="rId39"/>
    <sheet name="STOP6" sheetId="40" r:id="rId40"/>
    <sheet name="STOP7" sheetId="41" r:id="rId41"/>
    <sheet name="SUNBAL" sheetId="51" r:id="rId42"/>
    <sheet name="SUNESF" sheetId="43" r:id="rId43"/>
    <sheet name="SUNFOP" sheetId="44" r:id="rId44"/>
    <sheet name="SUNVALF10" sheetId="45" r:id="rId45"/>
    <sheet name="SUNVALF2" sheetId="46" r:id="rId46"/>
    <sheet name="SUNVALF3" sheetId="47" r:id="rId47"/>
    <sheet name="SUNVALF7" sheetId="48" r:id="rId48"/>
    <sheet name="SUNVALF8" sheetId="49" r:id="rId49"/>
    <sheet name="SUNVALF9" sheetId="50" r:id="rId50"/>
    <sheet name="SWBFSR2" sheetId="52" r:id="rId51"/>
    <sheet name="SWBFSR3" sheetId="53" r:id="rId52"/>
    <sheet name="GLOB" sheetId="54" r:id="rId53"/>
    <sheet name="DERIVATIVE DISCLOSURE" sheetId="55" r:id="rId54"/>
  </sheets>
  <externalReferences>
    <externalReference r:id="rId55"/>
  </externalReferences>
  <definedNames>
    <definedName name="XDO_?AMC_NAME?17?">SUNBAL!$A$1</definedName>
    <definedName name="XDO_?AVG_DURATION_TOT?17?">SUNBAL!$D$169</definedName>
    <definedName name="XDO_?AVG_DURATION_TOT_TXT?17?">SUNBAL!$B$169</definedName>
    <definedName name="XDO_?AVG_MATURITY_PER_YR_TOT?17?">SUNBAL!$D$168</definedName>
    <definedName name="XDO_?AVG_MATURITY_PER_YR_TXT?17?">SUNBAL!$B$168</definedName>
    <definedName name="XDO_?CASHNCASECA_ISIN_CODE?17?">SUNBAL!$B$84:$B$143</definedName>
    <definedName name="XDO_?CASHNCASECA_MARKET_VALUE?17?">SUNBAL!$F$84:$F$143</definedName>
    <definedName name="XDO_?CASHNCASECA_NAME?17?">SUNBAL!$C$84:$C$143</definedName>
    <definedName name="XDO_?CASHNCASECA_PER_NET_ASSETS?17?">SUNBAL!$G$84:$G$143</definedName>
    <definedName name="XDO_?CASHNCASECA_RATING_INDUSTRY?17?">SUNBAL!$D$84:$D$143</definedName>
    <definedName name="XDO_?COL1_DESC_DIV?17?">SUNBAL!$B$162</definedName>
    <definedName name="XDO_?COL2_DESC_DIV?17?">SUNBAL!$C$162</definedName>
    <definedName name="XDO_?COL3_DESC_DIV?17?">SUNBAL!#REF!</definedName>
    <definedName name="XDO_?CUR_MNTH_DAY?17?">SUNBAL!$D$155</definedName>
    <definedName name="XDO_?CUR_MNTH_NAV?17?">SUNBAL!$D$97:$D$159</definedName>
    <definedName name="XDO_?DEBTSEC_MARKET_VALUE_TOT?17?">SUNBAL!$F$115</definedName>
    <definedName name="XDO_?DEBTSEC_PER_NET_ASSETS_TOT?17?">SUNBAL!$G$115</definedName>
    <definedName name="XDO_?DEBTSECA_ISIN_CODE?16?">SUNBAL!$B$34:$B$100</definedName>
    <definedName name="XDO_?DEBTSECA_MARKET_VALUE?16?">SUNBAL!$F$34:$F$100</definedName>
    <definedName name="XDO_?DEBTSECA_MARKET_VALUE_TOT?16?">[1]SMMF!#REF!</definedName>
    <definedName name="XDO_?DEBTSECA_MARKET_VALUE_TOT?18?">SUNBAL!$F$101</definedName>
    <definedName name="XDO_?DEBTSECA_MARKET_VALUE_TOT?23?">[1]SUNONF!#REF!</definedName>
    <definedName name="XDO_?DEBTSECA_NAME?16?">SUNBAL!$C$34:$C$100</definedName>
    <definedName name="XDO_?DEBTSECA_PER_NET_ASSETS?16?">SUNBAL!$G$34:$G$100</definedName>
    <definedName name="XDO_?DEBTSECA_PER_NET_ASSETS_TOT?16?">[1]SMMF!#REF!</definedName>
    <definedName name="XDO_?DEBTSECA_PER_NET_ASSETS_TOT?18?">SUNBAL!$G$101</definedName>
    <definedName name="XDO_?DEBTSECA_PER_NET_ASSETS_TOT?23?">[1]SUNONF!#REF!</definedName>
    <definedName name="XDO_?DEBTSECA_RATING_INDUSTRY?16?">SUNBAL!$D$34:$D$100</definedName>
    <definedName name="XDO_?DEBTSECA_SL_NO?16?">SUNBAL!$A$34:$A$100</definedName>
    <definedName name="XDO_?DEBTSECA_UNITS?16?">SUNBAL!$E$34:$E$100</definedName>
    <definedName name="XDO_?DEBTSECB_ISIN_CODE?9?">SUNBAL!$B$38:$B$105</definedName>
    <definedName name="XDO_?DEBTSECB_MARKET_VALUE?9?">SUNBAL!$F$38:$F$105</definedName>
    <definedName name="XDO_?DEBTSECB_MARKET_VALUE_TOT?15?">[1]SFTPIS!#REF!</definedName>
    <definedName name="XDO_?DEBTSECB_MARKET_VALUE_TOT?19?">[1]SHYBU!#REF!</definedName>
    <definedName name="XDO_?DEBTSECB_MARKET_VALUE_TOT?22?">[1]SMMF!#REF!</definedName>
    <definedName name="XDO_?DEBTSECB_MARKET_VALUE_TOT?24?">[1]SMON!#REF!</definedName>
    <definedName name="XDO_?DEBTSECB_MARKET_VALUE_TOT?25?">SUNBAL!$F$106</definedName>
    <definedName name="XDO_?DEBTSECB_MARKET_VALUE_TOT?30?">[1]SUNONF!#REF!</definedName>
    <definedName name="XDO_?DEBTSECB_MARKET_VALUE_TOT?32?">[1]ULTRANEW!#REF!</definedName>
    <definedName name="XDO_?DEBTSECB_MARKET_VALUE_TOT?5?">[1]SFRSTP!#REF!</definedName>
    <definedName name="XDO_?DEBTSECB_NAME?9?">SUNBAL!$C$38:$C$105</definedName>
    <definedName name="XDO_?DEBTSECB_PER_NET_ASSETS?9?">SUNBAL!$G$38:$G$105</definedName>
    <definedName name="XDO_?DEBTSECB_PER_NET_ASSETS_TOT?15?">[1]SFTPIS!#REF!</definedName>
    <definedName name="XDO_?DEBTSECB_PER_NET_ASSETS_TOT?19?">[1]SHYBU!#REF!</definedName>
    <definedName name="XDO_?DEBTSECB_PER_NET_ASSETS_TOT?22?">[1]SMMF!#REF!</definedName>
    <definedName name="XDO_?DEBTSECB_PER_NET_ASSETS_TOT?24?">[1]SMON!#REF!</definedName>
    <definedName name="XDO_?DEBTSECB_PER_NET_ASSETS_TOT?25?">SUNBAL!$G$106</definedName>
    <definedName name="XDO_?DEBTSECB_PER_NET_ASSETS_TOT?30?">[1]SUNONF!#REF!</definedName>
    <definedName name="XDO_?DEBTSECB_PER_NET_ASSETS_TOT?32?">[1]ULTRANEW!#REF!</definedName>
    <definedName name="XDO_?DEBTSECB_PER_NET_ASSETS_TOT?5?">[1]SFRSTP!#REF!</definedName>
    <definedName name="XDO_?DEBTSECB_RATING_INDUSTRY?9?">SUNBAL!$D$38:$D$105</definedName>
    <definedName name="XDO_?DEBTSECB_SL_NO?9?">SUNBAL!$A$38:$A$105</definedName>
    <definedName name="XDO_?DEBTSECB_UNITS?9?">SUNBAL!$E$38:$E$105</definedName>
    <definedName name="XDO_?DEBTSECC_ISIN_CODE?6?">SUNBAL!$B$42:$B$109</definedName>
    <definedName name="XDO_?DEBTSECC_MARKET_VALUE?6?">SUNBAL!$F$42:$F$109</definedName>
    <definedName name="XDO_?DEBTSECC_MARKET_VALUE_TOT?">[1]CP5SR7!#REF!</definedName>
    <definedName name="XDO_?DEBTSECC_MARKET_VALUE_TOT?15?">[1]SFTPIS!#REF!</definedName>
    <definedName name="XDO_?DEBTSECC_MARKET_VALUE_TOT?17?">[1]SHYBO!#REF!</definedName>
    <definedName name="XDO_?DEBTSECC_MARKET_VALUE_TOT?19?">[1]SHYBP!#REF!</definedName>
    <definedName name="XDO_?DEBTSECC_MARKET_VALUE_TOT?2?">[1]CP5SR8!#REF!</definedName>
    <definedName name="XDO_?DEBTSECC_MARKET_VALUE_TOT?21?">[1]SHYBU!#REF!</definedName>
    <definedName name="XDO_?DEBTSECC_MARKET_VALUE_TOT?25?">[1]SMMF!#REF!</definedName>
    <definedName name="XDO_?DEBTSECC_MARKET_VALUE_TOT?27?">[1]SMON!#REF!</definedName>
    <definedName name="XDO_?DEBTSECC_MARKET_VALUE_TOT?28?">SUNBAL!$F$110</definedName>
    <definedName name="XDO_?DEBTSECC_MARKET_VALUE_TOT?35?">[1]SUNONF!#REF!</definedName>
    <definedName name="XDO_?DEBTSECC_MARKET_VALUE_TOT?37?">[1]ULTRANEW!#REF!</definedName>
    <definedName name="XDO_?DEBTSECC_MARKET_VALUE_TOT?6?">[1]SFRSTP!#REF!</definedName>
    <definedName name="XDO_?DEBTSECC_MARKET_VALUE_TOT?8?">[1]SFTPHS!#REF!</definedName>
    <definedName name="XDO_?DEBTSECC_NAME?6?">SUNBAL!$C$42:$C$109</definedName>
    <definedName name="XDO_?DEBTSECC_PER_NET_ASSETS?6?">SUNBAL!$G$42:$G$109</definedName>
    <definedName name="XDO_?DEBTSECC_PER_NET_ASSETS_TOT?">[1]CP5SR7!#REF!</definedName>
    <definedName name="XDO_?DEBTSECC_PER_NET_ASSETS_TOT?15?">[1]SFTPIS!#REF!</definedName>
    <definedName name="XDO_?DEBTSECC_PER_NET_ASSETS_TOT?17?">[1]SHYBO!#REF!</definedName>
    <definedName name="XDO_?DEBTSECC_PER_NET_ASSETS_TOT?19?">[1]SHYBP!#REF!</definedName>
    <definedName name="XDO_?DEBTSECC_PER_NET_ASSETS_TOT?2?">[1]CP5SR8!#REF!</definedName>
    <definedName name="XDO_?DEBTSECC_PER_NET_ASSETS_TOT?21?">[1]SHYBU!#REF!</definedName>
    <definedName name="XDO_?DEBTSECC_PER_NET_ASSETS_TOT?25?">[1]SMMF!#REF!</definedName>
    <definedName name="XDO_?DEBTSECC_PER_NET_ASSETS_TOT?27?">[1]SMON!#REF!</definedName>
    <definedName name="XDO_?DEBTSECC_PER_NET_ASSETS_TOT?28?">SUNBAL!$G$110</definedName>
    <definedName name="XDO_?DEBTSECC_PER_NET_ASSETS_TOT?35?">[1]SUNONF!#REF!</definedName>
    <definedName name="XDO_?DEBTSECC_PER_NET_ASSETS_TOT?37?">[1]ULTRANEW!#REF!</definedName>
    <definedName name="XDO_?DEBTSECC_PER_NET_ASSETS_TOT?6?">[1]SFRSTP!#REF!</definedName>
    <definedName name="XDO_?DEBTSECC_PER_NET_ASSETS_TOT?8?">[1]SFTPHS!#REF!</definedName>
    <definedName name="XDO_?DEBTSECC_RATING_INDUSTRY?6?">SUNBAL!$D$42:$D$109</definedName>
    <definedName name="XDO_?DEBTSECC_SL_NO?6?">SUNBAL!$A$42:$A$109</definedName>
    <definedName name="XDO_?DEBTSECC_UNITS?6?">SUNBAL!$E$42:$E$109</definedName>
    <definedName name="XDO_?DEBTSECD_MARKET_VALUE_TOT?">[1]CP5SR7!#REF!</definedName>
    <definedName name="XDO_?DEBTSECD_MARKET_VALUE_TOT?11?">[1]SFTPIC!#REF!</definedName>
    <definedName name="XDO_?DEBTSECD_MARKET_VALUE_TOT?14?">[1]SFTPIJ!#REF!</definedName>
    <definedName name="XDO_?DEBTSECD_MARKET_VALUE_TOT?16?">[1]SFTPIK!#REF!</definedName>
    <definedName name="XDO_?DEBTSECD_MARKET_VALUE_TOT?18?">[1]SFTPIS!#REF!</definedName>
    <definedName name="XDO_?DEBTSECD_MARKET_VALUE_TOT?2?">[1]CP5SR8!#REF!</definedName>
    <definedName name="XDO_?DEBTSECD_MARKET_VALUE_TOT?24?">[1]SHYBU!#REF!</definedName>
    <definedName name="XDO_?DEBTSECD_MARKET_VALUE_TOT?30?">SUNBAL!$F$113</definedName>
    <definedName name="XDO_?DEBTSECD_MARKET_VALUE_TOT?31?">SUNBAL!#REF!</definedName>
    <definedName name="XDO_?DEBTSECD_MARKET_VALUE_TOT?36?">[1]SUNONF!#REF!</definedName>
    <definedName name="XDO_?DEBTSECD_MARKET_VALUE_TOT?5?">[1]SFRLTP!#REF!</definedName>
    <definedName name="XDO_?DEBTSECD_PER_NET_ASSETS_TOT?">[1]CP5SR7!#REF!</definedName>
    <definedName name="XDO_?DEBTSECD_PER_NET_ASSETS_TOT?11?">[1]SFTPIC!#REF!</definedName>
    <definedName name="XDO_?DEBTSECD_PER_NET_ASSETS_TOT?14?">[1]SFTPIJ!#REF!</definedName>
    <definedName name="XDO_?DEBTSECD_PER_NET_ASSETS_TOT?16?">[1]SFTPIK!#REF!</definedName>
    <definedName name="XDO_?DEBTSECD_PER_NET_ASSETS_TOT?18?">[1]SFTPIS!#REF!</definedName>
    <definedName name="XDO_?DEBTSECD_PER_NET_ASSETS_TOT?2?">[1]CP5SR8!#REF!</definedName>
    <definedName name="XDO_?DEBTSECD_PER_NET_ASSETS_TOT?24?">[1]SHYBU!#REF!</definedName>
    <definedName name="XDO_?DEBTSECD_PER_NET_ASSETS_TOT?30?">SUNBAL!$G$113</definedName>
    <definedName name="XDO_?DEBTSECD_PER_NET_ASSETS_TOT?31?">SUNBAL!#REF!</definedName>
    <definedName name="XDO_?DEBTSECD_PER_NET_ASSETS_TOT?36?">[1]SUNONF!#REF!</definedName>
    <definedName name="XDO_?DEBTSECD_PER_NET_ASSETS_TOT?5?">[1]SFRLTP!#REF!</definedName>
    <definedName name="XDO_?DERIVATIVE_NOTES?27?">SUNBAL!$B$166</definedName>
    <definedName name="XDO_?DERIVATIVE_NOTES_VAL?27?">SUNBAL!$D$166</definedName>
    <definedName name="XDO_?EQUSEC_MARKET_VALUE_TOT?17?">SUNBAL!$F$68</definedName>
    <definedName name="XDO_?EQUSEC_PER_NET_ASSETS_TOT?17?">SUNBAL!$G$68</definedName>
    <definedName name="XDO_?EQUSECA_MARKET_VALUE_TOT?11?">[1]SFTPIC!#REF!</definedName>
    <definedName name="XDO_?EQUSECA_MARKET_VALUE_TOT?13?">[1]SFTPIE!#REF!</definedName>
    <definedName name="XDO_?EQUSECA_MARKET_VALUE_TOT?15?">[1]SFTPIJ!#REF!</definedName>
    <definedName name="XDO_?EQUSECA_MARKET_VALUE_TOT?17?">[1]SFTPIK!#REF!</definedName>
    <definedName name="XDO_?EQUSECA_MARKET_VALUE_TOT?19?">[1]SFTPIS!#REF!</definedName>
    <definedName name="XDO_?EQUSECA_MARKET_VALUE_TOT?21?">[1]SHYBO!#REF!</definedName>
    <definedName name="XDO_?EQUSECA_MARKET_VALUE_TOT?23?">[1]SHYBP!#REF!</definedName>
    <definedName name="XDO_?EQUSECA_MARKET_VALUE_TOT?26?">'[1]SLIQ+'!#REF!</definedName>
    <definedName name="XDO_?EQUSECA_MARKET_VALUE_TOT?28?">[1]SMMF!#REF!</definedName>
    <definedName name="XDO_?EQUSECA_MARKET_VALUE_TOT?3?">[1]DEBTST!#REF!</definedName>
    <definedName name="XDO_?EQUSECA_MARKET_VALUE_TOT?30?">[1]SMON!#REF!</definedName>
    <definedName name="XDO_?EQUSECA_MARKET_VALUE_TOT?31?">SUNBAL!$F$51</definedName>
    <definedName name="XDO_?EQUSECA_MARKET_VALUE_TOT?33?">[1]SUNBDS!#REF!</definedName>
    <definedName name="XDO_?EQUSECA_MARKET_VALUE_TOT?35?">[1]SUNIP!#REF!</definedName>
    <definedName name="XDO_?EQUSECA_MARKET_VALUE_TOT?38?">[1]SUNONF!#REF!</definedName>
    <definedName name="XDO_?EQUSECA_MARKET_VALUE_TOT?40?">[1]ULTRANEW!#REF!</definedName>
    <definedName name="XDO_?EQUSECA_MARKET_VALUE_TOT?5?">[1]SFRLTP!#REF!</definedName>
    <definedName name="XDO_?EQUSECA_MARKET_VALUE_TOT?7?">[1]SFRSTP!#REF!</definedName>
    <definedName name="XDO_?EQUSECA_MARKET_VALUE_TOT?9?">[1]SFTPHS!#REF!</definedName>
    <definedName name="XDO_?EQUSECA_PER_NET_ASSETS?3?">SUNBAL!$G$7:$G$50</definedName>
    <definedName name="XDO_?EQUSECA_PER_NET_ASSETS_TOT?11?">[1]SFTPIC!#REF!</definedName>
    <definedName name="XDO_?EQUSECA_PER_NET_ASSETS_TOT?13?">[1]SFTPIE!#REF!</definedName>
    <definedName name="XDO_?EQUSECA_PER_NET_ASSETS_TOT?15?">[1]SFTPIJ!#REF!</definedName>
    <definedName name="XDO_?EQUSECA_PER_NET_ASSETS_TOT?17?">[1]SFTPIK!#REF!</definedName>
    <definedName name="XDO_?EQUSECA_PER_NET_ASSETS_TOT?19?">[1]SFTPIS!#REF!</definedName>
    <definedName name="XDO_?EQUSECA_PER_NET_ASSETS_TOT?21?">[1]SHYBO!#REF!</definedName>
    <definedName name="XDO_?EQUSECA_PER_NET_ASSETS_TOT?23?">[1]SHYBP!#REF!</definedName>
    <definedName name="XDO_?EQUSECA_PER_NET_ASSETS_TOT?26?">'[1]SLIQ+'!#REF!</definedName>
    <definedName name="XDO_?EQUSECA_PER_NET_ASSETS_TOT?28?">[1]SMMF!#REF!</definedName>
    <definedName name="XDO_?EQUSECA_PER_NET_ASSETS_TOT?3?">[1]DEBTST!#REF!</definedName>
    <definedName name="XDO_?EQUSECA_PER_NET_ASSETS_TOT?30?">[1]SMON!#REF!</definedName>
    <definedName name="XDO_?EQUSECA_PER_NET_ASSETS_TOT?31?">SUNBAL!$G$51</definedName>
    <definedName name="XDO_?EQUSECA_PER_NET_ASSETS_TOT?33?">[1]SUNBDS!#REF!</definedName>
    <definedName name="XDO_?EQUSECA_PER_NET_ASSETS_TOT?35?">[1]SUNIP!#REF!</definedName>
    <definedName name="XDO_?EQUSECA_PER_NET_ASSETS_TOT?38?">[1]SUNONF!#REF!</definedName>
    <definedName name="XDO_?EQUSECA_PER_NET_ASSETS_TOT?40?">[1]ULTRANEW!#REF!</definedName>
    <definedName name="XDO_?EQUSECA_PER_NET_ASSETS_TOT?5?">[1]SFRLTP!#REF!</definedName>
    <definedName name="XDO_?EQUSECA_PER_NET_ASSETS_TOT?7?">[1]SFRSTP!#REF!</definedName>
    <definedName name="XDO_?EQUSECA_PER_NET_ASSETS_TOT?9?">[1]SFTPHS!#REF!</definedName>
    <definedName name="XDO_?EQUSECB_MARKET_VALUE_TOT?">[1]CP5SR7!#REF!</definedName>
    <definedName name="XDO_?EQUSECB_MARKET_VALUE_TOT?10?">[1]SFTPHS!#REF!</definedName>
    <definedName name="XDO_?EQUSECB_MARKET_VALUE_TOT?12?">[1]SFTPIC!#REF!</definedName>
    <definedName name="XDO_?EQUSECB_MARKET_VALUE_TOT?14?">[1]SFTPIE!#REF!</definedName>
    <definedName name="XDO_?EQUSECB_MARKET_VALUE_TOT?16?">[1]SFTPIJ!#REF!</definedName>
    <definedName name="XDO_?EQUSECB_MARKET_VALUE_TOT?18?">[1]SFTPIK!#REF!</definedName>
    <definedName name="XDO_?EQUSECB_MARKET_VALUE_TOT?2?">[1]CP5SR8!#REF!</definedName>
    <definedName name="XDO_?EQUSECB_MARKET_VALUE_TOT?20?">[1]SFTPIS!#REF!</definedName>
    <definedName name="XDO_?EQUSECB_MARKET_VALUE_TOT?22?">[1]SHYBO!#REF!</definedName>
    <definedName name="XDO_?EQUSECB_MARKET_VALUE_TOT?24?">[1]SHYBP!#REF!</definedName>
    <definedName name="XDO_?EQUSECB_MARKET_VALUE_TOT?26?">[1]SHYBU!#REF!</definedName>
    <definedName name="XDO_?EQUSECB_MARKET_VALUE_TOT?28?">'[1]SLIQ+'!#REF!</definedName>
    <definedName name="XDO_?EQUSECB_MARKET_VALUE_TOT?30?">[1]SMMF!#REF!</definedName>
    <definedName name="XDO_?EQUSECB_MARKET_VALUE_TOT?32?">[1]SMON!#REF!</definedName>
    <definedName name="XDO_?EQUSECB_MARKET_VALUE_TOT?33?">SUNBAL!$F$54</definedName>
    <definedName name="XDO_?EQUSECB_MARKET_VALUE_TOT?34?">SUNBAL!#REF!</definedName>
    <definedName name="XDO_?EQUSECB_MARKET_VALUE_TOT?36?">[1]SUNBDS!#REF!</definedName>
    <definedName name="XDO_?EQUSECB_MARKET_VALUE_TOT?38?">[1]SUNIP!#REF!</definedName>
    <definedName name="XDO_?EQUSECB_MARKET_VALUE_TOT?4?">[1]DEBTST!#REF!</definedName>
    <definedName name="XDO_?EQUSECB_MARKET_VALUE_TOT?40?">[1]SUNMIA!#REF!</definedName>
    <definedName name="XDO_?EQUSECB_MARKET_VALUE_TOT?42?">[1]SUNONF!#REF!</definedName>
    <definedName name="XDO_?EQUSECB_MARKET_VALUE_TOT?44?">[1]ULTRANEW!#REF!</definedName>
    <definedName name="XDO_?EQUSECB_MARKET_VALUE_TOT?6?">[1]SFRLTP!#REF!</definedName>
    <definedName name="XDO_?EQUSECB_MARKET_VALUE_TOT?8?">[1]SFRSTP!#REF!</definedName>
    <definedName name="XDO_?EQUSECB_PER_NET_ASSETS_TOT?">[1]CP5SR7!#REF!</definedName>
    <definedName name="XDO_?EQUSECB_PER_NET_ASSETS_TOT?10?">[1]SFTPHS!#REF!</definedName>
    <definedName name="XDO_?EQUSECB_PER_NET_ASSETS_TOT?12?">[1]SFTPIC!#REF!</definedName>
    <definedName name="XDO_?EQUSECB_PER_NET_ASSETS_TOT?14?">[1]SFTPIE!#REF!</definedName>
    <definedName name="XDO_?EQUSECB_PER_NET_ASSETS_TOT?16?">[1]SFTPIJ!#REF!</definedName>
    <definedName name="XDO_?EQUSECB_PER_NET_ASSETS_TOT?18?">[1]SFTPIK!#REF!</definedName>
    <definedName name="XDO_?EQUSECB_PER_NET_ASSETS_TOT?2?">[1]CP5SR8!#REF!</definedName>
    <definedName name="XDO_?EQUSECB_PER_NET_ASSETS_TOT?20?">[1]SFTPIS!#REF!</definedName>
    <definedName name="XDO_?EQUSECB_PER_NET_ASSETS_TOT?22?">[1]SHYBO!#REF!</definedName>
    <definedName name="XDO_?EQUSECB_PER_NET_ASSETS_TOT?24?">[1]SHYBP!#REF!</definedName>
    <definedName name="XDO_?EQUSECB_PER_NET_ASSETS_TOT?26?">[1]SHYBU!#REF!</definedName>
    <definedName name="XDO_?EQUSECB_PER_NET_ASSETS_TOT?28?">'[1]SLIQ+'!#REF!</definedName>
    <definedName name="XDO_?EQUSECB_PER_NET_ASSETS_TOT?30?">[1]SMMF!#REF!</definedName>
    <definedName name="XDO_?EQUSECB_PER_NET_ASSETS_TOT?32?">[1]SMON!#REF!</definedName>
    <definedName name="XDO_?EQUSECB_PER_NET_ASSETS_TOT?33?">SUNBAL!$G$54</definedName>
    <definedName name="XDO_?EQUSECB_PER_NET_ASSETS_TOT?34?">SUNBAL!#REF!</definedName>
    <definedName name="XDO_?EQUSECB_PER_NET_ASSETS_TOT?36?">[1]SUNBDS!#REF!</definedName>
    <definedName name="XDO_?EQUSECB_PER_NET_ASSETS_TOT?38?">[1]SUNIP!#REF!</definedName>
    <definedName name="XDO_?EQUSECB_PER_NET_ASSETS_TOT?4?">[1]DEBTST!#REF!</definedName>
    <definedName name="XDO_?EQUSECB_PER_NET_ASSETS_TOT?40?">[1]SUNMIA!#REF!</definedName>
    <definedName name="XDO_?EQUSECB_PER_NET_ASSETS_TOT?42?">[1]SUNONF!#REF!</definedName>
    <definedName name="XDO_?EQUSECB_PER_NET_ASSETS_TOT?44?">[1]ULTRANEW!#REF!</definedName>
    <definedName name="XDO_?EQUSECB_PER_NET_ASSETS_TOT?6?">[1]SFRLTP!#REF!</definedName>
    <definedName name="XDO_?EQUSECB_PER_NET_ASSETS_TOT?8?">[1]SFRSTP!#REF!</definedName>
    <definedName name="XDO_?EQUSECC_MARKET_VALUE_TOT?">[1]CP5SR7!#REF!</definedName>
    <definedName name="XDO_?EQUSECC_MARKET_VALUE_TOT?10?">[1]SFTPHS!#REF!</definedName>
    <definedName name="XDO_?EQUSECC_MARKET_VALUE_TOT?12?">[1]SFTPIC!#REF!</definedName>
    <definedName name="XDO_?EQUSECC_MARKET_VALUE_TOT?14?">[1]SFTPIE!#REF!</definedName>
    <definedName name="XDO_?EQUSECC_MARKET_VALUE_TOT?16?">[1]SFTPIJ!#REF!</definedName>
    <definedName name="XDO_?EQUSECC_MARKET_VALUE_TOT?18?">[1]SFTPIK!#REF!</definedName>
    <definedName name="XDO_?EQUSECC_MARKET_VALUE_TOT?2?">[1]CP5SR8!#REF!</definedName>
    <definedName name="XDO_?EQUSECC_MARKET_VALUE_TOT?20?">[1]SFTPIS!#REF!</definedName>
    <definedName name="XDO_?EQUSECC_MARKET_VALUE_TOT?22?">[1]SHYBO!#REF!</definedName>
    <definedName name="XDO_?EQUSECC_MARKET_VALUE_TOT?24?">[1]SHYBP!#REF!</definedName>
    <definedName name="XDO_?EQUSECC_MARKET_VALUE_TOT?26?">[1]SHYBU!#REF!</definedName>
    <definedName name="XDO_?EQUSECC_MARKET_VALUE_TOT?28?">'[1]SLIQ+'!#REF!</definedName>
    <definedName name="XDO_?EQUSECC_MARKET_VALUE_TOT?30?">[1]SMMF!#REF!</definedName>
    <definedName name="XDO_?EQUSECC_MARKET_VALUE_TOT?32?">[1]SMON!#REF!</definedName>
    <definedName name="XDO_?EQUSECC_MARKET_VALUE_TOT?33?">SUNBAL!$F$57</definedName>
    <definedName name="XDO_?EQUSECC_MARKET_VALUE_TOT?34?">SUNBAL!#REF!</definedName>
    <definedName name="XDO_?EQUSECC_MARKET_VALUE_TOT?36?">[1]SUNBDS!#REF!</definedName>
    <definedName name="XDO_?EQUSECC_MARKET_VALUE_TOT?38?">[1]SUNIP!#REF!</definedName>
    <definedName name="XDO_?EQUSECC_MARKET_VALUE_TOT?4?">[1]DEBTST!#REF!</definedName>
    <definedName name="XDO_?EQUSECC_MARKET_VALUE_TOT?40?">[1]SUNMIA!#REF!</definedName>
    <definedName name="XDO_?EQUSECC_MARKET_VALUE_TOT?42?">[1]SUNONF!#REF!</definedName>
    <definedName name="XDO_?EQUSECC_MARKET_VALUE_TOT?44?">[1]ULTRANEW!#REF!</definedName>
    <definedName name="XDO_?EQUSECC_MARKET_VALUE_TOT?6?">[1]SFRLTP!#REF!</definedName>
    <definedName name="XDO_?EQUSECC_MARKET_VALUE_TOT?8?">[1]SFRSTP!#REF!</definedName>
    <definedName name="XDO_?EQUSECC_PER_NET_ASSETS_TOT?">[1]CP5SR7!#REF!</definedName>
    <definedName name="XDO_?EQUSECC_PER_NET_ASSETS_TOT?10?">[1]SFTPHS!#REF!</definedName>
    <definedName name="XDO_?EQUSECC_PER_NET_ASSETS_TOT?12?">[1]SFTPIC!#REF!</definedName>
    <definedName name="XDO_?EQUSECC_PER_NET_ASSETS_TOT?14?">[1]SFTPIE!#REF!</definedName>
    <definedName name="XDO_?EQUSECC_PER_NET_ASSETS_TOT?16?">[1]SFTPIJ!#REF!</definedName>
    <definedName name="XDO_?EQUSECC_PER_NET_ASSETS_TOT?18?">[1]SFTPIK!#REF!</definedName>
    <definedName name="XDO_?EQUSECC_PER_NET_ASSETS_TOT?2?">[1]CP5SR8!#REF!</definedName>
    <definedName name="XDO_?EQUSECC_PER_NET_ASSETS_TOT?20?">[1]SFTPIS!#REF!</definedName>
    <definedName name="XDO_?EQUSECC_PER_NET_ASSETS_TOT?22?">[1]SHYBO!#REF!</definedName>
    <definedName name="XDO_?EQUSECC_PER_NET_ASSETS_TOT?24?">[1]SHYBP!#REF!</definedName>
    <definedName name="XDO_?EQUSECC_PER_NET_ASSETS_TOT?26?">[1]SHYBU!#REF!</definedName>
    <definedName name="XDO_?EQUSECC_PER_NET_ASSETS_TOT?28?">'[1]SLIQ+'!#REF!</definedName>
    <definedName name="XDO_?EQUSECC_PER_NET_ASSETS_TOT?30?">[1]SMMF!#REF!</definedName>
    <definedName name="XDO_?EQUSECC_PER_NET_ASSETS_TOT?32?">[1]SMON!#REF!</definedName>
    <definedName name="XDO_?EQUSECC_PER_NET_ASSETS_TOT?33?">SUNBAL!$G$57</definedName>
    <definedName name="XDO_?EQUSECC_PER_NET_ASSETS_TOT?34?">SUNBAL!#REF!</definedName>
    <definedName name="XDO_?EQUSECC_PER_NET_ASSETS_TOT?36?">[1]SUNBDS!#REF!</definedName>
    <definedName name="XDO_?EQUSECC_PER_NET_ASSETS_TOT?38?">[1]SUNIP!#REF!</definedName>
    <definedName name="XDO_?EQUSECC_PER_NET_ASSETS_TOT?4?">[1]DEBTST!#REF!</definedName>
    <definedName name="XDO_?EQUSECC_PER_NET_ASSETS_TOT?40?">[1]SUNMIA!#REF!</definedName>
    <definedName name="XDO_?EQUSECC_PER_NET_ASSETS_TOT?42?">[1]SUNONF!#REF!</definedName>
    <definedName name="XDO_?EQUSECC_PER_NET_ASSETS_TOT?44?">[1]ULTRANEW!#REF!</definedName>
    <definedName name="XDO_?EQUSECC_PER_NET_ASSETS_TOT?6?">[1]SFRLTP!#REF!</definedName>
    <definedName name="XDO_?EQUSECC_PER_NET_ASSETS_TOT?8?">[1]SFRSTP!#REF!</definedName>
    <definedName name="XDO_?EQUSECD_MARKET_VALUE_TOT?">[1]CP5SR7!#REF!</definedName>
    <definedName name="XDO_?EQUSECD_MARKET_VALUE_TOT?10?">[1]SFTPHS!#REF!</definedName>
    <definedName name="XDO_?EQUSECD_MARKET_VALUE_TOT?12?">[1]SFTPIC!#REF!</definedName>
    <definedName name="XDO_?EQUSECD_MARKET_VALUE_TOT?14?">[1]SFTPIE!#REF!</definedName>
    <definedName name="XDO_?EQUSECD_MARKET_VALUE_TOT?16?">[1]SFTPIJ!#REF!</definedName>
    <definedName name="XDO_?EQUSECD_MARKET_VALUE_TOT?18?">[1]SFTPIK!#REF!</definedName>
    <definedName name="XDO_?EQUSECD_MARKET_VALUE_TOT?2?">[1]CP5SR8!#REF!</definedName>
    <definedName name="XDO_?EQUSECD_MARKET_VALUE_TOT?20?">[1]SFTPIS!#REF!</definedName>
    <definedName name="XDO_?EQUSECD_MARKET_VALUE_TOT?22?">[1]SHYBO!#REF!</definedName>
    <definedName name="XDO_?EQUSECD_MARKET_VALUE_TOT?24?">[1]SHYBP!#REF!</definedName>
    <definedName name="XDO_?EQUSECD_MARKET_VALUE_TOT?26?">[1]SHYBU!#REF!</definedName>
    <definedName name="XDO_?EQUSECD_MARKET_VALUE_TOT?28?">'[1]SLIQ+'!#REF!</definedName>
    <definedName name="XDO_?EQUSECD_MARKET_VALUE_TOT?30?">[1]SMMF!#REF!</definedName>
    <definedName name="XDO_?EQUSECD_MARKET_VALUE_TOT?32?">[1]SMON!#REF!</definedName>
    <definedName name="XDO_?EQUSECD_MARKET_VALUE_TOT?33?">SUNBAL!$F$60</definedName>
    <definedName name="XDO_?EQUSECD_MARKET_VALUE_TOT?34?">SUNBAL!#REF!</definedName>
    <definedName name="XDO_?EQUSECD_MARKET_VALUE_TOT?36?">[1]SUNBDS!#REF!</definedName>
    <definedName name="XDO_?EQUSECD_MARKET_VALUE_TOT?38?">[1]SUNIP!#REF!</definedName>
    <definedName name="XDO_?EQUSECD_MARKET_VALUE_TOT?4?">[1]DEBTST!#REF!</definedName>
    <definedName name="XDO_?EQUSECD_MARKET_VALUE_TOT?40?">[1]SUNMIA!#REF!</definedName>
    <definedName name="XDO_?EQUSECD_MARKET_VALUE_TOT?42?">[1]SUNONF!#REF!</definedName>
    <definedName name="XDO_?EQUSECD_MARKET_VALUE_TOT?44?">[1]ULTRANEW!#REF!</definedName>
    <definedName name="XDO_?EQUSECD_MARKET_VALUE_TOT?6?">[1]SFRLTP!#REF!</definedName>
    <definedName name="XDO_?EQUSECD_MARKET_VALUE_TOT?8?">[1]SFRSTP!#REF!</definedName>
    <definedName name="XDO_?EQUSECD_PER_NET_ASSETS_TOT?">[1]CP5SR7!#REF!</definedName>
    <definedName name="XDO_?EQUSECD_PER_NET_ASSETS_TOT?10?">[1]SFTPHS!#REF!</definedName>
    <definedName name="XDO_?EQUSECD_PER_NET_ASSETS_TOT?12?">[1]SFTPIC!#REF!</definedName>
    <definedName name="XDO_?EQUSECD_PER_NET_ASSETS_TOT?14?">[1]SFTPIE!#REF!</definedName>
    <definedName name="XDO_?EQUSECD_PER_NET_ASSETS_TOT?16?">[1]SFTPIJ!#REF!</definedName>
    <definedName name="XDO_?EQUSECD_PER_NET_ASSETS_TOT?18?">[1]SFTPIK!#REF!</definedName>
    <definedName name="XDO_?EQUSECD_PER_NET_ASSETS_TOT?2?">[1]CP5SR8!#REF!</definedName>
    <definedName name="XDO_?EQUSECD_PER_NET_ASSETS_TOT?20?">[1]SFTPIS!#REF!</definedName>
    <definedName name="XDO_?EQUSECD_PER_NET_ASSETS_TOT?22?">[1]SHYBO!#REF!</definedName>
    <definedName name="XDO_?EQUSECD_PER_NET_ASSETS_TOT?24?">[1]SHYBP!#REF!</definedName>
    <definedName name="XDO_?EQUSECD_PER_NET_ASSETS_TOT?26?">[1]SHYBU!#REF!</definedName>
    <definedName name="XDO_?EQUSECD_PER_NET_ASSETS_TOT?28?">'[1]SLIQ+'!#REF!</definedName>
    <definedName name="XDO_?EQUSECD_PER_NET_ASSETS_TOT?30?">[1]SMMF!#REF!</definedName>
    <definedName name="XDO_?EQUSECD_PER_NET_ASSETS_TOT?32?">[1]SMON!#REF!</definedName>
    <definedName name="XDO_?EQUSECD_PER_NET_ASSETS_TOT?33?">SUNBAL!$G$60</definedName>
    <definedName name="XDO_?EQUSECD_PER_NET_ASSETS_TOT?34?">SUNBAL!#REF!</definedName>
    <definedName name="XDO_?EQUSECD_PER_NET_ASSETS_TOT?36?">[1]SUNBDS!#REF!</definedName>
    <definedName name="XDO_?EQUSECD_PER_NET_ASSETS_TOT?38?">[1]SUNIP!#REF!</definedName>
    <definedName name="XDO_?EQUSECD_PER_NET_ASSETS_TOT?4?">[1]DEBTST!#REF!</definedName>
    <definedName name="XDO_?EQUSECD_PER_NET_ASSETS_TOT?40?">[1]SUNMIA!#REF!</definedName>
    <definedName name="XDO_?EQUSECD_PER_NET_ASSETS_TOT?42?">[1]SUNONF!#REF!</definedName>
    <definedName name="XDO_?EQUSECD_PER_NET_ASSETS_TOT?44?">[1]ULTRANEW!#REF!</definedName>
    <definedName name="XDO_?EQUSECD_PER_NET_ASSETS_TOT?6?">[1]SFRLTP!#REF!</definedName>
    <definedName name="XDO_?EQUSECD_PER_NET_ASSETS_TOT?8?">[1]SFRSTP!#REF!</definedName>
    <definedName name="XDO_?EQUSECE_MARKET_VALUE_TOT?">[1]CP5SR7!#REF!</definedName>
    <definedName name="XDO_?EQUSECE_MARKET_VALUE_TOT?10?">[1]SFTPHS!#REF!</definedName>
    <definedName name="XDO_?EQUSECE_MARKET_VALUE_TOT?12?">[1]SFTPIC!#REF!</definedName>
    <definedName name="XDO_?EQUSECE_MARKET_VALUE_TOT?14?">[1]SFTPIE!#REF!</definedName>
    <definedName name="XDO_?EQUSECE_MARKET_VALUE_TOT?16?">[1]SFTPIJ!#REF!</definedName>
    <definedName name="XDO_?EQUSECE_MARKET_VALUE_TOT?18?">[1]SFTPIK!#REF!</definedName>
    <definedName name="XDO_?EQUSECE_MARKET_VALUE_TOT?2?">[1]CP5SR8!#REF!</definedName>
    <definedName name="XDO_?EQUSECE_MARKET_VALUE_TOT?20?">[1]SFTPIS!#REF!</definedName>
    <definedName name="XDO_?EQUSECE_MARKET_VALUE_TOT?22?">[1]SHYBO!#REF!</definedName>
    <definedName name="XDO_?EQUSECE_MARKET_VALUE_TOT?24?">[1]SHYBP!#REF!</definedName>
    <definedName name="XDO_?EQUSECE_MARKET_VALUE_TOT?26?">[1]SHYBU!#REF!</definedName>
    <definedName name="XDO_?EQUSECE_MARKET_VALUE_TOT?28?">'[1]SLIQ+'!#REF!</definedName>
    <definedName name="XDO_?EQUSECE_MARKET_VALUE_TOT?30?">[1]SMMF!#REF!</definedName>
    <definedName name="XDO_?EQUSECE_MARKET_VALUE_TOT?32?">[1]SMON!#REF!</definedName>
    <definedName name="XDO_?EQUSECE_MARKET_VALUE_TOT?33?">SUNBAL!$F$63</definedName>
    <definedName name="XDO_?EQUSECE_MARKET_VALUE_TOT?34?">SUNBAL!#REF!</definedName>
    <definedName name="XDO_?EQUSECE_MARKET_VALUE_TOT?36?">[1]SUNBDS!#REF!</definedName>
    <definedName name="XDO_?EQUSECE_MARKET_VALUE_TOT?38?">[1]SUNIP!#REF!</definedName>
    <definedName name="XDO_?EQUSECE_MARKET_VALUE_TOT?4?">[1]DEBTST!#REF!</definedName>
    <definedName name="XDO_?EQUSECE_MARKET_VALUE_TOT?40?">[1]SUNMIA!#REF!</definedName>
    <definedName name="XDO_?EQUSECE_MARKET_VALUE_TOT?42?">[1]SUNONF!#REF!</definedName>
    <definedName name="XDO_?EQUSECE_MARKET_VALUE_TOT?44?">[1]ULTRANEW!#REF!</definedName>
    <definedName name="XDO_?EQUSECE_MARKET_VALUE_TOT?6?">[1]SFRLTP!#REF!</definedName>
    <definedName name="XDO_?EQUSECE_MARKET_VALUE_TOT?8?">[1]SFRSTP!#REF!</definedName>
    <definedName name="XDO_?EQUSECE_PER_NET_ASSETS_TOT?">[1]CP5SR7!#REF!</definedName>
    <definedName name="XDO_?EQUSECE_PER_NET_ASSETS_TOT?10?">[1]SFTPHS!#REF!</definedName>
    <definedName name="XDO_?EQUSECE_PER_NET_ASSETS_TOT?12?">[1]SFTPIC!#REF!</definedName>
    <definedName name="XDO_?EQUSECE_PER_NET_ASSETS_TOT?14?">[1]SFTPIE!#REF!</definedName>
    <definedName name="XDO_?EQUSECE_PER_NET_ASSETS_TOT?16?">[1]SFTPIJ!#REF!</definedName>
    <definedName name="XDO_?EQUSECE_PER_NET_ASSETS_TOT?18?">[1]SFTPIK!#REF!</definedName>
    <definedName name="XDO_?EQUSECE_PER_NET_ASSETS_TOT?2?">[1]CP5SR8!#REF!</definedName>
    <definedName name="XDO_?EQUSECE_PER_NET_ASSETS_TOT?20?">[1]SFTPIS!#REF!</definedName>
    <definedName name="XDO_?EQUSECE_PER_NET_ASSETS_TOT?22?">[1]SHYBO!#REF!</definedName>
    <definedName name="XDO_?EQUSECE_PER_NET_ASSETS_TOT?24?">[1]SHYBP!#REF!</definedName>
    <definedName name="XDO_?EQUSECE_PER_NET_ASSETS_TOT?26?">[1]SHYBU!#REF!</definedName>
    <definedName name="XDO_?EQUSECE_PER_NET_ASSETS_TOT?28?">'[1]SLIQ+'!#REF!</definedName>
    <definedName name="XDO_?EQUSECE_PER_NET_ASSETS_TOT?30?">[1]SMMF!#REF!</definedName>
    <definedName name="XDO_?EQUSECE_PER_NET_ASSETS_TOT?32?">[1]SMON!#REF!</definedName>
    <definedName name="XDO_?EQUSECE_PER_NET_ASSETS_TOT?33?">SUNBAL!$G$63</definedName>
    <definedName name="XDO_?EQUSECE_PER_NET_ASSETS_TOT?34?">SUNBAL!#REF!</definedName>
    <definedName name="XDO_?EQUSECE_PER_NET_ASSETS_TOT?36?">[1]SUNBDS!#REF!</definedName>
    <definedName name="XDO_?EQUSECE_PER_NET_ASSETS_TOT?38?">[1]SUNIP!#REF!</definedName>
    <definedName name="XDO_?EQUSECE_PER_NET_ASSETS_TOT?4?">[1]DEBTST!#REF!</definedName>
    <definedName name="XDO_?EQUSECE_PER_NET_ASSETS_TOT?40?">[1]SUNMIA!#REF!</definedName>
    <definedName name="XDO_?EQUSECE_PER_NET_ASSETS_TOT?42?">[1]SUNONF!#REF!</definedName>
    <definedName name="XDO_?EQUSECE_PER_NET_ASSETS_TOT?44?">[1]ULTRANEW!#REF!</definedName>
    <definedName name="XDO_?EQUSECE_PER_NET_ASSETS_TOT?6?">[1]SFRLTP!#REF!</definedName>
    <definedName name="XDO_?EQUSECE_PER_NET_ASSETS_TOT?8?">[1]SFRSTP!#REF!</definedName>
    <definedName name="XDO_?EQUSECF_MARKET_VALUE_TOT?30?">[1]SMMF!#REF!</definedName>
    <definedName name="XDO_?EQUSECF_MARKET_VALUE_TOT?33?">SUNBAL!$F$66</definedName>
    <definedName name="XDO_?EQUSECF_MARKET_VALUE_TOT?34?">SUNBAL!$F$39:$F$100</definedName>
    <definedName name="XDO_?EQUSECF_MARKET_VALUE_TOT?42?">[1]SUNONF!#REF!</definedName>
    <definedName name="XDO_?EQUSECF_PER_NET_ASSETS_TOT?30?">[1]SMMF!#REF!</definedName>
    <definedName name="XDO_?EQUSECF_PER_NET_ASSETS_TOT?33?">SUNBAL!$G$66</definedName>
    <definedName name="XDO_?EQUSECF_PER_NET_ASSETS_TOT?34?">SUNBAL!$G$39:$G$100</definedName>
    <definedName name="XDO_?EQUSECF_PER_NET_ASSETS_TOT?42?">[1]SUNONF!#REF!</definedName>
    <definedName name="XDO_?FOREGIN_MARKET_VALUE?17?">SUNBAL!$D$167</definedName>
    <definedName name="XDO_?FOREGIN_SEC_NOTES?17?">SUNBAL!$B$167</definedName>
    <definedName name="XDO_?INDV_NET_RATE_DIV?7?">SUNBAL!$C$101:$C$164</definedName>
    <definedName name="XDO_?ISIN_CODE?3?">SUNBAL!$B$7:$B$50</definedName>
    <definedName name="XDO_?MARKET_VALUE?3?">SUNBAL!$F$7:$F$50</definedName>
    <definedName name="XDO_?MARKET_VALUE_GRAND_TOT?17?">SUNBAL!$F$145</definedName>
    <definedName name="XDO_?MONEYMARKETSEC_MARKET_VALUE_TOT?17?">SUNBAL!$F$131</definedName>
    <definedName name="XDO_?MONEYMARKETSEC_PER_NET_ASSETS_TOT?17?">SUNBAL!$G$131</definedName>
    <definedName name="XDO_?MONEYMARKETSECA_MARKET_VALUE_TOT?">[1]CP5SR7!#REF!</definedName>
    <definedName name="XDO_?MONEYMARKETSECA_MARKET_VALUE_TOT?10?">[1]SFTPIC!#REF!</definedName>
    <definedName name="XDO_?MONEYMARKETSECA_MARKET_VALUE_TOT?12?">[1]SFTPIE!#REF!</definedName>
    <definedName name="XDO_?MONEYMARKETSECA_MARKET_VALUE_TOT?14?">[1]SFTPIJ!#REF!</definedName>
    <definedName name="XDO_?MONEYMARKETSECA_MARKET_VALUE_TOT?16?">[1]SFTPIK!#REF!</definedName>
    <definedName name="XDO_?MONEYMARKETSECA_MARKET_VALUE_TOT?18?">[1]SFTPIS!#REF!</definedName>
    <definedName name="XDO_?MONEYMARKETSECA_MARKET_VALUE_TOT?2?">[1]CP5SR8!#REF!</definedName>
    <definedName name="XDO_?MONEYMARKETSECA_MARKET_VALUE_TOT?22?">[1]SHYBU!#REF!</definedName>
    <definedName name="XDO_?MONEYMARKETSECA_MARKET_VALUE_TOT?26?">SUNBAL!$F$119</definedName>
    <definedName name="XDO_?MONEYMARKETSECA_MARKET_VALUE_TOT?27?">SUNBAL!#REF!</definedName>
    <definedName name="XDO_?MONEYMARKETSECA_MARKET_VALUE_TOT?29?">[1]SUNBDS!#REF!</definedName>
    <definedName name="XDO_?MONEYMARKETSECA_MARKET_VALUE_TOT?32?">[1]SUNMIA!#REF!</definedName>
    <definedName name="XDO_?MONEYMARKETSECA_MARKET_VALUE_TOT?34?">[1]SUNONF!#REF!</definedName>
    <definedName name="XDO_?MONEYMARKETSECA_MARKET_VALUE_TOT?4?">[1]DEBTST!#REF!</definedName>
    <definedName name="XDO_?MONEYMARKETSECA_MARKET_VALUE_TOT?6?">[1]SFRLTP!#REF!</definedName>
    <definedName name="XDO_?MONEYMARKETSECA_PER_NET_ASSETS_TOT?">[1]CP5SR7!#REF!</definedName>
    <definedName name="XDO_?MONEYMARKETSECA_PER_NET_ASSETS_TOT?10?">[1]SFTPIC!#REF!</definedName>
    <definedName name="XDO_?MONEYMARKETSECA_PER_NET_ASSETS_TOT?12?">[1]SFTPIE!#REF!</definedName>
    <definedName name="XDO_?MONEYMARKETSECA_PER_NET_ASSETS_TOT?14?">[1]SFTPIJ!#REF!</definedName>
    <definedName name="XDO_?MONEYMARKETSECA_PER_NET_ASSETS_TOT?16?">[1]SFTPIK!#REF!</definedName>
    <definedName name="XDO_?MONEYMARKETSECA_PER_NET_ASSETS_TOT?18?">[1]SFTPIS!#REF!</definedName>
    <definedName name="XDO_?MONEYMARKETSECA_PER_NET_ASSETS_TOT?2?">[1]CP5SR8!#REF!</definedName>
    <definedName name="XDO_?MONEYMARKETSECA_PER_NET_ASSETS_TOT?22?">[1]SHYBU!#REF!</definedName>
    <definedName name="XDO_?MONEYMARKETSECA_PER_NET_ASSETS_TOT?26?">SUNBAL!$G$119</definedName>
    <definedName name="XDO_?MONEYMARKETSECA_PER_NET_ASSETS_TOT?27?">SUNBAL!#REF!</definedName>
    <definedName name="XDO_?MONEYMARKETSECA_PER_NET_ASSETS_TOT?29?">[1]SUNBDS!#REF!</definedName>
    <definedName name="XDO_?MONEYMARKETSECA_PER_NET_ASSETS_TOT?32?">[1]SUNMIA!#REF!</definedName>
    <definedName name="XDO_?MONEYMARKETSECA_PER_NET_ASSETS_TOT?34?">[1]SUNONF!#REF!</definedName>
    <definedName name="XDO_?MONEYMARKETSECA_PER_NET_ASSETS_TOT?4?">[1]DEBTST!#REF!</definedName>
    <definedName name="XDO_?MONEYMARKETSECA_PER_NET_ASSETS_TOT?6?">[1]SFRLTP!#REF!</definedName>
    <definedName name="XDO_?MONEYMARKETSECB_MARKET_VALUE_TOT?">[1]CP5SR7!#REF!</definedName>
    <definedName name="XDO_?MONEYMARKETSECB_MARKET_VALUE_TOT?10?">[1]SFTPHS!#REF!</definedName>
    <definedName name="XDO_?MONEYMARKETSECB_MARKET_VALUE_TOT?12?">[1]SFTPIC!#REF!</definedName>
    <definedName name="XDO_?MONEYMARKETSECB_MARKET_VALUE_TOT?14?">[1]SFTPIE!#REF!</definedName>
    <definedName name="XDO_?MONEYMARKETSECB_MARKET_VALUE_TOT?16?">[1]SFTPIJ!#REF!</definedName>
    <definedName name="XDO_?MONEYMARKETSECB_MARKET_VALUE_TOT?18?">[1]SFTPIK!#REF!</definedName>
    <definedName name="XDO_?MONEYMARKETSECB_MARKET_VALUE_TOT?2?">[1]CP5SR8!#REF!</definedName>
    <definedName name="XDO_?MONEYMARKETSECB_MARKET_VALUE_TOT?20?">[1]SFTPIS!#REF!</definedName>
    <definedName name="XDO_?MONEYMARKETSECB_MARKET_VALUE_TOT?23?">[1]SHYBP!#REF!</definedName>
    <definedName name="XDO_?MONEYMARKETSECB_MARKET_VALUE_TOT?25?">[1]SHYBU!#REF!</definedName>
    <definedName name="XDO_?MONEYMARKETSECB_MARKET_VALUE_TOT?29?">SUNBAL!$F$122</definedName>
    <definedName name="XDO_?MONEYMARKETSECB_MARKET_VALUE_TOT?30?">SUNBAL!#REF!</definedName>
    <definedName name="XDO_?MONEYMARKETSECB_MARKET_VALUE_TOT?32?">[1]SUNBDS!#REF!</definedName>
    <definedName name="XDO_?MONEYMARKETSECB_MARKET_VALUE_TOT?35?">[1]SUNMIA!#REF!</definedName>
    <definedName name="XDO_?MONEYMARKETSECB_MARKET_VALUE_TOT?37?">[1]SUNONF!#REF!</definedName>
    <definedName name="XDO_?MONEYMARKETSECB_MARKET_VALUE_TOT?4?">[1]DEBTST!#REF!</definedName>
    <definedName name="XDO_?MONEYMARKETSECB_MARKET_VALUE_TOT?6?">[1]SFRLTP!#REF!</definedName>
    <definedName name="XDO_?MONEYMARKETSECB_MARKET_VALUE_TOT?8?">[1]SFRSTP!#REF!</definedName>
    <definedName name="XDO_?MONEYMARKETSECB_PER_NET_ASSETS_TOT?">[1]CP5SR7!#REF!</definedName>
    <definedName name="XDO_?MONEYMARKETSECB_PER_NET_ASSETS_TOT?10?">[1]SFTPHS!#REF!</definedName>
    <definedName name="XDO_?MONEYMARKETSECB_PER_NET_ASSETS_TOT?12?">[1]SFTPIC!#REF!</definedName>
    <definedName name="XDO_?MONEYMARKETSECB_PER_NET_ASSETS_TOT?14?">[1]SFTPIE!#REF!</definedName>
    <definedName name="XDO_?MONEYMARKETSECB_PER_NET_ASSETS_TOT?16?">[1]SFTPIJ!#REF!</definedName>
    <definedName name="XDO_?MONEYMARKETSECB_PER_NET_ASSETS_TOT?18?">[1]SFTPIK!#REF!</definedName>
    <definedName name="XDO_?MONEYMARKETSECB_PER_NET_ASSETS_TOT?2?">[1]CP5SR8!#REF!</definedName>
    <definedName name="XDO_?MONEYMARKETSECB_PER_NET_ASSETS_TOT?20?">[1]SFTPIS!#REF!</definedName>
    <definedName name="XDO_?MONEYMARKETSECB_PER_NET_ASSETS_TOT?23?">[1]SHYBP!#REF!</definedName>
    <definedName name="XDO_?MONEYMARKETSECB_PER_NET_ASSETS_TOT?25?">[1]SHYBU!#REF!</definedName>
    <definedName name="XDO_?MONEYMARKETSECB_PER_NET_ASSETS_TOT?29?">SUNBAL!$G$122</definedName>
    <definedName name="XDO_?MONEYMARKETSECB_PER_NET_ASSETS_TOT?30?">SUNBAL!#REF!</definedName>
    <definedName name="XDO_?MONEYMARKETSECB_PER_NET_ASSETS_TOT?32?">[1]SUNBDS!#REF!</definedName>
    <definedName name="XDO_?MONEYMARKETSECB_PER_NET_ASSETS_TOT?35?">[1]SUNMIA!#REF!</definedName>
    <definedName name="XDO_?MONEYMARKETSECB_PER_NET_ASSETS_TOT?37?">[1]SUNONF!#REF!</definedName>
    <definedName name="XDO_?MONEYMARKETSECB_PER_NET_ASSETS_TOT?4?">[1]DEBTST!#REF!</definedName>
    <definedName name="XDO_?MONEYMARKETSECB_PER_NET_ASSETS_TOT?6?">[1]SFRLTP!#REF!</definedName>
    <definedName name="XDO_?MONEYMARKETSECB_PER_NET_ASSETS_TOT?8?">[1]SFRSTP!#REF!</definedName>
    <definedName name="XDO_?MONEYMARKETSECC_MARKET_VALUE_TOT?32?">SUNBAL!$F$125</definedName>
    <definedName name="XDO_?MONEYMARKETSECC_MARKET_VALUE_TOT?33?">SUNBAL!$F$81:$F$128</definedName>
    <definedName name="XDO_?MONEYMARKETSECC_PER_NET_ASSETS_TOT?32?">SUNBAL!$G$125</definedName>
    <definedName name="XDO_?MONEYMARKETSECC_PER_NET_ASSETS_TOT?33?">SUNBAL!$G$81:$G$128</definedName>
    <definedName name="XDO_?MONEYMARKETSECD_ISIN_CODE?17?">SUNBAL!$B$65:$B$128</definedName>
    <definedName name="XDO_?MONEYMARKETSECD_MARKET_VALUE?17?">SUNBAL!$F$65:$F$128</definedName>
    <definedName name="XDO_?MONEYMARKETSECD_MARKET_VALUE_TOT?17?">SUNBAL!$F$129</definedName>
    <definedName name="XDO_?MONEYMARKETSECD_NAME?17?">SUNBAL!$C$65:$C$128</definedName>
    <definedName name="XDO_?MONEYMARKETSECD_PER_NET_ASSETS?17?">SUNBAL!$G$65:$G$128</definedName>
    <definedName name="XDO_?MONEYMARKETSECD_PER_NET_ASSETS_TOT?17?">SUNBAL!$G$129</definedName>
    <definedName name="XDO_?MONEYMARKETSECD_RATING_INDUSTRY?17?">SUNBAL!$D$65:$D$128</definedName>
    <definedName name="XDO_?MONEYMARKETSECD_SL_NO?17?">SUNBAL!$A$65:$A$128</definedName>
    <definedName name="XDO_?MUTUALFUNDSECA_MARKET_VALUE_TOT?">[1]CP5SR7!#REF!</definedName>
    <definedName name="XDO_?MUTUALFUNDSECA_MARKET_VALUE_TOT?10?">[1]SFTPHS!#REF!</definedName>
    <definedName name="XDO_?MUTUALFUNDSECA_MARKET_VALUE_TOT?12?">[1]SFTPIC!#REF!</definedName>
    <definedName name="XDO_?MUTUALFUNDSECA_MARKET_VALUE_TOT?14?">[1]SFTPIE!#REF!</definedName>
    <definedName name="XDO_?MUTUALFUNDSECA_MARKET_VALUE_TOT?16?">[1]SFTPIJ!#REF!</definedName>
    <definedName name="XDO_?MUTUALFUNDSECA_MARKET_VALUE_TOT?18?">[1]SFTPIK!#REF!</definedName>
    <definedName name="XDO_?MUTUALFUNDSECA_MARKET_VALUE_TOT?2?">[1]CP5SR8!#REF!</definedName>
    <definedName name="XDO_?MUTUALFUNDSECA_MARKET_VALUE_TOT?20?">[1]SFTPIS!#REF!</definedName>
    <definedName name="XDO_?MUTUALFUNDSECA_MARKET_VALUE_TOT?22?">[1]SHYBO!#REF!</definedName>
    <definedName name="XDO_?MUTUALFUNDSECA_MARKET_VALUE_TOT?24?">[1]SHYBP!#REF!</definedName>
    <definedName name="XDO_?MUTUALFUNDSECA_MARKET_VALUE_TOT?26?">[1]SHYBU!#REF!</definedName>
    <definedName name="XDO_?MUTUALFUNDSECA_MARKET_VALUE_TOT?28?">'[1]SLIQ+'!#REF!</definedName>
    <definedName name="XDO_?MUTUALFUNDSECA_MARKET_VALUE_TOT?30?">[1]SMMF!#REF!</definedName>
    <definedName name="XDO_?MUTUALFUNDSECA_MARKET_VALUE_TOT?33?">SUNBAL!$F$135</definedName>
    <definedName name="XDO_?MUTUALFUNDSECA_MARKET_VALUE_TOT?34?">SUNBAL!#REF!</definedName>
    <definedName name="XDO_?MUTUALFUNDSECA_MARKET_VALUE_TOT?36?">[1]SUNBDS!#REF!</definedName>
    <definedName name="XDO_?MUTUALFUNDSECA_MARKET_VALUE_TOT?38?">[1]SUNIP!#REF!</definedName>
    <definedName name="XDO_?MUTUALFUNDSECA_MARKET_VALUE_TOT?4?">[1]DEBTST!#REF!</definedName>
    <definedName name="XDO_?MUTUALFUNDSECA_MARKET_VALUE_TOT?40?">[1]SUNMIA!#REF!</definedName>
    <definedName name="XDO_?MUTUALFUNDSECA_MARKET_VALUE_TOT?42?">[1]SUNONF!#REF!</definedName>
    <definedName name="XDO_?MUTUALFUNDSECA_MARKET_VALUE_TOT?44?">[1]ULTRANEW!#REF!</definedName>
    <definedName name="XDO_?MUTUALFUNDSECA_MARKET_VALUE_TOT?6?">[1]SFRLTP!#REF!</definedName>
    <definedName name="XDO_?MUTUALFUNDSECA_MARKET_VALUE_TOT?8?">[1]SFRSTP!#REF!</definedName>
    <definedName name="XDO_?MUTUALFUNDSECA_PER_NET_ASSETS_TOT?">[1]CP5SR7!#REF!</definedName>
    <definedName name="XDO_?MUTUALFUNDSECA_PER_NET_ASSETS_TOT?10?">[1]SFTPHS!#REF!</definedName>
    <definedName name="XDO_?MUTUALFUNDSECA_PER_NET_ASSETS_TOT?12?">[1]SFTPIC!#REF!</definedName>
    <definedName name="XDO_?MUTUALFUNDSECA_PER_NET_ASSETS_TOT?14?">[1]SFTPIE!#REF!</definedName>
    <definedName name="XDO_?MUTUALFUNDSECA_PER_NET_ASSETS_TOT?16?">[1]SFTPIJ!#REF!</definedName>
    <definedName name="XDO_?MUTUALFUNDSECA_PER_NET_ASSETS_TOT?18?">[1]SFTPIK!#REF!</definedName>
    <definedName name="XDO_?MUTUALFUNDSECA_PER_NET_ASSETS_TOT?2?">[1]CP5SR8!#REF!</definedName>
    <definedName name="XDO_?MUTUALFUNDSECA_PER_NET_ASSETS_TOT?20?">[1]SFTPIS!#REF!</definedName>
    <definedName name="XDO_?MUTUALFUNDSECA_PER_NET_ASSETS_TOT?22?">[1]SHYBO!#REF!</definedName>
    <definedName name="XDO_?MUTUALFUNDSECA_PER_NET_ASSETS_TOT?24?">[1]SHYBP!#REF!</definedName>
    <definedName name="XDO_?MUTUALFUNDSECA_PER_NET_ASSETS_TOT?26?">[1]SHYBU!#REF!</definedName>
    <definedName name="XDO_?MUTUALFUNDSECA_PER_NET_ASSETS_TOT?28?">'[1]SLIQ+'!#REF!</definedName>
    <definedName name="XDO_?MUTUALFUNDSECA_PER_NET_ASSETS_TOT?30?">[1]SMMF!#REF!</definedName>
    <definedName name="XDO_?MUTUALFUNDSECA_PER_NET_ASSETS_TOT?33?">SUNBAL!$G$135</definedName>
    <definedName name="XDO_?MUTUALFUNDSECA_PER_NET_ASSETS_TOT?34?">SUNBAL!#REF!</definedName>
    <definedName name="XDO_?MUTUALFUNDSECA_PER_NET_ASSETS_TOT?36?">[1]SUNBDS!#REF!</definedName>
    <definedName name="XDO_?MUTUALFUNDSECA_PER_NET_ASSETS_TOT?38?">[1]SUNIP!#REF!</definedName>
    <definedName name="XDO_?MUTUALFUNDSECA_PER_NET_ASSETS_TOT?4?">[1]DEBTST!#REF!</definedName>
    <definedName name="XDO_?MUTUALFUNDSECA_PER_NET_ASSETS_TOT?40?">[1]SUNMIA!#REF!</definedName>
    <definedName name="XDO_?MUTUALFUNDSECA_PER_NET_ASSETS_TOT?42?">[1]SUNONF!#REF!</definedName>
    <definedName name="XDO_?MUTUALFUNDSECA_PER_NET_ASSETS_TOT?44?">[1]ULTRANEW!#REF!</definedName>
    <definedName name="XDO_?MUTUALFUNDSECA_PER_NET_ASSETS_TOT?6?">[1]SFRLTP!#REF!</definedName>
    <definedName name="XDO_?MUTUALFUNDSECA_PER_NET_ASSETS_TOT?8?">[1]SFRSTP!#REF!</definedName>
    <definedName name="XDO_?NAME?3?">SUNBAL!$C$7:$C$50</definedName>
    <definedName name="XDO_?NIL_TXT_VAL_DIV?17?">SUNBAL!#REF!</definedName>
    <definedName name="XDO_?NOTE_PER_NET_ASSETS_TXT?17?">SUNBAL!$B$148</definedName>
    <definedName name="XDO_?NOTE_THINLY_TRADED_TXT?17?">SUNBAL!$B$147</definedName>
    <definedName name="XDO_?OTH_NET_RATE_DIV?7?">SUNBAL!$D$101:$D$160</definedName>
    <definedName name="XDO_?OTHERSSECA_MARKET_VALUE_TOT?">[1]CP5SR7!#REF!</definedName>
    <definedName name="XDO_?OTHERSSECA_MARKET_VALUE_TOT?10?">[1]SFTPHS!#REF!</definedName>
    <definedName name="XDO_?OTHERSSECA_MARKET_VALUE_TOT?12?">[1]SFTPIC!#REF!</definedName>
    <definedName name="XDO_?OTHERSSECA_MARKET_VALUE_TOT?14?">[1]SFTPIE!#REF!</definedName>
    <definedName name="XDO_?OTHERSSECA_MARKET_VALUE_TOT?16?">[1]SFTPIJ!#REF!</definedName>
    <definedName name="XDO_?OTHERSSECA_MARKET_VALUE_TOT?18?">[1]SFTPIK!#REF!</definedName>
    <definedName name="XDO_?OTHERSSECA_MARKET_VALUE_TOT?2?">[1]CP5SR8!#REF!</definedName>
    <definedName name="XDO_?OTHERSSECA_MARKET_VALUE_TOT?20?">[1]SFTPIS!#REF!</definedName>
    <definedName name="XDO_?OTHERSSECA_MARKET_VALUE_TOT?22?">[1]SHYBO!#REF!</definedName>
    <definedName name="XDO_?OTHERSSECA_MARKET_VALUE_TOT?24?">[1]SHYBP!#REF!</definedName>
    <definedName name="XDO_?OTHERSSECA_MARKET_VALUE_TOT?26?">[1]SHYBU!#REF!</definedName>
    <definedName name="XDO_?OTHERSSECA_MARKET_VALUE_TOT?28?">'[1]SLIQ+'!#REF!</definedName>
    <definedName name="XDO_?OTHERSSECA_MARKET_VALUE_TOT?30?">[1]SMMF!#REF!</definedName>
    <definedName name="XDO_?OTHERSSECA_MARKET_VALUE_TOT?32?">SUNBAL!$F$139</definedName>
    <definedName name="XDO_?OTHERSSECA_MARKET_VALUE_TOT?33?">SUNBAL!#REF!</definedName>
    <definedName name="XDO_?OTHERSSECA_MARKET_VALUE_TOT?35?">[1]SUNBDS!#REF!</definedName>
    <definedName name="XDO_?OTHERSSECA_MARKET_VALUE_TOT?37?">[1]SUNIP!#REF!</definedName>
    <definedName name="XDO_?OTHERSSECA_MARKET_VALUE_TOT?39?">[1]SUNMIA!#REF!</definedName>
    <definedName name="XDO_?OTHERSSECA_MARKET_VALUE_TOT?4?">[1]DEBTST!#REF!</definedName>
    <definedName name="XDO_?OTHERSSECA_MARKET_VALUE_TOT?41?">[1]SUNONF!#REF!</definedName>
    <definedName name="XDO_?OTHERSSECA_MARKET_VALUE_TOT?43?">[1]ULTRANEW!#REF!</definedName>
    <definedName name="XDO_?OTHERSSECA_MARKET_VALUE_TOT?6?">[1]SFRLTP!#REF!</definedName>
    <definedName name="XDO_?OTHERSSECA_MARKET_VALUE_TOT?8?">[1]SFRSTP!#REF!</definedName>
    <definedName name="XDO_?OTHERSSECA_PER_NET_ASSETS_TOT?">[1]CP5SR7!#REF!</definedName>
    <definedName name="XDO_?OTHERSSECA_PER_NET_ASSETS_TOT?10?">[1]SFTPHS!#REF!</definedName>
    <definedName name="XDO_?OTHERSSECA_PER_NET_ASSETS_TOT?12?">[1]SFTPIC!#REF!</definedName>
    <definedName name="XDO_?OTHERSSECA_PER_NET_ASSETS_TOT?14?">[1]SFTPIE!#REF!</definedName>
    <definedName name="XDO_?OTHERSSECA_PER_NET_ASSETS_TOT?16?">[1]SFTPIJ!#REF!</definedName>
    <definedName name="XDO_?OTHERSSECA_PER_NET_ASSETS_TOT?18?">[1]SFTPIK!#REF!</definedName>
    <definedName name="XDO_?OTHERSSECA_PER_NET_ASSETS_TOT?2?">[1]CP5SR8!#REF!</definedName>
    <definedName name="XDO_?OTHERSSECA_PER_NET_ASSETS_TOT?20?">[1]SFTPIS!#REF!</definedName>
    <definedName name="XDO_?OTHERSSECA_PER_NET_ASSETS_TOT?22?">[1]SHYBO!#REF!</definedName>
    <definedName name="XDO_?OTHERSSECA_PER_NET_ASSETS_TOT?24?">[1]SHYBP!#REF!</definedName>
    <definedName name="XDO_?OTHERSSECA_PER_NET_ASSETS_TOT?26?">[1]SHYBU!#REF!</definedName>
    <definedName name="XDO_?OTHERSSECA_PER_NET_ASSETS_TOT?28?">'[1]SLIQ+'!#REF!</definedName>
    <definedName name="XDO_?OTHERSSECA_PER_NET_ASSETS_TOT?30?">[1]SMMF!#REF!</definedName>
    <definedName name="XDO_?OTHERSSECA_PER_NET_ASSETS_TOT?32?">SUNBAL!$G$139</definedName>
    <definedName name="XDO_?OTHERSSECA_PER_NET_ASSETS_TOT?33?">SUNBAL!#REF!</definedName>
    <definedName name="XDO_?OTHERSSECA_PER_NET_ASSETS_TOT?35?">[1]SUNBDS!#REF!</definedName>
    <definedName name="XDO_?OTHERSSECA_PER_NET_ASSETS_TOT?37?">[1]SUNIP!#REF!</definedName>
    <definedName name="XDO_?OTHERSSECA_PER_NET_ASSETS_TOT?39?">[1]SUNMIA!#REF!</definedName>
    <definedName name="XDO_?OTHERSSECA_PER_NET_ASSETS_TOT?4?">[1]DEBTST!#REF!</definedName>
    <definedName name="XDO_?OTHERSSECA_PER_NET_ASSETS_TOT?41?">[1]SUNONF!#REF!</definedName>
    <definedName name="XDO_?OTHERSSECA_PER_NET_ASSETS_TOT?43?">[1]ULTRANEW!#REF!</definedName>
    <definedName name="XDO_?OTHERSSECA_PER_NET_ASSETS_TOT?6?">[1]SFRLTP!#REF!</definedName>
    <definedName name="XDO_?OTHERSSECA_PER_NET_ASSETS_TOT?8?">[1]SFRSTP!#REF!</definedName>
    <definedName name="XDO_?OTHERSSECB_MARKET_VALUE_TOT?">[1]CP5SR7!#REF!</definedName>
    <definedName name="XDO_?OTHERSSECB_MARKET_VALUE_TOT?10?">[1]SFTPHS!#REF!</definedName>
    <definedName name="XDO_?OTHERSSECB_MARKET_VALUE_TOT?12?">[1]SFTPIC!#REF!</definedName>
    <definedName name="XDO_?OTHERSSECB_MARKET_VALUE_TOT?14?">[1]SFTPIE!#REF!</definedName>
    <definedName name="XDO_?OTHERSSECB_MARKET_VALUE_TOT?16?">[1]SFTPIJ!#REF!</definedName>
    <definedName name="XDO_?OTHERSSECB_MARKET_VALUE_TOT?18?">[1]SFTPIK!#REF!</definedName>
    <definedName name="XDO_?OTHERSSECB_MARKET_VALUE_TOT?2?">[1]CP5SR8!#REF!</definedName>
    <definedName name="XDO_?OTHERSSECB_MARKET_VALUE_TOT?20?">[1]SFTPIS!#REF!</definedName>
    <definedName name="XDO_?OTHERSSECB_MARKET_VALUE_TOT?22?">[1]SHYBO!#REF!</definedName>
    <definedName name="XDO_?OTHERSSECB_MARKET_VALUE_TOT?24?">[1]SHYBP!#REF!</definedName>
    <definedName name="XDO_?OTHERSSECB_MARKET_VALUE_TOT?26?">[1]SHYBU!#REF!</definedName>
    <definedName name="XDO_?OTHERSSECB_MARKET_VALUE_TOT?28?">'[1]SLIQ+'!#REF!</definedName>
    <definedName name="XDO_?OTHERSSECB_MARKET_VALUE_TOT?30?">[1]SMMF!#REF!</definedName>
    <definedName name="XDO_?OTHERSSECB_MARKET_VALUE_TOT?32?">[1]SMON!#REF!</definedName>
    <definedName name="XDO_?OTHERSSECB_MARKET_VALUE_TOT?33?">SUNBAL!$F$142</definedName>
    <definedName name="XDO_?OTHERSSECB_MARKET_VALUE_TOT?34?">SUNBAL!#REF!</definedName>
    <definedName name="XDO_?OTHERSSECB_MARKET_VALUE_TOT?36?">[1]SUNBDS!#REF!</definedName>
    <definedName name="XDO_?OTHERSSECB_MARKET_VALUE_TOT?38?">[1]SUNIP!#REF!</definedName>
    <definedName name="XDO_?OTHERSSECB_MARKET_VALUE_TOT?4?">[1]DEBTST!#REF!</definedName>
    <definedName name="XDO_?OTHERSSECB_MARKET_VALUE_TOT?40?">[1]SUNMIA!#REF!</definedName>
    <definedName name="XDO_?OTHERSSECB_MARKET_VALUE_TOT?42?">[1]SUNONF!#REF!</definedName>
    <definedName name="XDO_?OTHERSSECB_MARKET_VALUE_TOT?44?">[1]ULTRANEW!#REF!</definedName>
    <definedName name="XDO_?OTHERSSECB_MARKET_VALUE_TOT?6?">[1]SFRLTP!#REF!</definedName>
    <definedName name="XDO_?OTHERSSECB_MARKET_VALUE_TOT?8?">[1]SFRSTP!#REF!</definedName>
    <definedName name="XDO_?OTHERSSECB_PER_NET_ASSETS_TOT?">[1]CP5SR7!#REF!</definedName>
    <definedName name="XDO_?OTHERSSECB_PER_NET_ASSETS_TOT?10?">[1]SFTPHS!#REF!</definedName>
    <definedName name="XDO_?OTHERSSECB_PER_NET_ASSETS_TOT?12?">[1]SFTPIC!#REF!</definedName>
    <definedName name="XDO_?OTHERSSECB_PER_NET_ASSETS_TOT?14?">[1]SFTPIE!#REF!</definedName>
    <definedName name="XDO_?OTHERSSECB_PER_NET_ASSETS_TOT?16?">[1]SFTPIJ!#REF!</definedName>
    <definedName name="XDO_?OTHERSSECB_PER_NET_ASSETS_TOT?18?">[1]SFTPIK!#REF!</definedName>
    <definedName name="XDO_?OTHERSSECB_PER_NET_ASSETS_TOT?2?">[1]CP5SR8!#REF!</definedName>
    <definedName name="XDO_?OTHERSSECB_PER_NET_ASSETS_TOT?20?">[1]SFTPIS!#REF!</definedName>
    <definedName name="XDO_?OTHERSSECB_PER_NET_ASSETS_TOT?22?">[1]SHYBO!#REF!</definedName>
    <definedName name="XDO_?OTHERSSECB_PER_NET_ASSETS_TOT?24?">[1]SHYBP!#REF!</definedName>
    <definedName name="XDO_?OTHERSSECB_PER_NET_ASSETS_TOT?26?">[1]SHYBU!#REF!</definedName>
    <definedName name="XDO_?OTHERSSECB_PER_NET_ASSETS_TOT?28?">'[1]SLIQ+'!#REF!</definedName>
    <definedName name="XDO_?OTHERSSECB_PER_NET_ASSETS_TOT?30?">[1]SMMF!#REF!</definedName>
    <definedName name="XDO_?OTHERSSECB_PER_NET_ASSETS_TOT?32?">[1]SMON!#REF!</definedName>
    <definedName name="XDO_?OTHERSSECB_PER_NET_ASSETS_TOT?33?">SUNBAL!$G$142</definedName>
    <definedName name="XDO_?OTHERSSECB_PER_NET_ASSETS_TOT?34?">SUNBAL!#REF!</definedName>
    <definedName name="XDO_?OTHERSSECB_PER_NET_ASSETS_TOT?36?">[1]SUNBDS!#REF!</definedName>
    <definedName name="XDO_?OTHERSSECB_PER_NET_ASSETS_TOT?38?">[1]SUNIP!#REF!</definedName>
    <definedName name="XDO_?OTHERSSECB_PER_NET_ASSETS_TOT?4?">[1]DEBTST!#REF!</definedName>
    <definedName name="XDO_?OTHERSSECB_PER_NET_ASSETS_TOT?40?">[1]SUNMIA!#REF!</definedName>
    <definedName name="XDO_?OTHERSSECB_PER_NET_ASSETS_TOT?42?">[1]SUNONF!#REF!</definedName>
    <definedName name="XDO_?OTHERSSECB_PER_NET_ASSETS_TOT?44?">[1]ULTRANEW!#REF!</definedName>
    <definedName name="XDO_?OTHERSSECB_PER_NET_ASSETS_TOT?6?">[1]SFRLTP!#REF!</definedName>
    <definedName name="XDO_?OTHERSSECB_PER_NET_ASSETS_TOT?8?">[1]SFRSTP!#REF!</definedName>
    <definedName name="XDO_?PER_NET_ASSETS_GRAND_TOT?17?">SUNBAL!$G$145</definedName>
    <definedName name="XDO_?PRE_MNTH_LAST_DAY?17?">SUNBAL!$C$155</definedName>
    <definedName name="XDO_?PRE_MNTH_NAV?17?">SUNBAL!$C$97:$C$159</definedName>
    <definedName name="XDO_?RATING_INDUSTRY?3?">SUNBAL!$D$7:$D$50</definedName>
    <definedName name="XDO_?REPO_BONUS_TEXT?17?">SUNBAL!$B$107:$B$171</definedName>
    <definedName name="XDO_?REPO_BONUS_VAL?17?">SUNBAL!$D$107:$D$171</definedName>
    <definedName name="XDO_?RPT_HEADER?17?">SUNBAL!$A$3</definedName>
    <definedName name="XDO_?SCH_NAME_DIV?7?">SUNBAL!$B$101:$B$164</definedName>
    <definedName name="XDO_?SCH_NAME_NAV?17?">SUNBAL!$B$97:$B$159</definedName>
    <definedName name="XDO_?SCHEME_NAME?17?">SUNBAL!$A$2</definedName>
    <definedName name="XDO_?SL_NO?3?">SUNBAL!$A$7:$A$50</definedName>
    <definedName name="XDO_?UNITS?3?">SUNBAL!$E$7:$E$50</definedName>
    <definedName name="XDO_GROUP_?CASH_OTH_NCA_A?17?">SUNBAL!$A$143:$G$143</definedName>
    <definedName name="XDO_GROUP_?DEBT_SEC_A?15?">[1]SMMF!#REF!</definedName>
    <definedName name="XDO_GROUP_?DEBT_SEC_A?17?">SUNBAL!$A$72:$G$100</definedName>
    <definedName name="XDO_GROUP_?DEBT_SEC_A?21?">[1]SUNONF!#REF!</definedName>
    <definedName name="XDO_GROUP_?DEBT_SEC_B?10?">[1]SFTPIS!#REF!</definedName>
    <definedName name="XDO_GROUP_?DEBT_SEC_B?13?">[1]SHYBU!#REF!</definedName>
    <definedName name="XDO_GROUP_?DEBT_SEC_B?15?">[1]SMMF!#REF!</definedName>
    <definedName name="XDO_GROUP_?DEBT_SEC_B?16?">[1]SMON!#REF!</definedName>
    <definedName name="XDO_GROUP_?DEBT_SEC_B?17?">SUNBAL!$A$104:$G$105</definedName>
    <definedName name="XDO_GROUP_?DEBT_SEC_B?2?">[1]DEBTST!#REF!</definedName>
    <definedName name="XDO_GROUP_?DEBT_SEC_B?21?">[1]SUNONF!#REF!</definedName>
    <definedName name="XDO_GROUP_?DEBT_SEC_B?22?">[1]ULTRANEW!#REF!</definedName>
    <definedName name="XDO_GROUP_?DEBT_SEC_B?3?">[1]SFRLTP!#REF!</definedName>
    <definedName name="XDO_GROUP_?DEBT_SEC_B?4?">[1]SFRSTP!#REF!</definedName>
    <definedName name="XDO_GROUP_?DEBT_SEC_B?6?">[1]SFTPIC!#REF!</definedName>
    <definedName name="XDO_GROUP_?DEBT_SEC_B?8?">[1]SFTPIJ!#REF!</definedName>
    <definedName name="XDO_GROUP_?DEBT_SEC_B?9?">[1]SFTPIK!#REF!</definedName>
    <definedName name="XDO_GROUP_?DEBT_SEC_C?">[1]CP5SR7!#REF!</definedName>
    <definedName name="XDO_GROUP_?DEBT_SEC_C?1?">[1]CP5SR8!#REF!</definedName>
    <definedName name="XDO_GROUP_?DEBT_SEC_C?10?">[1]SFTPIS!#REF!</definedName>
    <definedName name="XDO_GROUP_?DEBT_SEC_C?11?">[1]SHYBO!#REF!</definedName>
    <definedName name="XDO_GROUP_?DEBT_SEC_C?12?">[1]SHYBP!#REF!</definedName>
    <definedName name="XDO_GROUP_?DEBT_SEC_C?13?">[1]SHYBU!#REF!</definedName>
    <definedName name="XDO_GROUP_?DEBT_SEC_C?14?">'[1]SLIQ+'!#REF!</definedName>
    <definedName name="XDO_GROUP_?DEBT_SEC_C?15?">[1]SMMF!#REF!</definedName>
    <definedName name="XDO_GROUP_?DEBT_SEC_C?16?">[1]SMON!#REF!</definedName>
    <definedName name="XDO_GROUP_?DEBT_SEC_C?17?">SUNBAL!$A$109:$G$109</definedName>
    <definedName name="XDO_GROUP_?DEBT_SEC_C?19?">[1]SUNIP!#REF!</definedName>
    <definedName name="XDO_GROUP_?DEBT_SEC_C?20?">[1]SUNMIA!#REF!</definedName>
    <definedName name="XDO_GROUP_?DEBT_SEC_C?21?">[1]SUNONF!#REF!</definedName>
    <definedName name="XDO_GROUP_?DEBT_SEC_C?22?">[1]ULTRANEW!#REF!</definedName>
    <definedName name="XDO_GROUP_?DEBT_SEC_C?4?">[1]SFRSTP!#REF!</definedName>
    <definedName name="XDO_GROUP_?DEBT_SEC_C?5?">[1]SFTPHS!#REF!</definedName>
    <definedName name="XDO_GROUP_?DEBT_SEC_C?7?">[1]SFTPIE!#REF!</definedName>
    <definedName name="XDO_GROUP_?DEBT_SEC_D?">[1]CP5SR7!#REF!</definedName>
    <definedName name="XDO_GROUP_?DEBT_SEC_D?1?">[1]CP5SR8!#REF!</definedName>
    <definedName name="XDO_GROUP_?DEBT_SEC_D?10?">[1]SFTPIS!#REF!</definedName>
    <definedName name="XDO_GROUP_?DEBT_SEC_D?11?">[1]SHYBO!#REF!</definedName>
    <definedName name="XDO_GROUP_?DEBT_SEC_D?12?">[1]SHYBP!#REF!</definedName>
    <definedName name="XDO_GROUP_?DEBT_SEC_D?13?">[1]SHYBU!#REF!</definedName>
    <definedName name="XDO_GROUP_?DEBT_SEC_D?15?">[1]SMMF!#REF!</definedName>
    <definedName name="XDO_GROUP_?DEBT_SEC_D?16?">[1]SMON!#REF!</definedName>
    <definedName name="XDO_GROUP_?DEBT_SEC_D?17?">SUNBAL!#REF!</definedName>
    <definedName name="XDO_GROUP_?DEBT_SEC_D?21?">[1]SUNONF!#REF!</definedName>
    <definedName name="XDO_GROUP_?DEBT_SEC_D?22?">[1]ULTRANEW!#REF!</definedName>
    <definedName name="XDO_GROUP_?DEBT_SEC_D?3?">[1]SFRLTP!#REF!</definedName>
    <definedName name="XDO_GROUP_?DEBT_SEC_D?4?">[1]SFRSTP!#REF!</definedName>
    <definedName name="XDO_GROUP_?DEBT_SEC_D?5?">[1]SFTPHS!#REF!</definedName>
    <definedName name="XDO_GROUP_?DEBT_SEC_D?6?">[1]SFTPIC!#REF!</definedName>
    <definedName name="XDO_GROUP_?DEBT_SEC_D?8?">[1]SFTPIJ!#REF!</definedName>
    <definedName name="XDO_GROUP_?DEBT_SEC_D?9?">[1]SFTPIK!#REF!</definedName>
    <definedName name="XDO_GROUP_?DIVIDEN_PER_PLAN_OPTION?">[1]CP5SR7!#REF!</definedName>
    <definedName name="XDO_GROUP_?DIVIDEN_PER_PLAN_OPTION?1?">[1]CP5SR8!#REF!</definedName>
    <definedName name="XDO_GROUP_?DIVIDEN_PER_PLAN_OPTION?10?">[1]SFTPIS!#REF!</definedName>
    <definedName name="XDO_GROUP_?DIVIDEN_PER_PLAN_OPTION?11?">[1]SHYBO!#REF!</definedName>
    <definedName name="XDO_GROUP_?DIVIDEN_PER_PLAN_OPTION?12?">[1]SHYBP!#REF!</definedName>
    <definedName name="XDO_GROUP_?DIVIDEN_PER_PLAN_OPTION?13?">[1]SHYBU!#REF!</definedName>
    <definedName name="XDO_GROUP_?DIVIDEN_PER_PLAN_OPTION?17?">SUNBAL!$B$163:$C$164</definedName>
    <definedName name="XDO_GROUP_?DIVIDEN_PER_PLAN_OPTION?18?">[1]SUNBDS!#REF!</definedName>
    <definedName name="XDO_GROUP_?DIVIDEN_PER_PLAN_OPTION?22?">[1]ULTRANEW!#REF!</definedName>
    <definedName name="XDO_GROUP_?DIVIDEN_PER_PLAN_OPTION?5?">[1]SFTPHS!#REF!</definedName>
    <definedName name="XDO_GROUP_?DIVIDEN_PER_PLAN_OPTION?6?">[1]SFTPIC!#REF!</definedName>
    <definedName name="XDO_GROUP_?DIVIDEN_PER_PLAN_OPTION?7?">[1]SFTPIE!#REF!</definedName>
    <definedName name="XDO_GROUP_?DIVIDEN_PER_PLAN_OPTION?8?">[1]SFTPIJ!#REF!</definedName>
    <definedName name="XDO_GROUP_?DIVIDEN_PER_PLAN_OPTION?9?">[1]SFTPIK!#REF!</definedName>
    <definedName name="XDO_GROUP_?EQUITY_SEC_A?10?">[1]SFTPIS!#REF!</definedName>
    <definedName name="XDO_GROUP_?EQUITY_SEC_A?11?">[1]SHYBO!#REF!</definedName>
    <definedName name="XDO_GROUP_?EQUITY_SEC_A?12?">[1]SHYBP!#REF!</definedName>
    <definedName name="XDO_GROUP_?EQUITY_SEC_A?14?">'[1]SLIQ+'!#REF!</definedName>
    <definedName name="XDO_GROUP_?EQUITY_SEC_A?15?">[1]SMMF!#REF!</definedName>
    <definedName name="XDO_GROUP_?EQUITY_SEC_A?16?">[1]SMON!#REF!</definedName>
    <definedName name="XDO_GROUP_?EQUITY_SEC_A?17?">SUNBAL!$A$7:$G$50</definedName>
    <definedName name="XDO_GROUP_?EQUITY_SEC_A?18?">[1]SUNBDS!#REF!</definedName>
    <definedName name="XDO_GROUP_?EQUITY_SEC_A?19?">[1]SUNIP!#REF!</definedName>
    <definedName name="XDO_GROUP_?EQUITY_SEC_A?2?">[1]DEBTST!#REF!</definedName>
    <definedName name="XDO_GROUP_?EQUITY_SEC_A?21?">[1]SUNONF!#REF!</definedName>
    <definedName name="XDO_GROUP_?EQUITY_SEC_A?22?">[1]ULTRANEW!#REF!</definedName>
    <definedName name="XDO_GROUP_?EQUITY_SEC_A?3?">[1]SFRLTP!#REF!</definedName>
    <definedName name="XDO_GROUP_?EQUITY_SEC_A?4?">[1]SFRSTP!#REF!</definedName>
    <definedName name="XDO_GROUP_?EQUITY_SEC_A?5?">[1]SFTPHS!#REF!</definedName>
    <definedName name="XDO_GROUP_?EQUITY_SEC_A?6?">[1]SFTPIC!#REF!</definedName>
    <definedName name="XDO_GROUP_?EQUITY_SEC_A?7?">[1]SFTPIE!#REF!</definedName>
    <definedName name="XDO_GROUP_?EQUITY_SEC_A?8?">[1]SFTPIJ!#REF!</definedName>
    <definedName name="XDO_GROUP_?EQUITY_SEC_A?9?">[1]SFTPIK!#REF!</definedName>
    <definedName name="XDO_GROUP_?EQUITY_SEC_B?">[1]CP5SR7!#REF!</definedName>
    <definedName name="XDO_GROUP_?EQUITY_SEC_B?1?">[1]CP5SR8!#REF!</definedName>
    <definedName name="XDO_GROUP_?EQUITY_SEC_B?10?">[1]SFTPIS!#REF!</definedName>
    <definedName name="XDO_GROUP_?EQUITY_SEC_B?11?">[1]SHYBO!#REF!</definedName>
    <definedName name="XDO_GROUP_?EQUITY_SEC_B?12?">[1]SHYBP!#REF!</definedName>
    <definedName name="XDO_GROUP_?EQUITY_SEC_B?13?">[1]SHYBU!#REF!</definedName>
    <definedName name="XDO_GROUP_?EQUITY_SEC_B?14?">'[1]SLIQ+'!#REF!</definedName>
    <definedName name="XDO_GROUP_?EQUITY_SEC_B?15?">[1]SMMF!#REF!</definedName>
    <definedName name="XDO_GROUP_?EQUITY_SEC_B?16?">[1]SMON!#REF!</definedName>
    <definedName name="XDO_GROUP_?EQUITY_SEC_B?17?">SUNBAL!#REF!</definedName>
    <definedName name="XDO_GROUP_?EQUITY_SEC_B?18?">[1]SUNBDS!#REF!</definedName>
    <definedName name="XDO_GROUP_?EQUITY_SEC_B?19?">[1]SUNIP!#REF!</definedName>
    <definedName name="XDO_GROUP_?EQUITY_SEC_B?2?">[1]DEBTST!#REF!</definedName>
    <definedName name="XDO_GROUP_?EQUITY_SEC_B?20?">[1]SUNMIA!#REF!</definedName>
    <definedName name="XDO_GROUP_?EQUITY_SEC_B?21?">[1]SUNONF!#REF!</definedName>
    <definedName name="XDO_GROUP_?EQUITY_SEC_B?22?">[1]ULTRANEW!#REF!</definedName>
    <definedName name="XDO_GROUP_?EQUITY_SEC_B?3?">[1]SFRLTP!#REF!</definedName>
    <definedName name="XDO_GROUP_?EQUITY_SEC_B?4?">[1]SFRSTP!#REF!</definedName>
    <definedName name="XDO_GROUP_?EQUITY_SEC_B?5?">[1]SFTPHS!#REF!</definedName>
    <definedName name="XDO_GROUP_?EQUITY_SEC_B?6?">[1]SFTPIC!#REF!</definedName>
    <definedName name="XDO_GROUP_?EQUITY_SEC_B?7?">[1]SFTPIE!#REF!</definedName>
    <definedName name="XDO_GROUP_?EQUITY_SEC_B?8?">[1]SFTPIJ!#REF!</definedName>
    <definedName name="XDO_GROUP_?EQUITY_SEC_B?9?">[1]SFTPIK!#REF!</definedName>
    <definedName name="XDO_GROUP_?EQUITY_SEC_C?">[1]CP5SR7!#REF!</definedName>
    <definedName name="XDO_GROUP_?EQUITY_SEC_C?1?">[1]CP5SR8!#REF!</definedName>
    <definedName name="XDO_GROUP_?EQUITY_SEC_C?10?">[1]SFTPIS!#REF!</definedName>
    <definedName name="XDO_GROUP_?EQUITY_SEC_C?11?">[1]SHYBO!#REF!</definedName>
    <definedName name="XDO_GROUP_?EQUITY_SEC_C?12?">[1]SHYBP!#REF!</definedName>
    <definedName name="XDO_GROUP_?EQUITY_SEC_C?13?">[1]SHYBU!#REF!</definedName>
    <definedName name="XDO_GROUP_?EQUITY_SEC_C?14?">'[1]SLIQ+'!#REF!</definedName>
    <definedName name="XDO_GROUP_?EQUITY_SEC_C?15?">[1]SMMF!#REF!</definedName>
    <definedName name="XDO_GROUP_?EQUITY_SEC_C?16?">[1]SMON!#REF!</definedName>
    <definedName name="XDO_GROUP_?EQUITY_SEC_C?17?">SUNBAL!#REF!</definedName>
    <definedName name="XDO_GROUP_?EQUITY_SEC_C?18?">[1]SUNBDS!#REF!</definedName>
    <definedName name="XDO_GROUP_?EQUITY_SEC_C?19?">[1]SUNIP!#REF!</definedName>
    <definedName name="XDO_GROUP_?EQUITY_SEC_C?2?">[1]DEBTST!#REF!</definedName>
    <definedName name="XDO_GROUP_?EQUITY_SEC_C?20?">[1]SUNMIA!#REF!</definedName>
    <definedName name="XDO_GROUP_?EQUITY_SEC_C?21?">[1]SUNONF!#REF!</definedName>
    <definedName name="XDO_GROUP_?EQUITY_SEC_C?22?">[1]ULTRANEW!#REF!</definedName>
    <definedName name="XDO_GROUP_?EQUITY_SEC_C?3?">[1]SFRLTP!#REF!</definedName>
    <definedName name="XDO_GROUP_?EQUITY_SEC_C?4?">[1]SFRSTP!#REF!</definedName>
    <definedName name="XDO_GROUP_?EQUITY_SEC_C?5?">[1]SFTPHS!#REF!</definedName>
    <definedName name="XDO_GROUP_?EQUITY_SEC_C?6?">[1]SFTPIC!#REF!</definedName>
    <definedName name="XDO_GROUP_?EQUITY_SEC_C?7?">[1]SFTPIE!#REF!</definedName>
    <definedName name="XDO_GROUP_?EQUITY_SEC_C?8?">[1]SFTPIJ!#REF!</definedName>
    <definedName name="XDO_GROUP_?EQUITY_SEC_C?9?">[1]SFTPIK!#REF!</definedName>
    <definedName name="XDO_GROUP_?EQUITY_SEC_D?">[1]CP5SR7!#REF!</definedName>
    <definedName name="XDO_GROUP_?EQUITY_SEC_D?1?">[1]CP5SR8!#REF!</definedName>
    <definedName name="XDO_GROUP_?EQUITY_SEC_D?10?">[1]SFTPIS!#REF!</definedName>
    <definedName name="XDO_GROUP_?EQUITY_SEC_D?11?">[1]SHYBO!#REF!</definedName>
    <definedName name="XDO_GROUP_?EQUITY_SEC_D?12?">[1]SHYBP!#REF!</definedName>
    <definedName name="XDO_GROUP_?EQUITY_SEC_D?13?">[1]SHYBU!#REF!</definedName>
    <definedName name="XDO_GROUP_?EQUITY_SEC_D?14?">'[1]SLIQ+'!#REF!</definedName>
    <definedName name="XDO_GROUP_?EQUITY_SEC_D?15?">[1]SMMF!#REF!</definedName>
    <definedName name="XDO_GROUP_?EQUITY_SEC_D?16?">[1]SMON!#REF!</definedName>
    <definedName name="XDO_GROUP_?EQUITY_SEC_D?17?">SUNBAL!#REF!</definedName>
    <definedName name="XDO_GROUP_?EQUITY_SEC_D?18?">[1]SUNBDS!#REF!</definedName>
    <definedName name="XDO_GROUP_?EQUITY_SEC_D?19?">[1]SUNIP!#REF!</definedName>
    <definedName name="XDO_GROUP_?EQUITY_SEC_D?2?">[1]DEBTST!#REF!</definedName>
    <definedName name="XDO_GROUP_?EQUITY_SEC_D?20?">[1]SUNMIA!#REF!</definedName>
    <definedName name="XDO_GROUP_?EQUITY_SEC_D?21?">[1]SUNONF!#REF!</definedName>
    <definedName name="XDO_GROUP_?EQUITY_SEC_D?22?">[1]ULTRANEW!#REF!</definedName>
    <definedName name="XDO_GROUP_?EQUITY_SEC_D?3?">[1]SFRLTP!#REF!</definedName>
    <definedName name="XDO_GROUP_?EQUITY_SEC_D?4?">[1]SFRSTP!#REF!</definedName>
    <definedName name="XDO_GROUP_?EQUITY_SEC_D?5?">[1]SFTPHS!#REF!</definedName>
    <definedName name="XDO_GROUP_?EQUITY_SEC_D?6?">[1]SFTPIC!#REF!</definedName>
    <definedName name="XDO_GROUP_?EQUITY_SEC_D?7?">[1]SFTPIE!#REF!</definedName>
    <definedName name="XDO_GROUP_?EQUITY_SEC_D?8?">[1]SFTPIJ!#REF!</definedName>
    <definedName name="XDO_GROUP_?EQUITY_SEC_D?9?">[1]SFTPIK!#REF!</definedName>
    <definedName name="XDO_GROUP_?EQUITY_SEC_E?">[1]CP5SR7!#REF!</definedName>
    <definedName name="XDO_GROUP_?EQUITY_SEC_E?1?">[1]CP5SR8!#REF!</definedName>
    <definedName name="XDO_GROUP_?EQUITY_SEC_E?10?">[1]SFTPIS!#REF!</definedName>
    <definedName name="XDO_GROUP_?EQUITY_SEC_E?11?">[1]SHYBO!#REF!</definedName>
    <definedName name="XDO_GROUP_?EQUITY_SEC_E?12?">[1]SHYBP!#REF!</definedName>
    <definedName name="XDO_GROUP_?EQUITY_SEC_E?13?">[1]SHYBU!#REF!</definedName>
    <definedName name="XDO_GROUP_?EQUITY_SEC_E?14?">'[1]SLIQ+'!#REF!</definedName>
    <definedName name="XDO_GROUP_?EQUITY_SEC_E?15?">[1]SMMF!#REF!</definedName>
    <definedName name="XDO_GROUP_?EQUITY_SEC_E?16?">[1]SMON!#REF!</definedName>
    <definedName name="XDO_GROUP_?EQUITY_SEC_E?17?">SUNBAL!#REF!</definedName>
    <definedName name="XDO_GROUP_?EQUITY_SEC_E?18?">[1]SUNBDS!#REF!</definedName>
    <definedName name="XDO_GROUP_?EQUITY_SEC_E?19?">[1]SUNIP!#REF!</definedName>
    <definedName name="XDO_GROUP_?EQUITY_SEC_E?2?">[1]DEBTST!#REF!</definedName>
    <definedName name="XDO_GROUP_?EQUITY_SEC_E?20?">[1]SUNMIA!#REF!</definedName>
    <definedName name="XDO_GROUP_?EQUITY_SEC_E?21?">[1]SUNONF!#REF!</definedName>
    <definedName name="XDO_GROUP_?EQUITY_SEC_E?22?">[1]ULTRANEW!#REF!</definedName>
    <definedName name="XDO_GROUP_?EQUITY_SEC_E?3?">[1]SFRLTP!#REF!</definedName>
    <definedName name="XDO_GROUP_?EQUITY_SEC_E?4?">[1]SFRSTP!#REF!</definedName>
    <definedName name="XDO_GROUP_?EQUITY_SEC_E?5?">[1]SFTPHS!#REF!</definedName>
    <definedName name="XDO_GROUP_?EQUITY_SEC_E?6?">[1]SFTPIC!#REF!</definedName>
    <definedName name="XDO_GROUP_?EQUITY_SEC_E?7?">[1]SFTPIE!#REF!</definedName>
    <definedName name="XDO_GROUP_?EQUITY_SEC_E?8?">[1]SFTPIJ!#REF!</definedName>
    <definedName name="XDO_GROUP_?EQUITY_SEC_E?9?">[1]SFTPIK!#REF!</definedName>
    <definedName name="XDO_GROUP_?EQUITY_SEC_F?">[1]CP5SR7!#REF!</definedName>
    <definedName name="XDO_GROUP_?EQUITY_SEC_F?1?">[1]CP5SR8!#REF!</definedName>
    <definedName name="XDO_GROUP_?EQUITY_SEC_F?10?">[1]SFTPIS!#REF!</definedName>
    <definedName name="XDO_GROUP_?EQUITY_SEC_F?11?">[1]SHYBO!#REF!</definedName>
    <definedName name="XDO_GROUP_?EQUITY_SEC_F?12?">[1]SHYBP!#REF!</definedName>
    <definedName name="XDO_GROUP_?EQUITY_SEC_F?13?">[1]SHYBU!#REF!</definedName>
    <definedName name="XDO_GROUP_?EQUITY_SEC_F?14?">'[1]SLIQ+'!#REF!</definedName>
    <definedName name="XDO_GROUP_?EQUITY_SEC_F?15?">[1]SMMF!#REF!</definedName>
    <definedName name="XDO_GROUP_?EQUITY_SEC_F?16?">[1]SMON!#REF!</definedName>
    <definedName name="XDO_GROUP_?EQUITY_SEC_F?17?">SUNBAL!#REF!</definedName>
    <definedName name="XDO_GROUP_?EQUITY_SEC_F?18?">[1]SUNBDS!#REF!</definedName>
    <definedName name="XDO_GROUP_?EQUITY_SEC_F?19?">[1]SUNIP!#REF!</definedName>
    <definedName name="XDO_GROUP_?EQUITY_SEC_F?2?">[1]DEBTST!#REF!</definedName>
    <definedName name="XDO_GROUP_?EQUITY_SEC_F?20?">[1]SUNMIA!#REF!</definedName>
    <definedName name="XDO_GROUP_?EQUITY_SEC_F?21?">[1]SUNONF!#REF!</definedName>
    <definedName name="XDO_GROUP_?EQUITY_SEC_F?22?">[1]ULTRANEW!#REF!</definedName>
    <definedName name="XDO_GROUP_?EQUITY_SEC_F?3?">[1]SFRLTP!#REF!</definedName>
    <definedName name="XDO_GROUP_?EQUITY_SEC_F?4?">[1]SFRSTP!#REF!</definedName>
    <definedName name="XDO_GROUP_?EQUITY_SEC_F?5?">[1]SFTPHS!#REF!</definedName>
    <definedName name="XDO_GROUP_?EQUITY_SEC_F?6?">[1]SFTPIC!#REF!</definedName>
    <definedName name="XDO_GROUP_?EQUITY_SEC_F?7?">[1]SFTPIE!#REF!</definedName>
    <definedName name="XDO_GROUP_?EQUITY_SEC_F?8?">[1]SFTPIJ!#REF!</definedName>
    <definedName name="XDO_GROUP_?EQUITY_SEC_F?9?">[1]SFTPIK!#REF!</definedName>
    <definedName name="XDO_GROUP_?MARGIN_MONEY_FR_DERIVATIVE_A?">[1]CP5SR7!#REF!</definedName>
    <definedName name="XDO_GROUP_?MARGIN_MONEY_FR_DERIVATIVE_A?1?">[1]CP5SR8!#REF!</definedName>
    <definedName name="XDO_GROUP_?MARGIN_MONEY_FR_DERIVATIVE_A?10?">[1]SFTPIS!#REF!</definedName>
    <definedName name="XDO_GROUP_?MARGIN_MONEY_FR_DERIVATIVE_A?11?">[1]SHYBO!#REF!</definedName>
    <definedName name="XDO_GROUP_?MARGIN_MONEY_FR_DERIVATIVE_A?12?">[1]SHYBP!#REF!</definedName>
    <definedName name="XDO_GROUP_?MARGIN_MONEY_FR_DERIVATIVE_A?13?">[1]SHYBU!#REF!</definedName>
    <definedName name="XDO_GROUP_?MARGIN_MONEY_FR_DERIVATIVE_A?14?">'[1]SLIQ+'!#REF!</definedName>
    <definedName name="XDO_GROUP_?MARGIN_MONEY_FR_DERIVATIVE_A?15?">[1]SMMF!#REF!</definedName>
    <definedName name="XDO_GROUP_?MARGIN_MONEY_FR_DERIVATIVE_A?16?">[1]SMON!#REF!</definedName>
    <definedName name="XDO_GROUP_?MARGIN_MONEY_FR_DERIVATIVE_A?17?">SUNBAL!#REF!</definedName>
    <definedName name="XDO_GROUP_?MARGIN_MONEY_FR_DERIVATIVE_A?18?">[1]SUNBDS!#REF!</definedName>
    <definedName name="XDO_GROUP_?MARGIN_MONEY_FR_DERIVATIVE_A?19?">[1]SUNIP!#REF!</definedName>
    <definedName name="XDO_GROUP_?MARGIN_MONEY_FR_DERIVATIVE_A?2?">[1]DEBTST!#REF!</definedName>
    <definedName name="XDO_GROUP_?MARGIN_MONEY_FR_DERIVATIVE_A?20?">[1]SUNMIA!#REF!</definedName>
    <definedName name="XDO_GROUP_?MARGIN_MONEY_FR_DERIVATIVE_A?21?">[1]SUNONF!#REF!</definedName>
    <definedName name="XDO_GROUP_?MARGIN_MONEY_FR_DERIVATIVE_A?22?">[1]ULTRANEW!#REF!</definedName>
    <definedName name="XDO_GROUP_?MARGIN_MONEY_FR_DERIVATIVE_A?3?">[1]SFRLTP!#REF!</definedName>
    <definedName name="XDO_GROUP_?MARGIN_MONEY_FR_DERIVATIVE_A?4?">[1]SFRSTP!#REF!</definedName>
    <definedName name="XDO_GROUP_?MARGIN_MONEY_FR_DERIVATIVE_A?5?">[1]SFTPHS!#REF!</definedName>
    <definedName name="XDO_GROUP_?MARGIN_MONEY_FR_DERIVATIVE_A?6?">[1]SFTPIC!#REF!</definedName>
    <definedName name="XDO_GROUP_?MARGIN_MONEY_FR_DERIVATIVE_A?7?">[1]SFTPIE!#REF!</definedName>
    <definedName name="XDO_GROUP_?MARGIN_MONEY_FR_DERIVATIVE_A?8?">[1]SFTPIJ!#REF!</definedName>
    <definedName name="XDO_GROUP_?MARGIN_MONEY_FR_DERIVATIVE_A?9?">[1]SFTPIK!#REF!</definedName>
    <definedName name="XDO_GROUP_?MONEY_MARKET_SEC_A?">[1]CP5SR7!#REF!</definedName>
    <definedName name="XDO_GROUP_?MONEY_MARKET_SEC_A?1?">[1]CP5SR8!#REF!</definedName>
    <definedName name="XDO_GROUP_?MONEY_MARKET_SEC_A?10?">[1]SFTPIS!#REF!</definedName>
    <definedName name="XDO_GROUP_?MONEY_MARKET_SEC_A?13?">[1]SHYBU!#REF!</definedName>
    <definedName name="XDO_GROUP_?MONEY_MARKET_SEC_A?17?">SUNBAL!#REF!</definedName>
    <definedName name="XDO_GROUP_?MONEY_MARKET_SEC_A?18?">[1]SUNBDS!#REF!</definedName>
    <definedName name="XDO_GROUP_?MONEY_MARKET_SEC_A?2?">[1]DEBTST!#REF!</definedName>
    <definedName name="XDO_GROUP_?MONEY_MARKET_SEC_A?20?">[1]SUNMIA!#REF!</definedName>
    <definedName name="XDO_GROUP_?MONEY_MARKET_SEC_A?21?">[1]SUNONF!#REF!</definedName>
    <definedName name="XDO_GROUP_?MONEY_MARKET_SEC_A?3?">[1]SFRLTP!#REF!</definedName>
    <definedName name="XDO_GROUP_?MONEY_MARKET_SEC_A?6?">[1]SFTPIC!#REF!</definedName>
    <definedName name="XDO_GROUP_?MONEY_MARKET_SEC_A?7?">[1]SFTPIE!#REF!</definedName>
    <definedName name="XDO_GROUP_?MONEY_MARKET_SEC_A?8?">[1]SFTPIJ!#REF!</definedName>
    <definedName name="XDO_GROUP_?MONEY_MARKET_SEC_A?9?">[1]SFTPIK!#REF!</definedName>
    <definedName name="XDO_GROUP_?MONEY_MARKET_SEC_B?">[1]CP5SR7!#REF!</definedName>
    <definedName name="XDO_GROUP_?MONEY_MARKET_SEC_B?1?">[1]CP5SR8!#REF!</definedName>
    <definedName name="XDO_GROUP_?MONEY_MARKET_SEC_B?10?">[1]SFTPIS!#REF!</definedName>
    <definedName name="XDO_GROUP_?MONEY_MARKET_SEC_B?12?">[1]SHYBP!#REF!</definedName>
    <definedName name="XDO_GROUP_?MONEY_MARKET_SEC_B?13?">[1]SHYBU!#REF!</definedName>
    <definedName name="XDO_GROUP_?MONEY_MARKET_SEC_B?17?">SUNBAL!#REF!</definedName>
    <definedName name="XDO_GROUP_?MONEY_MARKET_SEC_B?18?">[1]SUNBDS!#REF!</definedName>
    <definedName name="XDO_GROUP_?MONEY_MARKET_SEC_B?2?">[1]DEBTST!#REF!</definedName>
    <definedName name="XDO_GROUP_?MONEY_MARKET_SEC_B?20?">[1]SUNMIA!#REF!</definedName>
    <definedName name="XDO_GROUP_?MONEY_MARKET_SEC_B?21?">[1]SUNONF!#REF!</definedName>
    <definedName name="XDO_GROUP_?MONEY_MARKET_SEC_B?3?">[1]SFRLTP!#REF!</definedName>
    <definedName name="XDO_GROUP_?MONEY_MARKET_SEC_B?4?">[1]SFRSTP!#REF!</definedName>
    <definedName name="XDO_GROUP_?MONEY_MARKET_SEC_B?5?">[1]SFTPHS!#REF!</definedName>
    <definedName name="XDO_GROUP_?MONEY_MARKET_SEC_B?6?">[1]SFTPIC!#REF!</definedName>
    <definedName name="XDO_GROUP_?MONEY_MARKET_SEC_B?7?">[1]SFTPIE!#REF!</definedName>
    <definedName name="XDO_GROUP_?MONEY_MARKET_SEC_B?8?">[1]SFTPIJ!#REF!</definedName>
    <definedName name="XDO_GROUP_?MONEY_MARKET_SEC_B?9?">[1]SFTPIK!#REF!</definedName>
    <definedName name="XDO_GROUP_?MONEY_MARKET_SEC_C?">[1]CP5SR7!#REF!</definedName>
    <definedName name="XDO_GROUP_?MONEY_MARKET_SEC_C?1?">[1]CP5SR8!#REF!</definedName>
    <definedName name="XDO_GROUP_?MONEY_MARKET_SEC_C?10?">[1]SFTPIS!#REF!</definedName>
    <definedName name="XDO_GROUP_?MONEY_MARKET_SEC_C?11?">[1]SHYBO!#REF!</definedName>
    <definedName name="XDO_GROUP_?MONEY_MARKET_SEC_C?12?">[1]SHYBP!#REF!</definedName>
    <definedName name="XDO_GROUP_?MONEY_MARKET_SEC_C?13?">[1]SHYBU!#REF!</definedName>
    <definedName name="XDO_GROUP_?MONEY_MARKET_SEC_C?14?">'[1]SLIQ+'!#REF!</definedName>
    <definedName name="XDO_GROUP_?MONEY_MARKET_SEC_C?15?">[1]SMMF!#REF!</definedName>
    <definedName name="XDO_GROUP_?MONEY_MARKET_SEC_C?17?">SUNBAL!#REF!</definedName>
    <definedName name="XDO_GROUP_?MONEY_MARKET_SEC_C?18?">[1]SUNBDS!#REF!</definedName>
    <definedName name="XDO_GROUP_?MONEY_MARKET_SEC_C?19?">[1]SUNIP!#REF!</definedName>
    <definedName name="XDO_GROUP_?MONEY_MARKET_SEC_C?2?">[1]DEBTST!#REF!</definedName>
    <definedName name="XDO_GROUP_?MONEY_MARKET_SEC_C?20?">[1]SUNMIA!#REF!</definedName>
    <definedName name="XDO_GROUP_?MONEY_MARKET_SEC_C?21?">[1]SUNONF!#REF!</definedName>
    <definedName name="XDO_GROUP_?MONEY_MARKET_SEC_C?22?">[1]ULTRANEW!#REF!</definedName>
    <definedName name="XDO_GROUP_?MONEY_MARKET_SEC_C?3?">[1]SFRLTP!#REF!</definedName>
    <definedName name="XDO_GROUP_?MONEY_MARKET_SEC_C?4?">[1]SFRSTP!#REF!</definedName>
    <definedName name="XDO_GROUP_?MONEY_MARKET_SEC_C?5?">[1]SFTPHS!#REF!</definedName>
    <definedName name="XDO_GROUP_?MONEY_MARKET_SEC_C?6?">[1]SFTPIC!#REF!</definedName>
    <definedName name="XDO_GROUP_?MONEY_MARKET_SEC_C?7?">[1]SFTPIE!#REF!</definedName>
    <definedName name="XDO_GROUP_?MONEY_MARKET_SEC_C?8?">[1]SFTPIJ!#REF!</definedName>
    <definedName name="XDO_GROUP_?MONEY_MARKET_SEC_C?9?">[1]SFTPIK!#REF!</definedName>
    <definedName name="XDO_GROUP_?MONEY_MARKET_SEC_D?17?">SUNBAL!$A$128:$G$128</definedName>
    <definedName name="XDO_GROUP_?MUTUAL_FUND_SEC_A?">[1]CP5SR7!#REF!</definedName>
    <definedName name="XDO_GROUP_?MUTUAL_FUND_SEC_A?1?">[1]CP5SR8!#REF!</definedName>
    <definedName name="XDO_GROUP_?MUTUAL_FUND_SEC_A?10?">[1]SFTPIS!#REF!</definedName>
    <definedName name="XDO_GROUP_?MUTUAL_FUND_SEC_A?11?">[1]SHYBO!#REF!</definedName>
    <definedName name="XDO_GROUP_?MUTUAL_FUND_SEC_A?12?">[1]SHYBP!#REF!</definedName>
    <definedName name="XDO_GROUP_?MUTUAL_FUND_SEC_A?13?">[1]SHYBU!#REF!</definedName>
    <definedName name="XDO_GROUP_?MUTUAL_FUND_SEC_A?14?">'[1]SLIQ+'!#REF!</definedName>
    <definedName name="XDO_GROUP_?MUTUAL_FUND_SEC_A?15?">[1]SMMF!#REF!</definedName>
    <definedName name="XDO_GROUP_?MUTUAL_FUND_SEC_A?16?">[1]SMON!#REF!</definedName>
    <definedName name="XDO_GROUP_?MUTUAL_FUND_SEC_A?17?">SUNBAL!#REF!</definedName>
    <definedName name="XDO_GROUP_?MUTUAL_FUND_SEC_A?18?">[1]SUNBDS!#REF!</definedName>
    <definedName name="XDO_GROUP_?MUTUAL_FUND_SEC_A?19?">[1]SUNIP!#REF!</definedName>
    <definedName name="XDO_GROUP_?MUTUAL_FUND_SEC_A?2?">[1]DEBTST!#REF!</definedName>
    <definedName name="XDO_GROUP_?MUTUAL_FUND_SEC_A?20?">[1]SUNMIA!#REF!</definedName>
    <definedName name="XDO_GROUP_?MUTUAL_FUND_SEC_A?21?">[1]SUNONF!#REF!</definedName>
    <definedName name="XDO_GROUP_?MUTUAL_FUND_SEC_A?22?">[1]ULTRANEW!#REF!</definedName>
    <definedName name="XDO_GROUP_?MUTUAL_FUND_SEC_A?3?">[1]SFRLTP!#REF!</definedName>
    <definedName name="XDO_GROUP_?MUTUAL_FUND_SEC_A?4?">[1]SFRSTP!#REF!</definedName>
    <definedName name="XDO_GROUP_?MUTUAL_FUND_SEC_A?5?">[1]SFTPHS!#REF!</definedName>
    <definedName name="XDO_GROUP_?MUTUAL_FUND_SEC_A?6?">[1]SFTPIC!#REF!</definedName>
    <definedName name="XDO_GROUP_?MUTUAL_FUND_SEC_A?7?">[1]SFTPIE!#REF!</definedName>
    <definedName name="XDO_GROUP_?MUTUAL_FUND_SEC_A?8?">[1]SFTPIJ!#REF!</definedName>
    <definedName name="XDO_GROUP_?MUTUAL_FUND_SEC_A?9?">[1]SFTPIK!#REF!</definedName>
    <definedName name="XDO_GROUP_?NAV_PER_PLAN_OPTION?17?">SUNBAL!$B$156:$D$159</definedName>
    <definedName name="XDO_GROUP_?OTHERS_A?">[1]CP5SR7!#REF!</definedName>
    <definedName name="XDO_GROUP_?OTHERS_A?1?">[1]CP5SR8!#REF!</definedName>
    <definedName name="XDO_GROUP_?OTHERS_A?10?">[1]SFTPIS!#REF!</definedName>
    <definedName name="XDO_GROUP_?OTHERS_A?11?">[1]SHYBO!#REF!</definedName>
    <definedName name="XDO_GROUP_?OTHERS_A?12?">[1]SHYBP!#REF!</definedName>
    <definedName name="XDO_GROUP_?OTHERS_A?13?">[1]SHYBU!#REF!</definedName>
    <definedName name="XDO_GROUP_?OTHERS_A?14?">'[1]SLIQ+'!#REF!</definedName>
    <definedName name="XDO_GROUP_?OTHERS_A?15?">[1]SMMF!#REF!</definedName>
    <definedName name="XDO_GROUP_?OTHERS_A?17?">SUNBAL!#REF!</definedName>
    <definedName name="XDO_GROUP_?OTHERS_A?18?">[1]SUNBDS!#REF!</definedName>
    <definedName name="XDO_GROUP_?OTHERS_A?19?">[1]SUNIP!#REF!</definedName>
    <definedName name="XDO_GROUP_?OTHERS_A?2?">[1]DEBTST!#REF!</definedName>
    <definedName name="XDO_GROUP_?OTHERS_A?20?">[1]SUNMIA!#REF!</definedName>
    <definedName name="XDO_GROUP_?OTHERS_A?21?">[1]SUNONF!#REF!</definedName>
    <definedName name="XDO_GROUP_?OTHERS_A?22?">[1]ULTRANEW!#REF!</definedName>
    <definedName name="XDO_GROUP_?OTHERS_A?3?">[1]SFRLTP!#REF!</definedName>
    <definedName name="XDO_GROUP_?OTHERS_A?4?">[1]SFRSTP!#REF!</definedName>
    <definedName name="XDO_GROUP_?OTHERS_A?5?">[1]SFTPHS!#REF!</definedName>
    <definedName name="XDO_GROUP_?OTHERS_A?6?">[1]SFTPIC!#REF!</definedName>
    <definedName name="XDO_GROUP_?OTHERS_A?7?">[1]SFTPIE!#REF!</definedName>
    <definedName name="XDO_GROUP_?OTHERS_A?8?">[1]SFTPIJ!#REF!</definedName>
    <definedName name="XDO_GROUP_?OTHERS_A?9?">[1]SFTPIK!#REF!</definedName>
    <definedName name="XDO_GROUP_?OTHERS_B?">[1]CP5SR7!#REF!</definedName>
    <definedName name="XDO_GROUP_?OTHERS_B?1?">[1]CP5SR8!#REF!</definedName>
    <definedName name="XDO_GROUP_?OTHERS_B?10?">[1]SFTPIS!#REF!</definedName>
    <definedName name="XDO_GROUP_?OTHERS_B?11?">[1]SHYBO!#REF!</definedName>
    <definedName name="XDO_GROUP_?OTHERS_B?12?">[1]SHYBP!#REF!</definedName>
    <definedName name="XDO_GROUP_?OTHERS_B?13?">[1]SHYBU!#REF!</definedName>
    <definedName name="XDO_GROUP_?OTHERS_B?14?">'[1]SLIQ+'!#REF!</definedName>
    <definedName name="XDO_GROUP_?OTHERS_B?15?">[1]SMMF!#REF!</definedName>
    <definedName name="XDO_GROUP_?OTHERS_B?16?">[1]SMON!#REF!</definedName>
    <definedName name="XDO_GROUP_?OTHERS_B?17?">SUNBAL!#REF!</definedName>
    <definedName name="XDO_GROUP_?OTHERS_B?18?">[1]SUNBDS!#REF!</definedName>
    <definedName name="XDO_GROUP_?OTHERS_B?19?">[1]SUNIP!#REF!</definedName>
    <definedName name="XDO_GROUP_?OTHERS_B?2?">[1]DEBTST!#REF!</definedName>
    <definedName name="XDO_GROUP_?OTHERS_B?20?">[1]SUNMIA!#REF!</definedName>
    <definedName name="XDO_GROUP_?OTHERS_B?21?">[1]SUNONF!#REF!</definedName>
    <definedName name="XDO_GROUP_?OTHERS_B?22?">[1]ULTRANEW!#REF!</definedName>
    <definedName name="XDO_GROUP_?OTHERS_B?3?">[1]SFRLTP!#REF!</definedName>
    <definedName name="XDO_GROUP_?OTHERS_B?4?">[1]SFRSTP!#REF!</definedName>
    <definedName name="XDO_GROUP_?OTHERS_B?5?">[1]SFTPHS!#REF!</definedName>
    <definedName name="XDO_GROUP_?OTHERS_B?6?">[1]SFTPIC!#REF!</definedName>
    <definedName name="XDO_GROUP_?OTHERS_B?7?">[1]SFTPIE!#REF!</definedName>
    <definedName name="XDO_GROUP_?OTHERS_B?8?">[1]SFTPIJ!#REF!</definedName>
    <definedName name="XDO_GROUP_?OTHERS_B?9?">[1]SFTPIK!#REF!</definedName>
    <definedName name="XDO_GROUP_?REPO_BONUS?17?">SUNBAL!$B$171:$F$171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9" i="54" l="1"/>
  <c r="G21" i="54" s="1"/>
  <c r="F17" i="54"/>
  <c r="G17" i="54" s="1"/>
  <c r="G16" i="54"/>
  <c r="F13" i="54"/>
  <c r="G13" i="54" s="1"/>
  <c r="G10" i="54"/>
  <c r="G9" i="54"/>
  <c r="G8" i="54"/>
  <c r="G7" i="54"/>
  <c r="G6" i="54"/>
  <c r="G75" i="53" l="1"/>
  <c r="G74" i="53"/>
  <c r="F72" i="53"/>
  <c r="G72" i="53" s="1"/>
  <c r="G71" i="53"/>
  <c r="F50" i="53"/>
  <c r="F54" i="53" s="1"/>
  <c r="G54" i="53" s="1"/>
  <c r="G48" i="53"/>
  <c r="G47" i="53"/>
  <c r="G46" i="53"/>
  <c r="G45" i="53"/>
  <c r="G44" i="53"/>
  <c r="G43" i="53"/>
  <c r="G42" i="53"/>
  <c r="G41" i="53"/>
  <c r="G40" i="53"/>
  <c r="G39" i="53"/>
  <c r="G38" i="53"/>
  <c r="G37" i="53"/>
  <c r="G36" i="53"/>
  <c r="G35" i="53"/>
  <c r="G34" i="53"/>
  <c r="G33" i="53"/>
  <c r="G32" i="53"/>
  <c r="G31" i="53"/>
  <c r="G30" i="53"/>
  <c r="G29" i="53"/>
  <c r="G28" i="53"/>
  <c r="G27" i="53"/>
  <c r="G26" i="53"/>
  <c r="G25" i="53"/>
  <c r="G24" i="53"/>
  <c r="G23" i="53"/>
  <c r="F20" i="53"/>
  <c r="G20" i="53" s="1"/>
  <c r="G18" i="53"/>
  <c r="G17" i="53"/>
  <c r="G16" i="53"/>
  <c r="G15" i="53"/>
  <c r="G14" i="53"/>
  <c r="G13" i="53"/>
  <c r="G76" i="52"/>
  <c r="F76" i="52"/>
  <c r="G75" i="52"/>
  <c r="F73" i="52"/>
  <c r="F77" i="52" s="1"/>
  <c r="G77" i="52" s="1"/>
  <c r="G79" i="52" s="1"/>
  <c r="G72" i="52"/>
  <c r="G73" i="52" s="1"/>
  <c r="G51" i="52"/>
  <c r="F51" i="52"/>
  <c r="F55" i="52" s="1"/>
  <c r="G55" i="52" s="1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F20" i="52"/>
  <c r="G20" i="52" s="1"/>
  <c r="G18" i="52"/>
  <c r="G17" i="52"/>
  <c r="G16" i="52"/>
  <c r="G15" i="52"/>
  <c r="G14" i="52"/>
  <c r="G13" i="52"/>
  <c r="G50" i="53" l="1"/>
  <c r="F76" i="53"/>
  <c r="G76" i="53" s="1"/>
  <c r="G78" i="53" s="1"/>
</calcChain>
</file>

<file path=xl/sharedStrings.xml><?xml version="1.0" encoding="utf-8"?>
<sst xmlns="http://schemas.openxmlformats.org/spreadsheetml/2006/main" count="12431" uniqueCount="1060">
  <si>
    <t>SUNDARAM MUTUAL FUND</t>
  </si>
  <si>
    <t>Sundaram Infrastructure Advantage Fund</t>
  </si>
  <si>
    <t>SL No</t>
  </si>
  <si>
    <t>ISIN Code</t>
  </si>
  <si>
    <t>Name of the instrument</t>
  </si>
  <si>
    <t>Rating / 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</si>
  <si>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</si>
  <si>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</si>
  <si>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</si>
  <si>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</si>
  <si>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</si>
  <si>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INE090A01021</t>
  </si>
  <si>
    <t>ICICI Bank Ltd</t>
  </si>
  <si>
    <t>Banks</t>
  </si>
  <si>
    <t>INE331A01037</t>
  </si>
  <si>
    <t>The Ramco Cements Ltd</t>
  </si>
  <si>
    <t>Cement</t>
  </si>
  <si>
    <t>INE018A01030</t>
  </si>
  <si>
    <t>Larsen &amp; Toubro Ltd</t>
  </si>
  <si>
    <t>Construction Project</t>
  </si>
  <si>
    <t>INE325A01013</t>
  </si>
  <si>
    <t>Timken India Ltd</t>
  </si>
  <si>
    <t>Industrial Products</t>
  </si>
  <si>
    <t>INE536A01023</t>
  </si>
  <si>
    <t>Grindwell Norton Ltd</t>
  </si>
  <si>
    <t>INE220B01022</t>
  </si>
  <si>
    <t>Kalpataru Power Transmission Ltd</t>
  </si>
  <si>
    <t>Power</t>
  </si>
  <si>
    <t>INE671A01010</t>
  </si>
  <si>
    <t>Honeywell Automation India Ltd</t>
  </si>
  <si>
    <t>Industrial Capital Goods</t>
  </si>
  <si>
    <t>INE152A01029</t>
  </si>
  <si>
    <t>Thermax Ltd</t>
  </si>
  <si>
    <t>INE040A01026</t>
  </si>
  <si>
    <t>HDFC Bank Ltd</t>
  </si>
  <si>
    <t>INE531A01024</t>
  </si>
  <si>
    <t>Kansai Nerolac Paints Ltd</t>
  </si>
  <si>
    <t>Consumer Non Durables</t>
  </si>
  <si>
    <t>INE070A01015</t>
  </si>
  <si>
    <t>Shree Cement Ltd</t>
  </si>
  <si>
    <t>INE002A01018</t>
  </si>
  <si>
    <t>Reliance Industries Ltd</t>
  </si>
  <si>
    <t>Petroleum Products</t>
  </si>
  <si>
    <t>INE074A01025</t>
  </si>
  <si>
    <t>Praj Industries Ltd</t>
  </si>
  <si>
    <t>INE999A01015</t>
  </si>
  <si>
    <t>KSB Ltd</t>
  </si>
  <si>
    <t>INE062A01020</t>
  </si>
  <si>
    <t>State Bank of India</t>
  </si>
  <si>
    <t>INE791I01019</t>
  </si>
  <si>
    <t>Brigade Enterprises Ltd</t>
  </si>
  <si>
    <t>Construction</t>
  </si>
  <si>
    <t>INE858B01029</t>
  </si>
  <si>
    <t>ISGEC Heavy  Engineering Ltd</t>
  </si>
  <si>
    <t>INE749A01030</t>
  </si>
  <si>
    <t>Jindal Steel &amp; Power Ltd</t>
  </si>
  <si>
    <t>Ferrous Metals</t>
  </si>
  <si>
    <t>INE472A01039</t>
  </si>
  <si>
    <t>Blue Star Ltd</t>
  </si>
  <si>
    <t>Consumer Durables</t>
  </si>
  <si>
    <t>INE823G01014</t>
  </si>
  <si>
    <t>JK Cement Ltd</t>
  </si>
  <si>
    <t>INE460H01021</t>
  </si>
  <si>
    <t>Star Cement Ltd</t>
  </si>
  <si>
    <t>INE868B01028</t>
  </si>
  <si>
    <t>NCC Ltd</t>
  </si>
  <si>
    <t>INE195J01029</t>
  </si>
  <si>
    <t>PNC Infratech Ltd</t>
  </si>
  <si>
    <t>INE442H01029</t>
  </si>
  <si>
    <t>Ashoka Buildcon Ltd</t>
  </si>
  <si>
    <t>INE284A01012</t>
  </si>
  <si>
    <t>ESAB India Ltd</t>
  </si>
  <si>
    <t>INE264T01014</t>
  </si>
  <si>
    <t>INE419M01019</t>
  </si>
  <si>
    <t>TD Power Systems Ltd</t>
  </si>
  <si>
    <t>INE415A01038</t>
  </si>
  <si>
    <t>HSIL Ltd</t>
  </si>
  <si>
    <t>INE713T01010</t>
  </si>
  <si>
    <t>Apollo Micro Systems Ltd</t>
  </si>
  <si>
    <t>INE766P01016</t>
  </si>
  <si>
    <t>Mahindra Logistics Ltd</t>
  </si>
  <si>
    <t>Transportation</t>
  </si>
  <si>
    <t>INE386C01029</t>
  </si>
  <si>
    <t>Astra Microwave Products Ltd</t>
  </si>
  <si>
    <t>Telecom -  Equipment &amp; Accessories</t>
  </si>
  <si>
    <t>INE177A01018</t>
  </si>
  <si>
    <t>Ingersoll Rand (India) Ltd</t>
  </si>
  <si>
    <t>INE956G01038</t>
  </si>
  <si>
    <t>VA Tech Wabag Ltd</t>
  </si>
  <si>
    <t>Engineering Services</t>
  </si>
  <si>
    <t>INE386A01015</t>
  </si>
  <si>
    <t>Vesuvius India Ltd</t>
  </si>
  <si>
    <t>INE878B01027</t>
  </si>
  <si>
    <t>KEI Industries Ltd</t>
  </si>
  <si>
    <t>INE349A01021</t>
  </si>
  <si>
    <t>NRB Bearing Ltd</t>
  </si>
  <si>
    <t>INE686A01026</t>
  </si>
  <si>
    <t>ITD Cementation India Ltd</t>
  </si>
  <si>
    <t>INE455K01017</t>
  </si>
  <si>
    <t>Polycab India Ltd</t>
  </si>
  <si>
    <t>INE257A01026</t>
  </si>
  <si>
    <t>Bharat Heavy Electricals Ltd</t>
  </si>
  <si>
    <t>INE324L01013</t>
  </si>
  <si>
    <t>R.P.P. Infra Projects Ltd</t>
  </si>
  <si>
    <t>Sub Total</t>
  </si>
  <si>
    <t>(b) Overseas Security</t>
  </si>
  <si>
    <t>(c) Privately Placed / Unlisted</t>
  </si>
  <si>
    <t>INE551A01022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</si>
  <si>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</si>
  <si>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</si>
  <si>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</si>
  <si>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</si>
  <si>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</si>
  <si>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</si>
  <si>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</si>
  <si>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</si>
  <si>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</si>
  <si>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</si>
  <si>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</si>
  <si>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</si>
  <si>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</si>
  <si>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</si>
  <si>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</si>
  <si>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</si>
  <si>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</si>
  <si>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</si>
  <si>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</si>
  <si>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</si>
  <si>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</si>
  <si>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</si>
  <si>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 xml:space="preserve">  # percentage to NAV of security is less than 0.01%  </t>
  </si>
  <si>
    <t>Notes</t>
  </si>
  <si>
    <t>a) Total NPA's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</si>
  <si>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</si>
  <si>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</si>
  <si>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</si>
  <si>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</si>
  <si>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</si>
  <si>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</si>
  <si>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30/06/2019</t>
  </si>
  <si>
    <t>31/07/2019</t>
  </si>
  <si>
    <t>Direct Plan - Growth</t>
  </si>
  <si>
    <t>Direct Plan - Dividend</t>
  </si>
  <si>
    <t>Regular Plan - Growth</t>
  </si>
  <si>
    <t>Regular Plan - Dividend</t>
  </si>
  <si>
    <t>d) Dividend declared during the period (Rupees per unit)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</si>
  <si>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</si>
  <si>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</si>
  <si>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</si>
  <si>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</si>
  <si>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</t>
  </si>
  <si>
    <t>INE578A01017</t>
  </si>
  <si>
    <t>HeidelbergCEMENT India Ltd</t>
  </si>
  <si>
    <t>INE048G01026</t>
  </si>
  <si>
    <t>Navin Fluorine International Ltd</t>
  </si>
  <si>
    <t>Chemicals</t>
  </si>
  <si>
    <t>INE951I01027</t>
  </si>
  <si>
    <t>V-Guard Industries Ltd</t>
  </si>
  <si>
    <t>INE383A01012</t>
  </si>
  <si>
    <t>The India Cements Ltd</t>
  </si>
  <si>
    <t>INE334L01012</t>
  </si>
  <si>
    <t>Ujjivan Financial Services Ltd</t>
  </si>
  <si>
    <t>Finance</t>
  </si>
  <si>
    <t>INE503A01015</t>
  </si>
  <si>
    <t>DCB Bank Ltd</t>
  </si>
  <si>
    <t>INE075I01017</t>
  </si>
  <si>
    <t>Healthcare Global Enterprises Ltd</t>
  </si>
  <si>
    <t>Healthcare Services</t>
  </si>
  <si>
    <t>INE287B01021</t>
  </si>
  <si>
    <t>Subros Ltd</t>
  </si>
  <si>
    <t>Auto Ancillaries</t>
  </si>
  <si>
    <t>INE312H01016</t>
  </si>
  <si>
    <t>INOX Leisure Ltd</t>
  </si>
  <si>
    <t>Media &amp; Entertainment</t>
  </si>
  <si>
    <t>INE045A01017</t>
  </si>
  <si>
    <t>Ador Welding Ltd</t>
  </si>
  <si>
    <t>INE717A01029</t>
  </si>
  <si>
    <t>Kennametal India Ltd</t>
  </si>
  <si>
    <t>INE227C01017</t>
  </si>
  <si>
    <t>MM Forgings Ltd</t>
  </si>
  <si>
    <t>INE191H01014</t>
  </si>
  <si>
    <t>PVR Ltd</t>
  </si>
  <si>
    <t>INE332A01027</t>
  </si>
  <si>
    <t>Thomas Cook (India) Ltd</t>
  </si>
  <si>
    <t>Services</t>
  </si>
  <si>
    <t>INE348B01021</t>
  </si>
  <si>
    <t>Century Plyboards (India) Ltd</t>
  </si>
  <si>
    <t>INE384A01010</t>
  </si>
  <si>
    <t>Rane Holdings Ltd</t>
  </si>
  <si>
    <t>INE594H01019</t>
  </si>
  <si>
    <t>Thyrocare Technologies Ltd</t>
  </si>
  <si>
    <t>INE049A01027</t>
  </si>
  <si>
    <t>Himatsingka Seide Ltd</t>
  </si>
  <si>
    <t>Textile Products</t>
  </si>
  <si>
    <t>INE978A01027</t>
  </si>
  <si>
    <t>Heritage Foods Ltd</t>
  </si>
  <si>
    <t>INE782A01015</t>
  </si>
  <si>
    <t>INE896L01010</t>
  </si>
  <si>
    <t>Indostar Capital Finance Ltd</t>
  </si>
  <si>
    <t>INE765D01014</t>
  </si>
  <si>
    <t>WPIL Ltd</t>
  </si>
  <si>
    <t>INE877F01012</t>
  </si>
  <si>
    <t>PTC India Ltd</t>
  </si>
  <si>
    <t>INE891D01026</t>
  </si>
  <si>
    <t>Redington (India) Ltd</t>
  </si>
  <si>
    <t>INE060A01024</t>
  </si>
  <si>
    <t>Navneet Education Ltd</t>
  </si>
  <si>
    <t>INE457F01013</t>
  </si>
  <si>
    <t>Salzer Electronics Ltd</t>
  </si>
  <si>
    <t>INE863B01011</t>
  </si>
  <si>
    <t>Premier Explosives Ltd</t>
  </si>
  <si>
    <t>INE511C01022</t>
  </si>
  <si>
    <t>Magma Fincorp Ltd</t>
  </si>
  <si>
    <t>INE142I01023</t>
  </si>
  <si>
    <t>Take Solutions Ltd</t>
  </si>
  <si>
    <t>Software</t>
  </si>
  <si>
    <t>INE834I01025</t>
  </si>
  <si>
    <t>Khadim India Ltd</t>
  </si>
  <si>
    <t>INE022I01019</t>
  </si>
  <si>
    <t>Asian Granito India Ltd</t>
  </si>
  <si>
    <t>INE325C01035</t>
  </si>
  <si>
    <t>Dollar Industries Ltd</t>
  </si>
  <si>
    <t>INE136B01020</t>
  </si>
  <si>
    <t>Cyient Ltd</t>
  </si>
  <si>
    <t>INE451A01017</t>
  </si>
  <si>
    <t>Force Motors Ltd</t>
  </si>
  <si>
    <t>Auto</t>
  </si>
  <si>
    <t>INE807K01035</t>
  </si>
  <si>
    <t>S Chand and Company Ltd</t>
  </si>
  <si>
    <t>INE942G01012</t>
  </si>
  <si>
    <t>Mcleod Russel India Ltd</t>
  </si>
  <si>
    <t>INE974X01010</t>
  </si>
  <si>
    <t>Tube Investments of India Ltd</t>
  </si>
  <si>
    <t>INE998I01010</t>
  </si>
  <si>
    <t>Mahindra Holidays &amp; Resorts India Ltd</t>
  </si>
  <si>
    <t>Hotels, Resorts And Other Recreational Activities</t>
  </si>
  <si>
    <t>INE955V01021</t>
  </si>
  <si>
    <t>Arvind Fashions Ltd</t>
  </si>
  <si>
    <t>Retailing</t>
  </si>
  <si>
    <t>INE572A01028</t>
  </si>
  <si>
    <t>JB Chemicals &amp; Pharmaceuticals Ltd</t>
  </si>
  <si>
    <t>Pharmaceuticals</t>
  </si>
  <si>
    <t>INE947Q01010</t>
  </si>
  <si>
    <t>Laurus Labs Ltd</t>
  </si>
  <si>
    <t>INE296G01013</t>
  </si>
  <si>
    <t>Muthoot Capital Services Ltd</t>
  </si>
  <si>
    <t>INE934S01014</t>
  </si>
  <si>
    <t>GNA Axles Ltd</t>
  </si>
  <si>
    <t>INE586B01026</t>
  </si>
  <si>
    <t>Taj GVK Hotels &amp; Resorts Ltd</t>
  </si>
  <si>
    <t>INE152M01016</t>
  </si>
  <si>
    <t>Triveni Turbine Ltd</t>
  </si>
  <si>
    <t>INE793A01012</t>
  </si>
  <si>
    <t>Accelya Solutions India Ltd</t>
  </si>
  <si>
    <t>INE04I401011</t>
  </si>
  <si>
    <t>KPIT Technologies Ltd</t>
  </si>
  <si>
    <t>INE00WC01019</t>
  </si>
  <si>
    <t>Affle (India) Ltd</t>
  </si>
  <si>
    <t>INE611L01021</t>
  </si>
  <si>
    <t>Indian Terrain Fashions Ltd</t>
  </si>
  <si>
    <t>INE201M01011</t>
  </si>
  <si>
    <t>CL Educate Ltd</t>
  </si>
  <si>
    <t>Diversified Consumer Services</t>
  </si>
  <si>
    <t>Sundaram Select Micro Cap Series XII</t>
  </si>
  <si>
    <t>INE780C01023</t>
  </si>
  <si>
    <t>JM FInancial Ltd</t>
  </si>
  <si>
    <t>Sundaram Select Micro Cap Series XIV</t>
  </si>
  <si>
    <t>INE296E01026</t>
  </si>
  <si>
    <t>Rajapalayam Mills Ltd</t>
  </si>
  <si>
    <t>Textiles - Cotton</t>
  </si>
  <si>
    <t>INE614A01028</t>
  </si>
  <si>
    <t>Ramco Industries Ltd</t>
  </si>
  <si>
    <t>INE337A01034</t>
  </si>
  <si>
    <t>LG Balakrishnan &amp; Bros Ltd</t>
  </si>
  <si>
    <t>INE189B01011</t>
  </si>
  <si>
    <t>INEOS Styrolution India Ltd</t>
  </si>
  <si>
    <t>INE302M01033</t>
  </si>
  <si>
    <t>Prabhat Dairy Ltd</t>
  </si>
  <si>
    <t xml:space="preserve">  #   </t>
  </si>
  <si>
    <t>Sundaram Select Micro Cap Series XV</t>
  </si>
  <si>
    <t>Sundaram Select Micro Cap Series XVI</t>
  </si>
  <si>
    <t>INE884B01025</t>
  </si>
  <si>
    <t>Kirloskar Ferrous Ind Ltd</t>
  </si>
  <si>
    <t>INE405A01021</t>
  </si>
  <si>
    <t>Ultramarine &amp; Pigments Ltd</t>
  </si>
  <si>
    <t>Sundaram Select Micro Cap Series XVII</t>
  </si>
  <si>
    <t>INE750A01020</t>
  </si>
  <si>
    <t>Oriental Hotels Ltd</t>
  </si>
  <si>
    <t>Sundaram Select Micro Cap Series VIII</t>
  </si>
  <si>
    <t>Sundaram Select Micro Cap Series IX</t>
  </si>
  <si>
    <t>Sundaram Mid Cap Fund</t>
  </si>
  <si>
    <t>INE849A01020</t>
  </si>
  <si>
    <t>Trent Ltd</t>
  </si>
  <si>
    <t>INE437A01024</t>
  </si>
  <si>
    <t>Apollo Hospitals Enterprise Ltd</t>
  </si>
  <si>
    <t>INE105A01035</t>
  </si>
  <si>
    <t>Sundaram Clayton Ltd</t>
  </si>
  <si>
    <t>INE647O01011</t>
  </si>
  <si>
    <t>Aditya Birla Fashion and Retail Ltd</t>
  </si>
  <si>
    <t>INE171A01029</t>
  </si>
  <si>
    <t>The Federal Bank  Ltd</t>
  </si>
  <si>
    <t>INE298A01020</t>
  </si>
  <si>
    <t>Cummins India Ltd</t>
  </si>
  <si>
    <t>INE203G01027</t>
  </si>
  <si>
    <t>Indraprastha Gas Ltd</t>
  </si>
  <si>
    <t>Gas</t>
  </si>
  <si>
    <t>INE716A01013</t>
  </si>
  <si>
    <t>Whirlpool of India Ltd</t>
  </si>
  <si>
    <t>INE513A01014</t>
  </si>
  <si>
    <t>Schaeffler India Ltd</t>
  </si>
  <si>
    <t>INE200M01013</t>
  </si>
  <si>
    <t>Varun Beverages Ltd</t>
  </si>
  <si>
    <t>INE491A01021</t>
  </si>
  <si>
    <t>City Union Bank Ltd</t>
  </si>
  <si>
    <t>INE342J01019</t>
  </si>
  <si>
    <t>Wabco India Ltd</t>
  </si>
  <si>
    <t>INE192A01025</t>
  </si>
  <si>
    <t>Tata Global Beverages Ltd</t>
  </si>
  <si>
    <t>INE121A01024</t>
  </si>
  <si>
    <t>Cholamandalam Investment and Finance Company Ltd</t>
  </si>
  <si>
    <t>INE230A01023</t>
  </si>
  <si>
    <t>EIH Ltd</t>
  </si>
  <si>
    <t>INE115A01026</t>
  </si>
  <si>
    <t>LIC Housing Finance Ltd</t>
  </si>
  <si>
    <t>INE179A01014</t>
  </si>
  <si>
    <t>Procter &amp; Gamble Hygiene and Health Care Ltd</t>
  </si>
  <si>
    <t>INE548C01032</t>
  </si>
  <si>
    <t>Emami Ltd</t>
  </si>
  <si>
    <t>INE685A01028</t>
  </si>
  <si>
    <t>Torrent Pharmaceuticals Ltd</t>
  </si>
  <si>
    <t>INE010V01017</t>
  </si>
  <si>
    <t>L&amp;T Technology Services Ltd</t>
  </si>
  <si>
    <t>INE092A01019</t>
  </si>
  <si>
    <t>Tata Chemicals Ltd</t>
  </si>
  <si>
    <t>INE536H01010</t>
  </si>
  <si>
    <t>Mahindra CIE Automotive Ltd</t>
  </si>
  <si>
    <t>INE615P01015</t>
  </si>
  <si>
    <t>Quess Corp Ltd</t>
  </si>
  <si>
    <t>INE180A01020</t>
  </si>
  <si>
    <t>Max Financial Services Ltd</t>
  </si>
  <si>
    <t>INE976G01028</t>
  </si>
  <si>
    <t>RBL Bank Ltd</t>
  </si>
  <si>
    <t>INE769A01020</t>
  </si>
  <si>
    <t>Aarti Industries Ltd</t>
  </si>
  <si>
    <t>INE058A01010</t>
  </si>
  <si>
    <t>Sanofi India Ltd</t>
  </si>
  <si>
    <t>INE752P01024</t>
  </si>
  <si>
    <t>Future Retail Ltd</t>
  </si>
  <si>
    <t>INE987B01026</t>
  </si>
  <si>
    <t>Natco Pharma Ltd</t>
  </si>
  <si>
    <t>INE285J01010</t>
  </si>
  <si>
    <t>Security and Intelligence Services (India) Ltd</t>
  </si>
  <si>
    <t>Commercial Services</t>
  </si>
  <si>
    <t>INE356A01018</t>
  </si>
  <si>
    <t>MphasiS Ltd</t>
  </si>
  <si>
    <t>INE120A01034</t>
  </si>
  <si>
    <t>Carborundum Universal Ltd</t>
  </si>
  <si>
    <t>INE774D01024</t>
  </si>
  <si>
    <t>Mahindra &amp; Mahindra Financial Services Ltd</t>
  </si>
  <si>
    <t>INE245A01021</t>
  </si>
  <si>
    <t>Tata Power Company Ltd</t>
  </si>
  <si>
    <t>INE763G01038</t>
  </si>
  <si>
    <t>ICICI Securities Ltd</t>
  </si>
  <si>
    <t>INE462A01022</t>
  </si>
  <si>
    <t>Bayer Cropscience Ltd</t>
  </si>
  <si>
    <t>Pesticides</t>
  </si>
  <si>
    <t>INE498L01015</t>
  </si>
  <si>
    <t>L&amp;T Finance Holdings Ltd</t>
  </si>
  <si>
    <t>INE722A01011</t>
  </si>
  <si>
    <t>Shriram City Union Finance Ltd</t>
  </si>
  <si>
    <t>INE169A01031</t>
  </si>
  <si>
    <t>Coromandel International Ltd</t>
  </si>
  <si>
    <t>Fertilisers</t>
  </si>
  <si>
    <t>INE036D01028</t>
  </si>
  <si>
    <t>Karur Vysya Bank Ltd</t>
  </si>
  <si>
    <t>INE466L01020</t>
  </si>
  <si>
    <t>IIFL Wealth Management Ltd</t>
  </si>
  <si>
    <t>INE530B01024</t>
  </si>
  <si>
    <t>IIFL Finance Ltd</t>
  </si>
  <si>
    <t>INE489L01022</t>
  </si>
  <si>
    <t>IIFL Securities Ltd</t>
  </si>
  <si>
    <t>Arti Surfactants Ltd</t>
  </si>
  <si>
    <t>Stock Future</t>
  </si>
  <si>
    <t>Margin Money For Derivatives</t>
  </si>
  <si>
    <t>Institutional Plan - Growth</t>
  </si>
  <si>
    <t>Institutional Plan - Dividend</t>
  </si>
  <si>
    <t>Rupees Per Unit</t>
  </si>
  <si>
    <t>Sundaram Multi Cap Fund Series I</t>
  </si>
  <si>
    <t>INE299U01018</t>
  </si>
  <si>
    <t>Crompton Greaves Consumer Electricals Ltd</t>
  </si>
  <si>
    <t>INE123W01016</t>
  </si>
  <si>
    <t>SBI Life Insurance Company Ltd</t>
  </si>
  <si>
    <t>INE797F01012</t>
  </si>
  <si>
    <t>Jubilant Foodworks Ltd</t>
  </si>
  <si>
    <t>INE238A01034</t>
  </si>
  <si>
    <t>Axis Bank Ltd</t>
  </si>
  <si>
    <t>INE154A01025</t>
  </si>
  <si>
    <t>ITC Ltd</t>
  </si>
  <si>
    <t>INE158A01026</t>
  </si>
  <si>
    <t>Hero MotoCorp Ltd</t>
  </si>
  <si>
    <t>INE021A01026</t>
  </si>
  <si>
    <t>Asian Paints Ltd</t>
  </si>
  <si>
    <t>INE854D01024</t>
  </si>
  <si>
    <t>United Spirits Ltd</t>
  </si>
  <si>
    <t>INE127D01025</t>
  </si>
  <si>
    <t>HDFC Asset Management Company Ltd</t>
  </si>
  <si>
    <t>INE765G01017</t>
  </si>
  <si>
    <t>ICICI Lombard General Insurance Company Ltd</t>
  </si>
  <si>
    <t>INE795G01014</t>
  </si>
  <si>
    <t>HDFC Life Insurance Company Ltd</t>
  </si>
  <si>
    <t>INE494B01023</t>
  </si>
  <si>
    <t>TVS Motor Company Ltd</t>
  </si>
  <si>
    <t>INE296A01024</t>
  </si>
  <si>
    <t>Bajaj Finance Ltd</t>
  </si>
  <si>
    <t>INE262H01013</t>
  </si>
  <si>
    <t>Persistent Systems Ltd</t>
  </si>
  <si>
    <t>INE883A01011</t>
  </si>
  <si>
    <t>MRF Ltd</t>
  </si>
  <si>
    <t>INE463A01038</t>
  </si>
  <si>
    <t>Berger Paints (I) Ltd</t>
  </si>
  <si>
    <t>INE101A01026</t>
  </si>
  <si>
    <t>Mahindra &amp; Mahindra Ltd</t>
  </si>
  <si>
    <t>INE285A01027</t>
  </si>
  <si>
    <t>Elgi Equipments Ltd</t>
  </si>
  <si>
    <t>INE406A01037</t>
  </si>
  <si>
    <t>Aurobindo Pharma Ltd</t>
  </si>
  <si>
    <t>INE095A01012</t>
  </si>
  <si>
    <t>IndusInd Bank Ltd</t>
  </si>
  <si>
    <t>Sundaram Large and Mid Cap Fund</t>
  </si>
  <si>
    <t>INE003A01024</t>
  </si>
  <si>
    <t>Siemens Ltd</t>
  </si>
  <si>
    <t>INE481G01011</t>
  </si>
  <si>
    <t>Ultratech Cement Ltd</t>
  </si>
  <si>
    <t>INE226A01021</t>
  </si>
  <si>
    <t>Voltas Ltd</t>
  </si>
  <si>
    <t>INE467B01029</t>
  </si>
  <si>
    <t>Tata Consultancy Services Ltd</t>
  </si>
  <si>
    <t>INE280A01028</t>
  </si>
  <si>
    <t>Titan Company Ltd</t>
  </si>
  <si>
    <t>Sundaram Emerging Small Cap Series I</t>
  </si>
  <si>
    <t>INE142Z01019</t>
  </si>
  <si>
    <t>Orient Electric Ltd</t>
  </si>
  <si>
    <t>INE741K01010</t>
  </si>
  <si>
    <t>Creditaccess Grameen Ltd</t>
  </si>
  <si>
    <t>INE778U01029</t>
  </si>
  <si>
    <t>TCNS Clothing Co. Ltd</t>
  </si>
  <si>
    <t>INE988K01017</t>
  </si>
  <si>
    <t>Equitas Holdings Ltd</t>
  </si>
  <si>
    <t>INE688A01022</t>
  </si>
  <si>
    <t>Transport Corporation of India Ltd</t>
  </si>
  <si>
    <t>INE301A01014</t>
  </si>
  <si>
    <t>Raymond Ltd</t>
  </si>
  <si>
    <t>INE631A01022</t>
  </si>
  <si>
    <t>Shanthi Gears Ltd</t>
  </si>
  <si>
    <t>INE794B01026</t>
  </si>
  <si>
    <t>Balaji Telefilms Ltd</t>
  </si>
  <si>
    <t>Sundaram Emerging Small Cap Series II</t>
  </si>
  <si>
    <t>INE216P01012</t>
  </si>
  <si>
    <t>Aavas Financiers Ltd</t>
  </si>
  <si>
    <t>INE092B01025</t>
  </si>
  <si>
    <t>India Nippon Electricals Ltd</t>
  </si>
  <si>
    <t>Sundaram Emerging Small Cap Series III</t>
  </si>
  <si>
    <t>INE209A01019</t>
  </si>
  <si>
    <t>Agro Tech Foods Ltd</t>
  </si>
  <si>
    <t>INE544R01013</t>
  </si>
  <si>
    <t>Greenlam Industries Ltd</t>
  </si>
  <si>
    <t>Sundaram Emerging Small Cap Series IV</t>
  </si>
  <si>
    <t>Sundaram Emerging Small Cap Series V</t>
  </si>
  <si>
    <t>INE475B01022</t>
  </si>
  <si>
    <t>Hikal Ltd</t>
  </si>
  <si>
    <t>Sundaram Emerging Small Cap Series VI</t>
  </si>
  <si>
    <t>INE970X01018</t>
  </si>
  <si>
    <t>Lemon Tree Hotels Ltd</t>
  </si>
  <si>
    <t>Sundaram Emerging Small Cap Series VII</t>
  </si>
  <si>
    <t>INE298J01013</t>
  </si>
  <si>
    <t>Reliance Nippon Life Asset Management Ltd</t>
  </si>
  <si>
    <t>INE172A01027</t>
  </si>
  <si>
    <t>Castrol India Ltd</t>
  </si>
  <si>
    <t>INE517F01014</t>
  </si>
  <si>
    <t>Gujarat Pipavav Port Ltd</t>
  </si>
  <si>
    <t>INE182A01018</t>
  </si>
  <si>
    <t>Pfizer Ltd</t>
  </si>
  <si>
    <t>INE274F01020</t>
  </si>
  <si>
    <t>Westlife Development Ltd</t>
  </si>
  <si>
    <t>INE541A01023</t>
  </si>
  <si>
    <t>GMM Pfaudler Ltd</t>
  </si>
  <si>
    <t>Sundaram Select Focus</t>
  </si>
  <si>
    <t>INE237A01028</t>
  </si>
  <si>
    <t>Kotak Mahindra Bank Ltd</t>
  </si>
  <si>
    <t>INE001A01036</t>
  </si>
  <si>
    <t>Housing Development Finance Corporation Ltd</t>
  </si>
  <si>
    <t>INE009A01021</t>
  </si>
  <si>
    <t>Infosys Ltd</t>
  </si>
  <si>
    <t>INE733E01010</t>
  </si>
  <si>
    <t>NTPC Ltd</t>
  </si>
  <si>
    <t>INE397D01024</t>
  </si>
  <si>
    <t>Bharti Airtel Ltd</t>
  </si>
  <si>
    <t>Telecom - Services</t>
  </si>
  <si>
    <t>INE302A01020</t>
  </si>
  <si>
    <t>Exide Industries Ltd</t>
  </si>
  <si>
    <t>INE585B01010</t>
  </si>
  <si>
    <t>Maruti Suzuki India Ltd</t>
  </si>
  <si>
    <t>Sundaram Long Term Tax Advantage Fund Series III</t>
  </si>
  <si>
    <t>Sundaram Long Term Tax Advantage Fund Series IV</t>
  </si>
  <si>
    <t>INE669C01036</t>
  </si>
  <si>
    <t>Tech Mahindra Ltd</t>
  </si>
  <si>
    <t>INE047A01021</t>
  </si>
  <si>
    <t>Grasim Industries Ltd</t>
  </si>
  <si>
    <t>INE825A01012</t>
  </si>
  <si>
    <t>Vardhman Textiles Ltd</t>
  </si>
  <si>
    <t>INE259A01022</t>
  </si>
  <si>
    <t>Colgate Palmolive (India) Ltd</t>
  </si>
  <si>
    <t>INE119A01028</t>
  </si>
  <si>
    <t>Balrampur Chini Mills Ltd</t>
  </si>
  <si>
    <t>INE860A01027</t>
  </si>
  <si>
    <t>HCL Technologies Ltd</t>
  </si>
  <si>
    <t>INE028A01039</t>
  </si>
  <si>
    <t>Bank of Baroda</t>
  </si>
  <si>
    <t>INE030A01027</t>
  </si>
  <si>
    <t>Hindustan UniLever Ltd</t>
  </si>
  <si>
    <t>INE347G01014</t>
  </si>
  <si>
    <t>Petronet LNG Ltd</t>
  </si>
  <si>
    <t>INE242A01010</t>
  </si>
  <si>
    <t>Indian Oil Corporation Ltd</t>
  </si>
  <si>
    <t>INE029A01011</t>
  </si>
  <si>
    <t>Bharat Petroleum Corporation Ltd</t>
  </si>
  <si>
    <t>INE260B01028</t>
  </si>
  <si>
    <t>Godfrey Phillips India Ltd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</si>
  <si>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</si>
  <si>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</si>
  <si>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</si>
  <si>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</si>
  <si>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INE918I01018</t>
  </si>
  <si>
    <t>Bajaj Finserv Ltd</t>
  </si>
  <si>
    <t>INE093I01010</t>
  </si>
  <si>
    <t>Oberoi Realty Ltd</t>
  </si>
  <si>
    <t>INE776C01039</t>
  </si>
  <si>
    <t>GMR Infrastructure Ltd</t>
  </si>
  <si>
    <t>INE775A01035</t>
  </si>
  <si>
    <t>Motherson Sumi Systems Ltd</t>
  </si>
  <si>
    <t>Sundaram Select Small Cap Series V</t>
  </si>
  <si>
    <t>Sundaram Select Small Cap Series VI</t>
  </si>
  <si>
    <t>Sundaram Small Cap Fund</t>
  </si>
  <si>
    <t>INE098F01031</t>
  </si>
  <si>
    <t>Amrutanjan Health Care Ltd</t>
  </si>
  <si>
    <t>INE112L01020</t>
  </si>
  <si>
    <t>Metropolis Healthcare Ltd</t>
  </si>
  <si>
    <t>INE278H01035</t>
  </si>
  <si>
    <t>Sandhar Technologies Ltd</t>
  </si>
  <si>
    <t>INE136S01016</t>
  </si>
  <si>
    <t>Neogen Chemicals Ltd</t>
  </si>
  <si>
    <t>INE295F01017</t>
  </si>
  <si>
    <t>Butterfly Gandhimathi Appliances Ltd</t>
  </si>
  <si>
    <t>INE323C01030</t>
  </si>
  <si>
    <t>Indian Hume Pipe Company Ltd</t>
  </si>
  <si>
    <t>Sundaram Rural and Consumption Fund</t>
  </si>
  <si>
    <t>INE628A01036</t>
  </si>
  <si>
    <t>UPL Ltd</t>
  </si>
  <si>
    <t>INE176A01028</t>
  </si>
  <si>
    <t>Bata India Ltd</t>
  </si>
  <si>
    <t>INE012A01025</t>
  </si>
  <si>
    <t>ACC Ltd</t>
  </si>
  <si>
    <t>INE690A01010</t>
  </si>
  <si>
    <t>TTK Prestige Ltd</t>
  </si>
  <si>
    <t>INE239A01016</t>
  </si>
  <si>
    <t>Nestle India Ltd</t>
  </si>
  <si>
    <t>INE216A01030</t>
  </si>
  <si>
    <t>Britannia Industries Ltd</t>
  </si>
  <si>
    <t>INE016A01026</t>
  </si>
  <si>
    <t>Dabur India Ltd</t>
  </si>
  <si>
    <t>INE318A01026</t>
  </si>
  <si>
    <t>Pidilite Industries Ltd</t>
  </si>
  <si>
    <t>INE196A01026</t>
  </si>
  <si>
    <t>Marico Ltd</t>
  </si>
  <si>
    <t>INE085A01013</t>
  </si>
  <si>
    <t>Chambal Fertilizers &amp; Chemicals Ltd</t>
  </si>
  <si>
    <t>INE563J01010</t>
  </si>
  <si>
    <t>Astec LifeSciences Ltd</t>
  </si>
  <si>
    <t>INE764D01017</t>
  </si>
  <si>
    <t>V.S.T Tillers Tractors Ltd</t>
  </si>
  <si>
    <t>Sundaram Services Fund</t>
  </si>
  <si>
    <t>INE663F01024</t>
  </si>
  <si>
    <t>Info Edge (India) Ltd</t>
  </si>
  <si>
    <t>INE745G01035</t>
  </si>
  <si>
    <t>Multi Commodity Exchange of India Ltd</t>
  </si>
  <si>
    <t>INE933S01016</t>
  </si>
  <si>
    <t>Indiamart Intermesh Ltd</t>
  </si>
  <si>
    <t>INE761H01022</t>
  </si>
  <si>
    <t>Page Industries Ltd</t>
  </si>
  <si>
    <t>Sundaram Smart NIFTY 100 Equal Weight Fund</t>
  </si>
  <si>
    <t>INE192R01011</t>
  </si>
  <si>
    <t>Avenue Supermarts Ltd</t>
  </si>
  <si>
    <t>INE044A01036</t>
  </si>
  <si>
    <t>Sun Pharmaceutical Industries Ltd</t>
  </si>
  <si>
    <t>INE881D01027</t>
  </si>
  <si>
    <t>Oracle Financial Services Software Ltd</t>
  </si>
  <si>
    <t>INE326A01037</t>
  </si>
  <si>
    <t>Lupin Ltd</t>
  </si>
  <si>
    <t>INE361B01024</t>
  </si>
  <si>
    <t>Divi's Laboratories Ltd</t>
  </si>
  <si>
    <t>INE752E01010</t>
  </si>
  <si>
    <t>Power Grid Corporation of India Ltd</t>
  </si>
  <si>
    <t>INE726G01019</t>
  </si>
  <si>
    <t>ICICI Prudential Life Insurance Company Ltd</t>
  </si>
  <si>
    <t>INE686F01025</t>
  </si>
  <si>
    <t>United Breweries Ltd</t>
  </si>
  <si>
    <t>INE256A01028</t>
  </si>
  <si>
    <t>Zee Entertainment Enterprises Ltd</t>
  </si>
  <si>
    <t>INE089A01023</t>
  </si>
  <si>
    <t>Dr. Reddy's Laboratories Ltd</t>
  </si>
  <si>
    <t>INE646L01027</t>
  </si>
  <si>
    <t>Interglobe Aviation Ltd</t>
  </si>
  <si>
    <t>INE271C01023</t>
  </si>
  <si>
    <t>DLF Ltd</t>
  </si>
  <si>
    <t>INE584A01023</t>
  </si>
  <si>
    <t>NMDC Ltd</t>
  </si>
  <si>
    <t>Minerals/Mining</t>
  </si>
  <si>
    <t>INE010B01027</t>
  </si>
  <si>
    <t>Cadila Healthcare Ltd</t>
  </si>
  <si>
    <t>INE038A01020</t>
  </si>
  <si>
    <t>Hindalco Industries Ltd</t>
  </si>
  <si>
    <t>Non - Ferrous Metals</t>
  </si>
  <si>
    <t>INE140A01024</t>
  </si>
  <si>
    <t>Piramal Enterprises Ltd</t>
  </si>
  <si>
    <t>INE079A01024</t>
  </si>
  <si>
    <t>Ambuja Cements Ltd</t>
  </si>
  <si>
    <t>INE059A01026</t>
  </si>
  <si>
    <t>Cipla Ltd</t>
  </si>
  <si>
    <t>INE267A01025</t>
  </si>
  <si>
    <t>Hindustan Zinc Ltd</t>
  </si>
  <si>
    <t>INE118A01012</t>
  </si>
  <si>
    <t>Bajaj Holdings &amp; Investment Ltd</t>
  </si>
  <si>
    <t>INE742F01042</t>
  </si>
  <si>
    <t>Adani Ports and Special Economic Zone Ltd</t>
  </si>
  <si>
    <t>INE075A01022</t>
  </si>
  <si>
    <t>Wipro Ltd</t>
  </si>
  <si>
    <t>INE481Y01014</t>
  </si>
  <si>
    <t>General Insurance Corporation of India</t>
  </si>
  <si>
    <t>INE111A01025</t>
  </si>
  <si>
    <t>Container Corporation of India Ltd</t>
  </si>
  <si>
    <t>INE094A01015</t>
  </si>
  <si>
    <t>Hindustan Petroleum Corporation Ltd</t>
  </si>
  <si>
    <t>INE376G01013</t>
  </si>
  <si>
    <t>Biocon Ltd</t>
  </si>
  <si>
    <t>INE545U01014</t>
  </si>
  <si>
    <t>Bandhan Bank Ltd</t>
  </si>
  <si>
    <t>INE102D01028</t>
  </si>
  <si>
    <t>Godrej Consumer Products Ltd</t>
  </si>
  <si>
    <t>INE205A01025</t>
  </si>
  <si>
    <t>Vedanta Ltd</t>
  </si>
  <si>
    <t>INE121J01017</t>
  </si>
  <si>
    <t>Bharti Infratel Ltd</t>
  </si>
  <si>
    <t>INE019A01038</t>
  </si>
  <si>
    <t>JSW Steel Ltd</t>
  </si>
  <si>
    <t>INE848E01016</t>
  </si>
  <si>
    <t>NHPC Ltd</t>
  </si>
  <si>
    <t>INE721A01013</t>
  </si>
  <si>
    <t>Shriram Transport Finance Company Ltd</t>
  </si>
  <si>
    <t>INE323A01026</t>
  </si>
  <si>
    <t>Bosch Ltd</t>
  </si>
  <si>
    <t>INE917I01010</t>
  </si>
  <si>
    <t>Bajaj Auto Ltd</t>
  </si>
  <si>
    <t>INE117A01022</t>
  </si>
  <si>
    <t>ABB India Ltd</t>
  </si>
  <si>
    <t>INE148I01020</t>
  </si>
  <si>
    <t>Indiabulls Housing Finance Ltd</t>
  </si>
  <si>
    <t>INE081A01012</t>
  </si>
  <si>
    <t>Tata Steel Ltd</t>
  </si>
  <si>
    <t>INE114A01011</t>
  </si>
  <si>
    <t>Steel Authority of India Ltd</t>
  </si>
  <si>
    <t>INE528G01027</t>
  </si>
  <si>
    <t>Yes Bank Ltd</t>
  </si>
  <si>
    <t>INE129A01019</t>
  </si>
  <si>
    <t>GAIL (India) Ltd</t>
  </si>
  <si>
    <t>INE066A01013</t>
  </si>
  <si>
    <t>Eicher Motors Ltd</t>
  </si>
  <si>
    <t>INE176B01034</t>
  </si>
  <si>
    <t>Havells India Ltd</t>
  </si>
  <si>
    <t>INE213A01029</t>
  </si>
  <si>
    <t>Oil &amp; Natural Gas Corporation Ltd</t>
  </si>
  <si>
    <t>Oil</t>
  </si>
  <si>
    <t>INE208A01029</t>
  </si>
  <si>
    <t>Ashok Leyland Ltd</t>
  </si>
  <si>
    <t>INE522F01014</t>
  </si>
  <si>
    <t>Coal India Ltd</t>
  </si>
  <si>
    <t>INE470Y01017</t>
  </si>
  <si>
    <t>The New India Assurance Company Ltd</t>
  </si>
  <si>
    <t>INE155A01022</t>
  </si>
  <si>
    <t>Tata Motors Ltd</t>
  </si>
  <si>
    <t>INE669E01016</t>
  </si>
  <si>
    <t>Vodafone Idea Ltd</t>
  </si>
  <si>
    <t>IN9155A01020</t>
  </si>
  <si>
    <t>Sundaram Diversified Equity</t>
  </si>
  <si>
    <t>INE263A01024</t>
  </si>
  <si>
    <t>Bharat Electronics Ltd</t>
  </si>
  <si>
    <t>INE095N01031</t>
  </si>
  <si>
    <t>NBCC (India) Ltd</t>
  </si>
  <si>
    <t>Sundaram Equity Savings Fund</t>
  </si>
  <si>
    <t>INE264A01014</t>
  </si>
  <si>
    <t>GlaxoSmithKline Consumer Healthcare Ltd</t>
  </si>
  <si>
    <t>Index Future</t>
  </si>
  <si>
    <t>INE261F08AL1</t>
  </si>
  <si>
    <t>National Bank for Agricultural &amp; Rural Development - 8.39% - 19/07/2021**</t>
  </si>
  <si>
    <t>CRISIL AAA</t>
  </si>
  <si>
    <t>INE115A07NN1</t>
  </si>
  <si>
    <t>LIC Housing Finance Ltd - 9.02% - 03/12/2020**</t>
  </si>
  <si>
    <t>INE053F07AK6</t>
  </si>
  <si>
    <t>Indian Railway Finance Corporation Ltd - 7.65% - 15/03/2021**</t>
  </si>
  <si>
    <t>INE110L07070</t>
  </si>
  <si>
    <t>Reliance Jio Infocomm Ltd - 8.32% - 08/07/2021**</t>
  </si>
  <si>
    <t>INE756I07BH2</t>
  </si>
  <si>
    <t>HDB Financial Services Ltd - 7.8% - 29/06/2020**</t>
  </si>
  <si>
    <t>INE134E08JJ8</t>
  </si>
  <si>
    <t>Power Finance Corporation Ltd - 7.73% - 12/03/2021**</t>
  </si>
  <si>
    <t>INE752E07GK3</t>
  </si>
  <si>
    <t>Power Grid Corporation of India Ltd - 8.9% - 25/02/2020**</t>
  </si>
  <si>
    <t>** Thinly traded / Non Traded Securities</t>
  </si>
  <si>
    <t>Sundaram Financial Services Opportunities Fund</t>
  </si>
  <si>
    <t>Sundaram Value Fund Series X</t>
  </si>
  <si>
    <t>INE571A01020</t>
  </si>
  <si>
    <t>IPCA Laboratories Ltd</t>
  </si>
  <si>
    <t>Index Option</t>
  </si>
  <si>
    <t>As Per Annexure-A</t>
  </si>
  <si>
    <t>Sundaram Value Fund Series VII</t>
  </si>
  <si>
    <t>INE805C01028</t>
  </si>
  <si>
    <t>KCP Ltd</t>
  </si>
  <si>
    <t>INE732C01016</t>
  </si>
  <si>
    <t>NCL Industries Ltd</t>
  </si>
  <si>
    <t>Sundaram Value Fund Series VIII</t>
  </si>
  <si>
    <t>Sundaram Value Fund Series IX</t>
  </si>
  <si>
    <t>TREPS</t>
  </si>
  <si>
    <t>Monthly Portfolio Statement for the month ended 31 July 2019</t>
  </si>
  <si>
    <t>f) Total investments in foreign securities /ADR'S/GDR'S  at the end of the period</t>
  </si>
  <si>
    <t>Sovereign</t>
  </si>
  <si>
    <t>6.35% Central Government Securities 02/01/2020</t>
  </si>
  <si>
    <t>IN0020020171</t>
  </si>
  <si>
    <t>Tata Sons Pvt Ltd - 9.3% - 19/06/2024**</t>
  </si>
  <si>
    <t>INE895D07487</t>
  </si>
  <si>
    <t>CRISIL AA</t>
  </si>
  <si>
    <t>TMF Holdings Ltd - 24/01/2020**</t>
  </si>
  <si>
    <t>INE909H08253</t>
  </si>
  <si>
    <t>ICRA A+</t>
  </si>
  <si>
    <t>Yes Bank Ltd - 9.9% - 31/10/2022**</t>
  </si>
  <si>
    <t>INE528G08246</t>
  </si>
  <si>
    <t>Power Finance Corporation Ltd - 8.7% - 14/05/2020**</t>
  </si>
  <si>
    <t>INE134E08CX4</t>
  </si>
  <si>
    <t>Power Finance Corporation Ltd - 7.4% - 30/09/2021**</t>
  </si>
  <si>
    <t>INE134E08IM4</t>
  </si>
  <si>
    <t>NTPC Ltd - 7.93% - 03/05/2022**</t>
  </si>
  <si>
    <t>INE733E07KK5</t>
  </si>
  <si>
    <t>REC Ltd - 9.75% - 11/11/2021**</t>
  </si>
  <si>
    <t>INE020B08641</t>
  </si>
  <si>
    <t>ICRA BBB+</t>
  </si>
  <si>
    <t>Yes Bank Ltd - 9% - 18/10/2022**</t>
  </si>
  <si>
    <t>INE528G08394</t>
  </si>
  <si>
    <t>IND A</t>
  </si>
  <si>
    <t>Punjab National Bank - 9.21% - 29/03/2022**</t>
  </si>
  <si>
    <t>INE160A08118</t>
  </si>
  <si>
    <t>CRISIL AAA (SO)</t>
  </si>
  <si>
    <t>Oriental Nagpur Betul Highway ltd - 8.28% - 30/09/2020**</t>
  </si>
  <si>
    <t>INE105N07084</t>
  </si>
  <si>
    <t>Power Finance Corporation Ltd - 8.1% - 04/06/2024**</t>
  </si>
  <si>
    <t>INE134E08KD9</t>
  </si>
  <si>
    <t>ICRA AA+</t>
  </si>
  <si>
    <t>ICICI Bank Ltd - 9.2% - 17/03/2022**</t>
  </si>
  <si>
    <t>INE090A08TW2</t>
  </si>
  <si>
    <t>Housing Development Finance Corporation Ltd - 7.99% - 11/07/2024**</t>
  </si>
  <si>
    <t>INE001A07RV7</t>
  </si>
  <si>
    <t>LIC Housing Finance Ltd - 7.99% - 12/07/2029**</t>
  </si>
  <si>
    <t>INE115A07OF5</t>
  </si>
  <si>
    <t>National Bank for Agricultural &amp; Rural Development - 7.69% - 29/05/2024**</t>
  </si>
  <si>
    <t>INE261F08BK1</t>
  </si>
  <si>
    <t>LIC Housing Finance Ltd - 8.3% - 15/07/2021**</t>
  </si>
  <si>
    <t>INE115A07JY6</t>
  </si>
  <si>
    <t>NTPC Ltd - 8.73% - 07/03/2023**</t>
  </si>
  <si>
    <t>INE733E07JC4</t>
  </si>
  <si>
    <t>CRISIL AA+</t>
  </si>
  <si>
    <t>Bank of Baroda - 8.65% - 11/08/2022**</t>
  </si>
  <si>
    <t>INE028A08117</t>
  </si>
  <si>
    <t>REC Ltd - 7.24% - 21/10/2021</t>
  </si>
  <si>
    <t>INE020B08997</t>
  </si>
  <si>
    <t>IND AAA</t>
  </si>
  <si>
    <t>Bank of Baroda - 8.55% - 14/02/2029**</t>
  </si>
  <si>
    <t>INE028A08158</t>
  </si>
  <si>
    <t>State Bank of India - 9.56% - 04/12/2023**</t>
  </si>
  <si>
    <t>INE062A08173</t>
  </si>
  <si>
    <t>Axis Bank Ltd - 8.75% - 28/06/2022**</t>
  </si>
  <si>
    <t>INE238A08443</t>
  </si>
  <si>
    <t>State Bank of India - 8.39% - 25/10/2021**</t>
  </si>
  <si>
    <t>INE062A08140</t>
  </si>
  <si>
    <t>Export Import Bank of India - 8.6% - 31/03/2022**</t>
  </si>
  <si>
    <t>INE514E08FL5</t>
  </si>
  <si>
    <t>HDFC Bank Ltd - 8.85% - 12/05/2022</t>
  </si>
  <si>
    <t>INE040A08377</t>
  </si>
  <si>
    <t>State Bank of India - 8.15% - 02/08/2022**</t>
  </si>
  <si>
    <t>INE062A08157</t>
  </si>
  <si>
    <t>Cholamandalam Investment and Finance Company Ltd - 8.0659% - 27/09/2019**</t>
  </si>
  <si>
    <t>INE121A07MU6</t>
  </si>
  <si>
    <t>ICRA AAA</t>
  </si>
  <si>
    <t>Small Industrial Development Bank of India - 7.95% - 26/04/2022**</t>
  </si>
  <si>
    <t>INE556F08JK7</t>
  </si>
  <si>
    <t>Housing and Urban Development Corp. Ltd - 8.23% - 15/04/2022**</t>
  </si>
  <si>
    <t>INE031A08657</t>
  </si>
  <si>
    <t>(f) Derivative</t>
  </si>
  <si>
    <t>Sundaram Equity Hybrid Fund</t>
  </si>
  <si>
    <t>g) Average  Maturity - only for Debt portion (years)</t>
  </si>
  <si>
    <t>h) Macaulay Duration - only for Debt portion (years)</t>
  </si>
  <si>
    <t>#</t>
  </si>
  <si>
    <t>0.00 / #</t>
  </si>
  <si>
    <t>Hindustan Dorr-Oliver Ltd**</t>
  </si>
  <si>
    <t>Total for Others</t>
  </si>
  <si>
    <t>Sundaram Select Micro Cap Series XI</t>
  </si>
  <si>
    <t>RBL Bank Ltd Aug 2019</t>
  </si>
  <si>
    <t>Sundaram Multi Cap Fund Series II</t>
  </si>
  <si>
    <t>Sundaram Long Term Tax Advantage Fund Series I</t>
  </si>
  <si>
    <t>Sundaram Long Term Tax Advantage Fund Series II</t>
  </si>
  <si>
    <t>Sundaram Select Small Cap Series III</t>
  </si>
  <si>
    <t>Sundaram Select Small Cap Series IV</t>
  </si>
  <si>
    <t>Sundaram TOP 100 Series VI</t>
  </si>
  <si>
    <t>Sundaram TOP 100 Series VII</t>
  </si>
  <si>
    <t>Nifty Aug 2019</t>
  </si>
  <si>
    <t>Vedanta Ltd Aug 2019</t>
  </si>
  <si>
    <t>Maruti Suzuki India Ltd Aug 2019</t>
  </si>
  <si>
    <t>Jindal Steel &amp; Power Ltd Aug 2019</t>
  </si>
  <si>
    <t>Axis Bank Ltd Aug 2019</t>
  </si>
  <si>
    <t>Cipla Ltd Aug 2019</t>
  </si>
  <si>
    <t>Bharat Heavy Electricals Ltd Aug 2019</t>
  </si>
  <si>
    <t>Grasim Industries Ltd Aug 2019</t>
  </si>
  <si>
    <t>Shriram Transport Finance Company Ltd Aug 2019</t>
  </si>
  <si>
    <t>Yes Bank Ltd Aug 2019</t>
  </si>
  <si>
    <t>ITC Ltd Aug 2019</t>
  </si>
  <si>
    <t>Infosys Ltd Aug 2019</t>
  </si>
  <si>
    <t>Tata Consultancy Services Ltd Aug 2019</t>
  </si>
  <si>
    <t>Reliance Industries Ltd Aug 2019</t>
  </si>
  <si>
    <t>HDFC Bank Ltd Aug 2019</t>
  </si>
  <si>
    <t>Mahindra &amp; Mahindra Ltd Aug 2019</t>
  </si>
  <si>
    <t>Dabur India Ltd Aug 2019</t>
  </si>
  <si>
    <t>Hindustan Unilever Ltd Aug 2019</t>
  </si>
  <si>
    <t>Housing Development Finance Corporation Ltd Aug 2019</t>
  </si>
  <si>
    <t>i) Portfolio Turnover Ratio</t>
  </si>
  <si>
    <t>j) Repo in corporate debt</t>
  </si>
  <si>
    <t>Nifty Option Dec 2020 10500</t>
  </si>
  <si>
    <t>Nifty Option Dec 2020 11000</t>
  </si>
  <si>
    <t>Sundaram Value Fund Series II</t>
  </si>
  <si>
    <t>Sundaram Value Fund Series III</t>
  </si>
  <si>
    <t>Capacit'e Infraprojects Ltd</t>
  </si>
  <si>
    <t>Johnson Controls – Hitachi Air Conditioning India Ltd</t>
  </si>
  <si>
    <t>**</t>
  </si>
  <si>
    <t>** Details awaited</t>
  </si>
  <si>
    <t>$$ Details awaited</t>
  </si>
  <si>
    <t>$$</t>
  </si>
  <si>
    <t>SUNDARAM WORLD BRAND SERIES II</t>
  </si>
  <si>
    <t>ISIN</t>
  </si>
  <si>
    <t>Name of the Instrument</t>
  </si>
  <si>
    <t>Mkt Value
 Rs. in Lacs</t>
  </si>
  <si>
    <t>% to Net
 Assets</t>
  </si>
  <si>
    <t>Equity &amp; Equity related</t>
  </si>
  <si>
    <t>(a) Listed / awaiting listing on Stock Exchanges</t>
  </si>
  <si>
    <t>India Equity Share</t>
  </si>
  <si>
    <t>NIL</t>
  </si>
  <si>
    <t/>
  </si>
  <si>
    <t>Total</t>
  </si>
  <si>
    <t>FOREIGN SECURITIES/OVERSEAS ETFS</t>
  </si>
  <si>
    <t>American Depository Receipt</t>
  </si>
  <si>
    <t>US03524A1088</t>
  </si>
  <si>
    <t>ANHEUSER-BUSCH INBEV-SPON ADR</t>
  </si>
  <si>
    <t>Beverages</t>
  </si>
  <si>
    <t>US8923313071</t>
  </si>
  <si>
    <t>TOYOTA MOTOR CORP - SPON ADR</t>
  </si>
  <si>
    <t>Automotive</t>
  </si>
  <si>
    <t>US4381283088</t>
  </si>
  <si>
    <t>HONDA MOTOR CO LTD-SPON ADR</t>
  </si>
  <si>
    <t>US4557931098</t>
  </si>
  <si>
    <t>INDITEX-UNSPON ADR</t>
  </si>
  <si>
    <t>Consumer Discretionary</t>
  </si>
  <si>
    <t>US4258831050</t>
  </si>
  <si>
    <t>HENNES &amp; MAURITZ AB-UNSPON ADR</t>
  </si>
  <si>
    <t>US5024413065</t>
  </si>
  <si>
    <t>LVMH MOET HENNESSY-UNSPON ADR</t>
  </si>
  <si>
    <t>International Equity Shares</t>
  </si>
  <si>
    <t>US0231351067</t>
  </si>
  <si>
    <t>AMAZON.COM INC</t>
  </si>
  <si>
    <t>Product Distribution</t>
  </si>
  <si>
    <t>US5949181045</t>
  </si>
  <si>
    <t>MICROSOFT CORP</t>
  </si>
  <si>
    <t>Computers - Software</t>
  </si>
  <si>
    <t>US02079K3059</t>
  </si>
  <si>
    <t>ALPHABET INC. CLASS A</t>
  </si>
  <si>
    <t>Internet / Intranet</t>
  </si>
  <si>
    <t>US0378331005</t>
  </si>
  <si>
    <t>APPLE INC</t>
  </si>
  <si>
    <t>Manufacturing</t>
  </si>
  <si>
    <t>US5801351017</t>
  </si>
  <si>
    <t>MCDONALD'S CORPORATION</t>
  </si>
  <si>
    <t>Restaurant</t>
  </si>
  <si>
    <t>US7427181091</t>
  </si>
  <si>
    <t>PROCTER &amp; GAMBLE CO/THE</t>
  </si>
  <si>
    <t>Consumer Staples</t>
  </si>
  <si>
    <t>FR0000121014</t>
  </si>
  <si>
    <t>LVMH MOET HENNESSY LOUIS VUITTON SA</t>
  </si>
  <si>
    <t>US2546871060</t>
  </si>
  <si>
    <t>WALT DISNEY COMPANY (THE) - COM DISNEY U</t>
  </si>
  <si>
    <t>Media &amp; Broadcasting</t>
  </si>
  <si>
    <t>US1912161007</t>
  </si>
  <si>
    <t>COCA-COLA COMPANY</t>
  </si>
  <si>
    <t>Beverage</t>
  </si>
  <si>
    <t>US30303M1027</t>
  </si>
  <si>
    <t>FACEBOOK INC</t>
  </si>
  <si>
    <t>US4592001014</t>
  </si>
  <si>
    <t>INTERNATIONAL BUSINESS MACHINES CORP</t>
  </si>
  <si>
    <t>Computer Services</t>
  </si>
  <si>
    <t>US17275R1023</t>
  </si>
  <si>
    <t>CISCO SYSTEMS INC</t>
  </si>
  <si>
    <t>Networking</t>
  </si>
  <si>
    <t>US46625H1005</t>
  </si>
  <si>
    <t>JP MORGAN CHASE &amp; CO</t>
  </si>
  <si>
    <t>Financials</t>
  </si>
  <si>
    <t>US4581401001</t>
  </si>
  <si>
    <t>INTEL CORPORATION</t>
  </si>
  <si>
    <t>Electronic Compon/ Instruments</t>
  </si>
  <si>
    <t>US68389X1054</t>
  </si>
  <si>
    <t>ORACLE CORPORATION</t>
  </si>
  <si>
    <t>Software &amp; Services</t>
  </si>
  <si>
    <t>US9113121068</t>
  </si>
  <si>
    <t>UNITED PARCEL SERVICE INC</t>
  </si>
  <si>
    <t>Courier</t>
  </si>
  <si>
    <t>US6541061031</t>
  </si>
  <si>
    <t>NIKE INC</t>
  </si>
  <si>
    <t>Footware</t>
  </si>
  <si>
    <t>US0258161092</t>
  </si>
  <si>
    <t>AMERICAN EXPRESS COMPANY</t>
  </si>
  <si>
    <t>DE0005190003</t>
  </si>
  <si>
    <t>BAYERISCHE MOTOREN WERKE AG</t>
  </si>
  <si>
    <t>Automobile Industry</t>
  </si>
  <si>
    <t>US7134481081</t>
  </si>
  <si>
    <t>PEPSICO INC</t>
  </si>
  <si>
    <t>IE00B4BNMY34</t>
  </si>
  <si>
    <t>ACCENTURE LTD-CL A</t>
  </si>
  <si>
    <t>US3696041033</t>
  </si>
  <si>
    <t>GENERAL ELECTRIC COMPANY</t>
  </si>
  <si>
    <t>Diversified Manufacturing</t>
  </si>
  <si>
    <t>DE0007164600</t>
  </si>
  <si>
    <t>SAP SE</t>
  </si>
  <si>
    <t>Information Technology</t>
  </si>
  <si>
    <t>DE0007100000</t>
  </si>
  <si>
    <t>DAIMLER AG-REGISTERED SHARES</t>
  </si>
  <si>
    <t>FR0000052292</t>
  </si>
  <si>
    <t>HERMES INTERNATIONAL</t>
  </si>
  <si>
    <t>US9297401088</t>
  </si>
  <si>
    <t>WABTEC CORP - COM USD0.01</t>
  </si>
  <si>
    <t>(b) Unlisted</t>
  </si>
  <si>
    <t>DEBT INSTRUMENTS</t>
  </si>
  <si>
    <t>(a) Listed/Awaiting Listing on Stock Exchanges</t>
  </si>
  <si>
    <t xml:space="preserve">(b) Privately placed/Unlisted </t>
  </si>
  <si>
    <t>(c) Securitised Debt Instruments</t>
  </si>
  <si>
    <t>Money Market Instruments</t>
  </si>
  <si>
    <t>Others</t>
  </si>
  <si>
    <t>Mutual Fund Units</t>
  </si>
  <si>
    <t>Reverse Repo / TREPS</t>
  </si>
  <si>
    <t xml:space="preserve"> </t>
  </si>
  <si>
    <t>GRAND TOTAL</t>
  </si>
  <si>
    <t>a) Total NPA's provided for and its percentage to NAV - Nil</t>
  </si>
  <si>
    <t>b)Total value and percentage of illiquid equity shares  - Nil</t>
  </si>
  <si>
    <t>c) NAV  per  unit (Rupees per unit)</t>
  </si>
  <si>
    <t>Direct plan</t>
  </si>
  <si>
    <t xml:space="preserve">Regular plan </t>
  </si>
  <si>
    <t>at the beginning</t>
  </si>
  <si>
    <t>at the end</t>
  </si>
  <si>
    <t>Options</t>
  </si>
  <si>
    <t>Dividend</t>
  </si>
  <si>
    <t>Growth</t>
  </si>
  <si>
    <t>d) Dividend declared during the period (Rupees per unit) - Nil</t>
  </si>
  <si>
    <t>e) Total outstanding exposure in derivative instruments at the end of the period - Nil</t>
  </si>
  <si>
    <t>f) Total investments in foreign securities /ADR'S/GDR'S  at the end of the period - Rs 6,102.08 Lacs</t>
  </si>
  <si>
    <t>g) Portfolio Turnover Ratio - 5.58%</t>
  </si>
  <si>
    <t>h) Investment in repo in corporate debt - Nil</t>
  </si>
  <si>
    <t>SUNDARAM WORLD BRAND SERIES III</t>
  </si>
  <si>
    <t>f) Total investments in foreign securities /ADR'S/GDR'S  at the end of the period - Rs 4,403.83 Lacs</t>
  </si>
  <si>
    <t>g) Portfolio Turnover Ratio - 5.57%</t>
  </si>
  <si>
    <t>SUNDARAM GLOBAL ADVANTAGE FUND</t>
  </si>
  <si>
    <t>Monthly Portfolio Statement for the period ended 31 July 2019</t>
  </si>
  <si>
    <t>S.NO</t>
  </si>
  <si>
    <t>ISIN CODE</t>
  </si>
  <si>
    <t>Industry/ Rating</t>
  </si>
  <si>
    <t>A) Investments in Foreign Securities - Units of Mutual Funds</t>
  </si>
  <si>
    <t>LU0048597586</t>
  </si>
  <si>
    <t>FIL Investment Management Luxembourg SA - Fidelity-Asia Focus -A USD</t>
  </si>
  <si>
    <t>Mutual Fund</t>
  </si>
  <si>
    <t>LU0292107991</t>
  </si>
  <si>
    <t>D B Tracker EM Asia</t>
  </si>
  <si>
    <t>LU0029875118</t>
  </si>
  <si>
    <t>Templeton Asia GR FD PR SH CL A(YDIS)USD</t>
  </si>
  <si>
    <t>LU0266114668</t>
  </si>
  <si>
    <t>Morgan Stanley Inv Mgt - Morgan Stanley SICAV- Global Property Fund Class I</t>
  </si>
  <si>
    <t>LU0292108619</t>
  </si>
  <si>
    <t>D B Tracker LATAM</t>
  </si>
  <si>
    <t>LU0102008223</t>
  </si>
  <si>
    <t>Parvest Equity Latin America</t>
  </si>
  <si>
    <t>Total for Investments in Foreign Securities - Units of Mutual Funds</t>
  </si>
  <si>
    <t>B) Money Market Investments</t>
  </si>
  <si>
    <t>Cash and Other Net Curent Assets</t>
  </si>
  <si>
    <t># Indicates percentage to NAV of security is less than 0.01%</t>
  </si>
  <si>
    <t>b) Total value and percentage of illiquid equity shares - Nil</t>
  </si>
  <si>
    <t>e) Total outstanding exposure in derivative instrumentsat the end of the period - Nil</t>
  </si>
  <si>
    <t>f) Total investments in foreign securities /ADR'S/GDR'S  at the end of the period - Rs 1,879.46 lacs</t>
  </si>
  <si>
    <t>g) Repo in Corporate Debt - Nil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</si>
  <si>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</si>
  <si>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</si>
  <si>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</si>
  <si>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</si>
  <si>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July 31,2019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</si>
  <si>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</si>
  <si>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</si>
  <si>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</si>
  <si>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</si>
  <si>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</si>
  <si>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</si>
  <si>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</si>
  <si>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>Sundaram Large And Mid Cap Fund</t>
  </si>
  <si>
    <t xml:space="preserve">Total percentage of existing assets hedged through futures as a percentage of net assets </t>
  </si>
  <si>
    <t>%</t>
  </si>
  <si>
    <t>For the period ended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</si>
  <si>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</si>
  <si>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</si>
  <si>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</si>
  <si>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</si>
  <si>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</si>
  <si>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B. Other than hedging positions through futures as on July 31,2019:</t>
  </si>
  <si>
    <t>Margin maintained in       (Rs. in Lakhs) *</t>
  </si>
  <si>
    <t>Long</t>
  </si>
  <si>
    <t>Total percentage of existing assets due to non-hedging positions as a percentage of net assets</t>
  </si>
  <si>
    <t>For the period ended July 31,2019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</si>
  <si>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</si>
  <si>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</si>
  <si>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Sundaram  Mid cap Fund</t>
  </si>
  <si>
    <t>C. Hedging Positions through Put Options as on July 31,2019:</t>
  </si>
  <si>
    <t>Call/Put</t>
  </si>
  <si>
    <t>Number of Contracts</t>
  </si>
  <si>
    <t>Option Price when purchased</t>
  </si>
  <si>
    <t>Current Option Price</t>
  </si>
  <si>
    <t>Put</t>
  </si>
  <si>
    <t>Total % of existing assets hedged through Put Options</t>
  </si>
  <si>
    <t>For the period ended  July 31,2019, the following hedging transactions through options which have been already exercised/expired</t>
  </si>
  <si>
    <t>Total Number of contracts entered into</t>
  </si>
  <si>
    <t>Net Profit/(Loss) on all contracts 
(Rs. in Lakhs)</t>
  </si>
  <si>
    <t>-</t>
  </si>
  <si>
    <t>D. Other than Hedging Positions through options as on July 31,2019:</t>
  </si>
  <si>
    <t xml:space="preserve">Total Exposure through Options other than hedging as a percentage of net assets </t>
  </si>
  <si>
    <t>For the period ended July 31,2019, the following non hedging transactions through options which have been already exercised/expired</t>
  </si>
  <si>
    <t>Gross Notional value of contracts where futures were bought(Rs. in Lakhs)</t>
  </si>
  <si>
    <t>Gross Notional value of contracts where futures were sold (Rs. in Lakhs)</t>
  </si>
  <si>
    <t>Sundaram Mid cap Fund</t>
  </si>
  <si>
    <t>E. Hedging Positions through Swaps as on July 31,2019- Nil</t>
  </si>
  <si>
    <t>F. Hedging Positions through Interest Rate Futures as on July 31,2019: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</si>
  <si>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</si>
  <si>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</si>
  <si>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</si>
  <si>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</si>
  <si>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July 31,2019following were the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</si>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</sst>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64" formatCode="_(* #,##0.00_);_(* \(#,##0.00\);_(* &quot;-&quot;??_);_(@_)"/>
    <numFmt numFmtId="165" formatCode="0.0000_);[Red]\(0.0000\)"/>
    <numFmt numFmtId="166" formatCode="\(#,##0.00\);\(#,##0.00\)"/>
    <numFmt numFmtId="167" formatCode="_(* #,##0.000000_);_(* \(#,##0.000000\);_(* &quot;-&quot;??????_);_(@_)"/>
    <numFmt numFmtId="168" formatCode="0.00_);[Red]\(0.00\)"/>
    <numFmt numFmtId="169" formatCode="_(* ###0_);_(* \(###0\);_(* &quot;-&quot;??_);_(@_)"/>
    <numFmt numFmtId="170" formatCode="_(* ###0.00_);_(* \(###0.00\);_(* &quot;-&quot;??_);_(@_)"/>
    <numFmt numFmtId="171" formatCode="_(* ###0.00%_);_(* \(###0.00%\);_(* &quot;-&quot;??_);_(@_)"/>
    <numFmt numFmtId="172" formatCode="0.0000;[Red]0.0000"/>
    <numFmt numFmtId="173" formatCode="#,##0.00000000"/>
    <numFmt numFmtId="174" formatCode="dd\/mm\/yyyy"/>
    <numFmt numFmtId="175" formatCode="0.0000"/>
    <numFmt numFmtId="176" formatCode="#,##0.00000"/>
    <numFmt numFmtId="177" formatCode="#,##0.000000"/>
    <numFmt numFmtId="178" formatCode="#,##0.000"/>
    <numFmt numFmtId="179" formatCode="0.000000000"/>
    <numFmt numFmtId="180" formatCode="0.00_);\(0.00\)"/>
    <numFmt numFmtId="181" formatCode="_(* #,##0.0000_);_(* \(#,##0.0000\);_(* &quot;-&quot;??_);_(@_)"/>
    <numFmt numFmtId="182" formatCode="#,##0.00;\(#,##0.00\)"/>
    <numFmt numFmtId="183" formatCode="#,##0.0000;\(#,##0.0000\)"/>
    <numFmt numFmtId="184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Calibri"/>
      <family val="2"/>
      <scheme val="minor"/>
    </font>
    <font>
      <b/>
      <sz val="11"/>
      <color indexed="7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72"/>
      <name val="Calibri"/>
      <family val="2"/>
      <scheme val="minor"/>
    </font>
    <font>
      <sz val="10"/>
      <color indexed="72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72"/>
      <name val="Tahoma"/>
      <family val="2"/>
    </font>
    <font>
      <sz val="10"/>
      <color indexed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</cellStyleXfs>
  <cellXfs count="375">
    <xf numFmtId="0" fontId="0" fillId="0" borderId="0" xfId="0"/>
    <xf numFmtId="1" fontId="4" fillId="2" borderId="1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left" vertical="center" wrapText="1"/>
    </xf>
    <xf numFmtId="15" fontId="5" fillId="2" borderId="2" xfId="6" applyNumberFormat="1" applyFont="1" applyFill="1" applyBorder="1" applyAlignment="1">
      <alignment horizontal="left" vertical="center" wrapText="1"/>
    </xf>
    <xf numFmtId="1" fontId="4" fillId="2" borderId="1" xfId="6" applyNumberFormat="1" applyFont="1" applyFill="1" applyBorder="1" applyAlignment="1">
      <alignment horizontal="left" vertical="center" wrapText="1"/>
    </xf>
    <xf numFmtId="10" fontId="4" fillId="2" borderId="1" xfId="8" applyNumberFormat="1" applyFont="1" applyFill="1" applyBorder="1" applyAlignment="1">
      <alignment horizontal="right" vertical="center" wrapText="1"/>
    </xf>
    <xf numFmtId="1" fontId="4" fillId="2" borderId="1" xfId="6" applyNumberFormat="1" applyFont="1" applyFill="1" applyBorder="1" applyAlignment="1">
      <alignment horizontal="center" vertical="center" wrapText="1"/>
    </xf>
    <xf numFmtId="0" fontId="4" fillId="2" borderId="1" xfId="6" applyFont="1" applyFill="1" applyBorder="1" applyAlignment="1">
      <alignment horizontal="left" vertical="center" wrapText="1"/>
    </xf>
    <xf numFmtId="0" fontId="5" fillId="2" borderId="2" xfId="3" applyFont="1" applyFill="1" applyBorder="1" applyAlignment="1">
      <alignment vertical="center" wrapText="1"/>
    </xf>
    <xf numFmtId="0" fontId="5" fillId="2" borderId="1" xfId="3" applyFont="1" applyFill="1" applyBorder="1" applyAlignment="1">
      <alignment horizontal="left" vertical="center" wrapText="1"/>
    </xf>
    <xf numFmtId="10" fontId="5" fillId="2" borderId="1" xfId="3" applyNumberFormat="1" applyFont="1" applyFill="1" applyBorder="1" applyAlignment="1">
      <alignment horizontal="left" vertical="center" wrapText="1"/>
    </xf>
    <xf numFmtId="0" fontId="4" fillId="2" borderId="2" xfId="3" applyFont="1" applyFill="1" applyBorder="1" applyAlignment="1">
      <alignment vertical="center" wrapText="1"/>
    </xf>
    <xf numFmtId="1" fontId="5" fillId="2" borderId="1" xfId="6" applyNumberFormat="1" applyFont="1" applyFill="1" applyBorder="1" applyAlignment="1">
      <alignment horizontal="left" vertical="center" wrapText="1"/>
    </xf>
    <xf numFmtId="10" fontId="5" fillId="2" borderId="1" xfId="8" applyNumberFormat="1" applyFont="1" applyFill="1" applyBorder="1" applyAlignment="1">
      <alignment horizontal="right" vertical="center" wrapText="1"/>
    </xf>
    <xf numFmtId="0" fontId="4" fillId="2" borderId="2" xfId="6" applyFont="1" applyFill="1" applyBorder="1" applyAlignment="1">
      <alignment vertical="center" wrapText="1"/>
    </xf>
    <xf numFmtId="0" fontId="4" fillId="2" borderId="1" xfId="6" applyNumberFormat="1" applyFont="1" applyFill="1" applyBorder="1" applyAlignment="1">
      <alignment horizontal="left" vertical="center" wrapText="1"/>
    </xf>
    <xf numFmtId="1" fontId="4" fillId="2" borderId="1" xfId="4" applyNumberFormat="1" applyFont="1" applyFill="1" applyBorder="1" applyAlignment="1">
      <alignment horizontal="center" vertical="center" wrapText="1"/>
    </xf>
    <xf numFmtId="15" fontId="4" fillId="2" borderId="1" xfId="4" applyNumberFormat="1" applyFont="1" applyFill="1" applyBorder="1" applyAlignment="1">
      <alignment horizontal="left" vertical="center" wrapText="1"/>
    </xf>
    <xf numFmtId="1" fontId="4" fillId="2" borderId="1" xfId="7" applyNumberFormat="1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left" vertical="center" wrapText="1"/>
    </xf>
    <xf numFmtId="1" fontId="5" fillId="2" borderId="1" xfId="7" applyNumberFormat="1" applyFont="1" applyFill="1" applyBorder="1" applyAlignment="1">
      <alignment horizontal="left" vertical="center" wrapText="1"/>
    </xf>
    <xf numFmtId="10" fontId="5" fillId="2" borderId="1" xfId="9" applyNumberFormat="1" applyFont="1" applyFill="1" applyBorder="1" applyAlignment="1">
      <alignment horizontal="right" vertical="center" wrapText="1"/>
    </xf>
    <xf numFmtId="1" fontId="4" fillId="2" borderId="1" xfId="7" applyNumberFormat="1" applyFont="1" applyFill="1" applyBorder="1" applyAlignment="1">
      <alignment horizontal="left" vertical="center" wrapText="1"/>
    </xf>
    <xf numFmtId="10" fontId="4" fillId="2" borderId="1" xfId="7" applyNumberFormat="1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horizontal="left" vertical="center" wrapText="1"/>
    </xf>
    <xf numFmtId="15" fontId="4" fillId="2" borderId="1" xfId="3" applyNumberFormat="1" applyFont="1" applyFill="1" applyBorder="1" applyAlignment="1">
      <alignment horizontal="left" vertical="center" wrapText="1"/>
    </xf>
    <xf numFmtId="10" fontId="4" fillId="2" borderId="1" xfId="6" applyNumberFormat="1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vertical="center" wrapText="1"/>
    </xf>
    <xf numFmtId="0" fontId="4" fillId="2" borderId="2" xfId="6" applyFont="1" applyFill="1" applyBorder="1" applyAlignment="1">
      <alignment horizontal="left" vertical="center" wrapText="1"/>
    </xf>
    <xf numFmtId="0" fontId="5" fillId="2" borderId="2" xfId="3" applyFont="1" applyFill="1" applyBorder="1" applyAlignment="1">
      <alignment horizontal="left" vertical="top" wrapText="1"/>
    </xf>
    <xf numFmtId="0" fontId="4" fillId="2" borderId="0" xfId="0" applyFont="1" applyFill="1"/>
    <xf numFmtId="0" fontId="5" fillId="2" borderId="1" xfId="5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3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/>
    <xf numFmtId="165" fontId="4" fillId="2" borderId="1" xfId="0" applyNumberFormat="1" applyFont="1" applyFill="1" applyBorder="1"/>
    <xf numFmtId="0" fontId="4" fillId="2" borderId="4" xfId="5" applyFont="1" applyFill="1" applyBorder="1" applyAlignment="1">
      <alignment horizontal="left" vertical="center"/>
    </xf>
    <xf numFmtId="10" fontId="5" fillId="2" borderId="1" xfId="0" applyNumberFormat="1" applyFont="1" applyFill="1" applyBorder="1" applyAlignment="1">
      <alignment horizontal="left" vertical="center"/>
    </xf>
    <xf numFmtId="1" fontId="4" fillId="2" borderId="1" xfId="6" applyNumberFormat="1" applyFont="1" applyFill="1" applyBorder="1" applyAlignment="1">
      <alignment horizontal="right" vertical="center" wrapText="1"/>
    </xf>
    <xf numFmtId="1" fontId="5" fillId="2" borderId="1" xfId="3" applyNumberFormat="1" applyFont="1" applyFill="1" applyBorder="1" applyAlignment="1">
      <alignment horizontal="left" vertical="center" wrapText="1"/>
    </xf>
    <xf numFmtId="1" fontId="5" fillId="2" borderId="1" xfId="6" applyNumberFormat="1" applyFont="1" applyFill="1" applyBorder="1" applyAlignment="1">
      <alignment horizontal="right" vertical="center" wrapText="1"/>
    </xf>
    <xf numFmtId="1" fontId="5" fillId="2" borderId="1" xfId="7" applyNumberFormat="1" applyFont="1" applyFill="1" applyBorder="1" applyAlignment="1">
      <alignment horizontal="right" vertical="center" wrapText="1"/>
    </xf>
    <xf numFmtId="1" fontId="4" fillId="2" borderId="1" xfId="7" applyNumberFormat="1" applyFont="1" applyFill="1" applyBorder="1" applyAlignment="1">
      <alignment horizontal="right" vertical="center" wrapText="1"/>
    </xf>
    <xf numFmtId="2" fontId="4" fillId="2" borderId="1" xfId="1" applyNumberFormat="1" applyFont="1" applyFill="1" applyBorder="1" applyAlignment="1">
      <alignment horizontal="right" vertical="center" wrapText="1"/>
    </xf>
    <xf numFmtId="2" fontId="5" fillId="2" borderId="1" xfId="3" applyNumberFormat="1" applyFont="1" applyFill="1" applyBorder="1" applyAlignment="1">
      <alignment horizontal="left" vertical="center" wrapText="1"/>
    </xf>
    <xf numFmtId="2" fontId="5" fillId="2" borderId="1" xfId="1" applyNumberFormat="1" applyFont="1" applyFill="1" applyBorder="1" applyAlignment="1">
      <alignment horizontal="right" vertical="center" wrapText="1"/>
    </xf>
    <xf numFmtId="2" fontId="5" fillId="2" borderId="1" xfId="2" applyNumberFormat="1" applyFont="1" applyFill="1" applyBorder="1" applyAlignment="1">
      <alignment horizontal="right" vertical="center" wrapText="1"/>
    </xf>
    <xf numFmtId="2" fontId="4" fillId="2" borderId="1" xfId="7" applyNumberFormat="1" applyFont="1" applyFill="1" applyBorder="1" applyAlignment="1">
      <alignment horizontal="right" vertical="center" wrapText="1"/>
    </xf>
    <xf numFmtId="2" fontId="4" fillId="2" borderId="1" xfId="6" applyNumberFormat="1" applyFont="1" applyFill="1" applyBorder="1" applyAlignment="1">
      <alignment horizontal="right" vertical="center" wrapText="1"/>
    </xf>
    <xf numFmtId="0" fontId="3" fillId="0" borderId="1" xfId="7" applyFont="1" applyFill="1" applyBorder="1" applyAlignment="1">
      <alignment horizontal="center" vertical="center"/>
    </xf>
    <xf numFmtId="14" fontId="3" fillId="0" borderId="1" xfId="5" applyNumberFormat="1" applyFont="1" applyFill="1" applyBorder="1" applyAlignment="1">
      <alignment horizontal="center" vertical="center" wrapText="1"/>
    </xf>
    <xf numFmtId="0" fontId="2" fillId="2" borderId="2" xfId="5" applyFont="1" applyFill="1" applyBorder="1" applyAlignment="1">
      <alignment horizontal="left" vertical="center"/>
    </xf>
    <xf numFmtId="0" fontId="5" fillId="2" borderId="1" xfId="0" applyFont="1" applyFill="1" applyBorder="1"/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0" xfId="0" applyFont="1" applyFill="1" applyBorder="1"/>
    <xf numFmtId="166" fontId="5" fillId="2" borderId="1" xfId="0" applyNumberFormat="1" applyFont="1" applyFill="1" applyBorder="1" applyAlignment="1">
      <alignment horizontal="left" vertical="center"/>
    </xf>
    <xf numFmtId="167" fontId="4" fillId="2" borderId="0" xfId="0" applyNumberFormat="1" applyFont="1" applyFill="1"/>
    <xf numFmtId="0" fontId="6" fillId="2" borderId="2" xfId="3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Border="1"/>
    <xf numFmtId="10" fontId="3" fillId="2" borderId="1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168" fontId="3" fillId="2" borderId="1" xfId="0" applyNumberFormat="1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/>
    <xf numFmtId="0" fontId="2" fillId="2" borderId="1" xfId="0" applyFont="1" applyFill="1" applyBorder="1"/>
    <xf numFmtId="0" fontId="3" fillId="2" borderId="1" xfId="5" applyFont="1" applyFill="1" applyBorder="1" applyAlignment="1">
      <alignment horizontal="center" vertical="center"/>
    </xf>
    <xf numFmtId="0" fontId="3" fillId="2" borderId="1" xfId="5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2" borderId="3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10" fontId="3" fillId="2" borderId="1" xfId="8" applyNumberFormat="1" applyFont="1" applyFill="1" applyBorder="1" applyAlignment="1">
      <alignment horizontal="right" vertical="center" wrapText="1"/>
    </xf>
    <xf numFmtId="2" fontId="3" fillId="2" borderId="1" xfId="1" applyNumberFormat="1" applyFont="1" applyFill="1" applyBorder="1" applyAlignment="1">
      <alignment horizontal="right" vertical="center" wrapText="1"/>
    </xf>
    <xf numFmtId="1" fontId="3" fillId="2" borderId="1" xfId="6" applyNumberFormat="1" applyFont="1" applyFill="1" applyBorder="1" applyAlignment="1">
      <alignment horizontal="right" vertical="center" wrapText="1"/>
    </xf>
    <xf numFmtId="1" fontId="3" fillId="2" borderId="1" xfId="6" applyNumberFormat="1" applyFont="1" applyFill="1" applyBorder="1" applyAlignment="1">
      <alignment horizontal="left" vertical="center" wrapText="1"/>
    </xf>
    <xf numFmtId="0" fontId="3" fillId="2" borderId="2" xfId="3" applyFont="1" applyFill="1" applyBorder="1" applyAlignment="1">
      <alignment horizontal="left" vertical="top" wrapText="1"/>
    </xf>
    <xf numFmtId="0" fontId="2" fillId="2" borderId="1" xfId="6" applyFont="1" applyFill="1" applyBorder="1" applyAlignment="1">
      <alignment horizontal="left" vertical="center" wrapText="1"/>
    </xf>
    <xf numFmtId="1" fontId="2" fillId="2" borderId="1" xfId="6" applyNumberFormat="1" applyFont="1" applyFill="1" applyBorder="1" applyAlignment="1">
      <alignment horizontal="center" vertical="center" wrapText="1"/>
    </xf>
    <xf numFmtId="10" fontId="2" fillId="2" borderId="1" xfId="8" applyNumberFormat="1" applyFont="1" applyFill="1" applyBorder="1" applyAlignment="1">
      <alignment horizontal="right" vertical="center" wrapText="1"/>
    </xf>
    <xf numFmtId="2" fontId="2" fillId="2" borderId="1" xfId="1" applyNumberFormat="1" applyFont="1" applyFill="1" applyBorder="1" applyAlignment="1">
      <alignment horizontal="right" vertical="center" wrapText="1"/>
    </xf>
    <xf numFmtId="1" fontId="2" fillId="2" borderId="1" xfId="6" applyNumberFormat="1" applyFont="1" applyFill="1" applyBorder="1" applyAlignment="1">
      <alignment horizontal="right" vertical="center" wrapText="1"/>
    </xf>
    <xf numFmtId="0" fontId="2" fillId="2" borderId="1" xfId="6" applyFont="1" applyFill="1" applyBorder="1" applyAlignment="1">
      <alignment vertical="center" wrapText="1"/>
    </xf>
    <xf numFmtId="0" fontId="2" fillId="2" borderId="2" xfId="6" applyFont="1" applyFill="1" applyBorder="1" applyAlignment="1">
      <alignment horizontal="left" vertical="center" wrapText="1"/>
    </xf>
    <xf numFmtId="10" fontId="2" fillId="2" borderId="1" xfId="6" applyNumberFormat="1" applyFont="1" applyFill="1" applyBorder="1" applyAlignment="1">
      <alignment horizontal="right" vertical="center" wrapText="1"/>
    </xf>
    <xf numFmtId="2" fontId="2" fillId="2" borderId="1" xfId="6" applyNumberFormat="1" applyFont="1" applyFill="1" applyBorder="1" applyAlignment="1">
      <alignment horizontal="right" vertical="center" wrapText="1"/>
    </xf>
    <xf numFmtId="0" fontId="3" fillId="2" borderId="1" xfId="6" applyFont="1" applyFill="1" applyBorder="1" applyAlignment="1">
      <alignment horizontal="left" vertical="center" wrapText="1"/>
    </xf>
    <xf numFmtId="0" fontId="3" fillId="2" borderId="2" xfId="3" applyFont="1" applyFill="1" applyBorder="1" applyAlignment="1">
      <alignment vertical="center" wrapText="1"/>
    </xf>
    <xf numFmtId="10" fontId="3" fillId="2" borderId="1" xfId="3" applyNumberFormat="1" applyFont="1" applyFill="1" applyBorder="1" applyAlignment="1">
      <alignment horizontal="left" vertical="center" wrapText="1"/>
    </xf>
    <xf numFmtId="2" fontId="3" fillId="2" borderId="1" xfId="3" applyNumberFormat="1" applyFont="1" applyFill="1" applyBorder="1" applyAlignment="1">
      <alignment horizontal="left" vertical="center" wrapText="1"/>
    </xf>
    <xf numFmtId="1" fontId="3" fillId="2" borderId="1" xfId="3" applyNumberFormat="1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horizontal="left" vertical="center" wrapText="1"/>
    </xf>
    <xf numFmtId="0" fontId="2" fillId="2" borderId="2" xfId="6" applyFont="1" applyFill="1" applyBorder="1" applyAlignment="1">
      <alignment vertical="center" wrapText="1"/>
    </xf>
    <xf numFmtId="1" fontId="2" fillId="2" borderId="1" xfId="6" applyNumberFormat="1" applyFont="1" applyFill="1" applyBorder="1" applyAlignment="1">
      <alignment horizontal="left" vertical="center" wrapText="1"/>
    </xf>
    <xf numFmtId="15" fontId="3" fillId="2" borderId="2" xfId="6" applyNumberFormat="1" applyFont="1" applyFill="1" applyBorder="1" applyAlignment="1">
      <alignment horizontal="left" vertical="center" wrapText="1"/>
    </xf>
    <xf numFmtId="0" fontId="2" fillId="2" borderId="1" xfId="3" applyFont="1" applyFill="1" applyBorder="1" applyAlignment="1">
      <alignment horizontal="left" vertical="center" wrapText="1"/>
    </xf>
    <xf numFmtId="1" fontId="2" fillId="2" borderId="1" xfId="3" applyNumberFormat="1" applyFont="1" applyFill="1" applyBorder="1" applyAlignment="1">
      <alignment horizontal="center" vertical="center" wrapText="1"/>
    </xf>
    <xf numFmtId="0" fontId="3" fillId="2" borderId="2" xfId="6" applyFont="1" applyFill="1" applyBorder="1" applyAlignment="1">
      <alignment horizontal="left" vertical="center" wrapText="1"/>
    </xf>
    <xf numFmtId="0" fontId="2" fillId="2" borderId="1" xfId="6" applyNumberFormat="1" applyFont="1" applyFill="1" applyBorder="1" applyAlignment="1">
      <alignment horizontal="left" vertical="center" wrapText="1"/>
    </xf>
    <xf numFmtId="0" fontId="2" fillId="2" borderId="2" xfId="3" applyFont="1" applyFill="1" applyBorder="1" applyAlignment="1">
      <alignment vertical="center" wrapText="1"/>
    </xf>
    <xf numFmtId="0" fontId="3" fillId="2" borderId="2" xfId="6" applyFont="1" applyFill="1" applyBorder="1" applyAlignment="1">
      <alignment vertical="center" wrapText="1"/>
    </xf>
    <xf numFmtId="15" fontId="2" fillId="2" borderId="1" xfId="3" applyNumberFormat="1" applyFont="1" applyFill="1" applyBorder="1" applyAlignment="1">
      <alignment horizontal="left" vertical="center" wrapText="1"/>
    </xf>
    <xf numFmtId="10" fontId="2" fillId="2" borderId="1" xfId="3" applyNumberFormat="1" applyFont="1" applyFill="1" applyBorder="1" applyAlignment="1">
      <alignment horizontal="right" vertical="center" wrapText="1"/>
    </xf>
    <xf numFmtId="2" fontId="2" fillId="2" borderId="1" xfId="3" applyNumberFormat="1" applyFont="1" applyFill="1" applyBorder="1" applyAlignment="1">
      <alignment horizontal="right" vertical="center" wrapText="1"/>
    </xf>
    <xf numFmtId="1" fontId="2" fillId="2" borderId="1" xfId="3" applyNumberFormat="1" applyFont="1" applyFill="1" applyBorder="1" applyAlignment="1">
      <alignment horizontal="right" vertical="center" wrapText="1"/>
    </xf>
    <xf numFmtId="10" fontId="2" fillId="2" borderId="1" xfId="7" applyNumberFormat="1" applyFont="1" applyFill="1" applyBorder="1" applyAlignment="1">
      <alignment horizontal="right" vertical="center" wrapText="1"/>
    </xf>
    <xf numFmtId="2" fontId="2" fillId="2" borderId="1" xfId="7" applyNumberFormat="1" applyFont="1" applyFill="1" applyBorder="1" applyAlignment="1">
      <alignment horizontal="right" vertical="center" wrapText="1"/>
    </xf>
    <xf numFmtId="1" fontId="2" fillId="2" borderId="1" xfId="7" applyNumberFormat="1" applyFont="1" applyFill="1" applyBorder="1" applyAlignment="1">
      <alignment horizontal="right" vertical="center" wrapText="1"/>
    </xf>
    <xf numFmtId="1" fontId="2" fillId="2" borderId="1" xfId="7" applyNumberFormat="1" applyFont="1" applyFill="1" applyBorder="1" applyAlignment="1">
      <alignment horizontal="left" vertical="center" wrapText="1"/>
    </xf>
    <xf numFmtId="0" fontId="2" fillId="2" borderId="1" xfId="7" applyFont="1" applyFill="1" applyBorder="1" applyAlignment="1">
      <alignment horizontal="left" vertical="center" wrapText="1"/>
    </xf>
    <xf numFmtId="1" fontId="2" fillId="2" borderId="1" xfId="7" applyNumberFormat="1" applyFont="1" applyFill="1" applyBorder="1" applyAlignment="1">
      <alignment horizontal="center" vertical="center" wrapText="1"/>
    </xf>
    <xf numFmtId="10" fontId="3" fillId="2" borderId="1" xfId="9" applyNumberFormat="1" applyFont="1" applyFill="1" applyBorder="1" applyAlignment="1">
      <alignment horizontal="right" vertical="center" wrapText="1"/>
    </xf>
    <xf numFmtId="2" fontId="3" fillId="2" borderId="1" xfId="2" applyNumberFormat="1" applyFont="1" applyFill="1" applyBorder="1" applyAlignment="1">
      <alignment horizontal="right" vertical="center" wrapText="1"/>
    </xf>
    <xf numFmtId="1" fontId="3" fillId="2" borderId="1" xfId="7" applyNumberFormat="1" applyFont="1" applyFill="1" applyBorder="1" applyAlignment="1">
      <alignment horizontal="right" vertical="center" wrapText="1"/>
    </xf>
    <xf numFmtId="1" fontId="3" fillId="2" borderId="1" xfId="7" applyNumberFormat="1" applyFont="1" applyFill="1" applyBorder="1" applyAlignment="1">
      <alignment horizontal="left" vertical="center" wrapText="1"/>
    </xf>
    <xf numFmtId="15" fontId="2" fillId="2" borderId="1" xfId="4" applyNumberFormat="1" applyFont="1" applyFill="1" applyBorder="1" applyAlignment="1">
      <alignment horizontal="left" vertical="center" wrapText="1"/>
    </xf>
    <xf numFmtId="1" fontId="2" fillId="2" borderId="1" xfId="4" applyNumberFormat="1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left" vertical="center"/>
    </xf>
    <xf numFmtId="0" fontId="4" fillId="2" borderId="1" xfId="5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67" fontId="2" fillId="2" borderId="1" xfId="10" applyNumberFormat="1" applyFont="1" applyFill="1" applyBorder="1"/>
    <xf numFmtId="1" fontId="5" fillId="2" borderId="1" xfId="3" applyNumberFormat="1" applyFont="1" applyFill="1" applyBorder="1" applyAlignment="1">
      <alignment horizontal="right" vertical="center" wrapText="1"/>
    </xf>
    <xf numFmtId="2" fontId="5" fillId="2" borderId="1" xfId="3" applyNumberFormat="1" applyFont="1" applyFill="1" applyBorder="1" applyAlignment="1">
      <alignment horizontal="right" vertical="center" wrapText="1"/>
    </xf>
    <xf numFmtId="10" fontId="5" fillId="2" borderId="1" xfId="3" applyNumberFormat="1" applyFont="1" applyFill="1" applyBorder="1" applyAlignment="1">
      <alignment horizontal="right" vertical="center" wrapText="1"/>
    </xf>
    <xf numFmtId="167" fontId="4" fillId="2" borderId="1" xfId="0" applyNumberFormat="1" applyFont="1" applyFill="1" applyBorder="1"/>
    <xf numFmtId="169" fontId="4" fillId="2" borderId="1" xfId="6" applyNumberFormat="1" applyFont="1" applyFill="1" applyBorder="1" applyAlignment="1">
      <alignment horizontal="right" vertical="center" wrapText="1"/>
    </xf>
    <xf numFmtId="170" fontId="4" fillId="2" borderId="1" xfId="1" applyNumberFormat="1" applyFont="1" applyFill="1" applyBorder="1" applyAlignment="1">
      <alignment horizontal="right" vertical="center" wrapText="1"/>
    </xf>
    <xf numFmtId="171" fontId="4" fillId="2" borderId="1" xfId="8" applyNumberFormat="1" applyFont="1" applyFill="1" applyBorder="1" applyAlignment="1">
      <alignment horizontal="right" vertical="center" wrapText="1"/>
    </xf>
    <xf numFmtId="170" fontId="3" fillId="2" borderId="1" xfId="1" applyNumberFormat="1" applyFont="1" applyFill="1" applyBorder="1" applyAlignment="1">
      <alignment horizontal="right" vertical="center" wrapText="1"/>
    </xf>
    <xf numFmtId="171" fontId="3" fillId="2" borderId="1" xfId="8" applyNumberFormat="1" applyFont="1" applyFill="1" applyBorder="1" applyAlignment="1">
      <alignment horizontal="right" vertical="center" wrapText="1"/>
    </xf>
    <xf numFmtId="2" fontId="4" fillId="2" borderId="0" xfId="0" applyNumberFormat="1" applyFont="1" applyFill="1"/>
    <xf numFmtId="170" fontId="4" fillId="2" borderId="1" xfId="6" applyNumberFormat="1" applyFont="1" applyFill="1" applyBorder="1" applyAlignment="1">
      <alignment horizontal="right" vertical="center" wrapText="1"/>
    </xf>
    <xf numFmtId="171" fontId="4" fillId="2" borderId="1" xfId="6" applyNumberFormat="1" applyFont="1" applyFill="1" applyBorder="1" applyAlignment="1">
      <alignment horizontal="right" vertical="center" wrapText="1"/>
    </xf>
    <xf numFmtId="170" fontId="5" fillId="2" borderId="1" xfId="1" applyNumberFormat="1" applyFont="1" applyFill="1" applyBorder="1" applyAlignment="1">
      <alignment horizontal="right" vertical="center" wrapText="1"/>
    </xf>
    <xf numFmtId="170" fontId="4" fillId="2" borderId="0" xfId="0" applyNumberFormat="1" applyFont="1" applyFill="1"/>
    <xf numFmtId="172" fontId="4" fillId="2" borderId="0" xfId="0" applyNumberFormat="1" applyFont="1" applyFill="1"/>
    <xf numFmtId="0" fontId="10" fillId="0" borderId="0" xfId="0" applyFont="1"/>
    <xf numFmtId="0" fontId="11" fillId="2" borderId="1" xfId="3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right" vertical="top" wrapText="1"/>
    </xf>
    <xf numFmtId="10" fontId="15" fillId="0" borderId="1" xfId="0" applyNumberFormat="1" applyFont="1" applyBorder="1" applyAlignment="1">
      <alignment horizontal="right"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3" fontId="16" fillId="0" borderId="1" xfId="0" applyNumberFormat="1" applyFont="1" applyBorder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4" fontId="16" fillId="0" borderId="1" xfId="0" applyNumberFormat="1" applyFont="1" applyBorder="1" applyAlignment="1">
      <alignment horizontal="right" vertical="top" wrapText="1"/>
    </xf>
    <xf numFmtId="10" fontId="16" fillId="0" borderId="1" xfId="0" applyNumberFormat="1" applyFont="1" applyBorder="1" applyAlignment="1">
      <alignment horizontal="right" vertical="top" wrapText="1"/>
    </xf>
    <xf numFmtId="0" fontId="13" fillId="0" borderId="1" xfId="0" applyFont="1" applyBorder="1" applyAlignment="1">
      <alignment horizontal="center"/>
    </xf>
    <xf numFmtId="10" fontId="16" fillId="0" borderId="1" xfId="12" applyNumberFormat="1" applyFont="1" applyBorder="1" applyAlignment="1">
      <alignment horizontal="right" vertical="top" wrapText="1"/>
    </xf>
    <xf numFmtId="4" fontId="10" fillId="0" borderId="0" xfId="0" applyNumberFormat="1" applyFont="1"/>
    <xf numFmtId="0" fontId="13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3" fontId="16" fillId="0" borderId="0" xfId="0" applyNumberFormat="1" applyFont="1" applyAlignment="1">
      <alignment horizontal="right" vertical="top" wrapText="1"/>
    </xf>
    <xf numFmtId="0" fontId="17" fillId="0" borderId="0" xfId="0" applyFont="1"/>
    <xf numFmtId="10" fontId="10" fillId="0" borderId="0" xfId="0" applyNumberFormat="1" applyFont="1"/>
    <xf numFmtId="4" fontId="14" fillId="0" borderId="1" xfId="0" applyNumberFormat="1" applyFont="1" applyBorder="1" applyAlignment="1">
      <alignment horizontal="right" vertical="top" wrapText="1"/>
    </xf>
    <xf numFmtId="10" fontId="14" fillId="0" borderId="1" xfId="12" applyNumberFormat="1" applyFont="1" applyBorder="1" applyAlignment="1">
      <alignment horizontal="right" vertical="top" wrapText="1"/>
    </xf>
    <xf numFmtId="10" fontId="14" fillId="0" borderId="1" xfId="0" applyNumberFormat="1" applyFont="1" applyBorder="1" applyAlignment="1">
      <alignment horizontal="right" vertical="top" wrapText="1"/>
    </xf>
    <xf numFmtId="0" fontId="10" fillId="0" borderId="0" xfId="12" applyNumberFormat="1" applyFont="1"/>
    <xf numFmtId="3" fontId="10" fillId="0" borderId="0" xfId="0" applyNumberFormat="1" applyFont="1"/>
    <xf numFmtId="10" fontId="10" fillId="0" borderId="0" xfId="12" applyNumberFormat="1" applyFont="1"/>
    <xf numFmtId="10" fontId="15" fillId="0" borderId="1" xfId="12" applyNumberFormat="1" applyFont="1" applyBorder="1" applyAlignment="1">
      <alignment horizontal="right" vertical="top" wrapText="1"/>
    </xf>
    <xf numFmtId="0" fontId="18" fillId="0" borderId="1" xfId="0" applyFont="1" applyBorder="1"/>
    <xf numFmtId="2" fontId="15" fillId="0" borderId="1" xfId="0" applyNumberFormat="1" applyFont="1" applyBorder="1" applyAlignment="1">
      <alignment horizontal="right" vertical="top" wrapText="1"/>
    </xf>
    <xf numFmtId="2" fontId="16" fillId="0" borderId="1" xfId="0" applyNumberFormat="1" applyFont="1" applyBorder="1" applyAlignment="1">
      <alignment horizontal="right" vertical="top" wrapText="1"/>
    </xf>
    <xf numFmtId="10" fontId="13" fillId="0" borderId="1" xfId="0" applyNumberFormat="1" applyFont="1" applyBorder="1" applyAlignment="1">
      <alignment horizontal="right" vertical="top" wrapText="1"/>
    </xf>
    <xf numFmtId="0" fontId="14" fillId="0" borderId="1" xfId="0" applyFont="1" applyBorder="1"/>
    <xf numFmtId="4" fontId="16" fillId="0" borderId="1" xfId="0" applyNumberFormat="1" applyFont="1" applyBorder="1" applyAlignment="1">
      <alignment horizontal="left" vertical="top" wrapText="1"/>
    </xf>
    <xf numFmtId="10" fontId="16" fillId="0" borderId="1" xfId="0" applyNumberFormat="1" applyFont="1" applyBorder="1" applyAlignment="1">
      <alignment horizontal="left" vertical="top" wrapText="1"/>
    </xf>
    <xf numFmtId="0" fontId="13" fillId="0" borderId="0" xfId="0" applyFont="1"/>
    <xf numFmtId="0" fontId="13" fillId="0" borderId="0" xfId="0" applyFont="1" applyAlignment="1">
      <alignment horizontal="left" vertical="top" wrapText="1"/>
    </xf>
    <xf numFmtId="173" fontId="13" fillId="0" borderId="0" xfId="0" applyNumberFormat="1" applyFont="1" applyAlignment="1">
      <alignment horizontal="left" vertical="top" wrapText="1"/>
    </xf>
    <xf numFmtId="10" fontId="13" fillId="0" borderId="0" xfId="0" applyNumberFormat="1" applyFont="1" applyAlignment="1">
      <alignment horizontal="left" vertical="top" wrapText="1"/>
    </xf>
    <xf numFmtId="0" fontId="19" fillId="0" borderId="0" xfId="0" applyFont="1" applyAlignment="1">
      <alignment wrapText="1"/>
    </xf>
    <xf numFmtId="0" fontId="20" fillId="0" borderId="0" xfId="0" applyFont="1"/>
    <xf numFmtId="4" fontId="20" fillId="0" borderId="0" xfId="0" applyNumberFormat="1" applyFont="1"/>
    <xf numFmtId="10" fontId="13" fillId="0" borderId="0" xfId="0" applyNumberFormat="1" applyFont="1"/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174" fontId="22" fillId="0" borderId="1" xfId="5" applyNumberFormat="1" applyFont="1" applyBorder="1" applyAlignment="1">
      <alignment horizontal="center" wrapText="1"/>
    </xf>
    <xf numFmtId="0" fontId="21" fillId="0" borderId="1" xfId="0" applyFont="1" applyBorder="1"/>
    <xf numFmtId="175" fontId="21" fillId="0" borderId="1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4" fontId="13" fillId="0" borderId="0" xfId="0" applyNumberFormat="1" applyFont="1"/>
    <xf numFmtId="0" fontId="21" fillId="0" borderId="0" xfId="0" applyFont="1"/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10" fontId="2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/>
    </xf>
    <xf numFmtId="4" fontId="17" fillId="0" borderId="0" xfId="0" applyNumberFormat="1" applyFont="1"/>
    <xf numFmtId="0" fontId="25" fillId="0" borderId="1" xfId="0" applyFont="1" applyBorder="1" applyAlignment="1">
      <alignment horizontal="left" vertical="top" wrapText="1"/>
    </xf>
    <xf numFmtId="4" fontId="17" fillId="0" borderId="1" xfId="0" applyNumberFormat="1" applyFont="1" applyBorder="1"/>
    <xf numFmtId="0" fontId="25" fillId="0" borderId="1" xfId="0" applyFont="1" applyBorder="1"/>
    <xf numFmtId="4" fontId="13" fillId="0" borderId="1" xfId="0" applyNumberFormat="1" applyFont="1" applyBorder="1" applyAlignment="1">
      <alignment horizontal="right" vertical="top" wrapText="1"/>
    </xf>
    <xf numFmtId="176" fontId="13" fillId="0" borderId="0" xfId="0" applyNumberFormat="1" applyFont="1" applyAlignment="1">
      <alignment horizontal="left" vertical="top" wrapText="1"/>
    </xf>
    <xf numFmtId="177" fontId="10" fillId="0" borderId="0" xfId="0" applyNumberFormat="1" applyFont="1"/>
    <xf numFmtId="0" fontId="13" fillId="0" borderId="0" xfId="0" applyFont="1" applyAlignment="1">
      <alignment horizontal="right"/>
    </xf>
    <xf numFmtId="0" fontId="8" fillId="0" borderId="0" xfId="13"/>
    <xf numFmtId="0" fontId="11" fillId="0" borderId="1" xfId="4" applyFont="1" applyBorder="1" applyAlignment="1">
      <alignment horizontal="center" vertical="center" wrapText="1"/>
    </xf>
    <xf numFmtId="0" fontId="13" fillId="0" borderId="1" xfId="14" applyFont="1" applyBorder="1" applyProtection="1">
      <protection locked="0"/>
    </xf>
    <xf numFmtId="0" fontId="14" fillId="0" borderId="1" xfId="14" applyFont="1" applyBorder="1" applyAlignment="1" applyProtection="1">
      <alignment wrapText="1"/>
      <protection locked="0"/>
    </xf>
    <xf numFmtId="0" fontId="13" fillId="0" borderId="1" xfId="14" applyFont="1" applyBorder="1" applyAlignment="1">
      <alignment horizontal="right"/>
    </xf>
    <xf numFmtId="0" fontId="13" fillId="0" borderId="1" xfId="14" applyFont="1" applyBorder="1"/>
    <xf numFmtId="0" fontId="13" fillId="0" borderId="1" xfId="14" applyFont="1" applyBorder="1" applyAlignment="1">
      <alignment horizontal="center"/>
    </xf>
    <xf numFmtId="0" fontId="20" fillId="0" borderId="1" xfId="13" applyFont="1" applyBorder="1"/>
    <xf numFmtId="0" fontId="20" fillId="0" borderId="1" xfId="13" applyFont="1" applyBorder="1" applyAlignment="1">
      <alignment wrapText="1"/>
    </xf>
    <xf numFmtId="4" fontId="20" fillId="0" borderId="1" xfId="13" applyNumberFormat="1" applyFont="1" applyBorder="1"/>
    <xf numFmtId="178" fontId="20" fillId="0" borderId="1" xfId="13" applyNumberFormat="1" applyFont="1" applyBorder="1"/>
    <xf numFmtId="43" fontId="20" fillId="0" borderId="1" xfId="11" applyFont="1" applyBorder="1"/>
    <xf numFmtId="2" fontId="13" fillId="0" borderId="1" xfId="14" applyNumberFormat="1" applyFont="1" applyBorder="1" applyAlignment="1">
      <alignment horizontal="right"/>
    </xf>
    <xf numFmtId="4" fontId="8" fillId="0" borderId="0" xfId="13" applyNumberFormat="1"/>
    <xf numFmtId="2" fontId="0" fillId="0" borderId="0" xfId="0" applyNumberFormat="1"/>
    <xf numFmtId="178" fontId="20" fillId="0" borderId="0" xfId="13" applyNumberFormat="1" applyFont="1"/>
    <xf numFmtId="0" fontId="8" fillId="0" borderId="1" xfId="13" applyBorder="1"/>
    <xf numFmtId="0" fontId="14" fillId="0" borderId="1" xfId="4" applyFont="1" applyBorder="1" applyAlignment="1">
      <alignment vertical="center" wrapText="1"/>
    </xf>
    <xf numFmtId="164" fontId="14" fillId="0" borderId="1" xfId="1" applyFont="1" applyBorder="1" applyAlignment="1">
      <alignment vertical="center" wrapText="1"/>
    </xf>
    <xf numFmtId="2" fontId="14" fillId="0" borderId="1" xfId="14" applyNumberFormat="1" applyFont="1" applyBorder="1" applyAlignment="1">
      <alignment horizontal="right" vertical="center"/>
    </xf>
    <xf numFmtId="10" fontId="8" fillId="0" borderId="0" xfId="13" applyNumberFormat="1"/>
    <xf numFmtId="164" fontId="11" fillId="0" borderId="0" xfId="1" applyFont="1" applyAlignment="1">
      <alignment vertical="center" wrapText="1"/>
    </xf>
    <xf numFmtId="164" fontId="13" fillId="0" borderId="1" xfId="1" applyFont="1" applyBorder="1" applyAlignment="1">
      <alignment horizontal="right"/>
    </xf>
    <xf numFmtId="0" fontId="14" fillId="0" borderId="1" xfId="14" applyFont="1" applyBorder="1" applyProtection="1">
      <protection locked="0"/>
    </xf>
    <xf numFmtId="164" fontId="13" fillId="0" borderId="1" xfId="1" applyFont="1" applyBorder="1" applyAlignment="1" applyProtection="1">
      <alignment horizontal="right"/>
      <protection locked="0"/>
    </xf>
    <xf numFmtId="0" fontId="13" fillId="0" borderId="1" xfId="13" applyFont="1" applyBorder="1"/>
    <xf numFmtId="164" fontId="13" fillId="0" borderId="1" xfId="1" applyFont="1" applyBorder="1"/>
    <xf numFmtId="0" fontId="14" fillId="0" borderId="1" xfId="14" applyFont="1" applyBorder="1"/>
    <xf numFmtId="164" fontId="14" fillId="0" borderId="1" xfId="1" applyFont="1" applyBorder="1" applyAlignment="1">
      <alignment horizontal="right"/>
    </xf>
    <xf numFmtId="2" fontId="14" fillId="0" borderId="1" xfId="8" applyNumberFormat="1" applyFont="1" applyBorder="1" applyAlignment="1">
      <alignment horizontal="right"/>
    </xf>
    <xf numFmtId="43" fontId="8" fillId="0" borderId="0" xfId="13" applyNumberFormat="1"/>
    <xf numFmtId="0" fontId="8" fillId="0" borderId="0" xfId="14" applyProtection="1">
      <protection locked="0"/>
    </xf>
    <xf numFmtId="2" fontId="14" fillId="0" borderId="1" xfId="14" applyNumberFormat="1" applyFont="1" applyBorder="1" applyAlignment="1">
      <alignment horizontal="right"/>
    </xf>
    <xf numFmtId="4" fontId="26" fillId="0" borderId="0" xfId="0" applyNumberFormat="1" applyFont="1"/>
    <xf numFmtId="0" fontId="20" fillId="0" borderId="0" xfId="13" applyFont="1"/>
    <xf numFmtId="43" fontId="20" fillId="0" borderId="0" xfId="13" applyNumberFormat="1" applyFont="1"/>
    <xf numFmtId="0" fontId="27" fillId="0" borderId="0" xfId="13" applyFont="1"/>
    <xf numFmtId="0" fontId="22" fillId="0" borderId="0" xfId="5" applyFont="1" applyAlignment="1">
      <alignment horizontal="left" vertical="center" wrapText="1"/>
    </xf>
    <xf numFmtId="0" fontId="28" fillId="0" borderId="0" xfId="5" applyFont="1" applyAlignment="1">
      <alignment vertical="center"/>
    </xf>
    <xf numFmtId="4" fontId="29" fillId="0" borderId="0" xfId="13" applyNumberFormat="1" applyFont="1"/>
    <xf numFmtId="2" fontId="28" fillId="0" borderId="0" xfId="5" applyNumberFormat="1" applyFont="1" applyAlignment="1">
      <alignment vertical="center"/>
    </xf>
    <xf numFmtId="0" fontId="13" fillId="0" borderId="0" xfId="6" applyFont="1" applyAlignment="1">
      <alignment vertical="center"/>
    </xf>
    <xf numFmtId="0" fontId="28" fillId="0" borderId="0" xfId="5" applyFont="1" applyAlignment="1">
      <alignment horizontal="left" vertical="center"/>
    </xf>
    <xf numFmtId="0" fontId="28" fillId="0" borderId="1" xfId="5" applyFont="1" applyBorder="1" applyAlignment="1">
      <alignment vertical="center"/>
    </xf>
    <xf numFmtId="0" fontId="14" fillId="0" borderId="1" xfId="6" applyFont="1" applyBorder="1" applyAlignment="1">
      <alignment horizontal="center" vertical="center"/>
    </xf>
    <xf numFmtId="0" fontId="22" fillId="0" borderId="0" xfId="5" applyFont="1" applyAlignment="1">
      <alignment vertical="center"/>
    </xf>
    <xf numFmtId="0" fontId="14" fillId="0" borderId="1" xfId="6" applyFont="1" applyBorder="1" applyAlignment="1">
      <alignment vertical="center"/>
    </xf>
    <xf numFmtId="174" fontId="22" fillId="0" borderId="1" xfId="5" applyNumberFormat="1" applyFont="1" applyBorder="1" applyAlignment="1">
      <alignment horizontal="center"/>
    </xf>
    <xf numFmtId="14" fontId="22" fillId="0" borderId="0" xfId="5" applyNumberFormat="1" applyFont="1" applyAlignment="1">
      <alignment horizontal="center"/>
    </xf>
    <xf numFmtId="0" fontId="28" fillId="0" borderId="1" xfId="5" applyFont="1" applyBorder="1" applyAlignment="1">
      <alignment horizontal="left" vertical="center"/>
    </xf>
    <xf numFmtId="175" fontId="20" fillId="0" borderId="1" xfId="13" applyNumberFormat="1" applyFont="1" applyBorder="1"/>
    <xf numFmtId="175" fontId="20" fillId="0" borderId="0" xfId="13" applyNumberFormat="1" applyFont="1"/>
    <xf numFmtId="0" fontId="13" fillId="0" borderId="0" xfId="5" applyFont="1" applyAlignment="1">
      <alignment horizontal="center" vertical="center"/>
    </xf>
    <xf numFmtId="0" fontId="28" fillId="0" borderId="0" xfId="5" quotePrefix="1" applyFont="1" applyAlignment="1">
      <alignment vertical="center"/>
    </xf>
    <xf numFmtId="0" fontId="13" fillId="0" borderId="0" xfId="13" applyFont="1" applyAlignment="1">
      <alignment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 wrapText="1"/>
    </xf>
    <xf numFmtId="0" fontId="6" fillId="2" borderId="7" xfId="3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21" fillId="0" borderId="9" xfId="0" applyFont="1" applyBorder="1" applyAlignment="1">
      <alignment horizontal="left"/>
    </xf>
    <xf numFmtId="0" fontId="6" fillId="2" borderId="1" xfId="3" applyFont="1" applyFill="1" applyBorder="1" applyAlignment="1">
      <alignment horizontal="center" vertical="center" wrapText="1"/>
    </xf>
    <xf numFmtId="0" fontId="28" fillId="0" borderId="0" xfId="5" applyFont="1" applyAlignment="1">
      <alignment horizontal="left" vertical="center"/>
    </xf>
    <xf numFmtId="0" fontId="28" fillId="0" borderId="0" xfId="5" applyFont="1" applyAlignment="1">
      <alignment horizontal="left"/>
    </xf>
    <xf numFmtId="0" fontId="20" fillId="0" borderId="0" xfId="13" applyFont="1" applyAlignment="1">
      <alignment horizontal="left"/>
    </xf>
    <xf numFmtId="0" fontId="9" fillId="0" borderId="1" xfId="13" applyFont="1" applyBorder="1" applyAlignment="1">
      <alignment horizontal="center"/>
    </xf>
    <xf numFmtId="0" fontId="8" fillId="0" borderId="1" xfId="13" applyBorder="1" applyAlignment="1">
      <alignment horizontal="center"/>
    </xf>
    <xf numFmtId="0" fontId="11" fillId="0" borderId="1" xfId="4" applyFont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 wrapText="1"/>
    </xf>
    <xf numFmtId="0" fontId="18" fillId="0" borderId="0" xfId="0" applyFont="1"/>
    <xf numFmtId="0" fontId="24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2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horizontal="center" vertical="top"/>
    </xf>
    <xf numFmtId="4" fontId="0" fillId="0" borderId="1" xfId="0" applyNumberFormat="1" applyBorder="1" applyAlignment="1">
      <alignment horizontal="right" vertical="center"/>
    </xf>
    <xf numFmtId="2" fontId="28" fillId="0" borderId="1" xfId="0" applyNumberFormat="1" applyFont="1" applyBorder="1" applyAlignment="1">
      <alignment horizontal="right" vertical="top" wrapText="1"/>
    </xf>
    <xf numFmtId="0" fontId="0" fillId="0" borderId="0" xfId="0" applyProtection="1">
      <protection locked="0"/>
    </xf>
    <xf numFmtId="0" fontId="28" fillId="0" borderId="1" xfId="0" applyFont="1" applyBorder="1"/>
    <xf numFmtId="0" fontId="28" fillId="0" borderId="10" xfId="0" applyFont="1" applyBorder="1" applyAlignment="1">
      <alignment horizontal="center"/>
    </xf>
    <xf numFmtId="0" fontId="13" fillId="0" borderId="10" xfId="0" applyFont="1" applyBorder="1" applyAlignment="1" applyProtection="1">
      <alignment horizontal="center"/>
      <protection locked="0"/>
    </xf>
    <xf numFmtId="164" fontId="13" fillId="0" borderId="10" xfId="10" applyFont="1" applyBorder="1" applyAlignment="1" applyProtection="1">
      <alignment horizontal="center"/>
      <protection locked="0"/>
    </xf>
    <xf numFmtId="0" fontId="2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10" fontId="28" fillId="0" borderId="1" xfId="0" applyNumberFormat="1" applyFont="1" applyBorder="1" applyAlignment="1">
      <alignment horizontal="center"/>
    </xf>
    <xf numFmtId="10" fontId="20" fillId="0" borderId="0" xfId="0" applyNumberFormat="1" applyFont="1"/>
    <xf numFmtId="0" fontId="2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right" vertical="top" wrapText="1"/>
    </xf>
    <xf numFmtId="4" fontId="28" fillId="0" borderId="1" xfId="0" applyNumberFormat="1" applyFont="1" applyBorder="1" applyAlignment="1">
      <alignment horizontal="right" vertical="top" wrapText="1"/>
    </xf>
    <xf numFmtId="164" fontId="13" fillId="0" borderId="1" xfId="10" applyFont="1" applyBorder="1"/>
    <xf numFmtId="0" fontId="13" fillId="0" borderId="1" xfId="0" applyFont="1" applyBorder="1" applyAlignment="1">
      <alignment vertical="top" wrapText="1"/>
    </xf>
    <xf numFmtId="4" fontId="28" fillId="0" borderId="1" xfId="0" applyNumberFormat="1" applyFont="1" applyBorder="1" applyAlignment="1">
      <alignment horizontal="right"/>
    </xf>
    <xf numFmtId="4" fontId="28" fillId="0" borderId="1" xfId="10" applyNumberFormat="1" applyFont="1" applyBorder="1" applyAlignment="1">
      <alignment horizontal="right" vertical="top" wrapText="1"/>
    </xf>
    <xf numFmtId="164" fontId="13" fillId="0" borderId="0" xfId="10" applyFont="1"/>
    <xf numFmtId="164" fontId="13" fillId="0" borderId="0" xfId="0" applyNumberFormat="1" applyFont="1"/>
    <xf numFmtId="0" fontId="13" fillId="0" borderId="1" xfId="10" applyNumberFormat="1" applyFont="1" applyBorder="1" applyAlignment="1">
      <alignment horizontal="center"/>
    </xf>
    <xf numFmtId="4" fontId="13" fillId="0" borderId="1" xfId="10" applyNumberFormat="1" applyFont="1" applyBorder="1"/>
    <xf numFmtId="0" fontId="14" fillId="0" borderId="1" xfId="1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28" fillId="0" borderId="0" xfId="0" applyFont="1" applyAlignment="1">
      <alignment horizontal="left" vertical="top"/>
    </xf>
    <xf numFmtId="37" fontId="13" fillId="0" borderId="0" xfId="10" applyNumberFormat="1" applyFont="1" applyAlignment="1">
      <alignment horizontal="center"/>
    </xf>
    <xf numFmtId="179" fontId="20" fillId="0" borderId="0" xfId="0" applyNumberFormat="1" applyFont="1"/>
    <xf numFmtId="164" fontId="20" fillId="0" borderId="0" xfId="0" applyNumberFormat="1" applyFont="1"/>
    <xf numFmtId="164" fontId="24" fillId="0" borderId="0" xfId="0" applyNumberFormat="1" applyFont="1"/>
    <xf numFmtId="0" fontId="28" fillId="0" borderId="1" xfId="0" applyFont="1" applyBorder="1" applyAlignment="1">
      <alignment horizontal="right" vertical="top"/>
    </xf>
    <xf numFmtId="0" fontId="28" fillId="0" borderId="0" xfId="0" applyFont="1" applyAlignment="1">
      <alignment vertical="top" wrapText="1"/>
    </xf>
    <xf numFmtId="2" fontId="28" fillId="0" borderId="0" xfId="0" applyNumberFormat="1" applyFont="1" applyAlignment="1">
      <alignment vertical="top" wrapText="1"/>
    </xf>
    <xf numFmtId="164" fontId="28" fillId="0" borderId="0" xfId="10" applyFont="1"/>
    <xf numFmtId="0" fontId="28" fillId="0" borderId="0" xfId="0" applyFont="1"/>
    <xf numFmtId="0" fontId="13" fillId="0" borderId="0" xfId="0" applyFont="1" applyAlignment="1" applyProtection="1">
      <alignment horizontal="left"/>
      <protection locked="0"/>
    </xf>
    <xf numFmtId="0" fontId="28" fillId="0" borderId="0" xfId="0" applyFont="1" applyAlignment="1">
      <alignment horizontal="center" vertical="top"/>
    </xf>
    <xf numFmtId="164" fontId="13" fillId="0" borderId="0" xfId="10" applyFont="1" applyAlignment="1" applyProtection="1">
      <alignment horizontal="left"/>
      <protection locked="0"/>
    </xf>
    <xf numFmtId="4" fontId="13" fillId="0" borderId="0" xfId="0" applyNumberFormat="1" applyFont="1" applyAlignment="1">
      <alignment horizontal="right" vertical="center"/>
    </xf>
    <xf numFmtId="10" fontId="28" fillId="0" borderId="1" xfId="0" applyNumberFormat="1" applyFont="1" applyBorder="1" applyAlignment="1">
      <alignment horizontal="left" vertical="top"/>
    </xf>
    <xf numFmtId="164" fontId="28" fillId="0" borderId="1" xfId="10" applyFont="1" applyBorder="1" applyAlignment="1">
      <alignment horizontal="center" vertical="top" wrapText="1"/>
    </xf>
    <xf numFmtId="164" fontId="28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right"/>
    </xf>
    <xf numFmtId="164" fontId="14" fillId="0" borderId="0" xfId="10" applyFont="1"/>
    <xf numFmtId="180" fontId="20" fillId="0" borderId="1" xfId="0" applyNumberFormat="1" applyFont="1" applyBorder="1" applyAlignment="1">
      <alignment horizontal="right"/>
    </xf>
    <xf numFmtId="181" fontId="13" fillId="0" borderId="0" xfId="10" applyNumberFormat="1" applyFont="1"/>
    <xf numFmtId="1" fontId="20" fillId="0" borderId="1" xfId="0" applyNumberFormat="1" applyFont="1" applyBorder="1" applyAlignment="1">
      <alignment horizontal="center"/>
    </xf>
    <xf numFmtId="0" fontId="14" fillId="0" borderId="0" xfId="0" applyFont="1" applyAlignment="1">
      <alignment vertical="top" wrapText="1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 vertical="top" wrapText="1"/>
    </xf>
    <xf numFmtId="0" fontId="18" fillId="0" borderId="1" xfId="0" applyFont="1" applyBorder="1" applyAlignment="1">
      <alignment horizontal="center" vertical="top" wrapText="1"/>
    </xf>
    <xf numFmtId="0" fontId="13" fillId="0" borderId="1" xfId="0" applyFont="1" applyBorder="1" applyAlignment="1" applyProtection="1">
      <alignment horizontal="left"/>
      <protection locked="0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right" vertical="top" wrapText="1"/>
    </xf>
    <xf numFmtId="182" fontId="30" fillId="0" borderId="1" xfId="0" applyNumberFormat="1" applyFont="1" applyBorder="1" applyAlignment="1">
      <alignment horizontal="right" vertical="top" wrapText="1"/>
    </xf>
    <xf numFmtId="0" fontId="31" fillId="0" borderId="0" xfId="0" applyFont="1"/>
    <xf numFmtId="183" fontId="30" fillId="0" borderId="0" xfId="0" applyNumberFormat="1" applyFont="1" applyAlignment="1">
      <alignment horizontal="right" vertical="top" wrapText="1"/>
    </xf>
    <xf numFmtId="10" fontId="28" fillId="0" borderId="1" xfId="12" applyNumberFormat="1" applyFont="1" applyBorder="1" applyAlignment="1">
      <alignment horizontal="center"/>
    </xf>
    <xf numFmtId="0" fontId="20" fillId="0" borderId="0" xfId="0" applyFont="1" applyAlignment="1">
      <alignment horizontal="left" vertical="top" wrapText="1"/>
    </xf>
    <xf numFmtId="184" fontId="20" fillId="0" borderId="0" xfId="10" applyNumberFormat="1" applyFont="1" applyAlignment="1">
      <alignment horizontal="right" vertical="top" wrapText="1"/>
    </xf>
    <xf numFmtId="10" fontId="28" fillId="0" borderId="0" xfId="0" applyNumberFormat="1" applyFont="1" applyAlignment="1">
      <alignment horizontal="center"/>
    </xf>
    <xf numFmtId="164" fontId="28" fillId="0" borderId="1" xfId="10" applyFont="1" applyBorder="1" applyAlignment="1">
      <alignment horizontal="right" vertical="top" wrapText="1"/>
    </xf>
    <xf numFmtId="164" fontId="28" fillId="0" borderId="1" xfId="10" applyFont="1" applyBorder="1" applyAlignment="1">
      <alignment horizontal="center"/>
    </xf>
    <xf numFmtId="4" fontId="28" fillId="0" borderId="0" xfId="10" applyNumberFormat="1" applyFont="1"/>
    <xf numFmtId="0" fontId="28" fillId="0" borderId="1" xfId="0" applyFont="1" applyBorder="1" applyAlignment="1">
      <alignment vertical="top" wrapText="1"/>
    </xf>
    <xf numFmtId="2" fontId="28" fillId="0" borderId="1" xfId="0" applyNumberFormat="1" applyFont="1" applyBorder="1" applyAlignment="1">
      <alignment vertical="top" wrapText="1"/>
    </xf>
    <xf numFmtId="164" fontId="28" fillId="0" borderId="1" xfId="10" applyFont="1" applyBorder="1"/>
    <xf numFmtId="0" fontId="13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/>
    </xf>
    <xf numFmtId="37" fontId="13" fillId="0" borderId="1" xfId="10" applyNumberFormat="1" applyFont="1" applyBorder="1" applyAlignment="1">
      <alignment horizontal="center"/>
    </xf>
    <xf numFmtId="164" fontId="13" fillId="0" borderId="1" xfId="10" applyFont="1" applyBorder="1" applyAlignment="1">
      <alignment horizontal="center"/>
    </xf>
  </cellXfs>
  <cellStyles count="15">
    <cellStyle name="Comma" xfId="11" builtinId="3"/>
    <cellStyle name="Comma 10" xfId="1" xr:uid="{00000000-0005-0000-0000-000000000000}"/>
    <cellStyle name="Comma 11" xfId="2" xr:uid="{00000000-0005-0000-0000-000001000000}"/>
    <cellStyle name="Comma 2" xfId="10" xr:uid="{6F7DF24D-FFFD-4256-BA2C-9AD76C73C34C}"/>
    <cellStyle name="Normal" xfId="0" builtinId="0"/>
    <cellStyle name="Normal 2 2" xfId="14" xr:uid="{C94424B9-C7D6-437F-927A-4261E7A6F6AC}"/>
    <cellStyle name="Normal 4" xfId="13" xr:uid="{8BF63087-BDBB-4D4E-A25A-714FA9ACFD9E}"/>
    <cellStyle name="Normal_Bonsaverportfolio" xfId="3" xr:uid="{00000000-0005-0000-0000-000003000000}"/>
    <cellStyle name="Normal_Bonsaverportfolio 2 2" xfId="4" xr:uid="{00000000-0005-0000-0000-000004000000}"/>
    <cellStyle name="Normal_Halfyearly_Debtholdings_30092011 2" xfId="5" xr:uid="{00000000-0005-0000-0000-000005000000}"/>
    <cellStyle name="Normal_Holdingotherschemes new" xfId="6" xr:uid="{00000000-0005-0000-0000-000006000000}"/>
    <cellStyle name="Normal_Holdingotherschemes new 2 2" xfId="7" xr:uid="{00000000-0005-0000-0000-000007000000}"/>
    <cellStyle name="Percent" xfId="12" builtinId="5"/>
    <cellStyle name="Percent 10" xfId="8" xr:uid="{00000000-0005-0000-0000-000009000000}"/>
    <cellStyle name="Percent 11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pss.in\FA\FASUNDARAM\DEBT_BACKOFFICE\Debt_Factsheets\31072019-DATA\Working%20Files\PORTFOLIO_SUMMARY_REPORT_DEBT_Working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5SR7"/>
      <sheetName val="CP5SR8"/>
      <sheetName val="DEBTST"/>
      <sheetName val="SFRLTP"/>
      <sheetName val="SFRSTP"/>
      <sheetName val="SFTPHS"/>
      <sheetName val="SFTPIC"/>
      <sheetName val="SFTPIE"/>
      <sheetName val="SFTPIJ"/>
      <sheetName val="SFTPIK"/>
      <sheetName val="SFTPIS"/>
      <sheetName val="SHYBO"/>
      <sheetName val="SHYBP"/>
      <sheetName val="SHYBU"/>
      <sheetName val="SLIQ+"/>
      <sheetName val="SMMF"/>
      <sheetName val="SMON"/>
      <sheetName val="SUNBDS"/>
      <sheetName val="SUNIP"/>
      <sheetName val="SUNMIA"/>
      <sheetName val="SUNONF"/>
      <sheetName val="ULTRANEW"/>
      <sheetName val="XDO_META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33"/>
  <sheetViews>
    <sheetView tabSelected="1"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1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721969</v>
      </c>
      <c r="F7" s="51">
        <v>3065.4803740000002</v>
      </c>
      <c r="G7" s="5">
        <v>5.5950215999999997E-2</v>
      </c>
    </row>
    <row r="8" spans="1:7" ht="15" x14ac:dyDescent="0.25">
      <c r="A8" s="6">
        <v>2</v>
      </c>
      <c r="B8" s="7" t="s">
        <v>14</v>
      </c>
      <c r="C8" s="11" t="s">
        <v>15</v>
      </c>
      <c r="D8" s="2" t="s">
        <v>16</v>
      </c>
      <c r="E8" s="46">
        <v>397683</v>
      </c>
      <c r="F8" s="51">
        <v>2928.5376120000001</v>
      </c>
      <c r="G8" s="5">
        <v>5.3450778999999997E-2</v>
      </c>
    </row>
    <row r="9" spans="1:7" ht="25.5" x14ac:dyDescent="0.25">
      <c r="A9" s="6">
        <v>3</v>
      </c>
      <c r="B9" s="7" t="s">
        <v>17</v>
      </c>
      <c r="C9" s="11" t="s">
        <v>18</v>
      </c>
      <c r="D9" s="2" t="s">
        <v>19</v>
      </c>
      <c r="E9" s="46">
        <v>206743</v>
      </c>
      <c r="F9" s="51">
        <v>2868.1456389999998</v>
      </c>
      <c r="G9" s="5">
        <v>5.2348523000000001E-2</v>
      </c>
    </row>
    <row r="10" spans="1:7" ht="25.5" x14ac:dyDescent="0.25">
      <c r="A10" s="6">
        <v>4</v>
      </c>
      <c r="B10" s="7" t="s">
        <v>20</v>
      </c>
      <c r="C10" s="11" t="s">
        <v>21</v>
      </c>
      <c r="D10" s="2" t="s">
        <v>22</v>
      </c>
      <c r="E10" s="46">
        <v>350000</v>
      </c>
      <c r="F10" s="51">
        <v>2375.8000000000002</v>
      </c>
      <c r="G10" s="5">
        <v>4.3362379999999999E-2</v>
      </c>
    </row>
    <row r="11" spans="1:7" ht="25.5" x14ac:dyDescent="0.25">
      <c r="A11" s="6">
        <v>5</v>
      </c>
      <c r="B11" s="7" t="s">
        <v>23</v>
      </c>
      <c r="C11" s="11" t="s">
        <v>24</v>
      </c>
      <c r="D11" s="2" t="s">
        <v>22</v>
      </c>
      <c r="E11" s="46">
        <v>410000</v>
      </c>
      <c r="F11" s="51">
        <v>2254.3850000000002</v>
      </c>
      <c r="G11" s="5">
        <v>4.1146349999999998E-2</v>
      </c>
    </row>
    <row r="12" spans="1:7" ht="25.5" x14ac:dyDescent="0.25">
      <c r="A12" s="6">
        <v>6</v>
      </c>
      <c r="B12" s="7" t="s">
        <v>25</v>
      </c>
      <c r="C12" s="11" t="s">
        <v>26</v>
      </c>
      <c r="D12" s="2" t="s">
        <v>27</v>
      </c>
      <c r="E12" s="46">
        <v>450000</v>
      </c>
      <c r="F12" s="51">
        <v>2158.4250000000002</v>
      </c>
      <c r="G12" s="5">
        <v>3.9394917000000002E-2</v>
      </c>
    </row>
    <row r="13" spans="1:7" ht="25.5" x14ac:dyDescent="0.25">
      <c r="A13" s="6">
        <v>7</v>
      </c>
      <c r="B13" s="7" t="s">
        <v>28</v>
      </c>
      <c r="C13" s="11" t="s">
        <v>29</v>
      </c>
      <c r="D13" s="2" t="s">
        <v>30</v>
      </c>
      <c r="E13" s="46">
        <v>8000</v>
      </c>
      <c r="F13" s="51">
        <v>1852.2639999999999</v>
      </c>
      <c r="G13" s="5">
        <v>3.3806959999999997E-2</v>
      </c>
    </row>
    <row r="14" spans="1:7" ht="25.5" x14ac:dyDescent="0.25">
      <c r="A14" s="6">
        <v>8</v>
      </c>
      <c r="B14" s="7" t="s">
        <v>31</v>
      </c>
      <c r="C14" s="11" t="s">
        <v>32</v>
      </c>
      <c r="D14" s="2" t="s">
        <v>30</v>
      </c>
      <c r="E14" s="46">
        <v>165481</v>
      </c>
      <c r="F14" s="51">
        <v>1819.5463354999999</v>
      </c>
      <c r="G14" s="5">
        <v>3.3209807000000001E-2</v>
      </c>
    </row>
    <row r="15" spans="1:7" ht="15" x14ac:dyDescent="0.25">
      <c r="A15" s="6">
        <v>9</v>
      </c>
      <c r="B15" s="7" t="s">
        <v>33</v>
      </c>
      <c r="C15" s="11" t="s">
        <v>34</v>
      </c>
      <c r="D15" s="2" t="s">
        <v>13</v>
      </c>
      <c r="E15" s="46">
        <v>80000</v>
      </c>
      <c r="F15" s="51">
        <v>1801.32</v>
      </c>
      <c r="G15" s="5">
        <v>3.2877145000000003E-2</v>
      </c>
    </row>
    <row r="16" spans="1:7" ht="25.5" x14ac:dyDescent="0.25">
      <c r="A16" s="6">
        <v>10</v>
      </c>
      <c r="B16" s="7" t="s">
        <v>35</v>
      </c>
      <c r="C16" s="11" t="s">
        <v>36</v>
      </c>
      <c r="D16" s="2" t="s">
        <v>37</v>
      </c>
      <c r="E16" s="46">
        <v>397537</v>
      </c>
      <c r="F16" s="51">
        <v>1698.0792954999999</v>
      </c>
      <c r="G16" s="5">
        <v>3.0992827000000001E-2</v>
      </c>
    </row>
    <row r="17" spans="1:7" ht="15" x14ac:dyDescent="0.25">
      <c r="A17" s="6">
        <v>11</v>
      </c>
      <c r="B17" s="7" t="s">
        <v>38</v>
      </c>
      <c r="C17" s="11" t="s">
        <v>39</v>
      </c>
      <c r="D17" s="2" t="s">
        <v>16</v>
      </c>
      <c r="E17" s="46">
        <v>8140</v>
      </c>
      <c r="F17" s="51">
        <v>1641.36995</v>
      </c>
      <c r="G17" s="5">
        <v>2.9957786E-2</v>
      </c>
    </row>
    <row r="18" spans="1:7" ht="25.5" x14ac:dyDescent="0.25">
      <c r="A18" s="6">
        <v>12</v>
      </c>
      <c r="B18" s="7" t="s">
        <v>40</v>
      </c>
      <c r="C18" s="11" t="s">
        <v>41</v>
      </c>
      <c r="D18" s="2" t="s">
        <v>42</v>
      </c>
      <c r="E18" s="46">
        <v>140000</v>
      </c>
      <c r="F18" s="51">
        <v>1632.75</v>
      </c>
      <c r="G18" s="5">
        <v>2.9800456999999999E-2</v>
      </c>
    </row>
    <row r="19" spans="1:7" ht="25.5" x14ac:dyDescent="0.25">
      <c r="A19" s="6">
        <v>13</v>
      </c>
      <c r="B19" s="7" t="s">
        <v>43</v>
      </c>
      <c r="C19" s="11" t="s">
        <v>44</v>
      </c>
      <c r="D19" s="2" t="s">
        <v>30</v>
      </c>
      <c r="E19" s="46">
        <v>1490000</v>
      </c>
      <c r="F19" s="51">
        <v>1572.6949999999999</v>
      </c>
      <c r="G19" s="5">
        <v>2.8704350999999999E-2</v>
      </c>
    </row>
    <row r="20" spans="1:7" ht="25.5" x14ac:dyDescent="0.25">
      <c r="A20" s="6">
        <v>14</v>
      </c>
      <c r="B20" s="7" t="s">
        <v>45</v>
      </c>
      <c r="C20" s="11" t="s">
        <v>46</v>
      </c>
      <c r="D20" s="2" t="s">
        <v>22</v>
      </c>
      <c r="E20" s="46">
        <v>244698</v>
      </c>
      <c r="F20" s="51">
        <v>1497.3070620000001</v>
      </c>
      <c r="G20" s="5">
        <v>2.7328393999999999E-2</v>
      </c>
    </row>
    <row r="21" spans="1:7" ht="15" x14ac:dyDescent="0.25">
      <c r="A21" s="6">
        <v>15</v>
      </c>
      <c r="B21" s="7" t="s">
        <v>47</v>
      </c>
      <c r="C21" s="11" t="s">
        <v>48</v>
      </c>
      <c r="D21" s="2" t="s">
        <v>13</v>
      </c>
      <c r="E21" s="46">
        <v>445720</v>
      </c>
      <c r="F21" s="51">
        <v>1480.68184</v>
      </c>
      <c r="G21" s="5">
        <v>2.7024955E-2</v>
      </c>
    </row>
    <row r="22" spans="1:7" ht="15" x14ac:dyDescent="0.25">
      <c r="A22" s="6">
        <v>16</v>
      </c>
      <c r="B22" s="7" t="s">
        <v>49</v>
      </c>
      <c r="C22" s="11" t="s">
        <v>50</v>
      </c>
      <c r="D22" s="2" t="s">
        <v>51</v>
      </c>
      <c r="E22" s="46">
        <v>545000</v>
      </c>
      <c r="F22" s="51">
        <v>1425.72</v>
      </c>
      <c r="G22" s="5">
        <v>2.6021808E-2</v>
      </c>
    </row>
    <row r="23" spans="1:7" ht="25.5" x14ac:dyDescent="0.25">
      <c r="A23" s="6">
        <v>17</v>
      </c>
      <c r="B23" s="7" t="s">
        <v>52</v>
      </c>
      <c r="C23" s="11" t="s">
        <v>53</v>
      </c>
      <c r="D23" s="2" t="s">
        <v>30</v>
      </c>
      <c r="E23" s="46">
        <v>330260</v>
      </c>
      <c r="F23" s="51">
        <v>1413.6779300000001</v>
      </c>
      <c r="G23" s="5">
        <v>2.5802019999999998E-2</v>
      </c>
    </row>
    <row r="24" spans="1:7" ht="15" x14ac:dyDescent="0.25">
      <c r="A24" s="6">
        <v>18</v>
      </c>
      <c r="B24" s="7" t="s">
        <v>54</v>
      </c>
      <c r="C24" s="11" t="s">
        <v>55</v>
      </c>
      <c r="D24" s="2" t="s">
        <v>56</v>
      </c>
      <c r="E24" s="46">
        <v>1000000</v>
      </c>
      <c r="F24" s="51">
        <v>1351</v>
      </c>
      <c r="G24" s="5">
        <v>2.4658040999999999E-2</v>
      </c>
    </row>
    <row r="25" spans="1:7" ht="25.5" x14ac:dyDescent="0.25">
      <c r="A25" s="6">
        <v>19</v>
      </c>
      <c r="B25" s="7" t="s">
        <v>57</v>
      </c>
      <c r="C25" s="11" t="s">
        <v>58</v>
      </c>
      <c r="D25" s="2" t="s">
        <v>59</v>
      </c>
      <c r="E25" s="46">
        <v>199036</v>
      </c>
      <c r="F25" s="51">
        <v>1347.075648</v>
      </c>
      <c r="G25" s="5">
        <v>2.4586415E-2</v>
      </c>
    </row>
    <row r="26" spans="1:7" ht="15" x14ac:dyDescent="0.25">
      <c r="A26" s="6">
        <v>20</v>
      </c>
      <c r="B26" s="7" t="s">
        <v>60</v>
      </c>
      <c r="C26" s="11" t="s">
        <v>61</v>
      </c>
      <c r="D26" s="2" t="s">
        <v>16</v>
      </c>
      <c r="E26" s="46">
        <v>135000</v>
      </c>
      <c r="F26" s="51">
        <v>1304.0999999999999</v>
      </c>
      <c r="G26" s="5">
        <v>2.3802037000000002E-2</v>
      </c>
    </row>
    <row r="27" spans="1:7" ht="15" x14ac:dyDescent="0.25">
      <c r="A27" s="6">
        <v>21</v>
      </c>
      <c r="B27" s="7" t="s">
        <v>62</v>
      </c>
      <c r="C27" s="11" t="s">
        <v>63</v>
      </c>
      <c r="D27" s="2" t="s">
        <v>16</v>
      </c>
      <c r="E27" s="46">
        <v>1235000</v>
      </c>
      <c r="F27" s="51">
        <v>1258.4649999999999</v>
      </c>
      <c r="G27" s="5">
        <v>2.2969120999999999E-2</v>
      </c>
    </row>
    <row r="28" spans="1:7" ht="25.5" x14ac:dyDescent="0.25">
      <c r="A28" s="6">
        <v>22</v>
      </c>
      <c r="B28" s="7" t="s">
        <v>64</v>
      </c>
      <c r="C28" s="11" t="s">
        <v>65</v>
      </c>
      <c r="D28" s="2" t="s">
        <v>19</v>
      </c>
      <c r="E28" s="46">
        <v>1600000</v>
      </c>
      <c r="F28" s="51">
        <v>1170.4000000000001</v>
      </c>
      <c r="G28" s="5">
        <v>2.1361785000000001E-2</v>
      </c>
    </row>
    <row r="29" spans="1:7" ht="15" x14ac:dyDescent="0.25">
      <c r="A29" s="6">
        <v>23</v>
      </c>
      <c r="B29" s="7" t="s">
        <v>66</v>
      </c>
      <c r="C29" s="11" t="s">
        <v>67</v>
      </c>
      <c r="D29" s="2" t="s">
        <v>51</v>
      </c>
      <c r="E29" s="46">
        <v>600532</v>
      </c>
      <c r="F29" s="51">
        <v>1104.378348</v>
      </c>
      <c r="G29" s="5">
        <v>2.0156778E-2</v>
      </c>
    </row>
    <row r="30" spans="1:7" ht="25.5" x14ac:dyDescent="0.25">
      <c r="A30" s="6">
        <v>24</v>
      </c>
      <c r="B30" s="7" t="s">
        <v>68</v>
      </c>
      <c r="C30" s="11" t="s">
        <v>69</v>
      </c>
      <c r="D30" s="2" t="s">
        <v>19</v>
      </c>
      <c r="E30" s="46">
        <v>900000</v>
      </c>
      <c r="F30" s="51">
        <v>1088.0999999999999</v>
      </c>
      <c r="G30" s="5">
        <v>1.9859670999999999E-2</v>
      </c>
    </row>
    <row r="31" spans="1:7" ht="25.5" x14ac:dyDescent="0.25">
      <c r="A31" s="6">
        <v>25</v>
      </c>
      <c r="B31" s="7" t="s">
        <v>70</v>
      </c>
      <c r="C31" s="11" t="s">
        <v>71</v>
      </c>
      <c r="D31" s="2" t="s">
        <v>22</v>
      </c>
      <c r="E31" s="46">
        <v>90305</v>
      </c>
      <c r="F31" s="51">
        <v>990.82646</v>
      </c>
      <c r="G31" s="5">
        <v>1.8084263E-2</v>
      </c>
    </row>
    <row r="32" spans="1:7" ht="15" x14ac:dyDescent="0.25">
      <c r="A32" s="6">
        <v>26</v>
      </c>
      <c r="B32" s="7" t="s">
        <v>72</v>
      </c>
      <c r="C32" s="11" t="s">
        <v>845</v>
      </c>
      <c r="D32" s="2" t="s">
        <v>51</v>
      </c>
      <c r="E32" s="46">
        <v>390000</v>
      </c>
      <c r="F32" s="51">
        <v>923.71500000000003</v>
      </c>
      <c r="G32" s="5">
        <v>1.6859366000000001E-2</v>
      </c>
    </row>
    <row r="33" spans="1:7" ht="25.5" x14ac:dyDescent="0.25">
      <c r="A33" s="6">
        <v>27</v>
      </c>
      <c r="B33" s="7" t="s">
        <v>73</v>
      </c>
      <c r="C33" s="11" t="s">
        <v>74</v>
      </c>
      <c r="D33" s="2" t="s">
        <v>30</v>
      </c>
      <c r="E33" s="46">
        <v>579516</v>
      </c>
      <c r="F33" s="51">
        <v>851.01924599999995</v>
      </c>
      <c r="G33" s="5">
        <v>1.5532545E-2</v>
      </c>
    </row>
    <row r="34" spans="1:7" ht="15" x14ac:dyDescent="0.25">
      <c r="A34" s="6">
        <v>28</v>
      </c>
      <c r="B34" s="7" t="s">
        <v>75</v>
      </c>
      <c r="C34" s="11" t="s">
        <v>76</v>
      </c>
      <c r="D34" s="2" t="s">
        <v>51</v>
      </c>
      <c r="E34" s="46">
        <v>380000</v>
      </c>
      <c r="F34" s="51">
        <v>841.51</v>
      </c>
      <c r="G34" s="5">
        <v>1.5358985E-2</v>
      </c>
    </row>
    <row r="35" spans="1:7" ht="25.5" x14ac:dyDescent="0.25">
      <c r="A35" s="6">
        <v>29</v>
      </c>
      <c r="B35" s="7" t="s">
        <v>77</v>
      </c>
      <c r="C35" s="11" t="s">
        <v>78</v>
      </c>
      <c r="D35" s="2" t="s">
        <v>30</v>
      </c>
      <c r="E35" s="46">
        <v>898000</v>
      </c>
      <c r="F35" s="51">
        <v>809.09799999999996</v>
      </c>
      <c r="G35" s="5">
        <v>1.4767410999999999E-2</v>
      </c>
    </row>
    <row r="36" spans="1:7" ht="15" x14ac:dyDescent="0.25">
      <c r="A36" s="6">
        <v>30</v>
      </c>
      <c r="B36" s="7" t="s">
        <v>79</v>
      </c>
      <c r="C36" s="11" t="s">
        <v>80</v>
      </c>
      <c r="D36" s="2" t="s">
        <v>81</v>
      </c>
      <c r="E36" s="46">
        <v>195281</v>
      </c>
      <c r="F36" s="51">
        <v>785.61546299999998</v>
      </c>
      <c r="G36" s="5">
        <v>1.4338815E-2</v>
      </c>
    </row>
    <row r="37" spans="1:7" ht="38.25" x14ac:dyDescent="0.25">
      <c r="A37" s="6">
        <v>31</v>
      </c>
      <c r="B37" s="7" t="s">
        <v>82</v>
      </c>
      <c r="C37" s="11" t="s">
        <v>83</v>
      </c>
      <c r="D37" s="2" t="s">
        <v>84</v>
      </c>
      <c r="E37" s="46">
        <v>964843</v>
      </c>
      <c r="F37" s="51">
        <v>765.60292049999998</v>
      </c>
      <c r="G37" s="5">
        <v>1.3973552E-2</v>
      </c>
    </row>
    <row r="38" spans="1:7" ht="25.5" x14ac:dyDescent="0.25">
      <c r="A38" s="6">
        <v>32</v>
      </c>
      <c r="B38" s="7" t="s">
        <v>85</v>
      </c>
      <c r="C38" s="11" t="s">
        <v>86</v>
      </c>
      <c r="D38" s="2" t="s">
        <v>22</v>
      </c>
      <c r="E38" s="46">
        <v>125000</v>
      </c>
      <c r="F38" s="51">
        <v>740.4375</v>
      </c>
      <c r="G38" s="5">
        <v>1.351424E-2</v>
      </c>
    </row>
    <row r="39" spans="1:7" ht="25.5" x14ac:dyDescent="0.25">
      <c r="A39" s="6">
        <v>33</v>
      </c>
      <c r="B39" s="7" t="s">
        <v>87</v>
      </c>
      <c r="C39" s="11" t="s">
        <v>88</v>
      </c>
      <c r="D39" s="2" t="s">
        <v>89</v>
      </c>
      <c r="E39" s="46">
        <v>251791</v>
      </c>
      <c r="F39" s="51">
        <v>731.95643700000005</v>
      </c>
      <c r="G39" s="5">
        <v>1.3359446000000001E-2</v>
      </c>
    </row>
    <row r="40" spans="1:7" ht="25.5" x14ac:dyDescent="0.25">
      <c r="A40" s="6">
        <v>34</v>
      </c>
      <c r="B40" s="7" t="s">
        <v>90</v>
      </c>
      <c r="C40" s="11" t="s">
        <v>91</v>
      </c>
      <c r="D40" s="2" t="s">
        <v>22</v>
      </c>
      <c r="E40" s="46">
        <v>67784</v>
      </c>
      <c r="F40" s="51">
        <v>677.80610799999999</v>
      </c>
      <c r="G40" s="5">
        <v>1.2371111000000001E-2</v>
      </c>
    </row>
    <row r="41" spans="1:7" ht="25.5" x14ac:dyDescent="0.25">
      <c r="A41" s="6">
        <v>35</v>
      </c>
      <c r="B41" s="7" t="s">
        <v>92</v>
      </c>
      <c r="C41" s="11" t="s">
        <v>93</v>
      </c>
      <c r="D41" s="2" t="s">
        <v>22</v>
      </c>
      <c r="E41" s="46">
        <v>146000</v>
      </c>
      <c r="F41" s="51">
        <v>640.28300000000002</v>
      </c>
      <c r="G41" s="5">
        <v>1.1686251E-2</v>
      </c>
    </row>
    <row r="42" spans="1:7" ht="25.5" x14ac:dyDescent="0.25">
      <c r="A42" s="6">
        <v>36</v>
      </c>
      <c r="B42" s="7" t="s">
        <v>94</v>
      </c>
      <c r="C42" s="11" t="s">
        <v>95</v>
      </c>
      <c r="D42" s="2" t="s">
        <v>22</v>
      </c>
      <c r="E42" s="46">
        <v>619304</v>
      </c>
      <c r="F42" s="51">
        <v>634.47694799999999</v>
      </c>
      <c r="G42" s="5">
        <v>1.158028E-2</v>
      </c>
    </row>
    <row r="43" spans="1:7" ht="15" x14ac:dyDescent="0.25">
      <c r="A43" s="6">
        <v>37</v>
      </c>
      <c r="B43" s="7" t="s">
        <v>96</v>
      </c>
      <c r="C43" s="11" t="s">
        <v>97</v>
      </c>
      <c r="D43" s="2" t="s">
        <v>51</v>
      </c>
      <c r="E43" s="46">
        <v>803723</v>
      </c>
      <c r="F43" s="51">
        <v>621.67974049999998</v>
      </c>
      <c r="G43" s="5">
        <v>1.1346709999999999E-2</v>
      </c>
    </row>
    <row r="44" spans="1:7" ht="25.5" x14ac:dyDescent="0.25">
      <c r="A44" s="6">
        <v>38</v>
      </c>
      <c r="B44" s="7" t="s">
        <v>98</v>
      </c>
      <c r="C44" s="11" t="s">
        <v>99</v>
      </c>
      <c r="D44" s="2" t="s">
        <v>22</v>
      </c>
      <c r="E44" s="46">
        <v>110000</v>
      </c>
      <c r="F44" s="51">
        <v>616.44000000000005</v>
      </c>
      <c r="G44" s="5">
        <v>1.1251076E-2</v>
      </c>
    </row>
    <row r="45" spans="1:7" ht="25.5" x14ac:dyDescent="0.25">
      <c r="A45" s="6">
        <v>39</v>
      </c>
      <c r="B45" s="7" t="s">
        <v>100</v>
      </c>
      <c r="C45" s="11" t="s">
        <v>101</v>
      </c>
      <c r="D45" s="2" t="s">
        <v>30</v>
      </c>
      <c r="E45" s="46">
        <v>1000000</v>
      </c>
      <c r="F45" s="51">
        <v>589</v>
      </c>
      <c r="G45" s="5">
        <v>1.0750249E-2</v>
      </c>
    </row>
    <row r="46" spans="1:7" ht="15" x14ac:dyDescent="0.25">
      <c r="A46" s="6">
        <v>40</v>
      </c>
      <c r="B46" s="7" t="s">
        <v>102</v>
      </c>
      <c r="C46" s="11" t="s">
        <v>103</v>
      </c>
      <c r="D46" s="2" t="s">
        <v>51</v>
      </c>
      <c r="E46" s="46">
        <v>490000</v>
      </c>
      <c r="F46" s="51">
        <v>531.89499999999998</v>
      </c>
      <c r="G46" s="5">
        <v>9.707986E-3</v>
      </c>
    </row>
    <row r="47" spans="1:7" ht="15" x14ac:dyDescent="0.25">
      <c r="A47" s="1"/>
      <c r="B47" s="2"/>
      <c r="C47" s="8" t="s">
        <v>104</v>
      </c>
      <c r="D47" s="12"/>
      <c r="E47" s="48"/>
      <c r="F47" s="53">
        <v>53861.065857000001</v>
      </c>
      <c r="G47" s="13">
        <v>0.98305580900000011</v>
      </c>
    </row>
    <row r="48" spans="1:7" ht="15" x14ac:dyDescent="0.25">
      <c r="A48" s="6"/>
      <c r="B48" s="7"/>
      <c r="C48" s="14"/>
      <c r="D48" s="15"/>
      <c r="E48" s="46"/>
      <c r="F48" s="51"/>
      <c r="G48" s="5"/>
    </row>
    <row r="49" spans="1:7" ht="15" x14ac:dyDescent="0.25">
      <c r="A49" s="1"/>
      <c r="B49" s="2"/>
      <c r="C49" s="8" t="s">
        <v>105</v>
      </c>
      <c r="D49" s="9"/>
      <c r="E49" s="47"/>
      <c r="F49" s="52"/>
      <c r="G49" s="10"/>
    </row>
    <row r="50" spans="1:7" ht="15" x14ac:dyDescent="0.25">
      <c r="A50" s="1"/>
      <c r="B50" s="2"/>
      <c r="C50" s="8" t="s">
        <v>104</v>
      </c>
      <c r="D50" s="12"/>
      <c r="E50" s="48"/>
      <c r="F50" s="53">
        <v>0</v>
      </c>
      <c r="G50" s="13">
        <v>0</v>
      </c>
    </row>
    <row r="51" spans="1:7" ht="15" x14ac:dyDescent="0.25">
      <c r="A51" s="6"/>
      <c r="B51" s="7"/>
      <c r="C51" s="14"/>
      <c r="D51" s="15"/>
      <c r="E51" s="46"/>
      <c r="F51" s="51"/>
      <c r="G51" s="5"/>
    </row>
    <row r="52" spans="1:7" ht="15" x14ac:dyDescent="0.25">
      <c r="A52" s="16"/>
      <c r="B52" s="17"/>
      <c r="C52" s="8" t="s">
        <v>106</v>
      </c>
      <c r="D52" s="9"/>
      <c r="E52" s="47"/>
      <c r="F52" s="52"/>
      <c r="G52" s="10"/>
    </row>
    <row r="53" spans="1:7" ht="25.5" x14ac:dyDescent="0.25">
      <c r="A53" s="6">
        <v>1</v>
      </c>
      <c r="B53" s="7" t="s">
        <v>107</v>
      </c>
      <c r="C53" s="108" t="s">
        <v>809</v>
      </c>
      <c r="D53" s="15" t="s">
        <v>89</v>
      </c>
      <c r="E53" s="46">
        <v>559425</v>
      </c>
      <c r="F53" s="51">
        <v>1.1189000000000001E-5</v>
      </c>
      <c r="G53" s="88" t="s">
        <v>807</v>
      </c>
    </row>
    <row r="54" spans="1:7" ht="15" x14ac:dyDescent="0.25">
      <c r="A54" s="18"/>
      <c r="B54" s="19"/>
      <c r="C54" s="8" t="s">
        <v>104</v>
      </c>
      <c r="D54" s="20"/>
      <c r="E54" s="49"/>
      <c r="F54" s="54">
        <v>1.1189000000000001E-5</v>
      </c>
      <c r="G54" s="120" t="s">
        <v>807</v>
      </c>
    </row>
    <row r="55" spans="1:7" ht="15" x14ac:dyDescent="0.25">
      <c r="A55" s="18"/>
      <c r="B55" s="19"/>
      <c r="C55" s="14"/>
      <c r="D55" s="22"/>
      <c r="E55" s="50"/>
      <c r="F55" s="55"/>
      <c r="G55" s="23"/>
    </row>
    <row r="56" spans="1:7" ht="15" x14ac:dyDescent="0.25">
      <c r="A56" s="1"/>
      <c r="B56" s="2"/>
      <c r="C56" s="8" t="s">
        <v>108</v>
      </c>
      <c r="D56" s="9"/>
      <c r="E56" s="47"/>
      <c r="F56" s="52"/>
      <c r="G56" s="10"/>
    </row>
    <row r="57" spans="1:7" ht="15" x14ac:dyDescent="0.25">
      <c r="A57" s="1"/>
      <c r="B57" s="2"/>
      <c r="C57" s="8" t="s">
        <v>104</v>
      </c>
      <c r="D57" s="12"/>
      <c r="E57" s="48"/>
      <c r="F57" s="53">
        <v>0</v>
      </c>
      <c r="G57" s="13">
        <v>0</v>
      </c>
    </row>
    <row r="58" spans="1:7" ht="15" x14ac:dyDescent="0.25">
      <c r="A58" s="1"/>
      <c r="B58" s="2"/>
      <c r="C58" s="14"/>
      <c r="D58" s="4"/>
      <c r="E58" s="46"/>
      <c r="F58" s="51"/>
      <c r="G58" s="5"/>
    </row>
    <row r="59" spans="1:7" ht="15" x14ac:dyDescent="0.25">
      <c r="A59" s="1"/>
      <c r="B59" s="2"/>
      <c r="C59" s="8" t="s">
        <v>109</v>
      </c>
      <c r="D59" s="9"/>
      <c r="E59" s="47"/>
      <c r="F59" s="52"/>
      <c r="G59" s="10"/>
    </row>
    <row r="60" spans="1:7" ht="15" x14ac:dyDescent="0.25">
      <c r="A60" s="1"/>
      <c r="B60" s="2"/>
      <c r="C60" s="8" t="s">
        <v>104</v>
      </c>
      <c r="D60" s="12"/>
      <c r="E60" s="48"/>
      <c r="F60" s="53">
        <v>0</v>
      </c>
      <c r="G60" s="13">
        <v>0</v>
      </c>
    </row>
    <row r="61" spans="1:7" ht="15" x14ac:dyDescent="0.25">
      <c r="A61" s="1"/>
      <c r="B61" s="2"/>
      <c r="C61" s="14"/>
      <c r="D61" s="4"/>
      <c r="E61" s="46"/>
      <c r="F61" s="51"/>
      <c r="G61" s="5"/>
    </row>
    <row r="62" spans="1:7" ht="15" x14ac:dyDescent="0.25">
      <c r="A62" s="1"/>
      <c r="B62" s="2"/>
      <c r="C62" s="8" t="s">
        <v>110</v>
      </c>
      <c r="D62" s="9"/>
      <c r="E62" s="47"/>
      <c r="F62" s="52"/>
      <c r="G62" s="10"/>
    </row>
    <row r="63" spans="1:7" ht="15" x14ac:dyDescent="0.25">
      <c r="A63" s="1"/>
      <c r="B63" s="2"/>
      <c r="C63" s="8" t="s">
        <v>104</v>
      </c>
      <c r="D63" s="12"/>
      <c r="E63" s="48"/>
      <c r="F63" s="53">
        <v>0</v>
      </c>
      <c r="G63" s="13">
        <v>0</v>
      </c>
    </row>
    <row r="64" spans="1:7" ht="15" x14ac:dyDescent="0.25">
      <c r="A64" s="1"/>
      <c r="B64" s="2"/>
      <c r="C64" s="14"/>
      <c r="D64" s="4"/>
      <c r="E64" s="46"/>
      <c r="F64" s="51"/>
      <c r="G64" s="5"/>
    </row>
    <row r="65" spans="1:7" ht="25.5" x14ac:dyDescent="0.25">
      <c r="A65" s="6"/>
      <c r="B65" s="7"/>
      <c r="C65" s="24" t="s">
        <v>111</v>
      </c>
      <c r="D65" s="25"/>
      <c r="E65" s="48"/>
      <c r="F65" s="53">
        <v>53861.065868188998</v>
      </c>
      <c r="G65" s="13">
        <v>0.98305580900000011</v>
      </c>
    </row>
    <row r="66" spans="1:7" ht="15" x14ac:dyDescent="0.25">
      <c r="A66" s="1"/>
      <c r="B66" s="2"/>
      <c r="C66" s="11"/>
      <c r="D66" s="4"/>
      <c r="E66" s="46"/>
      <c r="F66" s="51"/>
      <c r="G66" s="5"/>
    </row>
    <row r="67" spans="1:7" ht="15" x14ac:dyDescent="0.25">
      <c r="A67" s="1"/>
      <c r="B67" s="2"/>
      <c r="C67" s="3" t="s">
        <v>112</v>
      </c>
      <c r="D67" s="4"/>
      <c r="E67" s="46"/>
      <c r="F67" s="51"/>
      <c r="G67" s="5"/>
    </row>
    <row r="68" spans="1:7" ht="25.5" x14ac:dyDescent="0.25">
      <c r="A68" s="1"/>
      <c r="B68" s="2"/>
      <c r="C68" s="8" t="s">
        <v>10</v>
      </c>
      <c r="D68" s="9"/>
      <c r="E68" s="47"/>
      <c r="F68" s="52"/>
      <c r="G68" s="10"/>
    </row>
    <row r="69" spans="1:7" ht="15" x14ac:dyDescent="0.25">
      <c r="A69" s="6"/>
      <c r="B69" s="7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6"/>
      <c r="B70" s="7"/>
      <c r="C70" s="14"/>
      <c r="D70" s="4"/>
      <c r="E70" s="46"/>
      <c r="F70" s="51"/>
      <c r="G70" s="5"/>
    </row>
    <row r="71" spans="1:7" ht="15" x14ac:dyDescent="0.25">
      <c r="A71" s="1"/>
      <c r="B71" s="26"/>
      <c r="C71" s="8" t="s">
        <v>113</v>
      </c>
      <c r="D71" s="9"/>
      <c r="E71" s="47"/>
      <c r="F71" s="52"/>
      <c r="G71" s="10"/>
    </row>
    <row r="72" spans="1:7" ht="15" x14ac:dyDescent="0.25">
      <c r="A72" s="6"/>
      <c r="B72" s="7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6"/>
      <c r="B73" s="7"/>
      <c r="C73" s="14"/>
      <c r="D73" s="4"/>
      <c r="E73" s="46"/>
      <c r="F73" s="56"/>
      <c r="G73" s="27"/>
    </row>
    <row r="74" spans="1:7" ht="15" x14ac:dyDescent="0.25">
      <c r="A74" s="1"/>
      <c r="B74" s="2"/>
      <c r="C74" s="8" t="s">
        <v>114</v>
      </c>
      <c r="D74" s="9"/>
      <c r="E74" s="47"/>
      <c r="F74" s="52"/>
      <c r="G74" s="10"/>
    </row>
    <row r="75" spans="1:7" ht="15" x14ac:dyDescent="0.25">
      <c r="A75" s="6"/>
      <c r="B75" s="7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25.5" x14ac:dyDescent="0.25">
      <c r="A77" s="1"/>
      <c r="B77" s="26"/>
      <c r="C77" s="8" t="s">
        <v>115</v>
      </c>
      <c r="D77" s="9"/>
      <c r="E77" s="47"/>
      <c r="F77" s="52"/>
      <c r="G77" s="10"/>
    </row>
    <row r="78" spans="1:7" ht="15" x14ac:dyDescent="0.25">
      <c r="A78" s="6"/>
      <c r="B78" s="7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6"/>
      <c r="B79" s="7"/>
      <c r="C79" s="14"/>
      <c r="D79" s="4"/>
      <c r="E79" s="46"/>
      <c r="F79" s="51"/>
      <c r="G79" s="5"/>
    </row>
    <row r="80" spans="1:7" ht="15" x14ac:dyDescent="0.25">
      <c r="A80" s="6"/>
      <c r="B80" s="7"/>
      <c r="C80" s="28" t="s">
        <v>116</v>
      </c>
      <c r="D80" s="25"/>
      <c r="E80" s="48"/>
      <c r="F80" s="53">
        <v>0</v>
      </c>
      <c r="G80" s="13">
        <v>0</v>
      </c>
    </row>
    <row r="81" spans="1:7" ht="15" x14ac:dyDescent="0.25">
      <c r="A81" s="6"/>
      <c r="B81" s="7"/>
      <c r="C81" s="11"/>
      <c r="D81" s="4"/>
      <c r="E81" s="46"/>
      <c r="F81" s="51"/>
      <c r="G81" s="5"/>
    </row>
    <row r="82" spans="1:7" ht="15" x14ac:dyDescent="0.25">
      <c r="A82" s="1"/>
      <c r="B82" s="2"/>
      <c r="C82" s="3" t="s">
        <v>117</v>
      </c>
      <c r="D82" s="4"/>
      <c r="E82" s="46"/>
      <c r="F82" s="51"/>
      <c r="G82" s="5"/>
    </row>
    <row r="83" spans="1:7" ht="15" x14ac:dyDescent="0.25">
      <c r="A83" s="6"/>
      <c r="B83" s="7"/>
      <c r="C83" s="8" t="s">
        <v>118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25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7"/>
      <c r="E85" s="46"/>
      <c r="F85" s="51"/>
      <c r="G85" s="5"/>
    </row>
    <row r="86" spans="1:7" ht="15" x14ac:dyDescent="0.25">
      <c r="A86" s="6"/>
      <c r="B86" s="7"/>
      <c r="C86" s="8" t="s">
        <v>119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25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7"/>
      <c r="E88" s="46"/>
      <c r="F88" s="51"/>
      <c r="G88" s="5"/>
    </row>
    <row r="89" spans="1:7" ht="15" x14ac:dyDescent="0.25">
      <c r="A89" s="6"/>
      <c r="B89" s="7"/>
      <c r="C89" s="8" t="s">
        <v>120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25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7"/>
      <c r="E91" s="46"/>
      <c r="F91" s="51"/>
      <c r="G91" s="5"/>
    </row>
    <row r="92" spans="1:7" ht="15" x14ac:dyDescent="0.25">
      <c r="A92" s="6"/>
      <c r="B92" s="7"/>
      <c r="C92" s="8" t="s">
        <v>121</v>
      </c>
      <c r="D92" s="9"/>
      <c r="E92" s="47"/>
      <c r="F92" s="52"/>
      <c r="G92" s="10"/>
    </row>
    <row r="93" spans="1:7" ht="15" x14ac:dyDescent="0.25">
      <c r="A93" s="6">
        <v>1</v>
      </c>
      <c r="B93" s="7"/>
      <c r="C93" s="11" t="s">
        <v>730</v>
      </c>
      <c r="D93" s="15"/>
      <c r="E93" s="46"/>
      <c r="F93" s="51">
        <v>590.90950190000001</v>
      </c>
      <c r="G93" s="5">
        <v>1.0785101E-2</v>
      </c>
    </row>
    <row r="94" spans="1:7" ht="15" x14ac:dyDescent="0.25">
      <c r="A94" s="6"/>
      <c r="B94" s="7"/>
      <c r="C94" s="8" t="s">
        <v>104</v>
      </c>
      <c r="D94" s="25"/>
      <c r="E94" s="48"/>
      <c r="F94" s="53">
        <v>590.90950190000001</v>
      </c>
      <c r="G94" s="13">
        <v>1.0785101E-2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25.5" x14ac:dyDescent="0.25">
      <c r="A96" s="6"/>
      <c r="B96" s="7"/>
      <c r="C96" s="24" t="s">
        <v>122</v>
      </c>
      <c r="D96" s="25"/>
      <c r="E96" s="48"/>
      <c r="F96" s="53">
        <v>590.90950190000001</v>
      </c>
      <c r="G96" s="13">
        <v>1.0785101E-2</v>
      </c>
    </row>
    <row r="97" spans="1:7" ht="15" x14ac:dyDescent="0.25">
      <c r="A97" s="6"/>
      <c r="B97" s="7"/>
      <c r="C97" s="29"/>
      <c r="D97" s="7"/>
      <c r="E97" s="46"/>
      <c r="F97" s="51"/>
      <c r="G97" s="5"/>
    </row>
    <row r="98" spans="1:7" ht="15" x14ac:dyDescent="0.25">
      <c r="A98" s="1"/>
      <c r="B98" s="2"/>
      <c r="C98" s="3" t="s">
        <v>123</v>
      </c>
      <c r="D98" s="4"/>
      <c r="E98" s="46"/>
      <c r="F98" s="51"/>
      <c r="G98" s="5"/>
    </row>
    <row r="99" spans="1:7" ht="25.5" x14ac:dyDescent="0.25">
      <c r="A99" s="6"/>
      <c r="B99" s="7"/>
      <c r="C99" s="8" t="s">
        <v>124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7"/>
      <c r="E101" s="46"/>
      <c r="F101" s="51"/>
      <c r="G101" s="5"/>
    </row>
    <row r="102" spans="1:7" ht="15" x14ac:dyDescent="0.25">
      <c r="A102" s="1"/>
      <c r="B102" s="2"/>
      <c r="C102" s="3" t="s">
        <v>125</v>
      </c>
      <c r="D102" s="4"/>
      <c r="E102" s="46"/>
      <c r="F102" s="51"/>
      <c r="G102" s="5"/>
    </row>
    <row r="103" spans="1:7" ht="25.5" x14ac:dyDescent="0.25">
      <c r="A103" s="6"/>
      <c r="B103" s="7"/>
      <c r="C103" s="8" t="s">
        <v>126</v>
      </c>
      <c r="D103" s="9"/>
      <c r="E103" s="47"/>
      <c r="F103" s="52"/>
      <c r="G103" s="10"/>
    </row>
    <row r="104" spans="1:7" ht="15" x14ac:dyDescent="0.25">
      <c r="A104" s="6"/>
      <c r="B104" s="7"/>
      <c r="C104" s="8" t="s">
        <v>104</v>
      </c>
      <c r="D104" s="25"/>
      <c r="E104" s="48"/>
      <c r="F104" s="53">
        <v>0</v>
      </c>
      <c r="G104" s="13">
        <v>0</v>
      </c>
    </row>
    <row r="105" spans="1:7" ht="15" x14ac:dyDescent="0.25">
      <c r="A105" s="6"/>
      <c r="B105" s="7"/>
      <c r="C105" s="14"/>
      <c r="D105" s="7"/>
      <c r="E105" s="46"/>
      <c r="F105" s="51"/>
      <c r="G105" s="5"/>
    </row>
    <row r="106" spans="1:7" ht="25.5" x14ac:dyDescent="0.25">
      <c r="A106" s="6"/>
      <c r="B106" s="7"/>
      <c r="C106" s="8" t="s">
        <v>127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6"/>
      <c r="G108" s="27"/>
    </row>
    <row r="109" spans="1:7" ht="25.5" x14ac:dyDescent="0.25">
      <c r="A109" s="6"/>
      <c r="B109" s="7"/>
      <c r="C109" s="29" t="s">
        <v>128</v>
      </c>
      <c r="D109" s="7"/>
      <c r="E109" s="46"/>
      <c r="F109" s="56">
        <v>337.45307400000002</v>
      </c>
      <c r="G109" s="27">
        <v>6.1590910000000002E-3</v>
      </c>
    </row>
    <row r="110" spans="1:7" ht="15" x14ac:dyDescent="0.25">
      <c r="A110" s="6"/>
      <c r="B110" s="7"/>
      <c r="C110" s="30" t="s">
        <v>129</v>
      </c>
      <c r="D110" s="12"/>
      <c r="E110" s="48"/>
      <c r="F110" s="53">
        <v>54789.428444088997</v>
      </c>
      <c r="G110" s="13">
        <v>1.0000000009999999</v>
      </c>
    </row>
    <row r="112" spans="1:7" ht="15" x14ac:dyDescent="0.25">
      <c r="B112" s="279"/>
      <c r="C112" s="279"/>
      <c r="D112" s="279"/>
      <c r="E112" s="279"/>
      <c r="F112" s="279"/>
    </row>
    <row r="113" spans="2:6" ht="15" x14ac:dyDescent="0.25">
      <c r="B113" s="279" t="s">
        <v>130</v>
      </c>
      <c r="C113" s="279"/>
      <c r="D113" s="279"/>
      <c r="E113" s="279"/>
      <c r="F113" s="279"/>
    </row>
    <row r="115" spans="2:6" ht="15" x14ac:dyDescent="0.25">
      <c r="B115" s="36" t="s">
        <v>131</v>
      </c>
      <c r="C115" s="37"/>
      <c r="D115" s="38"/>
    </row>
    <row r="116" spans="2:6" ht="15" x14ac:dyDescent="0.25">
      <c r="B116" s="39" t="s">
        <v>132</v>
      </c>
      <c r="C116" s="40"/>
      <c r="D116" s="62" t="s">
        <v>808</v>
      </c>
    </row>
    <row r="117" spans="2:6" ht="15" x14ac:dyDescent="0.25">
      <c r="B117" s="39" t="s">
        <v>134</v>
      </c>
      <c r="C117" s="40"/>
      <c r="D117" s="62" t="s">
        <v>133</v>
      </c>
    </row>
    <row r="118" spans="2:6" ht="15" x14ac:dyDescent="0.25">
      <c r="B118" s="41" t="s">
        <v>135</v>
      </c>
      <c r="C118" s="40"/>
      <c r="D118" s="42"/>
    </row>
    <row r="119" spans="2:6" ht="25.5" customHeight="1" x14ac:dyDescent="0.25">
      <c r="B119" s="42"/>
      <c r="C119" s="32" t="s">
        <v>136</v>
      </c>
      <c r="D119" s="33" t="s">
        <v>137</v>
      </c>
    </row>
    <row r="120" spans="2:6" ht="12.75" customHeight="1" x14ac:dyDescent="0.25">
      <c r="B120" s="57" t="s">
        <v>138</v>
      </c>
      <c r="C120" s="58" t="s">
        <v>139</v>
      </c>
      <c r="D120" s="58" t="s">
        <v>140</v>
      </c>
    </row>
    <row r="121" spans="2:6" ht="15" x14ac:dyDescent="0.25">
      <c r="B121" s="42" t="s">
        <v>141</v>
      </c>
      <c r="C121" s="43">
        <v>34.871400000000001</v>
      </c>
      <c r="D121" s="43">
        <v>31.529199999999999</v>
      </c>
      <c r="E121" s="144"/>
    </row>
    <row r="122" spans="2:6" ht="15" x14ac:dyDescent="0.25">
      <c r="B122" s="42" t="s">
        <v>142</v>
      </c>
      <c r="C122" s="43">
        <v>31.091000000000001</v>
      </c>
      <c r="D122" s="43">
        <v>28.1112</v>
      </c>
      <c r="E122" s="144"/>
    </row>
    <row r="123" spans="2:6" ht="15" x14ac:dyDescent="0.25">
      <c r="B123" s="42" t="s">
        <v>143</v>
      </c>
      <c r="C123" s="43">
        <v>33.674500000000002</v>
      </c>
      <c r="D123" s="43">
        <v>30.4345</v>
      </c>
      <c r="E123" s="144"/>
    </row>
    <row r="124" spans="2:6" ht="15" x14ac:dyDescent="0.25">
      <c r="B124" s="42" t="s">
        <v>144</v>
      </c>
      <c r="C124" s="43">
        <v>29.9634</v>
      </c>
      <c r="D124" s="43">
        <v>27.080400000000001</v>
      </c>
      <c r="E124" s="144"/>
    </row>
    <row r="126" spans="2:6" ht="15" x14ac:dyDescent="0.25">
      <c r="B126" s="59" t="s">
        <v>145</v>
      </c>
      <c r="C126" s="44"/>
      <c r="D126" s="60" t="s">
        <v>133</v>
      </c>
    </row>
    <row r="127" spans="2:6" ht="24.75" customHeight="1" x14ac:dyDescent="0.25">
      <c r="B127" s="61"/>
      <c r="C127" s="61"/>
    </row>
    <row r="128" spans="2:6" ht="15" x14ac:dyDescent="0.25">
      <c r="B128" s="63"/>
      <c r="C128" s="65"/>
      <c r="D128"/>
    </row>
    <row r="130" spans="2:4" ht="15" x14ac:dyDescent="0.25">
      <c r="B130" s="41" t="s">
        <v>146</v>
      </c>
      <c r="C130" s="40"/>
      <c r="D130" s="64" t="s">
        <v>133</v>
      </c>
    </row>
    <row r="131" spans="2:4" ht="15" x14ac:dyDescent="0.25">
      <c r="B131" s="41" t="s">
        <v>147</v>
      </c>
      <c r="C131" s="40"/>
      <c r="D131" s="64" t="s">
        <v>133</v>
      </c>
    </row>
    <row r="132" spans="2:4" ht="15" x14ac:dyDescent="0.25">
      <c r="B132" s="41" t="s">
        <v>148</v>
      </c>
      <c r="C132" s="40"/>
      <c r="D132" s="45">
        <v>1.2347350003102057E-2</v>
      </c>
    </row>
    <row r="133" spans="2:4" ht="15" x14ac:dyDescent="0.25">
      <c r="B133" s="41" t="s">
        <v>149</v>
      </c>
      <c r="C133" s="40"/>
      <c r="D133" s="45" t="s">
        <v>133</v>
      </c>
    </row>
  </sheetData>
  <mergeCells count="5">
    <mergeCell ref="A1:G1"/>
    <mergeCell ref="A2:G2"/>
    <mergeCell ref="A3:G3"/>
    <mergeCell ref="B112:F112"/>
    <mergeCell ref="B113:F1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45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150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92</v>
      </c>
      <c r="C7" s="11" t="s">
        <v>93</v>
      </c>
      <c r="D7" s="2" t="s">
        <v>22</v>
      </c>
      <c r="E7" s="46">
        <v>44076</v>
      </c>
      <c r="F7" s="51">
        <v>193.295298</v>
      </c>
      <c r="G7" s="5">
        <v>5.2651300999999998E-2</v>
      </c>
    </row>
    <row r="8" spans="1:7" ht="25.5" x14ac:dyDescent="0.25">
      <c r="A8" s="6">
        <v>2</v>
      </c>
      <c r="B8" s="7" t="s">
        <v>57</v>
      </c>
      <c r="C8" s="11" t="s">
        <v>58</v>
      </c>
      <c r="D8" s="2" t="s">
        <v>59</v>
      </c>
      <c r="E8" s="46">
        <v>27114</v>
      </c>
      <c r="F8" s="51">
        <v>183.507552</v>
      </c>
      <c r="G8" s="5">
        <v>4.9985238000000001E-2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37858</v>
      </c>
      <c r="F9" s="51">
        <v>181.58589699999999</v>
      </c>
      <c r="G9" s="5">
        <v>4.9461801999999999E-2</v>
      </c>
    </row>
    <row r="10" spans="1:7" ht="15" x14ac:dyDescent="0.25">
      <c r="A10" s="6">
        <v>4</v>
      </c>
      <c r="B10" s="7" t="s">
        <v>151</v>
      </c>
      <c r="C10" s="11" t="s">
        <v>152</v>
      </c>
      <c r="D10" s="2" t="s">
        <v>16</v>
      </c>
      <c r="E10" s="46">
        <v>80314</v>
      </c>
      <c r="F10" s="51">
        <v>155.48790399999999</v>
      </c>
      <c r="G10" s="5">
        <v>4.2353025000000002E-2</v>
      </c>
    </row>
    <row r="11" spans="1:7" ht="25.5" x14ac:dyDescent="0.25">
      <c r="A11" s="6">
        <v>5</v>
      </c>
      <c r="B11" s="7" t="s">
        <v>153</v>
      </c>
      <c r="C11" s="11" t="s">
        <v>154</v>
      </c>
      <c r="D11" s="2" t="s">
        <v>155</v>
      </c>
      <c r="E11" s="46">
        <v>22921</v>
      </c>
      <c r="F11" s="51">
        <v>142.75198800000001</v>
      </c>
      <c r="G11" s="5">
        <v>3.8883914999999998E-2</v>
      </c>
    </row>
    <row r="12" spans="1:7" ht="25.5" x14ac:dyDescent="0.25">
      <c r="A12" s="6">
        <v>6</v>
      </c>
      <c r="B12" s="7" t="s">
        <v>23</v>
      </c>
      <c r="C12" s="11" t="s">
        <v>24</v>
      </c>
      <c r="D12" s="2" t="s">
        <v>22</v>
      </c>
      <c r="E12" s="46">
        <v>25396</v>
      </c>
      <c r="F12" s="51">
        <v>139.639906</v>
      </c>
      <c r="G12" s="5">
        <v>3.8036222000000001E-2</v>
      </c>
    </row>
    <row r="13" spans="1:7" ht="25.5" x14ac:dyDescent="0.25">
      <c r="A13" s="6">
        <v>7</v>
      </c>
      <c r="B13" s="7" t="s">
        <v>68</v>
      </c>
      <c r="C13" s="11" t="s">
        <v>69</v>
      </c>
      <c r="D13" s="2" t="s">
        <v>19</v>
      </c>
      <c r="E13" s="46">
        <v>96811</v>
      </c>
      <c r="F13" s="51">
        <v>117.044499</v>
      </c>
      <c r="G13" s="5">
        <v>3.1881505999999997E-2</v>
      </c>
    </row>
    <row r="14" spans="1:7" ht="38.25" x14ac:dyDescent="0.25">
      <c r="A14" s="6">
        <v>8</v>
      </c>
      <c r="B14" s="7" t="s">
        <v>82</v>
      </c>
      <c r="C14" s="11" t="s">
        <v>83</v>
      </c>
      <c r="D14" s="2" t="s">
        <v>84</v>
      </c>
      <c r="E14" s="46">
        <v>132299</v>
      </c>
      <c r="F14" s="51">
        <v>104.97925650000001</v>
      </c>
      <c r="G14" s="5">
        <v>2.8595079999999998E-2</v>
      </c>
    </row>
    <row r="15" spans="1:7" ht="25.5" x14ac:dyDescent="0.25">
      <c r="A15" s="6">
        <v>9</v>
      </c>
      <c r="B15" s="7" t="s">
        <v>156</v>
      </c>
      <c r="C15" s="11" t="s">
        <v>157</v>
      </c>
      <c r="D15" s="2" t="s">
        <v>59</v>
      </c>
      <c r="E15" s="46">
        <v>44221</v>
      </c>
      <c r="F15" s="51">
        <v>102.946488</v>
      </c>
      <c r="G15" s="5">
        <v>2.8041377999999999E-2</v>
      </c>
    </row>
    <row r="16" spans="1:7" ht="15" x14ac:dyDescent="0.25">
      <c r="A16" s="6">
        <v>10</v>
      </c>
      <c r="B16" s="7" t="s">
        <v>66</v>
      </c>
      <c r="C16" s="11" t="s">
        <v>67</v>
      </c>
      <c r="D16" s="2" t="s">
        <v>51</v>
      </c>
      <c r="E16" s="46">
        <v>55299</v>
      </c>
      <c r="F16" s="51">
        <v>101.694861</v>
      </c>
      <c r="G16" s="5">
        <v>2.7700450000000001E-2</v>
      </c>
    </row>
    <row r="17" spans="1:7" ht="15" x14ac:dyDescent="0.25">
      <c r="A17" s="6">
        <v>11</v>
      </c>
      <c r="B17" s="7" t="s">
        <v>158</v>
      </c>
      <c r="C17" s="11" t="s">
        <v>159</v>
      </c>
      <c r="D17" s="2" t="s">
        <v>16</v>
      </c>
      <c r="E17" s="46">
        <v>96298</v>
      </c>
      <c r="F17" s="51">
        <v>84.549644000000001</v>
      </c>
      <c r="G17" s="5">
        <v>2.30303E-2</v>
      </c>
    </row>
    <row r="18" spans="1:7" ht="15" x14ac:dyDescent="0.25">
      <c r="A18" s="6">
        <v>12</v>
      </c>
      <c r="B18" s="7" t="s">
        <v>160</v>
      </c>
      <c r="C18" s="11" t="s">
        <v>161</v>
      </c>
      <c r="D18" s="2" t="s">
        <v>162</v>
      </c>
      <c r="E18" s="46">
        <v>31940</v>
      </c>
      <c r="F18" s="51">
        <v>84.193839999999994</v>
      </c>
      <c r="G18" s="5">
        <v>2.2933384000000001E-2</v>
      </c>
    </row>
    <row r="19" spans="1:7" ht="15" x14ac:dyDescent="0.25">
      <c r="A19" s="6">
        <v>13</v>
      </c>
      <c r="B19" s="7" t="s">
        <v>163</v>
      </c>
      <c r="C19" s="11" t="s">
        <v>164</v>
      </c>
      <c r="D19" s="2" t="s">
        <v>13</v>
      </c>
      <c r="E19" s="46">
        <v>42180</v>
      </c>
      <c r="F19" s="51">
        <v>82.4619</v>
      </c>
      <c r="G19" s="5">
        <v>2.2461623999999999E-2</v>
      </c>
    </row>
    <row r="20" spans="1:7" ht="25.5" x14ac:dyDescent="0.25">
      <c r="A20" s="6">
        <v>14</v>
      </c>
      <c r="B20" s="7" t="s">
        <v>43</v>
      </c>
      <c r="C20" s="11" t="s">
        <v>44</v>
      </c>
      <c r="D20" s="2" t="s">
        <v>30</v>
      </c>
      <c r="E20" s="46">
        <v>76791</v>
      </c>
      <c r="F20" s="51">
        <v>81.052900500000007</v>
      </c>
      <c r="G20" s="5">
        <v>2.207783E-2</v>
      </c>
    </row>
    <row r="21" spans="1:7" ht="25.5" x14ac:dyDescent="0.25">
      <c r="A21" s="6">
        <v>15</v>
      </c>
      <c r="B21" s="7" t="s">
        <v>165</v>
      </c>
      <c r="C21" s="11" t="s">
        <v>166</v>
      </c>
      <c r="D21" s="2" t="s">
        <v>167</v>
      </c>
      <c r="E21" s="46">
        <v>65000</v>
      </c>
      <c r="F21" s="51">
        <v>74.912499999999994</v>
      </c>
      <c r="G21" s="5">
        <v>2.0405258999999999E-2</v>
      </c>
    </row>
    <row r="22" spans="1:7" ht="15" x14ac:dyDescent="0.25">
      <c r="A22" s="6">
        <v>16</v>
      </c>
      <c r="B22" s="7" t="s">
        <v>168</v>
      </c>
      <c r="C22" s="11" t="s">
        <v>169</v>
      </c>
      <c r="D22" s="2" t="s">
        <v>170</v>
      </c>
      <c r="E22" s="46">
        <v>38805</v>
      </c>
      <c r="F22" s="51">
        <v>73.923524999999998</v>
      </c>
      <c r="G22" s="5">
        <v>2.0135874000000002E-2</v>
      </c>
    </row>
    <row r="23" spans="1:7" ht="25.5" x14ac:dyDescent="0.25">
      <c r="A23" s="6">
        <v>17</v>
      </c>
      <c r="B23" s="7" t="s">
        <v>171</v>
      </c>
      <c r="C23" s="11" t="s">
        <v>172</v>
      </c>
      <c r="D23" s="2" t="s">
        <v>173</v>
      </c>
      <c r="E23" s="46">
        <v>24888</v>
      </c>
      <c r="F23" s="51">
        <v>73.158276000000001</v>
      </c>
      <c r="G23" s="5">
        <v>1.9927429999999999E-2</v>
      </c>
    </row>
    <row r="24" spans="1:7" ht="25.5" x14ac:dyDescent="0.25">
      <c r="A24" s="6">
        <v>18</v>
      </c>
      <c r="B24" s="7" t="s">
        <v>174</v>
      </c>
      <c r="C24" s="11" t="s">
        <v>175</v>
      </c>
      <c r="D24" s="2" t="s">
        <v>22</v>
      </c>
      <c r="E24" s="46">
        <v>24453</v>
      </c>
      <c r="F24" s="51">
        <v>72.111896999999999</v>
      </c>
      <c r="G24" s="5">
        <v>1.9642409E-2</v>
      </c>
    </row>
    <row r="25" spans="1:7" ht="25.5" x14ac:dyDescent="0.25">
      <c r="A25" s="6">
        <v>19</v>
      </c>
      <c r="B25" s="7" t="s">
        <v>176</v>
      </c>
      <c r="C25" s="11" t="s">
        <v>177</v>
      </c>
      <c r="D25" s="2" t="s">
        <v>30</v>
      </c>
      <c r="E25" s="46">
        <v>7352</v>
      </c>
      <c r="F25" s="51">
        <v>71.549664000000007</v>
      </c>
      <c r="G25" s="5">
        <v>1.9489263E-2</v>
      </c>
    </row>
    <row r="26" spans="1:7" ht="25.5" x14ac:dyDescent="0.25">
      <c r="A26" s="6">
        <v>20</v>
      </c>
      <c r="B26" s="7" t="s">
        <v>178</v>
      </c>
      <c r="C26" s="11" t="s">
        <v>179</v>
      </c>
      <c r="D26" s="2" t="s">
        <v>22</v>
      </c>
      <c r="E26" s="46">
        <v>20526</v>
      </c>
      <c r="F26" s="51">
        <v>71.492058</v>
      </c>
      <c r="G26" s="5">
        <v>1.9473572000000001E-2</v>
      </c>
    </row>
    <row r="27" spans="1:7" ht="25.5" x14ac:dyDescent="0.25">
      <c r="A27" s="6">
        <v>21</v>
      </c>
      <c r="B27" s="7" t="s">
        <v>180</v>
      </c>
      <c r="C27" s="11" t="s">
        <v>181</v>
      </c>
      <c r="D27" s="2" t="s">
        <v>173</v>
      </c>
      <c r="E27" s="46">
        <v>4624</v>
      </c>
      <c r="F27" s="51">
        <v>70.159952000000004</v>
      </c>
      <c r="G27" s="5">
        <v>1.9110722E-2</v>
      </c>
    </row>
    <row r="28" spans="1:7" ht="25.5" x14ac:dyDescent="0.25">
      <c r="A28" s="6">
        <v>22</v>
      </c>
      <c r="B28" s="7" t="s">
        <v>20</v>
      </c>
      <c r="C28" s="11" t="s">
        <v>21</v>
      </c>
      <c r="D28" s="2" t="s">
        <v>22</v>
      </c>
      <c r="E28" s="46">
        <v>9702</v>
      </c>
      <c r="F28" s="51">
        <v>65.857175999999995</v>
      </c>
      <c r="G28" s="5">
        <v>1.7938697999999999E-2</v>
      </c>
    </row>
    <row r="29" spans="1:7" ht="15" x14ac:dyDescent="0.25">
      <c r="A29" s="6">
        <v>23</v>
      </c>
      <c r="B29" s="7" t="s">
        <v>182</v>
      </c>
      <c r="C29" s="11" t="s">
        <v>183</v>
      </c>
      <c r="D29" s="2" t="s">
        <v>184</v>
      </c>
      <c r="E29" s="46">
        <v>33419</v>
      </c>
      <c r="F29" s="51">
        <v>62.460110999999998</v>
      </c>
      <c r="G29" s="5">
        <v>1.7013378999999999E-2</v>
      </c>
    </row>
    <row r="30" spans="1:7" ht="25.5" x14ac:dyDescent="0.25">
      <c r="A30" s="6">
        <v>24</v>
      </c>
      <c r="B30" s="7" t="s">
        <v>185</v>
      </c>
      <c r="C30" s="11" t="s">
        <v>186</v>
      </c>
      <c r="D30" s="2" t="s">
        <v>59</v>
      </c>
      <c r="E30" s="46">
        <v>48531</v>
      </c>
      <c r="F30" s="51">
        <v>61.270387499999998</v>
      </c>
      <c r="G30" s="5">
        <v>1.6689313000000001E-2</v>
      </c>
    </row>
    <row r="31" spans="1:7" ht="15" x14ac:dyDescent="0.25">
      <c r="A31" s="6">
        <v>25</v>
      </c>
      <c r="B31" s="7" t="s">
        <v>187</v>
      </c>
      <c r="C31" s="11" t="s">
        <v>188</v>
      </c>
      <c r="D31" s="2" t="s">
        <v>162</v>
      </c>
      <c r="E31" s="46">
        <v>6500</v>
      </c>
      <c r="F31" s="51">
        <v>59.640749999999997</v>
      </c>
      <c r="G31" s="5">
        <v>1.6245419000000001E-2</v>
      </c>
    </row>
    <row r="32" spans="1:7" ht="25.5" x14ac:dyDescent="0.25">
      <c r="A32" s="6">
        <v>26</v>
      </c>
      <c r="B32" s="7" t="s">
        <v>189</v>
      </c>
      <c r="C32" s="11" t="s">
        <v>190</v>
      </c>
      <c r="D32" s="2" t="s">
        <v>167</v>
      </c>
      <c r="E32" s="46">
        <v>13317</v>
      </c>
      <c r="F32" s="51">
        <v>58.781238000000002</v>
      </c>
      <c r="G32" s="5">
        <v>1.6011298E-2</v>
      </c>
    </row>
    <row r="33" spans="1:7" ht="15" x14ac:dyDescent="0.25">
      <c r="A33" s="6">
        <v>27</v>
      </c>
      <c r="B33" s="7" t="s">
        <v>96</v>
      </c>
      <c r="C33" s="11" t="s">
        <v>97</v>
      </c>
      <c r="D33" s="2" t="s">
        <v>51</v>
      </c>
      <c r="E33" s="46">
        <v>75263</v>
      </c>
      <c r="F33" s="51">
        <v>58.215930499999999</v>
      </c>
      <c r="G33" s="5">
        <v>1.5857315E-2</v>
      </c>
    </row>
    <row r="34" spans="1:7" ht="25.5" x14ac:dyDescent="0.25">
      <c r="A34" s="6">
        <v>28</v>
      </c>
      <c r="B34" s="7" t="s">
        <v>85</v>
      </c>
      <c r="C34" s="11" t="s">
        <v>86</v>
      </c>
      <c r="D34" s="2" t="s">
        <v>22</v>
      </c>
      <c r="E34" s="46">
        <v>9656</v>
      </c>
      <c r="F34" s="51">
        <v>57.197316000000001</v>
      </c>
      <c r="G34" s="5">
        <v>1.5579857000000001E-2</v>
      </c>
    </row>
    <row r="35" spans="1:7" ht="15" x14ac:dyDescent="0.25">
      <c r="A35" s="6">
        <v>29</v>
      </c>
      <c r="B35" s="7" t="s">
        <v>191</v>
      </c>
      <c r="C35" s="11" t="s">
        <v>192</v>
      </c>
      <c r="D35" s="2" t="s">
        <v>193</v>
      </c>
      <c r="E35" s="46">
        <v>41707</v>
      </c>
      <c r="F35" s="51">
        <v>55.512017</v>
      </c>
      <c r="G35" s="5">
        <v>1.5120801999999999E-2</v>
      </c>
    </row>
    <row r="36" spans="1:7" ht="25.5" x14ac:dyDescent="0.25">
      <c r="A36" s="6">
        <v>30</v>
      </c>
      <c r="B36" s="7" t="s">
        <v>194</v>
      </c>
      <c r="C36" s="11" t="s">
        <v>195</v>
      </c>
      <c r="D36" s="2" t="s">
        <v>37</v>
      </c>
      <c r="E36" s="46">
        <v>16323</v>
      </c>
      <c r="F36" s="51">
        <v>55.245193499999999</v>
      </c>
      <c r="G36" s="5">
        <v>1.5048123E-2</v>
      </c>
    </row>
    <row r="37" spans="1:7" ht="25.5" x14ac:dyDescent="0.25">
      <c r="A37" s="6">
        <v>31</v>
      </c>
      <c r="B37" s="7" t="s">
        <v>196</v>
      </c>
      <c r="C37" s="11" t="s">
        <v>846</v>
      </c>
      <c r="D37" s="2" t="s">
        <v>59</v>
      </c>
      <c r="E37" s="46">
        <v>3218</v>
      </c>
      <c r="F37" s="51">
        <v>52.817034</v>
      </c>
      <c r="G37" s="5">
        <v>1.4386721E-2</v>
      </c>
    </row>
    <row r="38" spans="1:7" ht="15" x14ac:dyDescent="0.25">
      <c r="A38" s="6">
        <v>32</v>
      </c>
      <c r="B38" s="7" t="s">
        <v>197</v>
      </c>
      <c r="C38" s="11" t="s">
        <v>198</v>
      </c>
      <c r="D38" s="2" t="s">
        <v>162</v>
      </c>
      <c r="E38" s="46">
        <v>17940</v>
      </c>
      <c r="F38" s="51">
        <v>52.80639</v>
      </c>
      <c r="G38" s="5">
        <v>1.4383821999999999E-2</v>
      </c>
    </row>
    <row r="39" spans="1:7" ht="25.5" x14ac:dyDescent="0.25">
      <c r="A39" s="6">
        <v>33</v>
      </c>
      <c r="B39" s="7" t="s">
        <v>199</v>
      </c>
      <c r="C39" s="11" t="s">
        <v>200</v>
      </c>
      <c r="D39" s="2" t="s">
        <v>22</v>
      </c>
      <c r="E39" s="46">
        <v>6958</v>
      </c>
      <c r="F39" s="51">
        <v>51.113467999999997</v>
      </c>
      <c r="G39" s="5">
        <v>1.3922690999999999E-2</v>
      </c>
    </row>
    <row r="40" spans="1:7" ht="25.5" x14ac:dyDescent="0.25">
      <c r="A40" s="6">
        <v>34</v>
      </c>
      <c r="B40" s="7" t="s">
        <v>45</v>
      </c>
      <c r="C40" s="11" t="s">
        <v>46</v>
      </c>
      <c r="D40" s="2" t="s">
        <v>22</v>
      </c>
      <c r="E40" s="46">
        <v>8088</v>
      </c>
      <c r="F40" s="51">
        <v>49.490471999999997</v>
      </c>
      <c r="G40" s="5">
        <v>1.3480605999999999E-2</v>
      </c>
    </row>
    <row r="41" spans="1:7" ht="25.5" x14ac:dyDescent="0.25">
      <c r="A41" s="6">
        <v>35</v>
      </c>
      <c r="B41" s="7" t="s">
        <v>64</v>
      </c>
      <c r="C41" s="11" t="s">
        <v>65</v>
      </c>
      <c r="D41" s="2" t="s">
        <v>19</v>
      </c>
      <c r="E41" s="46">
        <v>66460</v>
      </c>
      <c r="F41" s="51">
        <v>48.615490000000001</v>
      </c>
      <c r="G41" s="5">
        <v>1.3242271999999999E-2</v>
      </c>
    </row>
    <row r="42" spans="1:7" ht="25.5" x14ac:dyDescent="0.25">
      <c r="A42" s="6">
        <v>36</v>
      </c>
      <c r="B42" s="7" t="s">
        <v>94</v>
      </c>
      <c r="C42" s="11" t="s">
        <v>95</v>
      </c>
      <c r="D42" s="2" t="s">
        <v>22</v>
      </c>
      <c r="E42" s="46">
        <v>45491</v>
      </c>
      <c r="F42" s="51">
        <v>46.605529500000003</v>
      </c>
      <c r="G42" s="5">
        <v>1.2694782999999999E-2</v>
      </c>
    </row>
    <row r="43" spans="1:7" ht="15" x14ac:dyDescent="0.25">
      <c r="A43" s="6">
        <v>37</v>
      </c>
      <c r="B43" s="7" t="s">
        <v>201</v>
      </c>
      <c r="C43" s="11" t="s">
        <v>202</v>
      </c>
      <c r="D43" s="2" t="s">
        <v>27</v>
      </c>
      <c r="E43" s="46">
        <v>83066</v>
      </c>
      <c r="F43" s="51">
        <v>46.475427000000003</v>
      </c>
      <c r="G43" s="5">
        <v>1.2659343999999999E-2</v>
      </c>
    </row>
    <row r="44" spans="1:7" ht="15" x14ac:dyDescent="0.25">
      <c r="A44" s="6">
        <v>38</v>
      </c>
      <c r="B44" s="7" t="s">
        <v>203</v>
      </c>
      <c r="C44" s="11" t="s">
        <v>204</v>
      </c>
      <c r="D44" s="2" t="s">
        <v>81</v>
      </c>
      <c r="E44" s="46">
        <v>37452</v>
      </c>
      <c r="F44" s="51">
        <v>40.335804000000003</v>
      </c>
      <c r="G44" s="5">
        <v>1.0986984999999999E-2</v>
      </c>
    </row>
    <row r="45" spans="1:7" ht="25.5" x14ac:dyDescent="0.25">
      <c r="A45" s="6">
        <v>39</v>
      </c>
      <c r="B45" s="7" t="s">
        <v>205</v>
      </c>
      <c r="C45" s="11" t="s">
        <v>206</v>
      </c>
      <c r="D45" s="2" t="s">
        <v>173</v>
      </c>
      <c r="E45" s="46">
        <v>37747</v>
      </c>
      <c r="F45" s="51">
        <v>38.218837499999999</v>
      </c>
      <c r="G45" s="5">
        <v>1.0410348999999999E-2</v>
      </c>
    </row>
    <row r="46" spans="1:7" ht="15" x14ac:dyDescent="0.25">
      <c r="A46" s="6">
        <v>40</v>
      </c>
      <c r="B46" s="7" t="s">
        <v>72</v>
      </c>
      <c r="C46" s="11" t="s">
        <v>845</v>
      </c>
      <c r="D46" s="2" t="s">
        <v>51</v>
      </c>
      <c r="E46" s="46">
        <v>15807</v>
      </c>
      <c r="F46" s="51">
        <v>37.438879499999999</v>
      </c>
      <c r="G46" s="5">
        <v>1.0197898E-2</v>
      </c>
    </row>
    <row r="47" spans="1:7" ht="25.5" x14ac:dyDescent="0.25">
      <c r="A47" s="6">
        <v>41</v>
      </c>
      <c r="B47" s="7" t="s">
        <v>207</v>
      </c>
      <c r="C47" s="11" t="s">
        <v>208</v>
      </c>
      <c r="D47" s="2" t="s">
        <v>30</v>
      </c>
      <c r="E47" s="46">
        <v>29411</v>
      </c>
      <c r="F47" s="51">
        <v>32.307983499999999</v>
      </c>
      <c r="G47" s="5">
        <v>8.8003040000000001E-3</v>
      </c>
    </row>
    <row r="48" spans="1:7" ht="15" x14ac:dyDescent="0.25">
      <c r="A48" s="6">
        <v>42</v>
      </c>
      <c r="B48" s="7" t="s">
        <v>209</v>
      </c>
      <c r="C48" s="11" t="s">
        <v>210</v>
      </c>
      <c r="D48" s="2" t="s">
        <v>155</v>
      </c>
      <c r="E48" s="46">
        <v>17391</v>
      </c>
      <c r="F48" s="51">
        <v>28.982101499999999</v>
      </c>
      <c r="G48" s="5">
        <v>7.8943739999999991E-3</v>
      </c>
    </row>
    <row r="49" spans="1:7" ht="15" x14ac:dyDescent="0.25">
      <c r="A49" s="6">
        <v>43</v>
      </c>
      <c r="B49" s="7" t="s">
        <v>211</v>
      </c>
      <c r="C49" s="11" t="s">
        <v>212</v>
      </c>
      <c r="D49" s="2" t="s">
        <v>162</v>
      </c>
      <c r="E49" s="46">
        <v>33961</v>
      </c>
      <c r="F49" s="51">
        <v>26.998995000000001</v>
      </c>
      <c r="G49" s="5">
        <v>7.3542E-3</v>
      </c>
    </row>
    <row r="50" spans="1:7" ht="25.5" x14ac:dyDescent="0.25">
      <c r="A50" s="6">
        <v>44</v>
      </c>
      <c r="B50" s="7" t="s">
        <v>87</v>
      </c>
      <c r="C50" s="11" t="s">
        <v>88</v>
      </c>
      <c r="D50" s="2" t="s">
        <v>89</v>
      </c>
      <c r="E50" s="46">
        <v>9068</v>
      </c>
      <c r="F50" s="51">
        <v>26.360676000000002</v>
      </c>
      <c r="G50" s="5">
        <v>7.1803290000000001E-3</v>
      </c>
    </row>
    <row r="51" spans="1:7" ht="15" x14ac:dyDescent="0.25">
      <c r="A51" s="6">
        <v>45</v>
      </c>
      <c r="B51" s="7" t="s">
        <v>213</v>
      </c>
      <c r="C51" s="11" t="s">
        <v>214</v>
      </c>
      <c r="D51" s="2" t="s">
        <v>215</v>
      </c>
      <c r="E51" s="46">
        <v>26360</v>
      </c>
      <c r="F51" s="51">
        <v>25.14744</v>
      </c>
      <c r="G51" s="5">
        <v>6.8498589999999998E-3</v>
      </c>
    </row>
    <row r="52" spans="1:7" ht="25.5" x14ac:dyDescent="0.25">
      <c r="A52" s="6">
        <v>46</v>
      </c>
      <c r="B52" s="7" t="s">
        <v>216</v>
      </c>
      <c r="C52" s="11" t="s">
        <v>217</v>
      </c>
      <c r="D52" s="2" t="s">
        <v>59</v>
      </c>
      <c r="E52" s="46">
        <v>10263</v>
      </c>
      <c r="F52" s="51">
        <v>23.230300499999998</v>
      </c>
      <c r="G52" s="5">
        <v>6.3276529999999999E-3</v>
      </c>
    </row>
    <row r="53" spans="1:7" ht="15" x14ac:dyDescent="0.25">
      <c r="A53" s="6">
        <v>47</v>
      </c>
      <c r="B53" s="7" t="s">
        <v>218</v>
      </c>
      <c r="C53" s="11" t="s">
        <v>219</v>
      </c>
      <c r="D53" s="2" t="s">
        <v>51</v>
      </c>
      <c r="E53" s="46">
        <v>10900</v>
      </c>
      <c r="F53" s="51">
        <v>23.216999999999999</v>
      </c>
      <c r="G53" s="5">
        <v>6.3240299999999996E-3</v>
      </c>
    </row>
    <row r="54" spans="1:7" ht="15" x14ac:dyDescent="0.25">
      <c r="A54" s="6">
        <v>48</v>
      </c>
      <c r="B54" s="7" t="s">
        <v>220</v>
      </c>
      <c r="C54" s="11" t="s">
        <v>221</v>
      </c>
      <c r="D54" s="2" t="s">
        <v>193</v>
      </c>
      <c r="E54" s="46">
        <v>11480</v>
      </c>
      <c r="F54" s="51">
        <v>22.03012</v>
      </c>
      <c r="G54" s="5">
        <v>6.0007380000000003E-3</v>
      </c>
    </row>
    <row r="55" spans="1:7" ht="15" x14ac:dyDescent="0.25">
      <c r="A55" s="6">
        <v>49</v>
      </c>
      <c r="B55" s="7" t="s">
        <v>222</v>
      </c>
      <c r="C55" s="11" t="s">
        <v>223</v>
      </c>
      <c r="D55" s="2" t="s">
        <v>215</v>
      </c>
      <c r="E55" s="46">
        <v>4589</v>
      </c>
      <c r="F55" s="51">
        <v>21.219536000000002</v>
      </c>
      <c r="G55" s="5">
        <v>5.7799449999999999E-3</v>
      </c>
    </row>
    <row r="56" spans="1:7" ht="15" x14ac:dyDescent="0.25">
      <c r="A56" s="6">
        <v>50</v>
      </c>
      <c r="B56" s="7" t="s">
        <v>224</v>
      </c>
      <c r="C56" s="11" t="s">
        <v>225</v>
      </c>
      <c r="D56" s="2" t="s">
        <v>226</v>
      </c>
      <c r="E56" s="46">
        <v>1800</v>
      </c>
      <c r="F56" s="51">
        <v>19.484100000000002</v>
      </c>
      <c r="G56" s="5">
        <v>5.3072329999999997E-3</v>
      </c>
    </row>
    <row r="57" spans="1:7" ht="15" x14ac:dyDescent="0.25">
      <c r="A57" s="6">
        <v>51</v>
      </c>
      <c r="B57" s="7" t="s">
        <v>102</v>
      </c>
      <c r="C57" s="11" t="s">
        <v>103</v>
      </c>
      <c r="D57" s="2" t="s">
        <v>51</v>
      </c>
      <c r="E57" s="46">
        <v>13763</v>
      </c>
      <c r="F57" s="51">
        <v>14.9397365</v>
      </c>
      <c r="G57" s="5">
        <v>4.0694040000000004E-3</v>
      </c>
    </row>
    <row r="58" spans="1:7" ht="25.5" x14ac:dyDescent="0.25">
      <c r="A58" s="6">
        <v>52</v>
      </c>
      <c r="B58" s="7" t="s">
        <v>227</v>
      </c>
      <c r="C58" s="11" t="s">
        <v>228</v>
      </c>
      <c r="D58" s="2" t="s">
        <v>173</v>
      </c>
      <c r="E58" s="46">
        <v>11561</v>
      </c>
      <c r="F58" s="51">
        <v>7.3296739999999998</v>
      </c>
      <c r="G58" s="5">
        <v>1.9965149999999999E-3</v>
      </c>
    </row>
    <row r="59" spans="1:7" ht="25.5" x14ac:dyDescent="0.25">
      <c r="A59" s="6">
        <v>53</v>
      </c>
      <c r="B59" s="7" t="s">
        <v>229</v>
      </c>
      <c r="C59" s="11" t="s">
        <v>230</v>
      </c>
      <c r="D59" s="2" t="s">
        <v>37</v>
      </c>
      <c r="E59" s="46">
        <v>54670</v>
      </c>
      <c r="F59" s="51">
        <v>5.6310099999999998</v>
      </c>
      <c r="G59" s="5">
        <v>1.5338190000000001E-3</v>
      </c>
    </row>
    <row r="60" spans="1:7" ht="15" x14ac:dyDescent="0.25">
      <c r="A60" s="1"/>
      <c r="B60" s="2"/>
      <c r="C60" s="8" t="s">
        <v>104</v>
      </c>
      <c r="D60" s="12"/>
      <c r="E60" s="48"/>
      <c r="F60" s="53">
        <v>3537.4759300000001</v>
      </c>
      <c r="G60" s="13">
        <v>0.96356566200000027</v>
      </c>
    </row>
    <row r="61" spans="1:7" ht="15" x14ac:dyDescent="0.25">
      <c r="A61" s="6"/>
      <c r="B61" s="7"/>
      <c r="C61" s="14"/>
      <c r="D61" s="15"/>
      <c r="E61" s="46"/>
      <c r="F61" s="51"/>
      <c r="G61" s="5"/>
    </row>
    <row r="62" spans="1:7" ht="15" x14ac:dyDescent="0.25">
      <c r="A62" s="1"/>
      <c r="B62" s="2"/>
      <c r="C62" s="8" t="s">
        <v>105</v>
      </c>
      <c r="D62" s="9"/>
      <c r="E62" s="47"/>
      <c r="F62" s="52"/>
      <c r="G62" s="10"/>
    </row>
    <row r="63" spans="1:7" ht="15" x14ac:dyDescent="0.25">
      <c r="A63" s="1"/>
      <c r="B63" s="2"/>
      <c r="C63" s="8" t="s">
        <v>104</v>
      </c>
      <c r="D63" s="12"/>
      <c r="E63" s="48"/>
      <c r="F63" s="53">
        <v>0</v>
      </c>
      <c r="G63" s="13">
        <v>0</v>
      </c>
    </row>
    <row r="64" spans="1:7" ht="15" x14ac:dyDescent="0.25">
      <c r="A64" s="6"/>
      <c r="B64" s="7"/>
      <c r="C64" s="14"/>
      <c r="D64" s="15"/>
      <c r="E64" s="46"/>
      <c r="F64" s="51"/>
      <c r="G64" s="5"/>
    </row>
    <row r="65" spans="1:7" ht="15" x14ac:dyDescent="0.25">
      <c r="A65" s="16"/>
      <c r="B65" s="17"/>
      <c r="C65" s="8" t="s">
        <v>106</v>
      </c>
      <c r="D65" s="9"/>
      <c r="E65" s="47"/>
      <c r="F65" s="52"/>
      <c r="G65" s="10"/>
    </row>
    <row r="66" spans="1:7" ht="15" x14ac:dyDescent="0.25">
      <c r="A66" s="18"/>
      <c r="B66" s="19"/>
      <c r="C66" s="8" t="s">
        <v>104</v>
      </c>
      <c r="D66" s="20"/>
      <c r="E66" s="49"/>
      <c r="F66" s="54">
        <v>0</v>
      </c>
      <c r="G66" s="21">
        <v>0</v>
      </c>
    </row>
    <row r="67" spans="1:7" ht="15" x14ac:dyDescent="0.25">
      <c r="A67" s="18"/>
      <c r="B67" s="19"/>
      <c r="C67" s="14"/>
      <c r="D67" s="22"/>
      <c r="E67" s="50"/>
      <c r="F67" s="55"/>
      <c r="G67" s="23"/>
    </row>
    <row r="68" spans="1:7" ht="15" x14ac:dyDescent="0.25">
      <c r="A68" s="1"/>
      <c r="B68" s="2"/>
      <c r="C68" s="8" t="s">
        <v>108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1"/>
      <c r="B70" s="2"/>
      <c r="C70" s="14"/>
      <c r="D70" s="4"/>
      <c r="E70" s="46"/>
      <c r="F70" s="51"/>
      <c r="G70" s="5"/>
    </row>
    <row r="71" spans="1:7" ht="15" x14ac:dyDescent="0.25">
      <c r="A71" s="1"/>
      <c r="B71" s="2"/>
      <c r="C71" s="8" t="s">
        <v>109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1"/>
      <c r="B73" s="2"/>
      <c r="C73" s="14"/>
      <c r="D73" s="4"/>
      <c r="E73" s="46"/>
      <c r="F73" s="51"/>
      <c r="G73" s="5"/>
    </row>
    <row r="74" spans="1:7" ht="15" x14ac:dyDescent="0.25">
      <c r="A74" s="1"/>
      <c r="B74" s="2"/>
      <c r="C74" s="8" t="s">
        <v>110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25.5" x14ac:dyDescent="0.25">
      <c r="A77" s="6"/>
      <c r="B77" s="7"/>
      <c r="C77" s="24" t="s">
        <v>111</v>
      </c>
      <c r="D77" s="25"/>
      <c r="E77" s="48"/>
      <c r="F77" s="53">
        <v>3537.4759300000001</v>
      </c>
      <c r="G77" s="13">
        <v>0.96356566200000027</v>
      </c>
    </row>
    <row r="78" spans="1:7" ht="15" x14ac:dyDescent="0.25">
      <c r="A78" s="1"/>
      <c r="B78" s="2"/>
      <c r="C78" s="11"/>
      <c r="D78" s="4"/>
      <c r="E78" s="46"/>
      <c r="F78" s="51"/>
      <c r="G78" s="5"/>
    </row>
    <row r="79" spans="1:7" ht="15" x14ac:dyDescent="0.25">
      <c r="A79" s="1"/>
      <c r="B79" s="2"/>
      <c r="C79" s="3" t="s">
        <v>112</v>
      </c>
      <c r="D79" s="4"/>
      <c r="E79" s="46"/>
      <c r="F79" s="51"/>
      <c r="G79" s="5"/>
    </row>
    <row r="80" spans="1:7" ht="25.5" x14ac:dyDescent="0.25">
      <c r="A80" s="1"/>
      <c r="B80" s="2"/>
      <c r="C80" s="8" t="s">
        <v>10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4"/>
      <c r="E82" s="46"/>
      <c r="F82" s="51"/>
      <c r="G82" s="5"/>
    </row>
    <row r="83" spans="1:7" ht="15" x14ac:dyDescent="0.25">
      <c r="A83" s="1"/>
      <c r="B83" s="26"/>
      <c r="C83" s="8" t="s">
        <v>113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4"/>
      <c r="E85" s="46"/>
      <c r="F85" s="56"/>
      <c r="G85" s="27"/>
    </row>
    <row r="86" spans="1:7" ht="15" x14ac:dyDescent="0.25">
      <c r="A86" s="1"/>
      <c r="B86" s="2"/>
      <c r="C86" s="8" t="s">
        <v>114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1"/>
      <c r="B88" s="2"/>
      <c r="C88" s="14"/>
      <c r="D88" s="4"/>
      <c r="E88" s="46"/>
      <c r="F88" s="51"/>
      <c r="G88" s="5"/>
    </row>
    <row r="89" spans="1:7" ht="25.5" x14ac:dyDescent="0.25">
      <c r="A89" s="1"/>
      <c r="B89" s="26"/>
      <c r="C89" s="8" t="s">
        <v>115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1"/>
      <c r="G91" s="5"/>
    </row>
    <row r="92" spans="1:7" ht="15" x14ac:dyDescent="0.25">
      <c r="A92" s="6"/>
      <c r="B92" s="7"/>
      <c r="C92" s="28" t="s">
        <v>116</v>
      </c>
      <c r="D92" s="25"/>
      <c r="E92" s="48"/>
      <c r="F92" s="53">
        <v>0</v>
      </c>
      <c r="G92" s="13">
        <v>0</v>
      </c>
    </row>
    <row r="93" spans="1:7" ht="15" x14ac:dyDescent="0.25">
      <c r="A93" s="6"/>
      <c r="B93" s="7"/>
      <c r="C93" s="11"/>
      <c r="D93" s="4"/>
      <c r="E93" s="46"/>
      <c r="F93" s="51"/>
      <c r="G93" s="5"/>
    </row>
    <row r="94" spans="1:7" ht="15" x14ac:dyDescent="0.25">
      <c r="A94" s="1"/>
      <c r="B94" s="2"/>
      <c r="C94" s="3" t="s">
        <v>117</v>
      </c>
      <c r="D94" s="4"/>
      <c r="E94" s="46"/>
      <c r="F94" s="51"/>
      <c r="G94" s="5"/>
    </row>
    <row r="95" spans="1:7" ht="15" x14ac:dyDescent="0.25">
      <c r="A95" s="6"/>
      <c r="B95" s="7"/>
      <c r="C95" s="8" t="s">
        <v>118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7"/>
      <c r="E97" s="46"/>
      <c r="F97" s="51"/>
      <c r="G97" s="5"/>
    </row>
    <row r="98" spans="1:7" ht="15" x14ac:dyDescent="0.25">
      <c r="A98" s="6"/>
      <c r="B98" s="7"/>
      <c r="C98" s="8" t="s">
        <v>119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25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7"/>
      <c r="E100" s="46"/>
      <c r="F100" s="51"/>
      <c r="G100" s="5"/>
    </row>
    <row r="101" spans="1:7" ht="15" x14ac:dyDescent="0.25">
      <c r="A101" s="6"/>
      <c r="B101" s="7"/>
      <c r="C101" s="8" t="s">
        <v>120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121</v>
      </c>
      <c r="D104" s="9"/>
      <c r="E104" s="47"/>
      <c r="F104" s="52"/>
      <c r="G104" s="10"/>
    </row>
    <row r="105" spans="1:7" ht="15" x14ac:dyDescent="0.25">
      <c r="A105" s="6">
        <v>1</v>
      </c>
      <c r="B105" s="7"/>
      <c r="C105" s="11" t="s">
        <v>730</v>
      </c>
      <c r="D105" s="15"/>
      <c r="E105" s="46"/>
      <c r="F105" s="51">
        <v>32.994946800000001</v>
      </c>
      <c r="G105" s="5">
        <v>8.9874240000000008E-3</v>
      </c>
    </row>
    <row r="106" spans="1:7" ht="15" x14ac:dyDescent="0.25">
      <c r="A106" s="6"/>
      <c r="B106" s="7"/>
      <c r="C106" s="8" t="s">
        <v>104</v>
      </c>
      <c r="D106" s="25"/>
      <c r="E106" s="48"/>
      <c r="F106" s="53">
        <v>32.994946800000001</v>
      </c>
      <c r="G106" s="13">
        <v>8.9874240000000008E-3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25.5" x14ac:dyDescent="0.25">
      <c r="A108" s="6"/>
      <c r="B108" s="7"/>
      <c r="C108" s="24" t="s">
        <v>122</v>
      </c>
      <c r="D108" s="25"/>
      <c r="E108" s="48"/>
      <c r="F108" s="53">
        <v>32.994946800000001</v>
      </c>
      <c r="G108" s="13">
        <v>8.9874240000000008E-3</v>
      </c>
    </row>
    <row r="109" spans="1:7" ht="15" x14ac:dyDescent="0.25">
      <c r="A109" s="6"/>
      <c r="B109" s="7"/>
      <c r="C109" s="29"/>
      <c r="D109" s="7"/>
      <c r="E109" s="46"/>
      <c r="F109" s="51"/>
      <c r="G109" s="5"/>
    </row>
    <row r="110" spans="1:7" ht="15" x14ac:dyDescent="0.25">
      <c r="A110" s="1"/>
      <c r="B110" s="2"/>
      <c r="C110" s="3" t="s">
        <v>123</v>
      </c>
      <c r="D110" s="4"/>
      <c r="E110" s="46"/>
      <c r="F110" s="51"/>
      <c r="G110" s="5"/>
    </row>
    <row r="111" spans="1:7" ht="25.5" x14ac:dyDescent="0.25">
      <c r="A111" s="6"/>
      <c r="B111" s="7"/>
      <c r="C111" s="8" t="s">
        <v>124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15" x14ac:dyDescent="0.25">
      <c r="A114" s="1"/>
      <c r="B114" s="2"/>
      <c r="C114" s="3" t="s">
        <v>125</v>
      </c>
      <c r="D114" s="4"/>
      <c r="E114" s="46"/>
      <c r="F114" s="51"/>
      <c r="G114" s="5"/>
    </row>
    <row r="115" spans="1:7" ht="25.5" x14ac:dyDescent="0.25">
      <c r="A115" s="6"/>
      <c r="B115" s="7"/>
      <c r="C115" s="8" t="s">
        <v>126</v>
      </c>
      <c r="D115" s="9"/>
      <c r="E115" s="47"/>
      <c r="F115" s="52"/>
      <c r="G115" s="10"/>
    </row>
    <row r="116" spans="1:7" ht="15" x14ac:dyDescent="0.25">
      <c r="A116" s="6"/>
      <c r="B116" s="7"/>
      <c r="C116" s="8" t="s">
        <v>104</v>
      </c>
      <c r="D116" s="25"/>
      <c r="E116" s="48"/>
      <c r="F116" s="53">
        <v>0</v>
      </c>
      <c r="G116" s="13">
        <v>0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25.5" x14ac:dyDescent="0.25">
      <c r="A118" s="6"/>
      <c r="B118" s="7"/>
      <c r="C118" s="8" t="s">
        <v>127</v>
      </c>
      <c r="D118" s="9"/>
      <c r="E118" s="130"/>
      <c r="F118" s="112">
        <v>72.712000000000003</v>
      </c>
      <c r="G118" s="111">
        <v>1.9805869E-2</v>
      </c>
    </row>
    <row r="119" spans="1:7" ht="15" x14ac:dyDescent="0.25">
      <c r="A119" s="6"/>
      <c r="B119" s="7"/>
      <c r="C119" s="96" t="s">
        <v>810</v>
      </c>
      <c r="D119" s="25"/>
      <c r="E119" s="48"/>
      <c r="F119" s="53">
        <v>72.712000000000003</v>
      </c>
      <c r="G119" s="13">
        <v>1.9805869E-2</v>
      </c>
    </row>
    <row r="120" spans="1:7" ht="15" x14ac:dyDescent="0.25">
      <c r="A120" s="6"/>
      <c r="B120" s="7"/>
      <c r="C120" s="14"/>
      <c r="D120" s="7"/>
      <c r="E120" s="46"/>
      <c r="F120" s="56"/>
      <c r="G120" s="27"/>
    </row>
    <row r="121" spans="1:7" ht="25.5" x14ac:dyDescent="0.25">
      <c r="A121" s="6"/>
      <c r="B121" s="7"/>
      <c r="C121" s="29" t="s">
        <v>128</v>
      </c>
      <c r="D121" s="7"/>
      <c r="E121" s="46"/>
      <c r="F121" s="56">
        <v>28.052071000000002</v>
      </c>
      <c r="G121" s="27">
        <v>7.641045E-3</v>
      </c>
    </row>
    <row r="122" spans="1:7" ht="15" x14ac:dyDescent="0.25">
      <c r="A122" s="6"/>
      <c r="B122" s="7"/>
      <c r="C122" s="30" t="s">
        <v>129</v>
      </c>
      <c r="D122" s="12"/>
      <c r="E122" s="48"/>
      <c r="F122" s="53">
        <v>3671.2349478000001</v>
      </c>
      <c r="G122" s="13">
        <v>1.0000000000000002</v>
      </c>
    </row>
    <row r="124" spans="1:7" ht="15" x14ac:dyDescent="0.25">
      <c r="B124" s="279"/>
      <c r="C124" s="279"/>
      <c r="D124" s="279"/>
      <c r="E124" s="279"/>
      <c r="F124" s="279"/>
    </row>
    <row r="125" spans="1:7" ht="15" x14ac:dyDescent="0.25">
      <c r="B125" s="279"/>
      <c r="C125" s="279"/>
      <c r="D125" s="279"/>
      <c r="E125" s="279"/>
      <c r="F125" s="279"/>
    </row>
    <row r="127" spans="1:7" ht="15" x14ac:dyDescent="0.25">
      <c r="B127" s="36" t="s">
        <v>131</v>
      </c>
      <c r="C127" s="37"/>
      <c r="D127" s="38"/>
    </row>
    <row r="128" spans="1:7" ht="15" x14ac:dyDescent="0.25">
      <c r="B128" s="39" t="s">
        <v>132</v>
      </c>
      <c r="C128" s="40"/>
      <c r="D128" s="62" t="s">
        <v>133</v>
      </c>
    </row>
    <row r="129" spans="2:5" ht="15" x14ac:dyDescent="0.25">
      <c r="B129" s="39" t="s">
        <v>134</v>
      </c>
      <c r="C129" s="40"/>
      <c r="D129" s="62" t="s">
        <v>133</v>
      </c>
    </row>
    <row r="130" spans="2:5" ht="15" x14ac:dyDescent="0.25">
      <c r="B130" s="41" t="s">
        <v>135</v>
      </c>
      <c r="C130" s="40"/>
      <c r="D130" s="42"/>
    </row>
    <row r="131" spans="2:5" ht="25.5" customHeight="1" x14ac:dyDescent="0.25">
      <c r="B131" s="42"/>
      <c r="C131" s="32" t="s">
        <v>136</v>
      </c>
      <c r="D131" s="33" t="s">
        <v>137</v>
      </c>
    </row>
    <row r="132" spans="2:5" ht="12.75" customHeight="1" x14ac:dyDescent="0.25">
      <c r="B132" s="57" t="s">
        <v>138</v>
      </c>
      <c r="C132" s="58" t="s">
        <v>139</v>
      </c>
      <c r="D132" s="58" t="s">
        <v>140</v>
      </c>
    </row>
    <row r="133" spans="2:5" ht="15" x14ac:dyDescent="0.25">
      <c r="B133" s="42" t="s">
        <v>141</v>
      </c>
      <c r="C133" s="43">
        <v>13.763500000000001</v>
      </c>
      <c r="D133" s="43">
        <v>11.9488</v>
      </c>
      <c r="E133" s="144"/>
    </row>
    <row r="134" spans="2:5" ht="15" x14ac:dyDescent="0.25">
      <c r="B134" s="42" t="s">
        <v>142</v>
      </c>
      <c r="C134" s="43">
        <v>10.914</v>
      </c>
      <c r="D134" s="43">
        <v>9.4749999999999996</v>
      </c>
      <c r="E134" s="144"/>
    </row>
    <row r="135" spans="2:5" ht="15" x14ac:dyDescent="0.25">
      <c r="B135" s="42" t="s">
        <v>143</v>
      </c>
      <c r="C135" s="43">
        <v>13.3683</v>
      </c>
      <c r="D135" s="43">
        <v>11.603400000000001</v>
      </c>
      <c r="E135" s="144"/>
    </row>
    <row r="136" spans="2:5" ht="15" x14ac:dyDescent="0.25">
      <c r="B136" s="42" t="s">
        <v>144</v>
      </c>
      <c r="C136" s="43">
        <v>10.574199999999999</v>
      </c>
      <c r="D136" s="43">
        <v>9.1782000000000004</v>
      </c>
      <c r="E136" s="144"/>
    </row>
    <row r="138" spans="2:5" ht="15" x14ac:dyDescent="0.25">
      <c r="B138" s="59" t="s">
        <v>145</v>
      </c>
      <c r="C138" s="44"/>
      <c r="D138" s="60" t="s">
        <v>133</v>
      </c>
    </row>
    <row r="139" spans="2:5" ht="24.75" customHeight="1" x14ac:dyDescent="0.25">
      <c r="B139" s="61"/>
      <c r="C139" s="61"/>
    </row>
    <row r="140" spans="2:5" ht="15" x14ac:dyDescent="0.25">
      <c r="B140" s="63"/>
      <c r="C140" s="65"/>
      <c r="D140"/>
    </row>
    <row r="142" spans="2:5" ht="15" x14ac:dyDescent="0.25">
      <c r="B142" s="41" t="s">
        <v>146</v>
      </c>
      <c r="C142" s="40"/>
      <c r="D142" s="64" t="s">
        <v>133</v>
      </c>
    </row>
    <row r="143" spans="2:5" ht="15" x14ac:dyDescent="0.25">
      <c r="B143" s="41" t="s">
        <v>147</v>
      </c>
      <c r="C143" s="40"/>
      <c r="D143" s="64" t="s">
        <v>133</v>
      </c>
    </row>
    <row r="144" spans="2:5" ht="15" x14ac:dyDescent="0.25">
      <c r="B144" s="41" t="s">
        <v>148</v>
      </c>
      <c r="C144" s="40"/>
      <c r="D144" s="45">
        <v>4.9638896524138634E-3</v>
      </c>
    </row>
    <row r="145" spans="2:4" ht="15" x14ac:dyDescent="0.25">
      <c r="B145" s="41" t="s">
        <v>149</v>
      </c>
      <c r="C145" s="40"/>
      <c r="D145" s="45" t="s">
        <v>133</v>
      </c>
    </row>
  </sheetData>
  <mergeCells count="5">
    <mergeCell ref="A1:G1"/>
    <mergeCell ref="A2:G2"/>
    <mergeCell ref="A3:G3"/>
    <mergeCell ref="B124:F124"/>
    <mergeCell ref="B125:F1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54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811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23</v>
      </c>
      <c r="C7" s="11" t="s">
        <v>24</v>
      </c>
      <c r="D7" s="2" t="s">
        <v>22</v>
      </c>
      <c r="E7" s="46">
        <v>61310</v>
      </c>
      <c r="F7" s="51">
        <v>337.11303500000002</v>
      </c>
      <c r="G7" s="5">
        <v>4.0975849000000002E-2</v>
      </c>
    </row>
    <row r="8" spans="1:7" ht="25.5" x14ac:dyDescent="0.25">
      <c r="A8" s="6">
        <v>2</v>
      </c>
      <c r="B8" s="7" t="s">
        <v>153</v>
      </c>
      <c r="C8" s="11" t="s">
        <v>154</v>
      </c>
      <c r="D8" s="2" t="s">
        <v>155</v>
      </c>
      <c r="E8" s="46">
        <v>53370</v>
      </c>
      <c r="F8" s="51">
        <v>332.38835999999998</v>
      </c>
      <c r="G8" s="5">
        <v>4.0401568999999998E-2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68617</v>
      </c>
      <c r="F9" s="51">
        <v>329.12144050000001</v>
      </c>
      <c r="G9" s="5">
        <v>4.0004476999999997E-2</v>
      </c>
    </row>
    <row r="10" spans="1:7" ht="15" x14ac:dyDescent="0.25">
      <c r="A10" s="6">
        <v>4</v>
      </c>
      <c r="B10" s="7" t="s">
        <v>151</v>
      </c>
      <c r="C10" s="11" t="s">
        <v>152</v>
      </c>
      <c r="D10" s="2" t="s">
        <v>16</v>
      </c>
      <c r="E10" s="46">
        <v>168666</v>
      </c>
      <c r="F10" s="51">
        <v>326.53737599999999</v>
      </c>
      <c r="G10" s="5">
        <v>3.9690386000000001E-2</v>
      </c>
    </row>
    <row r="11" spans="1:7" ht="25.5" x14ac:dyDescent="0.25">
      <c r="A11" s="6">
        <v>5</v>
      </c>
      <c r="B11" s="7" t="s">
        <v>68</v>
      </c>
      <c r="C11" s="11" t="s">
        <v>69</v>
      </c>
      <c r="D11" s="2" t="s">
        <v>19</v>
      </c>
      <c r="E11" s="46">
        <v>223545</v>
      </c>
      <c r="F11" s="51">
        <v>270.26590499999998</v>
      </c>
      <c r="G11" s="5">
        <v>3.2850628E-2</v>
      </c>
    </row>
    <row r="12" spans="1:7" ht="15" x14ac:dyDescent="0.25">
      <c r="A12" s="6">
        <v>6</v>
      </c>
      <c r="B12" s="7" t="s">
        <v>60</v>
      </c>
      <c r="C12" s="11" t="s">
        <v>61</v>
      </c>
      <c r="D12" s="2" t="s">
        <v>16</v>
      </c>
      <c r="E12" s="46">
        <v>26041</v>
      </c>
      <c r="F12" s="51">
        <v>251.55606</v>
      </c>
      <c r="G12" s="5">
        <v>3.057646E-2</v>
      </c>
    </row>
    <row r="13" spans="1:7" ht="25.5" x14ac:dyDescent="0.25">
      <c r="A13" s="6">
        <v>7</v>
      </c>
      <c r="B13" s="7" t="s">
        <v>92</v>
      </c>
      <c r="C13" s="11" t="s">
        <v>93</v>
      </c>
      <c r="D13" s="2" t="s">
        <v>22</v>
      </c>
      <c r="E13" s="46">
        <v>50612</v>
      </c>
      <c r="F13" s="51">
        <v>221.95892599999999</v>
      </c>
      <c r="G13" s="5">
        <v>2.6978948999999999E-2</v>
      </c>
    </row>
    <row r="14" spans="1:7" ht="38.25" x14ac:dyDescent="0.25">
      <c r="A14" s="6">
        <v>8</v>
      </c>
      <c r="B14" s="7" t="s">
        <v>82</v>
      </c>
      <c r="C14" s="11" t="s">
        <v>83</v>
      </c>
      <c r="D14" s="2" t="s">
        <v>84</v>
      </c>
      <c r="E14" s="46">
        <v>263281</v>
      </c>
      <c r="F14" s="51">
        <v>208.91347350000001</v>
      </c>
      <c r="G14" s="5">
        <v>2.5393283999999999E-2</v>
      </c>
    </row>
    <row r="15" spans="1:7" ht="25.5" x14ac:dyDescent="0.25">
      <c r="A15" s="6">
        <v>9</v>
      </c>
      <c r="B15" s="7" t="s">
        <v>43</v>
      </c>
      <c r="C15" s="11" t="s">
        <v>44</v>
      </c>
      <c r="D15" s="2" t="s">
        <v>30</v>
      </c>
      <c r="E15" s="46">
        <v>170588</v>
      </c>
      <c r="F15" s="51">
        <v>180.055634</v>
      </c>
      <c r="G15" s="5">
        <v>2.1885634000000001E-2</v>
      </c>
    </row>
    <row r="16" spans="1:7" ht="15" x14ac:dyDescent="0.25">
      <c r="A16" s="6">
        <v>10</v>
      </c>
      <c r="B16" s="7" t="s">
        <v>160</v>
      </c>
      <c r="C16" s="11" t="s">
        <v>161</v>
      </c>
      <c r="D16" s="2" t="s">
        <v>162</v>
      </c>
      <c r="E16" s="46">
        <v>66756</v>
      </c>
      <c r="F16" s="51">
        <v>175.968816</v>
      </c>
      <c r="G16" s="5">
        <v>2.1388884E-2</v>
      </c>
    </row>
    <row r="17" spans="1:7" ht="25.5" x14ac:dyDescent="0.25">
      <c r="A17" s="6">
        <v>11</v>
      </c>
      <c r="B17" s="7" t="s">
        <v>189</v>
      </c>
      <c r="C17" s="11" t="s">
        <v>190</v>
      </c>
      <c r="D17" s="2" t="s">
        <v>167</v>
      </c>
      <c r="E17" s="46">
        <v>38949</v>
      </c>
      <c r="F17" s="51">
        <v>171.920886</v>
      </c>
      <c r="G17" s="5">
        <v>2.0896860999999999E-2</v>
      </c>
    </row>
    <row r="18" spans="1:7" ht="15" x14ac:dyDescent="0.25">
      <c r="A18" s="6">
        <v>12</v>
      </c>
      <c r="B18" s="7" t="s">
        <v>49</v>
      </c>
      <c r="C18" s="11" t="s">
        <v>50</v>
      </c>
      <c r="D18" s="2" t="s">
        <v>51</v>
      </c>
      <c r="E18" s="46">
        <v>65517</v>
      </c>
      <c r="F18" s="51">
        <v>171.392472</v>
      </c>
      <c r="G18" s="5">
        <v>2.0832633E-2</v>
      </c>
    </row>
    <row r="19" spans="1:7" ht="15" x14ac:dyDescent="0.25">
      <c r="A19" s="6">
        <v>13</v>
      </c>
      <c r="B19" s="7" t="s">
        <v>231</v>
      </c>
      <c r="C19" s="11" t="s">
        <v>232</v>
      </c>
      <c r="D19" s="2" t="s">
        <v>170</v>
      </c>
      <c r="E19" s="46">
        <v>49065</v>
      </c>
      <c r="F19" s="51">
        <v>169.93662749999999</v>
      </c>
      <c r="G19" s="5">
        <v>2.0655676000000001E-2</v>
      </c>
    </row>
    <row r="20" spans="1:7" ht="25.5" x14ac:dyDescent="0.25">
      <c r="A20" s="6">
        <v>14</v>
      </c>
      <c r="B20" s="7" t="s">
        <v>178</v>
      </c>
      <c r="C20" s="11" t="s">
        <v>179</v>
      </c>
      <c r="D20" s="2" t="s">
        <v>22</v>
      </c>
      <c r="E20" s="46">
        <v>48050</v>
      </c>
      <c r="F20" s="51">
        <v>167.35814999999999</v>
      </c>
      <c r="G20" s="5">
        <v>2.0342263999999999E-2</v>
      </c>
    </row>
    <row r="21" spans="1:7" ht="25.5" x14ac:dyDescent="0.25">
      <c r="A21" s="6">
        <v>15</v>
      </c>
      <c r="B21" s="7" t="s">
        <v>165</v>
      </c>
      <c r="C21" s="11" t="s">
        <v>166</v>
      </c>
      <c r="D21" s="2" t="s">
        <v>167</v>
      </c>
      <c r="E21" s="46">
        <v>143787</v>
      </c>
      <c r="F21" s="51">
        <v>165.7145175</v>
      </c>
      <c r="G21" s="5">
        <v>2.0142482E-2</v>
      </c>
    </row>
    <row r="22" spans="1:7" ht="25.5" x14ac:dyDescent="0.25">
      <c r="A22" s="6">
        <v>16</v>
      </c>
      <c r="B22" s="7" t="s">
        <v>87</v>
      </c>
      <c r="C22" s="11" t="s">
        <v>88</v>
      </c>
      <c r="D22" s="2" t="s">
        <v>89</v>
      </c>
      <c r="E22" s="46">
        <v>55900</v>
      </c>
      <c r="F22" s="51">
        <v>162.50129999999999</v>
      </c>
      <c r="G22" s="5">
        <v>1.9751917000000001E-2</v>
      </c>
    </row>
    <row r="23" spans="1:7" ht="25.5" x14ac:dyDescent="0.25">
      <c r="A23" s="6">
        <v>17</v>
      </c>
      <c r="B23" s="7" t="s">
        <v>171</v>
      </c>
      <c r="C23" s="11" t="s">
        <v>172</v>
      </c>
      <c r="D23" s="2" t="s">
        <v>173</v>
      </c>
      <c r="E23" s="46">
        <v>55081</v>
      </c>
      <c r="F23" s="51">
        <v>161.91059949999999</v>
      </c>
      <c r="G23" s="5">
        <v>1.9680118E-2</v>
      </c>
    </row>
    <row r="24" spans="1:7" ht="51" x14ac:dyDescent="0.25">
      <c r="A24" s="6">
        <v>18</v>
      </c>
      <c r="B24" s="7" t="s">
        <v>233</v>
      </c>
      <c r="C24" s="11" t="s">
        <v>234</v>
      </c>
      <c r="D24" s="2" t="s">
        <v>235</v>
      </c>
      <c r="E24" s="46">
        <v>71211</v>
      </c>
      <c r="F24" s="51">
        <v>161.07928200000001</v>
      </c>
      <c r="G24" s="5">
        <v>1.9579071999999999E-2</v>
      </c>
    </row>
    <row r="25" spans="1:7" ht="15" x14ac:dyDescent="0.25">
      <c r="A25" s="6">
        <v>19</v>
      </c>
      <c r="B25" s="7" t="s">
        <v>158</v>
      </c>
      <c r="C25" s="11" t="s">
        <v>159</v>
      </c>
      <c r="D25" s="2" t="s">
        <v>16</v>
      </c>
      <c r="E25" s="46">
        <v>177089</v>
      </c>
      <c r="F25" s="51">
        <v>155.48414199999999</v>
      </c>
      <c r="G25" s="5">
        <v>1.8898986999999999E-2</v>
      </c>
    </row>
    <row r="26" spans="1:7" ht="25.5" x14ac:dyDescent="0.25">
      <c r="A26" s="6">
        <v>20</v>
      </c>
      <c r="B26" s="7" t="s">
        <v>20</v>
      </c>
      <c r="C26" s="11" t="s">
        <v>21</v>
      </c>
      <c r="D26" s="2" t="s">
        <v>22</v>
      </c>
      <c r="E26" s="46">
        <v>22079</v>
      </c>
      <c r="F26" s="51">
        <v>149.872252</v>
      </c>
      <c r="G26" s="5">
        <v>1.8216866000000002E-2</v>
      </c>
    </row>
    <row r="27" spans="1:7" ht="25.5" x14ac:dyDescent="0.25">
      <c r="A27" s="6">
        <v>21</v>
      </c>
      <c r="B27" s="7" t="s">
        <v>205</v>
      </c>
      <c r="C27" s="11" t="s">
        <v>206</v>
      </c>
      <c r="D27" s="2" t="s">
        <v>173</v>
      </c>
      <c r="E27" s="46">
        <v>147088</v>
      </c>
      <c r="F27" s="51">
        <v>148.92660000000001</v>
      </c>
      <c r="G27" s="5">
        <v>1.8101921999999999E-2</v>
      </c>
    </row>
    <row r="28" spans="1:7" ht="15" x14ac:dyDescent="0.25">
      <c r="A28" s="6">
        <v>22</v>
      </c>
      <c r="B28" s="7" t="s">
        <v>62</v>
      </c>
      <c r="C28" s="11" t="s">
        <v>63</v>
      </c>
      <c r="D28" s="2" t="s">
        <v>16</v>
      </c>
      <c r="E28" s="46">
        <v>143909</v>
      </c>
      <c r="F28" s="51">
        <v>146.643271</v>
      </c>
      <c r="G28" s="5">
        <v>1.7824385000000002E-2</v>
      </c>
    </row>
    <row r="29" spans="1:7" ht="15" x14ac:dyDescent="0.25">
      <c r="A29" s="6">
        <v>23</v>
      </c>
      <c r="B29" s="7" t="s">
        <v>218</v>
      </c>
      <c r="C29" s="11" t="s">
        <v>219</v>
      </c>
      <c r="D29" s="2" t="s">
        <v>51</v>
      </c>
      <c r="E29" s="46">
        <v>68000</v>
      </c>
      <c r="F29" s="51">
        <v>144.84</v>
      </c>
      <c r="G29" s="5">
        <v>1.7605198999999998E-2</v>
      </c>
    </row>
    <row r="30" spans="1:7" ht="25.5" x14ac:dyDescent="0.25">
      <c r="A30" s="6">
        <v>24</v>
      </c>
      <c r="B30" s="7" t="s">
        <v>196</v>
      </c>
      <c r="C30" s="11" t="s">
        <v>846</v>
      </c>
      <c r="D30" s="2" t="s">
        <v>59</v>
      </c>
      <c r="E30" s="46">
        <v>8701</v>
      </c>
      <c r="F30" s="51">
        <v>142.80951300000001</v>
      </c>
      <c r="G30" s="5">
        <v>1.7358394999999999E-2</v>
      </c>
    </row>
    <row r="31" spans="1:7" ht="15" x14ac:dyDescent="0.25">
      <c r="A31" s="6">
        <v>25</v>
      </c>
      <c r="B31" s="7" t="s">
        <v>163</v>
      </c>
      <c r="C31" s="11" t="s">
        <v>164</v>
      </c>
      <c r="D31" s="2" t="s">
        <v>13</v>
      </c>
      <c r="E31" s="46">
        <v>72068</v>
      </c>
      <c r="F31" s="51">
        <v>140.89294000000001</v>
      </c>
      <c r="G31" s="5">
        <v>1.7125437E-2</v>
      </c>
    </row>
    <row r="32" spans="1:7" ht="15" x14ac:dyDescent="0.25">
      <c r="A32" s="6">
        <v>26</v>
      </c>
      <c r="B32" s="7" t="s">
        <v>182</v>
      </c>
      <c r="C32" s="11" t="s">
        <v>183</v>
      </c>
      <c r="D32" s="2" t="s">
        <v>184</v>
      </c>
      <c r="E32" s="46">
        <v>74088</v>
      </c>
      <c r="F32" s="51">
        <v>138.470472</v>
      </c>
      <c r="G32" s="5">
        <v>1.6830986999999999E-2</v>
      </c>
    </row>
    <row r="33" spans="1:7" ht="15" x14ac:dyDescent="0.25">
      <c r="A33" s="6">
        <v>27</v>
      </c>
      <c r="B33" s="7" t="s">
        <v>203</v>
      </c>
      <c r="C33" s="11" t="s">
        <v>204</v>
      </c>
      <c r="D33" s="2" t="s">
        <v>81</v>
      </c>
      <c r="E33" s="46">
        <v>128072</v>
      </c>
      <c r="F33" s="51">
        <v>137.93354400000001</v>
      </c>
      <c r="G33" s="5">
        <v>1.6765723999999999E-2</v>
      </c>
    </row>
    <row r="34" spans="1:7" ht="15" x14ac:dyDescent="0.25">
      <c r="A34" s="6">
        <v>28</v>
      </c>
      <c r="B34" s="7" t="s">
        <v>168</v>
      </c>
      <c r="C34" s="11" t="s">
        <v>169</v>
      </c>
      <c r="D34" s="2" t="s">
        <v>170</v>
      </c>
      <c r="E34" s="46">
        <v>71650</v>
      </c>
      <c r="F34" s="51">
        <v>136.49324999999999</v>
      </c>
      <c r="G34" s="5">
        <v>1.6590657000000002E-2</v>
      </c>
    </row>
    <row r="35" spans="1:7" ht="25.5" x14ac:dyDescent="0.25">
      <c r="A35" s="6">
        <v>29</v>
      </c>
      <c r="B35" s="7" t="s">
        <v>194</v>
      </c>
      <c r="C35" s="11" t="s">
        <v>195</v>
      </c>
      <c r="D35" s="2" t="s">
        <v>37</v>
      </c>
      <c r="E35" s="46">
        <v>36226</v>
      </c>
      <c r="F35" s="51">
        <v>122.606897</v>
      </c>
      <c r="G35" s="5">
        <v>1.4902781E-2</v>
      </c>
    </row>
    <row r="36" spans="1:7" ht="15" x14ac:dyDescent="0.25">
      <c r="A36" s="6">
        <v>30</v>
      </c>
      <c r="B36" s="7" t="s">
        <v>201</v>
      </c>
      <c r="C36" s="11" t="s">
        <v>202</v>
      </c>
      <c r="D36" s="2" t="s">
        <v>27</v>
      </c>
      <c r="E36" s="46">
        <v>217259</v>
      </c>
      <c r="F36" s="51">
        <v>121.5564105</v>
      </c>
      <c r="G36" s="5">
        <v>1.4775095E-2</v>
      </c>
    </row>
    <row r="37" spans="1:7" ht="25.5" x14ac:dyDescent="0.25">
      <c r="A37" s="6">
        <v>31</v>
      </c>
      <c r="B37" s="7" t="s">
        <v>52</v>
      </c>
      <c r="C37" s="11" t="s">
        <v>53</v>
      </c>
      <c r="D37" s="2" t="s">
        <v>30</v>
      </c>
      <c r="E37" s="46">
        <v>27590</v>
      </c>
      <c r="F37" s="51">
        <v>118.098995</v>
      </c>
      <c r="G37" s="5">
        <v>1.4354848999999999E-2</v>
      </c>
    </row>
    <row r="38" spans="1:7" ht="15" x14ac:dyDescent="0.25">
      <c r="A38" s="6">
        <v>32</v>
      </c>
      <c r="B38" s="7" t="s">
        <v>187</v>
      </c>
      <c r="C38" s="11" t="s">
        <v>188</v>
      </c>
      <c r="D38" s="2" t="s">
        <v>162</v>
      </c>
      <c r="E38" s="46">
        <v>12389</v>
      </c>
      <c r="F38" s="51">
        <v>113.6752695</v>
      </c>
      <c r="G38" s="5">
        <v>1.3817148E-2</v>
      </c>
    </row>
    <row r="39" spans="1:7" ht="15" x14ac:dyDescent="0.25">
      <c r="A39" s="6">
        <v>33</v>
      </c>
      <c r="B39" s="7" t="s">
        <v>191</v>
      </c>
      <c r="C39" s="11" t="s">
        <v>192</v>
      </c>
      <c r="D39" s="2" t="s">
        <v>193</v>
      </c>
      <c r="E39" s="46">
        <v>81743</v>
      </c>
      <c r="F39" s="51">
        <v>108.799933</v>
      </c>
      <c r="G39" s="5">
        <v>1.3224553999999999E-2</v>
      </c>
    </row>
    <row r="40" spans="1:7" ht="25.5" x14ac:dyDescent="0.25">
      <c r="A40" s="6">
        <v>34</v>
      </c>
      <c r="B40" s="7" t="s">
        <v>94</v>
      </c>
      <c r="C40" s="11" t="s">
        <v>95</v>
      </c>
      <c r="D40" s="2" t="s">
        <v>22</v>
      </c>
      <c r="E40" s="46">
        <v>104415</v>
      </c>
      <c r="F40" s="51">
        <v>106.9731675</v>
      </c>
      <c r="G40" s="5">
        <v>1.3002512000000001E-2</v>
      </c>
    </row>
    <row r="41" spans="1:7" ht="15" x14ac:dyDescent="0.25">
      <c r="A41" s="6">
        <v>35</v>
      </c>
      <c r="B41" s="7" t="s">
        <v>236</v>
      </c>
      <c r="C41" s="11" t="s">
        <v>237</v>
      </c>
      <c r="D41" s="2" t="s">
        <v>238</v>
      </c>
      <c r="E41" s="46">
        <v>17758</v>
      </c>
      <c r="F41" s="51">
        <v>106.841007</v>
      </c>
      <c r="G41" s="5">
        <v>1.2986447999999999E-2</v>
      </c>
    </row>
    <row r="42" spans="1:7" ht="25.5" x14ac:dyDescent="0.25">
      <c r="A42" s="6">
        <v>36</v>
      </c>
      <c r="B42" s="7" t="s">
        <v>64</v>
      </c>
      <c r="C42" s="11" t="s">
        <v>65</v>
      </c>
      <c r="D42" s="2" t="s">
        <v>19</v>
      </c>
      <c r="E42" s="46">
        <v>144741</v>
      </c>
      <c r="F42" s="51">
        <v>105.87804149999999</v>
      </c>
      <c r="G42" s="5">
        <v>1.2869401000000001E-2</v>
      </c>
    </row>
    <row r="43" spans="1:7" ht="25.5" x14ac:dyDescent="0.25">
      <c r="A43" s="6">
        <v>37</v>
      </c>
      <c r="B43" s="7" t="s">
        <v>239</v>
      </c>
      <c r="C43" s="11" t="s">
        <v>240</v>
      </c>
      <c r="D43" s="2" t="s">
        <v>241</v>
      </c>
      <c r="E43" s="46">
        <v>28224</v>
      </c>
      <c r="F43" s="51">
        <v>104.64048</v>
      </c>
      <c r="G43" s="5">
        <v>1.2718976E-2</v>
      </c>
    </row>
    <row r="44" spans="1:7" ht="15" x14ac:dyDescent="0.25">
      <c r="A44" s="6">
        <v>38</v>
      </c>
      <c r="B44" s="7" t="s">
        <v>242</v>
      </c>
      <c r="C44" s="11" t="s">
        <v>243</v>
      </c>
      <c r="D44" s="2" t="s">
        <v>241</v>
      </c>
      <c r="E44" s="46">
        <v>28310</v>
      </c>
      <c r="F44" s="51">
        <v>95.093289999999996</v>
      </c>
      <c r="G44" s="5">
        <v>1.1558522E-2</v>
      </c>
    </row>
    <row r="45" spans="1:7" ht="15" x14ac:dyDescent="0.25">
      <c r="A45" s="6">
        <v>39</v>
      </c>
      <c r="B45" s="7" t="s">
        <v>244</v>
      </c>
      <c r="C45" s="11" t="s">
        <v>245</v>
      </c>
      <c r="D45" s="2" t="s">
        <v>162</v>
      </c>
      <c r="E45" s="46">
        <v>17507</v>
      </c>
      <c r="F45" s="51">
        <v>90.642492500000003</v>
      </c>
      <c r="G45" s="5">
        <v>1.1017529999999999E-2</v>
      </c>
    </row>
    <row r="46" spans="1:7" ht="15" x14ac:dyDescent="0.25">
      <c r="A46" s="6">
        <v>40</v>
      </c>
      <c r="B46" s="7" t="s">
        <v>246</v>
      </c>
      <c r="C46" s="11" t="s">
        <v>247</v>
      </c>
      <c r="D46" s="2" t="s">
        <v>170</v>
      </c>
      <c r="E46" s="46">
        <v>39319</v>
      </c>
      <c r="F46" s="51">
        <v>87.543753499999994</v>
      </c>
      <c r="G46" s="5">
        <v>1.0640881E-2</v>
      </c>
    </row>
    <row r="47" spans="1:7" ht="15" x14ac:dyDescent="0.25">
      <c r="A47" s="6">
        <v>41</v>
      </c>
      <c r="B47" s="7" t="s">
        <v>72</v>
      </c>
      <c r="C47" s="11" t="s">
        <v>845</v>
      </c>
      <c r="D47" s="2" t="s">
        <v>51</v>
      </c>
      <c r="E47" s="46">
        <v>36786</v>
      </c>
      <c r="F47" s="51">
        <v>87.127640999999997</v>
      </c>
      <c r="G47" s="5">
        <v>1.0590303000000001E-2</v>
      </c>
    </row>
    <row r="48" spans="1:7" ht="25.5" x14ac:dyDescent="0.25">
      <c r="A48" s="6">
        <v>42</v>
      </c>
      <c r="B48" s="7" t="s">
        <v>45</v>
      </c>
      <c r="C48" s="11" t="s">
        <v>46</v>
      </c>
      <c r="D48" s="2" t="s">
        <v>22</v>
      </c>
      <c r="E48" s="46">
        <v>13985</v>
      </c>
      <c r="F48" s="51">
        <v>85.574214999999995</v>
      </c>
      <c r="G48" s="5">
        <v>1.0401485E-2</v>
      </c>
    </row>
    <row r="49" spans="1:7" ht="15" x14ac:dyDescent="0.25">
      <c r="A49" s="6">
        <v>43</v>
      </c>
      <c r="B49" s="7" t="s">
        <v>209</v>
      </c>
      <c r="C49" s="11" t="s">
        <v>210</v>
      </c>
      <c r="D49" s="2" t="s">
        <v>155</v>
      </c>
      <c r="E49" s="46">
        <v>51136</v>
      </c>
      <c r="F49" s="51">
        <v>85.218143999999995</v>
      </c>
      <c r="G49" s="5">
        <v>1.0358205000000001E-2</v>
      </c>
    </row>
    <row r="50" spans="1:7" ht="51" x14ac:dyDescent="0.25">
      <c r="A50" s="6">
        <v>44</v>
      </c>
      <c r="B50" s="7" t="s">
        <v>248</v>
      </c>
      <c r="C50" s="11" t="s">
        <v>249</v>
      </c>
      <c r="D50" s="2" t="s">
        <v>235</v>
      </c>
      <c r="E50" s="46">
        <v>51490</v>
      </c>
      <c r="F50" s="51">
        <v>85.035735000000003</v>
      </c>
      <c r="G50" s="5">
        <v>1.0336033E-2</v>
      </c>
    </row>
    <row r="51" spans="1:7" ht="25.5" x14ac:dyDescent="0.25">
      <c r="A51" s="6">
        <v>45</v>
      </c>
      <c r="B51" s="7" t="s">
        <v>250</v>
      </c>
      <c r="C51" s="11" t="s">
        <v>251</v>
      </c>
      <c r="D51" s="2" t="s">
        <v>30</v>
      </c>
      <c r="E51" s="46">
        <v>80992</v>
      </c>
      <c r="F51" s="51">
        <v>82.611840000000001</v>
      </c>
      <c r="G51" s="5">
        <v>1.0041410000000001E-2</v>
      </c>
    </row>
    <row r="52" spans="1:7" ht="15" x14ac:dyDescent="0.25">
      <c r="A52" s="6">
        <v>46</v>
      </c>
      <c r="B52" s="7" t="s">
        <v>252</v>
      </c>
      <c r="C52" s="11" t="s">
        <v>253</v>
      </c>
      <c r="D52" s="2" t="s">
        <v>215</v>
      </c>
      <c r="E52" s="46">
        <v>10200</v>
      </c>
      <c r="F52" s="51">
        <v>79.422300000000007</v>
      </c>
      <c r="G52" s="5">
        <v>9.6537240000000007E-3</v>
      </c>
    </row>
    <row r="53" spans="1:7" ht="15" x14ac:dyDescent="0.25">
      <c r="A53" s="6">
        <v>47</v>
      </c>
      <c r="B53" s="7" t="s">
        <v>254</v>
      </c>
      <c r="C53" s="11" t="s">
        <v>255</v>
      </c>
      <c r="D53" s="2" t="s">
        <v>215</v>
      </c>
      <c r="E53" s="46">
        <v>97299</v>
      </c>
      <c r="F53" s="51">
        <v>77.304055500000004</v>
      </c>
      <c r="G53" s="5">
        <v>9.3962530000000002E-3</v>
      </c>
    </row>
    <row r="54" spans="1:7" ht="15" x14ac:dyDescent="0.25">
      <c r="A54" s="6">
        <v>48</v>
      </c>
      <c r="B54" s="7" t="s">
        <v>197</v>
      </c>
      <c r="C54" s="11" t="s">
        <v>198</v>
      </c>
      <c r="D54" s="2" t="s">
        <v>162</v>
      </c>
      <c r="E54" s="46">
        <v>25584</v>
      </c>
      <c r="F54" s="51">
        <v>75.306504000000004</v>
      </c>
      <c r="G54" s="5">
        <v>9.1534519999999994E-3</v>
      </c>
    </row>
    <row r="55" spans="1:7" ht="25.5" x14ac:dyDescent="0.25">
      <c r="A55" s="6">
        <v>49</v>
      </c>
      <c r="B55" s="7" t="s">
        <v>185</v>
      </c>
      <c r="C55" s="11" t="s">
        <v>186</v>
      </c>
      <c r="D55" s="2" t="s">
        <v>59</v>
      </c>
      <c r="E55" s="46">
        <v>57498</v>
      </c>
      <c r="F55" s="51">
        <v>72.591224999999994</v>
      </c>
      <c r="G55" s="5">
        <v>8.8234119999999992E-3</v>
      </c>
    </row>
    <row r="56" spans="1:7" ht="15" x14ac:dyDescent="0.25">
      <c r="A56" s="6">
        <v>50</v>
      </c>
      <c r="B56" s="7" t="s">
        <v>75</v>
      </c>
      <c r="C56" s="11" t="s">
        <v>76</v>
      </c>
      <c r="D56" s="2" t="s">
        <v>51</v>
      </c>
      <c r="E56" s="46">
        <v>30749</v>
      </c>
      <c r="F56" s="51">
        <v>68.093660499999999</v>
      </c>
      <c r="G56" s="5">
        <v>8.2767359999999998E-3</v>
      </c>
    </row>
    <row r="57" spans="1:7" ht="15" x14ac:dyDescent="0.25">
      <c r="A57" s="6">
        <v>51</v>
      </c>
      <c r="B57" s="7" t="s">
        <v>256</v>
      </c>
      <c r="C57" s="11" t="s">
        <v>257</v>
      </c>
      <c r="D57" s="2" t="s">
        <v>215</v>
      </c>
      <c r="E57" s="46">
        <v>9000</v>
      </c>
      <c r="F57" s="51">
        <v>67.05</v>
      </c>
      <c r="G57" s="5">
        <v>8.14988E-3</v>
      </c>
    </row>
    <row r="58" spans="1:7" ht="25.5" x14ac:dyDescent="0.25">
      <c r="A58" s="6">
        <v>52</v>
      </c>
      <c r="B58" s="7" t="s">
        <v>73</v>
      </c>
      <c r="C58" s="11" t="s">
        <v>74</v>
      </c>
      <c r="D58" s="2" t="s">
        <v>30</v>
      </c>
      <c r="E58" s="46">
        <v>45515</v>
      </c>
      <c r="F58" s="51">
        <v>66.838777500000006</v>
      </c>
      <c r="G58" s="5">
        <v>8.1242060000000001E-3</v>
      </c>
    </row>
    <row r="59" spans="1:7" ht="15" x14ac:dyDescent="0.25">
      <c r="A59" s="6">
        <v>53</v>
      </c>
      <c r="B59" s="7" t="s">
        <v>211</v>
      </c>
      <c r="C59" s="11" t="s">
        <v>212</v>
      </c>
      <c r="D59" s="2" t="s">
        <v>162</v>
      </c>
      <c r="E59" s="46">
        <v>76827</v>
      </c>
      <c r="F59" s="51">
        <v>61.077464999999997</v>
      </c>
      <c r="G59" s="5">
        <v>7.4239220000000003E-3</v>
      </c>
    </row>
    <row r="60" spans="1:7" ht="15" x14ac:dyDescent="0.25">
      <c r="A60" s="6">
        <v>54</v>
      </c>
      <c r="B60" s="7" t="s">
        <v>258</v>
      </c>
      <c r="C60" s="11" t="s">
        <v>259</v>
      </c>
      <c r="D60" s="2" t="s">
        <v>193</v>
      </c>
      <c r="E60" s="46">
        <v>69172</v>
      </c>
      <c r="F60" s="51">
        <v>53.331612</v>
      </c>
      <c r="G60" s="5">
        <v>6.4824189999999997E-3</v>
      </c>
    </row>
    <row r="61" spans="1:7" ht="25.5" x14ac:dyDescent="0.25">
      <c r="A61" s="6">
        <v>55</v>
      </c>
      <c r="B61" s="7" t="s">
        <v>216</v>
      </c>
      <c r="C61" s="11" t="s">
        <v>217</v>
      </c>
      <c r="D61" s="2" t="s">
        <v>59</v>
      </c>
      <c r="E61" s="46">
        <v>23172</v>
      </c>
      <c r="F61" s="51">
        <v>52.449821999999998</v>
      </c>
      <c r="G61" s="5">
        <v>6.3752390000000004E-3</v>
      </c>
    </row>
    <row r="62" spans="1:7" ht="15" x14ac:dyDescent="0.25">
      <c r="A62" s="6">
        <v>56</v>
      </c>
      <c r="B62" s="7" t="s">
        <v>220</v>
      </c>
      <c r="C62" s="11" t="s">
        <v>221</v>
      </c>
      <c r="D62" s="2" t="s">
        <v>193</v>
      </c>
      <c r="E62" s="46">
        <v>25925</v>
      </c>
      <c r="F62" s="51">
        <v>49.750075000000002</v>
      </c>
      <c r="G62" s="5">
        <v>6.0470860000000001E-3</v>
      </c>
    </row>
    <row r="63" spans="1:7" ht="15" x14ac:dyDescent="0.25">
      <c r="A63" s="6">
        <v>57</v>
      </c>
      <c r="B63" s="7" t="s">
        <v>222</v>
      </c>
      <c r="C63" s="11" t="s">
        <v>223</v>
      </c>
      <c r="D63" s="2" t="s">
        <v>215</v>
      </c>
      <c r="E63" s="46">
        <v>10340</v>
      </c>
      <c r="F63" s="51">
        <v>47.812159999999999</v>
      </c>
      <c r="G63" s="5">
        <v>5.8115340000000001E-3</v>
      </c>
    </row>
    <row r="64" spans="1:7" ht="38.25" x14ac:dyDescent="0.25">
      <c r="A64" s="6">
        <v>58</v>
      </c>
      <c r="B64" s="7" t="s">
        <v>260</v>
      </c>
      <c r="C64" s="11" t="s">
        <v>261</v>
      </c>
      <c r="D64" s="2" t="s">
        <v>262</v>
      </c>
      <c r="E64" s="46">
        <v>49101</v>
      </c>
      <c r="F64" s="51">
        <v>45.025616999999997</v>
      </c>
      <c r="G64" s="5">
        <v>5.4728320000000004E-3</v>
      </c>
    </row>
    <row r="65" spans="1:7" ht="15" x14ac:dyDescent="0.25">
      <c r="A65" s="6">
        <v>59</v>
      </c>
      <c r="B65" s="7" t="s">
        <v>224</v>
      </c>
      <c r="C65" s="11" t="s">
        <v>225</v>
      </c>
      <c r="D65" s="2" t="s">
        <v>226</v>
      </c>
      <c r="E65" s="46">
        <v>4100</v>
      </c>
      <c r="F65" s="51">
        <v>44.380450000000003</v>
      </c>
      <c r="G65" s="5">
        <v>5.3944120000000003E-3</v>
      </c>
    </row>
    <row r="66" spans="1:7" ht="15" x14ac:dyDescent="0.25">
      <c r="A66" s="6">
        <v>60</v>
      </c>
      <c r="B66" s="7" t="s">
        <v>102</v>
      </c>
      <c r="C66" s="11" t="s">
        <v>103</v>
      </c>
      <c r="D66" s="2" t="s">
        <v>51</v>
      </c>
      <c r="E66" s="46">
        <v>30589</v>
      </c>
      <c r="F66" s="51">
        <v>33.204359500000002</v>
      </c>
      <c r="G66" s="5">
        <v>4.0359660000000002E-3</v>
      </c>
    </row>
    <row r="67" spans="1:7" ht="25.5" x14ac:dyDescent="0.25">
      <c r="A67" s="6">
        <v>61</v>
      </c>
      <c r="B67" s="7" t="s">
        <v>227</v>
      </c>
      <c r="C67" s="11" t="s">
        <v>228</v>
      </c>
      <c r="D67" s="2" t="s">
        <v>173</v>
      </c>
      <c r="E67" s="46">
        <v>26621</v>
      </c>
      <c r="F67" s="51">
        <v>16.877714000000001</v>
      </c>
      <c r="G67" s="5">
        <v>2.0514740000000002E-3</v>
      </c>
    </row>
    <row r="68" spans="1:7" ht="25.5" x14ac:dyDescent="0.25">
      <c r="A68" s="6">
        <v>62</v>
      </c>
      <c r="B68" s="7" t="s">
        <v>229</v>
      </c>
      <c r="C68" s="11" t="s">
        <v>230</v>
      </c>
      <c r="D68" s="2" t="s">
        <v>37</v>
      </c>
      <c r="E68" s="46">
        <v>92478</v>
      </c>
      <c r="F68" s="51">
        <v>9.5252339999999993</v>
      </c>
      <c r="G68" s="5">
        <v>1.1577849999999999E-3</v>
      </c>
    </row>
    <row r="69" spans="1:7" ht="15" x14ac:dyDescent="0.25">
      <c r="A69" s="1"/>
      <c r="B69" s="2"/>
      <c r="C69" s="8" t="s">
        <v>104</v>
      </c>
      <c r="D69" s="12"/>
      <c r="E69" s="48"/>
      <c r="F69" s="53">
        <v>8036.0171874999996</v>
      </c>
      <c r="G69" s="13">
        <v>0.97677216700000025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"/>
      <c r="B71" s="2"/>
      <c r="C71" s="8" t="s">
        <v>105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6"/>
      <c r="B73" s="7"/>
      <c r="C73" s="14"/>
      <c r="D73" s="15"/>
      <c r="E73" s="46"/>
      <c r="F73" s="51"/>
      <c r="G73" s="5"/>
    </row>
    <row r="74" spans="1:7" ht="15" x14ac:dyDescent="0.25">
      <c r="A74" s="16"/>
      <c r="B74" s="17"/>
      <c r="C74" s="8" t="s">
        <v>106</v>
      </c>
      <c r="D74" s="9"/>
      <c r="E74" s="47"/>
      <c r="F74" s="52"/>
      <c r="G74" s="10"/>
    </row>
    <row r="75" spans="1:7" ht="15" x14ac:dyDescent="0.25">
      <c r="A75" s="18"/>
      <c r="B75" s="19"/>
      <c r="C75" s="8" t="s">
        <v>104</v>
      </c>
      <c r="D75" s="20"/>
      <c r="E75" s="49"/>
      <c r="F75" s="54">
        <v>0</v>
      </c>
      <c r="G75" s="21">
        <v>0</v>
      </c>
    </row>
    <row r="76" spans="1:7" ht="15" x14ac:dyDescent="0.25">
      <c r="A76" s="18"/>
      <c r="B76" s="19"/>
      <c r="C76" s="14"/>
      <c r="D76" s="22"/>
      <c r="E76" s="50"/>
      <c r="F76" s="55"/>
      <c r="G76" s="23"/>
    </row>
    <row r="77" spans="1:7" ht="15" x14ac:dyDescent="0.25">
      <c r="A77" s="1"/>
      <c r="B77" s="2"/>
      <c r="C77" s="8" t="s">
        <v>108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109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15" x14ac:dyDescent="0.25">
      <c r="A83" s="1"/>
      <c r="B83" s="2"/>
      <c r="C83" s="8" t="s">
        <v>110</v>
      </c>
      <c r="D83" s="9"/>
      <c r="E83" s="47"/>
      <c r="F83" s="52"/>
      <c r="G83" s="10"/>
    </row>
    <row r="84" spans="1:7" ht="15" x14ac:dyDescent="0.25">
      <c r="A84" s="1"/>
      <c r="B84" s="2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1"/>
      <c r="B85" s="2"/>
      <c r="C85" s="14"/>
      <c r="D85" s="4"/>
      <c r="E85" s="46"/>
      <c r="F85" s="51"/>
      <c r="G85" s="5"/>
    </row>
    <row r="86" spans="1:7" ht="25.5" x14ac:dyDescent="0.25">
      <c r="A86" s="6"/>
      <c r="B86" s="7"/>
      <c r="C86" s="24" t="s">
        <v>111</v>
      </c>
      <c r="D86" s="25"/>
      <c r="E86" s="48"/>
      <c r="F86" s="53">
        <v>8036.0171874999996</v>
      </c>
      <c r="G86" s="13">
        <v>0.97677216700000025</v>
      </c>
    </row>
    <row r="87" spans="1:7" ht="15" x14ac:dyDescent="0.25">
      <c r="A87" s="1"/>
      <c r="B87" s="2"/>
      <c r="C87" s="11"/>
      <c r="D87" s="4"/>
      <c r="E87" s="46"/>
      <c r="F87" s="51"/>
      <c r="G87" s="5"/>
    </row>
    <row r="88" spans="1:7" ht="15" x14ac:dyDescent="0.25">
      <c r="A88" s="1"/>
      <c r="B88" s="2"/>
      <c r="C88" s="3" t="s">
        <v>112</v>
      </c>
      <c r="D88" s="4"/>
      <c r="E88" s="46"/>
      <c r="F88" s="51"/>
      <c r="G88" s="5"/>
    </row>
    <row r="89" spans="1:7" ht="25.5" x14ac:dyDescent="0.25">
      <c r="A89" s="1"/>
      <c r="B89" s="2"/>
      <c r="C89" s="8" t="s">
        <v>10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1"/>
      <c r="G91" s="5"/>
    </row>
    <row r="92" spans="1:7" ht="15" x14ac:dyDescent="0.25">
      <c r="A92" s="1"/>
      <c r="B92" s="26"/>
      <c r="C92" s="8" t="s">
        <v>113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6"/>
      <c r="B94" s="7"/>
      <c r="C94" s="14"/>
      <c r="D94" s="4"/>
      <c r="E94" s="46"/>
      <c r="F94" s="56"/>
      <c r="G94" s="27"/>
    </row>
    <row r="95" spans="1:7" ht="15" x14ac:dyDescent="0.25">
      <c r="A95" s="1"/>
      <c r="B95" s="2"/>
      <c r="C95" s="8" t="s">
        <v>114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12"/>
      <c r="E96" s="48"/>
      <c r="F96" s="53">
        <v>0</v>
      </c>
      <c r="G96" s="13">
        <v>0</v>
      </c>
    </row>
    <row r="97" spans="1:7" ht="15" x14ac:dyDescent="0.25">
      <c r="A97" s="1"/>
      <c r="B97" s="2"/>
      <c r="C97" s="14"/>
      <c r="D97" s="4"/>
      <c r="E97" s="46"/>
      <c r="F97" s="51"/>
      <c r="G97" s="5"/>
    </row>
    <row r="98" spans="1:7" ht="25.5" x14ac:dyDescent="0.25">
      <c r="A98" s="1"/>
      <c r="B98" s="26"/>
      <c r="C98" s="8" t="s">
        <v>115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12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4"/>
      <c r="E100" s="46"/>
      <c r="F100" s="51"/>
      <c r="G100" s="5"/>
    </row>
    <row r="101" spans="1:7" ht="15" x14ac:dyDescent="0.25">
      <c r="A101" s="6"/>
      <c r="B101" s="7"/>
      <c r="C101" s="28" t="s">
        <v>116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1"/>
      <c r="D102" s="4"/>
      <c r="E102" s="46"/>
      <c r="F102" s="51"/>
      <c r="G102" s="5"/>
    </row>
    <row r="103" spans="1:7" ht="15" x14ac:dyDescent="0.25">
      <c r="A103" s="1"/>
      <c r="B103" s="2"/>
      <c r="C103" s="3" t="s">
        <v>117</v>
      </c>
      <c r="D103" s="4"/>
      <c r="E103" s="46"/>
      <c r="F103" s="51"/>
      <c r="G103" s="5"/>
    </row>
    <row r="104" spans="1:7" ht="15" x14ac:dyDescent="0.25">
      <c r="A104" s="6"/>
      <c r="B104" s="7"/>
      <c r="C104" s="8" t="s">
        <v>118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119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6"/>
      <c r="B110" s="7"/>
      <c r="C110" s="8" t="s">
        <v>120</v>
      </c>
      <c r="D110" s="9"/>
      <c r="E110" s="47"/>
      <c r="F110" s="52"/>
      <c r="G110" s="10"/>
    </row>
    <row r="111" spans="1:7" ht="15" x14ac:dyDescent="0.25">
      <c r="A111" s="6"/>
      <c r="B111" s="7"/>
      <c r="C111" s="8" t="s">
        <v>104</v>
      </c>
      <c r="D111" s="25"/>
      <c r="E111" s="48"/>
      <c r="F111" s="53">
        <v>0</v>
      </c>
      <c r="G111" s="13">
        <v>0</v>
      </c>
    </row>
    <row r="112" spans="1:7" ht="15" x14ac:dyDescent="0.25">
      <c r="A112" s="6"/>
      <c r="B112" s="7"/>
      <c r="C112" s="14"/>
      <c r="D112" s="7"/>
      <c r="E112" s="46"/>
      <c r="F112" s="51"/>
      <c r="G112" s="5"/>
    </row>
    <row r="113" spans="1:7" ht="15" x14ac:dyDescent="0.25">
      <c r="A113" s="6"/>
      <c r="B113" s="7"/>
      <c r="C113" s="8" t="s">
        <v>121</v>
      </c>
      <c r="D113" s="9"/>
      <c r="E113" s="47"/>
      <c r="F113" s="52"/>
      <c r="G113" s="10"/>
    </row>
    <row r="114" spans="1:7" ht="15" x14ac:dyDescent="0.25">
      <c r="A114" s="6">
        <v>1</v>
      </c>
      <c r="B114" s="7"/>
      <c r="C114" s="11" t="s">
        <v>730</v>
      </c>
      <c r="D114" s="15"/>
      <c r="E114" s="46"/>
      <c r="F114" s="51">
        <v>103.9840748</v>
      </c>
      <c r="G114" s="5">
        <v>1.263919E-2</v>
      </c>
    </row>
    <row r="115" spans="1:7" ht="15" x14ac:dyDescent="0.25">
      <c r="A115" s="6"/>
      <c r="B115" s="7"/>
      <c r="C115" s="8" t="s">
        <v>104</v>
      </c>
      <c r="D115" s="25"/>
      <c r="E115" s="48"/>
      <c r="F115" s="53">
        <v>103.9840748</v>
      </c>
      <c r="G115" s="13">
        <v>1.263919E-2</v>
      </c>
    </row>
    <row r="116" spans="1:7" ht="15" x14ac:dyDescent="0.25">
      <c r="A116" s="6"/>
      <c r="B116" s="7"/>
      <c r="C116" s="14"/>
      <c r="D116" s="7"/>
      <c r="E116" s="46"/>
      <c r="F116" s="51"/>
      <c r="G116" s="5"/>
    </row>
    <row r="117" spans="1:7" ht="25.5" x14ac:dyDescent="0.25">
      <c r="A117" s="6"/>
      <c r="B117" s="7"/>
      <c r="C117" s="24" t="s">
        <v>122</v>
      </c>
      <c r="D117" s="25"/>
      <c r="E117" s="48"/>
      <c r="F117" s="53">
        <v>103.9840748</v>
      </c>
      <c r="G117" s="13">
        <v>1.263919E-2</v>
      </c>
    </row>
    <row r="118" spans="1:7" ht="15" x14ac:dyDescent="0.25">
      <c r="A118" s="6"/>
      <c r="B118" s="7"/>
      <c r="C118" s="29"/>
      <c r="D118" s="7"/>
      <c r="E118" s="46"/>
      <c r="F118" s="51"/>
      <c r="G118" s="5"/>
    </row>
    <row r="119" spans="1:7" ht="15" x14ac:dyDescent="0.25">
      <c r="A119" s="1"/>
      <c r="B119" s="2"/>
      <c r="C119" s="3" t="s">
        <v>123</v>
      </c>
      <c r="D119" s="4"/>
      <c r="E119" s="46"/>
      <c r="F119" s="51"/>
      <c r="G119" s="5"/>
    </row>
    <row r="120" spans="1:7" ht="25.5" x14ac:dyDescent="0.25">
      <c r="A120" s="6"/>
      <c r="B120" s="7"/>
      <c r="C120" s="8" t="s">
        <v>124</v>
      </c>
      <c r="D120" s="9"/>
      <c r="E120" s="47"/>
      <c r="F120" s="52"/>
      <c r="G120" s="10"/>
    </row>
    <row r="121" spans="1:7" ht="15" x14ac:dyDescent="0.25">
      <c r="A121" s="6"/>
      <c r="B121" s="7"/>
      <c r="C121" s="8" t="s">
        <v>104</v>
      </c>
      <c r="D121" s="25"/>
      <c r="E121" s="48"/>
      <c r="F121" s="53">
        <v>0</v>
      </c>
      <c r="G121" s="13">
        <v>0</v>
      </c>
    </row>
    <row r="122" spans="1:7" ht="15" x14ac:dyDescent="0.25">
      <c r="A122" s="6"/>
      <c r="B122" s="7"/>
      <c r="C122" s="14"/>
      <c r="D122" s="7"/>
      <c r="E122" s="46"/>
      <c r="F122" s="51"/>
      <c r="G122" s="5"/>
    </row>
    <row r="123" spans="1:7" ht="15" x14ac:dyDescent="0.25">
      <c r="A123" s="1"/>
      <c r="B123" s="2"/>
      <c r="C123" s="3" t="s">
        <v>125</v>
      </c>
      <c r="D123" s="4"/>
      <c r="E123" s="46"/>
      <c r="F123" s="51"/>
      <c r="G123" s="5"/>
    </row>
    <row r="124" spans="1:7" ht="25.5" x14ac:dyDescent="0.25">
      <c r="A124" s="6"/>
      <c r="B124" s="7"/>
      <c r="C124" s="8" t="s">
        <v>126</v>
      </c>
      <c r="D124" s="9"/>
      <c r="E124" s="47"/>
      <c r="F124" s="52"/>
      <c r="G124" s="10"/>
    </row>
    <row r="125" spans="1:7" ht="15" x14ac:dyDescent="0.25">
      <c r="A125" s="6"/>
      <c r="B125" s="7"/>
      <c r="C125" s="8" t="s">
        <v>104</v>
      </c>
      <c r="D125" s="25"/>
      <c r="E125" s="48"/>
      <c r="F125" s="53">
        <v>0</v>
      </c>
      <c r="G125" s="13">
        <v>0</v>
      </c>
    </row>
    <row r="126" spans="1:7" ht="15" x14ac:dyDescent="0.25">
      <c r="A126" s="6"/>
      <c r="B126" s="7"/>
      <c r="C126" s="14"/>
      <c r="D126" s="7"/>
      <c r="E126" s="46"/>
      <c r="F126" s="51"/>
      <c r="G126" s="5"/>
    </row>
    <row r="127" spans="1:7" ht="25.5" x14ac:dyDescent="0.25">
      <c r="A127" s="6"/>
      <c r="B127" s="7"/>
      <c r="C127" s="8" t="s">
        <v>127</v>
      </c>
      <c r="D127" s="9"/>
      <c r="E127" s="47"/>
      <c r="F127" s="112">
        <v>81.204999999999998</v>
      </c>
      <c r="G127" s="111">
        <v>9.8704099999999996E-3</v>
      </c>
    </row>
    <row r="128" spans="1:7" ht="15" x14ac:dyDescent="0.25">
      <c r="A128" s="6"/>
      <c r="B128" s="7"/>
      <c r="C128" s="96" t="s">
        <v>810</v>
      </c>
      <c r="D128" s="25"/>
      <c r="E128" s="48"/>
      <c r="F128" s="53">
        <v>81.204999999999998</v>
      </c>
      <c r="G128" s="13">
        <v>9.8704099999999996E-3</v>
      </c>
    </row>
    <row r="129" spans="1:7" ht="15" x14ac:dyDescent="0.25">
      <c r="A129" s="6"/>
      <c r="B129" s="7"/>
      <c r="C129" s="14"/>
      <c r="D129" s="7"/>
      <c r="E129" s="46"/>
      <c r="F129" s="56"/>
      <c r="G129" s="27"/>
    </row>
    <row r="130" spans="1:7" ht="25.5" x14ac:dyDescent="0.25">
      <c r="A130" s="6"/>
      <c r="B130" s="7"/>
      <c r="C130" s="29" t="s">
        <v>128</v>
      </c>
      <c r="D130" s="7"/>
      <c r="E130" s="46"/>
      <c r="F130" s="56">
        <v>5.9089636900000002</v>
      </c>
      <c r="G130" s="27">
        <v>7.1823000000000004E-4</v>
      </c>
    </row>
    <row r="131" spans="1:7" ht="15" x14ac:dyDescent="0.25">
      <c r="A131" s="6"/>
      <c r="B131" s="7"/>
      <c r="C131" s="30" t="s">
        <v>129</v>
      </c>
      <c r="D131" s="12"/>
      <c r="E131" s="48"/>
      <c r="F131" s="53">
        <v>8227.1152259900009</v>
      </c>
      <c r="G131" s="13">
        <v>0.99999999700000031</v>
      </c>
    </row>
    <row r="133" spans="1:7" ht="15" x14ac:dyDescent="0.25">
      <c r="B133" s="279"/>
      <c r="C133" s="279"/>
      <c r="D133" s="279"/>
      <c r="E133" s="279"/>
      <c r="F133" s="279"/>
    </row>
    <row r="134" spans="1:7" ht="15" x14ac:dyDescent="0.25">
      <c r="B134" s="279"/>
      <c r="C134" s="279"/>
      <c r="D134" s="279"/>
      <c r="E134" s="279"/>
      <c r="F134" s="279"/>
    </row>
    <row r="136" spans="1:7" ht="15" x14ac:dyDescent="0.25">
      <c r="B136" s="36" t="s">
        <v>131</v>
      </c>
      <c r="C136" s="37"/>
      <c r="D136" s="38"/>
    </row>
    <row r="137" spans="1:7" ht="15" x14ac:dyDescent="0.25">
      <c r="B137" s="39" t="s">
        <v>132</v>
      </c>
      <c r="C137" s="40"/>
      <c r="D137" s="62" t="s">
        <v>133</v>
      </c>
    </row>
    <row r="138" spans="1:7" ht="15" x14ac:dyDescent="0.25">
      <c r="B138" s="39" t="s">
        <v>134</v>
      </c>
      <c r="C138" s="40"/>
      <c r="D138" s="62" t="s">
        <v>133</v>
      </c>
    </row>
    <row r="139" spans="1:7" ht="15" x14ac:dyDescent="0.25">
      <c r="B139" s="41" t="s">
        <v>135</v>
      </c>
      <c r="C139" s="40"/>
      <c r="D139" s="42"/>
    </row>
    <row r="140" spans="1:7" ht="25.5" customHeight="1" x14ac:dyDescent="0.25">
      <c r="B140" s="42"/>
      <c r="C140" s="32" t="s">
        <v>136</v>
      </c>
      <c r="D140" s="33" t="s">
        <v>137</v>
      </c>
    </row>
    <row r="141" spans="1:7" ht="12.75" customHeight="1" x14ac:dyDescent="0.25">
      <c r="B141" s="57" t="s">
        <v>138</v>
      </c>
      <c r="C141" s="58" t="s">
        <v>139</v>
      </c>
      <c r="D141" s="58" t="s">
        <v>140</v>
      </c>
    </row>
    <row r="142" spans="1:7" ht="15" x14ac:dyDescent="0.25">
      <c r="B142" s="42" t="s">
        <v>141</v>
      </c>
      <c r="C142" s="43">
        <v>10.0906</v>
      </c>
      <c r="D142" s="43">
        <v>8.8442000000000007</v>
      </c>
      <c r="E142" s="144"/>
    </row>
    <row r="143" spans="1:7" ht="15" x14ac:dyDescent="0.25">
      <c r="B143" s="42" t="s">
        <v>142</v>
      </c>
      <c r="C143" s="43">
        <v>10.0905</v>
      </c>
      <c r="D143" s="43">
        <v>8.8442000000000007</v>
      </c>
      <c r="E143" s="144"/>
    </row>
    <row r="144" spans="1:7" ht="15" x14ac:dyDescent="0.25">
      <c r="B144" s="42" t="s">
        <v>143</v>
      </c>
      <c r="C144" s="43">
        <v>9.9078999999999997</v>
      </c>
      <c r="D144" s="43">
        <v>8.6813000000000002</v>
      </c>
      <c r="E144" s="144"/>
    </row>
    <row r="145" spans="2:5" ht="15" x14ac:dyDescent="0.25">
      <c r="B145" s="42" t="s">
        <v>144</v>
      </c>
      <c r="C145" s="43">
        <v>9.9078999999999997</v>
      </c>
      <c r="D145" s="43">
        <v>8.6813000000000002</v>
      </c>
      <c r="E145" s="144"/>
    </row>
    <row r="147" spans="2:5" ht="15" x14ac:dyDescent="0.25">
      <c r="B147" s="59" t="s">
        <v>145</v>
      </c>
      <c r="C147" s="44"/>
      <c r="D147" s="60" t="s">
        <v>133</v>
      </c>
    </row>
    <row r="148" spans="2:5" ht="24.75" customHeight="1" x14ac:dyDescent="0.25">
      <c r="B148" s="61"/>
      <c r="C148" s="61"/>
    </row>
    <row r="149" spans="2:5" ht="15" x14ac:dyDescent="0.25">
      <c r="B149" s="63"/>
      <c r="C149" s="65"/>
      <c r="D149"/>
    </row>
    <row r="151" spans="2:5" ht="15" x14ac:dyDescent="0.25">
      <c r="B151" s="41" t="s">
        <v>146</v>
      </c>
      <c r="C151" s="40"/>
      <c r="D151" s="64" t="s">
        <v>133</v>
      </c>
    </row>
    <row r="152" spans="2:5" ht="15" x14ac:dyDescent="0.25">
      <c r="B152" s="41" t="s">
        <v>147</v>
      </c>
      <c r="C152" s="40"/>
      <c r="D152" s="64" t="s">
        <v>133</v>
      </c>
    </row>
    <row r="153" spans="2:5" ht="15" x14ac:dyDescent="0.25">
      <c r="B153" s="41" t="s">
        <v>148</v>
      </c>
      <c r="C153" s="40"/>
      <c r="D153" s="45">
        <v>1.4282784808641492E-2</v>
      </c>
    </row>
    <row r="154" spans="2:5" ht="15" x14ac:dyDescent="0.25">
      <c r="B154" s="41" t="s">
        <v>149</v>
      </c>
      <c r="C154" s="40"/>
      <c r="D154" s="45" t="s">
        <v>133</v>
      </c>
    </row>
  </sheetData>
  <mergeCells count="5">
    <mergeCell ref="A1:G1"/>
    <mergeCell ref="A2:G2"/>
    <mergeCell ref="A3:G3"/>
    <mergeCell ref="B133:F133"/>
    <mergeCell ref="B134:F13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54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263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25</v>
      </c>
      <c r="C7" s="11" t="s">
        <v>26</v>
      </c>
      <c r="D7" s="2" t="s">
        <v>27</v>
      </c>
      <c r="E7" s="46">
        <v>51426</v>
      </c>
      <c r="F7" s="51">
        <v>246.66480899999999</v>
      </c>
      <c r="G7" s="5">
        <v>4.1003693000000001E-2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44838</v>
      </c>
      <c r="F8" s="51">
        <v>246.541743</v>
      </c>
      <c r="G8" s="5">
        <v>4.0983235999999999E-2</v>
      </c>
    </row>
    <row r="9" spans="1:7" ht="15" x14ac:dyDescent="0.25">
      <c r="A9" s="6">
        <v>3</v>
      </c>
      <c r="B9" s="7" t="s">
        <v>151</v>
      </c>
      <c r="C9" s="11" t="s">
        <v>152</v>
      </c>
      <c r="D9" s="2" t="s">
        <v>16</v>
      </c>
      <c r="E9" s="46">
        <v>123534</v>
      </c>
      <c r="F9" s="51">
        <v>239.161824</v>
      </c>
      <c r="G9" s="5">
        <v>3.9756453999999997E-2</v>
      </c>
    </row>
    <row r="10" spans="1:7" ht="25.5" x14ac:dyDescent="0.25">
      <c r="A10" s="6">
        <v>4</v>
      </c>
      <c r="B10" s="7" t="s">
        <v>153</v>
      </c>
      <c r="C10" s="11" t="s">
        <v>154</v>
      </c>
      <c r="D10" s="2" t="s">
        <v>155</v>
      </c>
      <c r="E10" s="46">
        <v>38000</v>
      </c>
      <c r="F10" s="51">
        <v>236.66399999999999</v>
      </c>
      <c r="G10" s="5">
        <v>3.9341235000000002E-2</v>
      </c>
    </row>
    <row r="11" spans="1:7" ht="25.5" x14ac:dyDescent="0.25">
      <c r="A11" s="6">
        <v>5</v>
      </c>
      <c r="B11" s="7" t="s">
        <v>68</v>
      </c>
      <c r="C11" s="11" t="s">
        <v>69</v>
      </c>
      <c r="D11" s="2" t="s">
        <v>19</v>
      </c>
      <c r="E11" s="46">
        <v>163130</v>
      </c>
      <c r="F11" s="51">
        <v>197.22416999999999</v>
      </c>
      <c r="G11" s="5">
        <v>3.2785055E-2</v>
      </c>
    </row>
    <row r="12" spans="1:7" ht="15" x14ac:dyDescent="0.25">
      <c r="A12" s="6">
        <v>6</v>
      </c>
      <c r="B12" s="7" t="s">
        <v>60</v>
      </c>
      <c r="C12" s="11" t="s">
        <v>61</v>
      </c>
      <c r="D12" s="2" t="s">
        <v>16</v>
      </c>
      <c r="E12" s="46">
        <v>18936</v>
      </c>
      <c r="F12" s="51">
        <v>182.92176000000001</v>
      </c>
      <c r="G12" s="5">
        <v>3.0407531000000002E-2</v>
      </c>
    </row>
    <row r="13" spans="1:7" ht="25.5" x14ac:dyDescent="0.25">
      <c r="A13" s="6">
        <v>7</v>
      </c>
      <c r="B13" s="7" t="s">
        <v>92</v>
      </c>
      <c r="C13" s="11" t="s">
        <v>93</v>
      </c>
      <c r="D13" s="2" t="s">
        <v>22</v>
      </c>
      <c r="E13" s="46">
        <v>36855</v>
      </c>
      <c r="F13" s="51">
        <v>161.62760249999999</v>
      </c>
      <c r="G13" s="5">
        <v>2.6867750999999999E-2</v>
      </c>
    </row>
    <row r="14" spans="1:7" ht="38.25" x14ac:dyDescent="0.25">
      <c r="A14" s="6">
        <v>8</v>
      </c>
      <c r="B14" s="7" t="s">
        <v>82</v>
      </c>
      <c r="C14" s="11" t="s">
        <v>83</v>
      </c>
      <c r="D14" s="2" t="s">
        <v>84</v>
      </c>
      <c r="E14" s="46">
        <v>191867</v>
      </c>
      <c r="F14" s="51">
        <v>152.2464645</v>
      </c>
      <c r="G14" s="5">
        <v>2.5308300999999998E-2</v>
      </c>
    </row>
    <row r="15" spans="1:7" ht="25.5" x14ac:dyDescent="0.25">
      <c r="A15" s="6">
        <v>9</v>
      </c>
      <c r="B15" s="7" t="s">
        <v>43</v>
      </c>
      <c r="C15" s="11" t="s">
        <v>44</v>
      </c>
      <c r="D15" s="2" t="s">
        <v>30</v>
      </c>
      <c r="E15" s="46">
        <v>124614</v>
      </c>
      <c r="F15" s="51">
        <v>131.53007700000001</v>
      </c>
      <c r="G15" s="5">
        <v>2.1864565999999998E-2</v>
      </c>
    </row>
    <row r="16" spans="1:7" ht="15" x14ac:dyDescent="0.25">
      <c r="A16" s="6">
        <v>10</v>
      </c>
      <c r="B16" s="7" t="s">
        <v>160</v>
      </c>
      <c r="C16" s="11" t="s">
        <v>161</v>
      </c>
      <c r="D16" s="2" t="s">
        <v>162</v>
      </c>
      <c r="E16" s="46">
        <v>48741</v>
      </c>
      <c r="F16" s="51">
        <v>128.48127600000001</v>
      </c>
      <c r="G16" s="5">
        <v>2.1357755999999999E-2</v>
      </c>
    </row>
    <row r="17" spans="1:7" ht="15" x14ac:dyDescent="0.25">
      <c r="A17" s="6">
        <v>11</v>
      </c>
      <c r="B17" s="7" t="s">
        <v>49</v>
      </c>
      <c r="C17" s="11" t="s">
        <v>50</v>
      </c>
      <c r="D17" s="2" t="s">
        <v>51</v>
      </c>
      <c r="E17" s="46">
        <v>48192</v>
      </c>
      <c r="F17" s="51">
        <v>126.070272</v>
      </c>
      <c r="G17" s="5">
        <v>2.0956968999999999E-2</v>
      </c>
    </row>
    <row r="18" spans="1:7" ht="25.5" x14ac:dyDescent="0.25">
      <c r="A18" s="6">
        <v>12</v>
      </c>
      <c r="B18" s="7" t="s">
        <v>189</v>
      </c>
      <c r="C18" s="11" t="s">
        <v>190</v>
      </c>
      <c r="D18" s="2" t="s">
        <v>167</v>
      </c>
      <c r="E18" s="46">
        <v>28448</v>
      </c>
      <c r="F18" s="51">
        <v>125.569472</v>
      </c>
      <c r="G18" s="5">
        <v>2.0873719999999998E-2</v>
      </c>
    </row>
    <row r="19" spans="1:7" ht="51" x14ac:dyDescent="0.25">
      <c r="A19" s="6">
        <v>13</v>
      </c>
      <c r="B19" s="7" t="s">
        <v>233</v>
      </c>
      <c r="C19" s="11" t="s">
        <v>234</v>
      </c>
      <c r="D19" s="2" t="s">
        <v>235</v>
      </c>
      <c r="E19" s="46">
        <v>55299</v>
      </c>
      <c r="F19" s="51">
        <v>125.086338</v>
      </c>
      <c r="G19" s="5">
        <v>2.0793407E-2</v>
      </c>
    </row>
    <row r="20" spans="1:7" ht="15" x14ac:dyDescent="0.25">
      <c r="A20" s="6">
        <v>14</v>
      </c>
      <c r="B20" s="7" t="s">
        <v>231</v>
      </c>
      <c r="C20" s="11" t="s">
        <v>232</v>
      </c>
      <c r="D20" s="2" t="s">
        <v>170</v>
      </c>
      <c r="E20" s="46">
        <v>35774</v>
      </c>
      <c r="F20" s="51">
        <v>123.903249</v>
      </c>
      <c r="G20" s="5">
        <v>2.0596739999999999E-2</v>
      </c>
    </row>
    <row r="21" spans="1:7" ht="15" x14ac:dyDescent="0.25">
      <c r="A21" s="6">
        <v>15</v>
      </c>
      <c r="B21" s="7" t="s">
        <v>158</v>
      </c>
      <c r="C21" s="11" t="s">
        <v>159</v>
      </c>
      <c r="D21" s="2" t="s">
        <v>16</v>
      </c>
      <c r="E21" s="46">
        <v>138867</v>
      </c>
      <c r="F21" s="51">
        <v>121.92522599999999</v>
      </c>
      <c r="G21" s="5">
        <v>2.0267928000000001E-2</v>
      </c>
    </row>
    <row r="22" spans="1:7" ht="25.5" x14ac:dyDescent="0.25">
      <c r="A22" s="6">
        <v>16</v>
      </c>
      <c r="B22" s="7" t="s">
        <v>178</v>
      </c>
      <c r="C22" s="11" t="s">
        <v>179</v>
      </c>
      <c r="D22" s="2" t="s">
        <v>22</v>
      </c>
      <c r="E22" s="46">
        <v>34808</v>
      </c>
      <c r="F22" s="51">
        <v>121.23626400000001</v>
      </c>
      <c r="G22" s="5">
        <v>2.0153399999999998E-2</v>
      </c>
    </row>
    <row r="23" spans="1:7" ht="25.5" x14ac:dyDescent="0.25">
      <c r="A23" s="6">
        <v>17</v>
      </c>
      <c r="B23" s="7" t="s">
        <v>87</v>
      </c>
      <c r="C23" s="11" t="s">
        <v>88</v>
      </c>
      <c r="D23" s="2" t="s">
        <v>89</v>
      </c>
      <c r="E23" s="46">
        <v>40891</v>
      </c>
      <c r="F23" s="51">
        <v>118.870137</v>
      </c>
      <c r="G23" s="5">
        <v>1.9760073E-2</v>
      </c>
    </row>
    <row r="24" spans="1:7" ht="25.5" x14ac:dyDescent="0.25">
      <c r="A24" s="6">
        <v>18</v>
      </c>
      <c r="B24" s="7" t="s">
        <v>171</v>
      </c>
      <c r="C24" s="11" t="s">
        <v>172</v>
      </c>
      <c r="D24" s="2" t="s">
        <v>173</v>
      </c>
      <c r="E24" s="46">
        <v>40403</v>
      </c>
      <c r="F24" s="51">
        <v>118.7646185</v>
      </c>
      <c r="G24" s="5">
        <v>1.9742532E-2</v>
      </c>
    </row>
    <row r="25" spans="1:7" ht="25.5" x14ac:dyDescent="0.25">
      <c r="A25" s="6">
        <v>19</v>
      </c>
      <c r="B25" s="7" t="s">
        <v>165</v>
      </c>
      <c r="C25" s="11" t="s">
        <v>166</v>
      </c>
      <c r="D25" s="2" t="s">
        <v>167</v>
      </c>
      <c r="E25" s="46">
        <v>100000</v>
      </c>
      <c r="F25" s="51">
        <v>115.25</v>
      </c>
      <c r="G25" s="5">
        <v>1.9158288999999998E-2</v>
      </c>
    </row>
    <row r="26" spans="1:7" ht="25.5" x14ac:dyDescent="0.25">
      <c r="A26" s="6">
        <v>20</v>
      </c>
      <c r="B26" s="7" t="s">
        <v>239</v>
      </c>
      <c r="C26" s="11" t="s">
        <v>240</v>
      </c>
      <c r="D26" s="2" t="s">
        <v>241</v>
      </c>
      <c r="E26" s="46">
        <v>30858</v>
      </c>
      <c r="F26" s="51">
        <v>114.406035</v>
      </c>
      <c r="G26" s="5">
        <v>1.9017994999999999E-2</v>
      </c>
    </row>
    <row r="27" spans="1:7" ht="25.5" x14ac:dyDescent="0.25">
      <c r="A27" s="6">
        <v>21</v>
      </c>
      <c r="B27" s="7" t="s">
        <v>205</v>
      </c>
      <c r="C27" s="11" t="s">
        <v>206</v>
      </c>
      <c r="D27" s="2" t="s">
        <v>173</v>
      </c>
      <c r="E27" s="46">
        <v>108643</v>
      </c>
      <c r="F27" s="51">
        <v>110.0010375</v>
      </c>
      <c r="G27" s="5">
        <v>1.8285741000000001E-2</v>
      </c>
    </row>
    <row r="28" spans="1:7" ht="25.5" x14ac:dyDescent="0.25">
      <c r="A28" s="6">
        <v>22</v>
      </c>
      <c r="B28" s="7" t="s">
        <v>20</v>
      </c>
      <c r="C28" s="11" t="s">
        <v>21</v>
      </c>
      <c r="D28" s="2" t="s">
        <v>22</v>
      </c>
      <c r="E28" s="46">
        <v>16156</v>
      </c>
      <c r="F28" s="51">
        <v>109.666928</v>
      </c>
      <c r="G28" s="5">
        <v>1.8230201000000001E-2</v>
      </c>
    </row>
    <row r="29" spans="1:7" ht="15" x14ac:dyDescent="0.25">
      <c r="A29" s="6">
        <v>23</v>
      </c>
      <c r="B29" s="7" t="s">
        <v>62</v>
      </c>
      <c r="C29" s="11" t="s">
        <v>63</v>
      </c>
      <c r="D29" s="2" t="s">
        <v>16</v>
      </c>
      <c r="E29" s="46">
        <v>105670</v>
      </c>
      <c r="F29" s="51">
        <v>107.67773</v>
      </c>
      <c r="G29" s="5">
        <v>1.7899531999999999E-2</v>
      </c>
    </row>
    <row r="30" spans="1:7" ht="15" x14ac:dyDescent="0.25">
      <c r="A30" s="6">
        <v>24</v>
      </c>
      <c r="B30" s="7" t="s">
        <v>203</v>
      </c>
      <c r="C30" s="11" t="s">
        <v>204</v>
      </c>
      <c r="D30" s="2" t="s">
        <v>81</v>
      </c>
      <c r="E30" s="46">
        <v>95131</v>
      </c>
      <c r="F30" s="51">
        <v>102.456087</v>
      </c>
      <c r="G30" s="5">
        <v>1.7031524999999999E-2</v>
      </c>
    </row>
    <row r="31" spans="1:7" ht="15" x14ac:dyDescent="0.25">
      <c r="A31" s="6">
        <v>25</v>
      </c>
      <c r="B31" s="7" t="s">
        <v>163</v>
      </c>
      <c r="C31" s="11" t="s">
        <v>164</v>
      </c>
      <c r="D31" s="2" t="s">
        <v>13</v>
      </c>
      <c r="E31" s="46">
        <v>52406</v>
      </c>
      <c r="F31" s="51">
        <v>102.45372999999999</v>
      </c>
      <c r="G31" s="5">
        <v>1.7031134E-2</v>
      </c>
    </row>
    <row r="32" spans="1:7" ht="15" x14ac:dyDescent="0.25">
      <c r="A32" s="6">
        <v>26</v>
      </c>
      <c r="B32" s="7" t="s">
        <v>218</v>
      </c>
      <c r="C32" s="11" t="s">
        <v>219</v>
      </c>
      <c r="D32" s="2" t="s">
        <v>51</v>
      </c>
      <c r="E32" s="46">
        <v>48000</v>
      </c>
      <c r="F32" s="51">
        <v>102.24</v>
      </c>
      <c r="G32" s="5">
        <v>1.6995605E-2</v>
      </c>
    </row>
    <row r="33" spans="1:7" ht="15" x14ac:dyDescent="0.25">
      <c r="A33" s="6">
        <v>27</v>
      </c>
      <c r="B33" s="7" t="s">
        <v>182</v>
      </c>
      <c r="C33" s="11" t="s">
        <v>183</v>
      </c>
      <c r="D33" s="2" t="s">
        <v>184</v>
      </c>
      <c r="E33" s="46">
        <v>54135</v>
      </c>
      <c r="F33" s="51">
        <v>101.178315</v>
      </c>
      <c r="G33" s="5">
        <v>1.6819118000000001E-2</v>
      </c>
    </row>
    <row r="34" spans="1:7" ht="25.5" x14ac:dyDescent="0.25">
      <c r="A34" s="6">
        <v>28</v>
      </c>
      <c r="B34" s="7" t="s">
        <v>196</v>
      </c>
      <c r="C34" s="11" t="s">
        <v>846</v>
      </c>
      <c r="D34" s="2" t="s">
        <v>59</v>
      </c>
      <c r="E34" s="46">
        <v>6059</v>
      </c>
      <c r="F34" s="51">
        <v>99.446366999999995</v>
      </c>
      <c r="G34" s="5">
        <v>1.6531212E-2</v>
      </c>
    </row>
    <row r="35" spans="1:7" ht="15" x14ac:dyDescent="0.25">
      <c r="A35" s="6">
        <v>29</v>
      </c>
      <c r="B35" s="7" t="s">
        <v>168</v>
      </c>
      <c r="C35" s="11" t="s">
        <v>169</v>
      </c>
      <c r="D35" s="2" t="s">
        <v>170</v>
      </c>
      <c r="E35" s="46">
        <v>51995</v>
      </c>
      <c r="F35" s="51">
        <v>99.050475000000006</v>
      </c>
      <c r="G35" s="5">
        <v>1.6465402000000001E-2</v>
      </c>
    </row>
    <row r="36" spans="1:7" ht="25.5" x14ac:dyDescent="0.25">
      <c r="A36" s="6">
        <v>30</v>
      </c>
      <c r="B36" s="7" t="s">
        <v>194</v>
      </c>
      <c r="C36" s="11" t="s">
        <v>195</v>
      </c>
      <c r="D36" s="2" t="s">
        <v>37</v>
      </c>
      <c r="E36" s="46">
        <v>26374</v>
      </c>
      <c r="F36" s="51">
        <v>89.262803000000005</v>
      </c>
      <c r="G36" s="5">
        <v>1.4838374E-2</v>
      </c>
    </row>
    <row r="37" spans="1:7" ht="25.5" x14ac:dyDescent="0.25">
      <c r="A37" s="6">
        <v>31</v>
      </c>
      <c r="B37" s="7" t="s">
        <v>52</v>
      </c>
      <c r="C37" s="11" t="s">
        <v>53</v>
      </c>
      <c r="D37" s="2" t="s">
        <v>30</v>
      </c>
      <c r="E37" s="46">
        <v>20760</v>
      </c>
      <c r="F37" s="51">
        <v>88.86318</v>
      </c>
      <c r="G37" s="5">
        <v>1.4771942999999999E-2</v>
      </c>
    </row>
    <row r="38" spans="1:7" ht="25.5" x14ac:dyDescent="0.25">
      <c r="A38" s="6">
        <v>32</v>
      </c>
      <c r="B38" s="7" t="s">
        <v>64</v>
      </c>
      <c r="C38" s="11" t="s">
        <v>65</v>
      </c>
      <c r="D38" s="2" t="s">
        <v>19</v>
      </c>
      <c r="E38" s="46">
        <v>119159</v>
      </c>
      <c r="F38" s="51">
        <v>87.164808500000007</v>
      </c>
      <c r="G38" s="5">
        <v>1.4489619E-2</v>
      </c>
    </row>
    <row r="39" spans="1:7" ht="15" x14ac:dyDescent="0.25">
      <c r="A39" s="6">
        <v>33</v>
      </c>
      <c r="B39" s="7" t="s">
        <v>201</v>
      </c>
      <c r="C39" s="11" t="s">
        <v>202</v>
      </c>
      <c r="D39" s="2" t="s">
        <v>27</v>
      </c>
      <c r="E39" s="46">
        <v>150000</v>
      </c>
      <c r="F39" s="51">
        <v>83.924999999999997</v>
      </c>
      <c r="G39" s="5">
        <v>1.3951058000000001E-2</v>
      </c>
    </row>
    <row r="40" spans="1:7" ht="15" x14ac:dyDescent="0.25">
      <c r="A40" s="6">
        <v>34</v>
      </c>
      <c r="B40" s="7" t="s">
        <v>187</v>
      </c>
      <c r="C40" s="11" t="s">
        <v>188</v>
      </c>
      <c r="D40" s="2" t="s">
        <v>162</v>
      </c>
      <c r="E40" s="46">
        <v>9085</v>
      </c>
      <c r="F40" s="51">
        <v>83.359417500000006</v>
      </c>
      <c r="G40" s="5">
        <v>1.3857039E-2</v>
      </c>
    </row>
    <row r="41" spans="1:7" ht="15" x14ac:dyDescent="0.25">
      <c r="A41" s="6">
        <v>35</v>
      </c>
      <c r="B41" s="7" t="s">
        <v>191</v>
      </c>
      <c r="C41" s="11" t="s">
        <v>192</v>
      </c>
      <c r="D41" s="2" t="s">
        <v>193</v>
      </c>
      <c r="E41" s="46">
        <v>59674</v>
      </c>
      <c r="F41" s="51">
        <v>79.426094000000006</v>
      </c>
      <c r="G41" s="5">
        <v>1.3203194E-2</v>
      </c>
    </row>
    <row r="42" spans="1:7" ht="25.5" x14ac:dyDescent="0.25">
      <c r="A42" s="6">
        <v>36</v>
      </c>
      <c r="B42" s="7" t="s">
        <v>94</v>
      </c>
      <c r="C42" s="11" t="s">
        <v>95</v>
      </c>
      <c r="D42" s="2" t="s">
        <v>22</v>
      </c>
      <c r="E42" s="46">
        <v>76551</v>
      </c>
      <c r="F42" s="51">
        <v>78.426499500000006</v>
      </c>
      <c r="G42" s="5">
        <v>1.3037028000000001E-2</v>
      </c>
    </row>
    <row r="43" spans="1:7" ht="15" x14ac:dyDescent="0.25">
      <c r="A43" s="6">
        <v>37</v>
      </c>
      <c r="B43" s="7" t="s">
        <v>236</v>
      </c>
      <c r="C43" s="11" t="s">
        <v>237</v>
      </c>
      <c r="D43" s="2" t="s">
        <v>238</v>
      </c>
      <c r="E43" s="46">
        <v>12965</v>
      </c>
      <c r="F43" s="51">
        <v>78.003922500000002</v>
      </c>
      <c r="G43" s="5">
        <v>1.2966782E-2</v>
      </c>
    </row>
    <row r="44" spans="1:7" ht="15" x14ac:dyDescent="0.25">
      <c r="A44" s="6">
        <v>38</v>
      </c>
      <c r="B44" s="7" t="s">
        <v>197</v>
      </c>
      <c r="C44" s="11" t="s">
        <v>198</v>
      </c>
      <c r="D44" s="2" t="s">
        <v>162</v>
      </c>
      <c r="E44" s="46">
        <v>24830</v>
      </c>
      <c r="F44" s="51">
        <v>73.087104999999994</v>
      </c>
      <c r="G44" s="5">
        <v>1.2149448E-2</v>
      </c>
    </row>
    <row r="45" spans="1:7" ht="15" x14ac:dyDescent="0.25">
      <c r="A45" s="6">
        <v>39</v>
      </c>
      <c r="B45" s="7" t="s">
        <v>242</v>
      </c>
      <c r="C45" s="11" t="s">
        <v>243</v>
      </c>
      <c r="D45" s="2" t="s">
        <v>241</v>
      </c>
      <c r="E45" s="46">
        <v>20684</v>
      </c>
      <c r="F45" s="51">
        <v>69.477556000000007</v>
      </c>
      <c r="G45" s="5">
        <v>1.1549424000000001E-2</v>
      </c>
    </row>
    <row r="46" spans="1:7" ht="15" x14ac:dyDescent="0.25">
      <c r="A46" s="6">
        <v>40</v>
      </c>
      <c r="B46" s="7" t="s">
        <v>75</v>
      </c>
      <c r="C46" s="11" t="s">
        <v>76</v>
      </c>
      <c r="D46" s="2" t="s">
        <v>51</v>
      </c>
      <c r="E46" s="46">
        <v>30000</v>
      </c>
      <c r="F46" s="51">
        <v>66.435000000000002</v>
      </c>
      <c r="G46" s="5">
        <v>1.1043651999999999E-2</v>
      </c>
    </row>
    <row r="47" spans="1:7" ht="15" x14ac:dyDescent="0.25">
      <c r="A47" s="6">
        <v>41</v>
      </c>
      <c r="B47" s="7" t="s">
        <v>244</v>
      </c>
      <c r="C47" s="11" t="s">
        <v>245</v>
      </c>
      <c r="D47" s="2" t="s">
        <v>162</v>
      </c>
      <c r="E47" s="46">
        <v>12784</v>
      </c>
      <c r="F47" s="51">
        <v>66.189160000000001</v>
      </c>
      <c r="G47" s="5">
        <v>1.1002786000000001E-2</v>
      </c>
    </row>
    <row r="48" spans="1:7" ht="15" x14ac:dyDescent="0.25">
      <c r="A48" s="6">
        <v>42</v>
      </c>
      <c r="B48" s="7" t="s">
        <v>246</v>
      </c>
      <c r="C48" s="11" t="s">
        <v>247</v>
      </c>
      <c r="D48" s="2" t="s">
        <v>170</v>
      </c>
      <c r="E48" s="46">
        <v>28709</v>
      </c>
      <c r="F48" s="51">
        <v>63.920588500000001</v>
      </c>
      <c r="G48" s="5">
        <v>1.0625674999999999E-2</v>
      </c>
    </row>
    <row r="49" spans="1:7" ht="15" x14ac:dyDescent="0.25">
      <c r="A49" s="6">
        <v>43</v>
      </c>
      <c r="B49" s="7" t="s">
        <v>72</v>
      </c>
      <c r="C49" s="11" t="s">
        <v>845</v>
      </c>
      <c r="D49" s="2" t="s">
        <v>51</v>
      </c>
      <c r="E49" s="46">
        <v>26761</v>
      </c>
      <c r="F49" s="51">
        <v>63.383428500000001</v>
      </c>
      <c r="G49" s="5">
        <v>1.0536382E-2</v>
      </c>
    </row>
    <row r="50" spans="1:7" ht="15" x14ac:dyDescent="0.25">
      <c r="A50" s="6">
        <v>44</v>
      </c>
      <c r="B50" s="7" t="s">
        <v>209</v>
      </c>
      <c r="C50" s="11" t="s">
        <v>210</v>
      </c>
      <c r="D50" s="2" t="s">
        <v>155</v>
      </c>
      <c r="E50" s="46">
        <v>37272</v>
      </c>
      <c r="F50" s="51">
        <v>62.113788</v>
      </c>
      <c r="G50" s="5">
        <v>1.0325327E-2</v>
      </c>
    </row>
    <row r="51" spans="1:7" ht="51" x14ac:dyDescent="0.25">
      <c r="A51" s="6">
        <v>45</v>
      </c>
      <c r="B51" s="7" t="s">
        <v>248</v>
      </c>
      <c r="C51" s="11" t="s">
        <v>249</v>
      </c>
      <c r="D51" s="2" t="s">
        <v>235</v>
      </c>
      <c r="E51" s="46">
        <v>37596</v>
      </c>
      <c r="F51" s="51">
        <v>62.089793999999998</v>
      </c>
      <c r="G51" s="5">
        <v>1.0321337999999999E-2</v>
      </c>
    </row>
    <row r="52" spans="1:7" ht="25.5" x14ac:dyDescent="0.25">
      <c r="A52" s="6">
        <v>46</v>
      </c>
      <c r="B52" s="7" t="s">
        <v>250</v>
      </c>
      <c r="C52" s="11" t="s">
        <v>251</v>
      </c>
      <c r="D52" s="2" t="s">
        <v>30</v>
      </c>
      <c r="E52" s="46">
        <v>58394</v>
      </c>
      <c r="F52" s="51">
        <v>59.561880000000002</v>
      </c>
      <c r="G52" s="5">
        <v>9.9011169999999992E-3</v>
      </c>
    </row>
    <row r="53" spans="1:7" ht="15" x14ac:dyDescent="0.25">
      <c r="A53" s="6">
        <v>47</v>
      </c>
      <c r="B53" s="7" t="s">
        <v>252</v>
      </c>
      <c r="C53" s="11" t="s">
        <v>253</v>
      </c>
      <c r="D53" s="2" t="s">
        <v>215</v>
      </c>
      <c r="E53" s="46">
        <v>7400</v>
      </c>
      <c r="F53" s="51">
        <v>57.620100000000001</v>
      </c>
      <c r="G53" s="5">
        <v>9.5783299999999995E-3</v>
      </c>
    </row>
    <row r="54" spans="1:7" ht="15" x14ac:dyDescent="0.25">
      <c r="A54" s="6">
        <v>48</v>
      </c>
      <c r="B54" s="7" t="s">
        <v>254</v>
      </c>
      <c r="C54" s="11" t="s">
        <v>255</v>
      </c>
      <c r="D54" s="2" t="s">
        <v>215</v>
      </c>
      <c r="E54" s="46">
        <v>71025</v>
      </c>
      <c r="F54" s="51">
        <v>56.429362500000003</v>
      </c>
      <c r="G54" s="5">
        <v>9.3803910000000001E-3</v>
      </c>
    </row>
    <row r="55" spans="1:7" ht="15" x14ac:dyDescent="0.25">
      <c r="A55" s="6">
        <v>49</v>
      </c>
      <c r="B55" s="7" t="s">
        <v>256</v>
      </c>
      <c r="C55" s="11" t="s">
        <v>257</v>
      </c>
      <c r="D55" s="2" t="s">
        <v>215</v>
      </c>
      <c r="E55" s="46">
        <v>7000</v>
      </c>
      <c r="F55" s="51">
        <v>52.15</v>
      </c>
      <c r="G55" s="5">
        <v>8.6690220000000002E-3</v>
      </c>
    </row>
    <row r="56" spans="1:7" ht="25.5" x14ac:dyDescent="0.25">
      <c r="A56" s="6">
        <v>50</v>
      </c>
      <c r="B56" s="7" t="s">
        <v>185</v>
      </c>
      <c r="C56" s="11" t="s">
        <v>186</v>
      </c>
      <c r="D56" s="2" t="s">
        <v>59</v>
      </c>
      <c r="E56" s="46">
        <v>40763</v>
      </c>
      <c r="F56" s="51">
        <v>51.4632875</v>
      </c>
      <c r="G56" s="5">
        <v>8.5548680000000002E-3</v>
      </c>
    </row>
    <row r="57" spans="1:7" ht="25.5" x14ac:dyDescent="0.25">
      <c r="A57" s="6">
        <v>51</v>
      </c>
      <c r="B57" s="7" t="s">
        <v>73</v>
      </c>
      <c r="C57" s="11" t="s">
        <v>74</v>
      </c>
      <c r="D57" s="2" t="s">
        <v>30</v>
      </c>
      <c r="E57" s="46">
        <v>33263</v>
      </c>
      <c r="F57" s="51">
        <v>48.846715500000002</v>
      </c>
      <c r="G57" s="5">
        <v>8.1199089999999998E-3</v>
      </c>
    </row>
    <row r="58" spans="1:7" ht="15" x14ac:dyDescent="0.25">
      <c r="A58" s="6">
        <v>52</v>
      </c>
      <c r="B58" s="7" t="s">
        <v>211</v>
      </c>
      <c r="C58" s="11" t="s">
        <v>212</v>
      </c>
      <c r="D58" s="2" t="s">
        <v>162</v>
      </c>
      <c r="E58" s="46">
        <v>56181</v>
      </c>
      <c r="F58" s="51">
        <v>44.663894999999997</v>
      </c>
      <c r="G58" s="5">
        <v>7.4245880000000002E-3</v>
      </c>
    </row>
    <row r="59" spans="1:7" ht="15" x14ac:dyDescent="0.25">
      <c r="A59" s="6">
        <v>53</v>
      </c>
      <c r="B59" s="7" t="s">
        <v>258</v>
      </c>
      <c r="C59" s="11" t="s">
        <v>259</v>
      </c>
      <c r="D59" s="2" t="s">
        <v>193</v>
      </c>
      <c r="E59" s="46">
        <v>50605</v>
      </c>
      <c r="F59" s="51">
        <v>39.016455000000001</v>
      </c>
      <c r="G59" s="5">
        <v>6.4858010000000002E-3</v>
      </c>
    </row>
    <row r="60" spans="1:7" ht="25.5" x14ac:dyDescent="0.25">
      <c r="A60" s="6">
        <v>54</v>
      </c>
      <c r="B60" s="7" t="s">
        <v>216</v>
      </c>
      <c r="C60" s="11" t="s">
        <v>217</v>
      </c>
      <c r="D60" s="2" t="s">
        <v>59</v>
      </c>
      <c r="E60" s="46">
        <v>16740</v>
      </c>
      <c r="F60" s="51">
        <v>37.890990000000002</v>
      </c>
      <c r="G60" s="5">
        <v>6.2987119999999997E-3</v>
      </c>
    </row>
    <row r="61" spans="1:7" ht="15" x14ac:dyDescent="0.25">
      <c r="A61" s="6">
        <v>55</v>
      </c>
      <c r="B61" s="7" t="s">
        <v>220</v>
      </c>
      <c r="C61" s="11" t="s">
        <v>221</v>
      </c>
      <c r="D61" s="2" t="s">
        <v>193</v>
      </c>
      <c r="E61" s="46">
        <v>19140</v>
      </c>
      <c r="F61" s="51">
        <v>36.729660000000003</v>
      </c>
      <c r="G61" s="5">
        <v>6.1056610000000001E-3</v>
      </c>
    </row>
    <row r="62" spans="1:7" ht="15" x14ac:dyDescent="0.25">
      <c r="A62" s="6">
        <v>56</v>
      </c>
      <c r="B62" s="7" t="s">
        <v>222</v>
      </c>
      <c r="C62" s="11" t="s">
        <v>223</v>
      </c>
      <c r="D62" s="2" t="s">
        <v>215</v>
      </c>
      <c r="E62" s="46">
        <v>7509</v>
      </c>
      <c r="F62" s="51">
        <v>34.721615999999997</v>
      </c>
      <c r="G62" s="5">
        <v>5.7718589999999998E-3</v>
      </c>
    </row>
    <row r="63" spans="1:7" ht="38.25" x14ac:dyDescent="0.25">
      <c r="A63" s="6">
        <v>57</v>
      </c>
      <c r="B63" s="7" t="s">
        <v>260</v>
      </c>
      <c r="C63" s="11" t="s">
        <v>261</v>
      </c>
      <c r="D63" s="2" t="s">
        <v>262</v>
      </c>
      <c r="E63" s="46">
        <v>35911</v>
      </c>
      <c r="F63" s="51">
        <v>32.930387000000003</v>
      </c>
      <c r="G63" s="5">
        <v>5.4740989999999996E-3</v>
      </c>
    </row>
    <row r="64" spans="1:7" ht="15" x14ac:dyDescent="0.25">
      <c r="A64" s="6">
        <v>58</v>
      </c>
      <c r="B64" s="7" t="s">
        <v>224</v>
      </c>
      <c r="C64" s="11" t="s">
        <v>225</v>
      </c>
      <c r="D64" s="2" t="s">
        <v>226</v>
      </c>
      <c r="E64" s="46">
        <v>3000</v>
      </c>
      <c r="F64" s="51">
        <v>32.473500000000001</v>
      </c>
      <c r="G64" s="5">
        <v>5.3981489999999997E-3</v>
      </c>
    </row>
    <row r="65" spans="1:7" ht="15" x14ac:dyDescent="0.25">
      <c r="A65" s="6">
        <v>59</v>
      </c>
      <c r="B65" s="7" t="s">
        <v>102</v>
      </c>
      <c r="C65" s="11" t="s">
        <v>103</v>
      </c>
      <c r="D65" s="2" t="s">
        <v>51</v>
      </c>
      <c r="E65" s="46">
        <v>22460</v>
      </c>
      <c r="F65" s="51">
        <v>24.380330000000001</v>
      </c>
      <c r="G65" s="5">
        <v>4.0528020000000003E-3</v>
      </c>
    </row>
    <row r="66" spans="1:7" ht="25.5" x14ac:dyDescent="0.25">
      <c r="A66" s="6">
        <v>60</v>
      </c>
      <c r="B66" s="7" t="s">
        <v>227</v>
      </c>
      <c r="C66" s="11" t="s">
        <v>228</v>
      </c>
      <c r="D66" s="2" t="s">
        <v>173</v>
      </c>
      <c r="E66" s="46">
        <v>19647</v>
      </c>
      <c r="F66" s="51">
        <v>12.456198000000001</v>
      </c>
      <c r="G66" s="5">
        <v>2.0706240000000001E-3</v>
      </c>
    </row>
    <row r="67" spans="1:7" ht="25.5" x14ac:dyDescent="0.25">
      <c r="A67" s="6">
        <v>61</v>
      </c>
      <c r="B67" s="7" t="s">
        <v>229</v>
      </c>
      <c r="C67" s="11" t="s">
        <v>230</v>
      </c>
      <c r="D67" s="2" t="s">
        <v>37</v>
      </c>
      <c r="E67" s="46">
        <v>67267</v>
      </c>
      <c r="F67" s="51">
        <v>6.9285009999999998</v>
      </c>
      <c r="G67" s="5">
        <v>1.1517420000000001E-3</v>
      </c>
    </row>
    <row r="68" spans="1:7" ht="15" x14ac:dyDescent="0.25">
      <c r="A68" s="6">
        <v>62</v>
      </c>
      <c r="B68" s="7" t="s">
        <v>264</v>
      </c>
      <c r="C68" s="11" t="s">
        <v>265</v>
      </c>
      <c r="D68" s="2" t="s">
        <v>162</v>
      </c>
      <c r="E68" s="46">
        <v>1253</v>
      </c>
      <c r="F68" s="51">
        <v>0.8388835</v>
      </c>
      <c r="G68" s="5">
        <v>1.3945E-4</v>
      </c>
    </row>
    <row r="69" spans="1:7" ht="15" x14ac:dyDescent="0.25">
      <c r="A69" s="1"/>
      <c r="B69" s="2"/>
      <c r="C69" s="8" t="s">
        <v>104</v>
      </c>
      <c r="D69" s="12"/>
      <c r="E69" s="48"/>
      <c r="F69" s="53">
        <v>5892.5459129999999</v>
      </c>
      <c r="G69" s="13">
        <v>0.97953229399999986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"/>
      <c r="B71" s="2"/>
      <c r="C71" s="8" t="s">
        <v>105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6"/>
      <c r="B73" s="7"/>
      <c r="C73" s="14"/>
      <c r="D73" s="15"/>
      <c r="E73" s="46"/>
      <c r="F73" s="51"/>
      <c r="G73" s="5"/>
    </row>
    <row r="74" spans="1:7" ht="15" x14ac:dyDescent="0.25">
      <c r="A74" s="16"/>
      <c r="B74" s="17"/>
      <c r="C74" s="8" t="s">
        <v>106</v>
      </c>
      <c r="D74" s="9"/>
      <c r="E74" s="47"/>
      <c r="F74" s="52"/>
      <c r="G74" s="10"/>
    </row>
    <row r="75" spans="1:7" ht="15" x14ac:dyDescent="0.25">
      <c r="A75" s="18"/>
      <c r="B75" s="19"/>
      <c r="C75" s="8" t="s">
        <v>104</v>
      </c>
      <c r="D75" s="20"/>
      <c r="E75" s="49"/>
      <c r="F75" s="54">
        <v>0</v>
      </c>
      <c r="G75" s="21">
        <v>0</v>
      </c>
    </row>
    <row r="76" spans="1:7" ht="15" x14ac:dyDescent="0.25">
      <c r="A76" s="18"/>
      <c r="B76" s="19"/>
      <c r="C76" s="14"/>
      <c r="D76" s="22"/>
      <c r="E76" s="50"/>
      <c r="F76" s="55"/>
      <c r="G76" s="23"/>
    </row>
    <row r="77" spans="1:7" ht="15" x14ac:dyDescent="0.25">
      <c r="A77" s="1"/>
      <c r="B77" s="2"/>
      <c r="C77" s="8" t="s">
        <v>108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109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15" x14ac:dyDescent="0.25">
      <c r="A83" s="1"/>
      <c r="B83" s="2"/>
      <c r="C83" s="8" t="s">
        <v>110</v>
      </c>
      <c r="D83" s="9"/>
      <c r="E83" s="47"/>
      <c r="F83" s="52"/>
      <c r="G83" s="10"/>
    </row>
    <row r="84" spans="1:7" ht="15" x14ac:dyDescent="0.25">
      <c r="A84" s="1"/>
      <c r="B84" s="2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1"/>
      <c r="B85" s="2"/>
      <c r="C85" s="14"/>
      <c r="D85" s="4"/>
      <c r="E85" s="46"/>
      <c r="F85" s="51"/>
      <c r="G85" s="5"/>
    </row>
    <row r="86" spans="1:7" ht="25.5" x14ac:dyDescent="0.25">
      <c r="A86" s="6"/>
      <c r="B86" s="7"/>
      <c r="C86" s="24" t="s">
        <v>111</v>
      </c>
      <c r="D86" s="25"/>
      <c r="E86" s="48"/>
      <c r="F86" s="53">
        <v>5892.5459129999999</v>
      </c>
      <c r="G86" s="13">
        <v>0.97953229399999986</v>
      </c>
    </row>
    <row r="87" spans="1:7" ht="15" x14ac:dyDescent="0.25">
      <c r="A87" s="1"/>
      <c r="B87" s="2"/>
      <c r="C87" s="11"/>
      <c r="D87" s="4"/>
      <c r="E87" s="46"/>
      <c r="F87" s="51"/>
      <c r="G87" s="5"/>
    </row>
    <row r="88" spans="1:7" ht="15" x14ac:dyDescent="0.25">
      <c r="A88" s="1"/>
      <c r="B88" s="2"/>
      <c r="C88" s="3" t="s">
        <v>112</v>
      </c>
      <c r="D88" s="4"/>
      <c r="E88" s="46"/>
      <c r="F88" s="51"/>
      <c r="G88" s="5"/>
    </row>
    <row r="89" spans="1:7" ht="25.5" x14ac:dyDescent="0.25">
      <c r="A89" s="1"/>
      <c r="B89" s="2"/>
      <c r="C89" s="8" t="s">
        <v>10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1"/>
      <c r="G91" s="5"/>
    </row>
    <row r="92" spans="1:7" ht="15" x14ac:dyDescent="0.25">
      <c r="A92" s="1"/>
      <c r="B92" s="26"/>
      <c r="C92" s="8" t="s">
        <v>113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6"/>
      <c r="B94" s="7"/>
      <c r="C94" s="14"/>
      <c r="D94" s="4"/>
      <c r="E94" s="46"/>
      <c r="F94" s="56"/>
      <c r="G94" s="27"/>
    </row>
    <row r="95" spans="1:7" ht="15" x14ac:dyDescent="0.25">
      <c r="A95" s="1"/>
      <c r="B95" s="2"/>
      <c r="C95" s="8" t="s">
        <v>114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12"/>
      <c r="E96" s="48"/>
      <c r="F96" s="53">
        <v>0</v>
      </c>
      <c r="G96" s="13">
        <v>0</v>
      </c>
    </row>
    <row r="97" spans="1:7" ht="15" x14ac:dyDescent="0.25">
      <c r="A97" s="1"/>
      <c r="B97" s="2"/>
      <c r="C97" s="14"/>
      <c r="D97" s="4"/>
      <c r="E97" s="46"/>
      <c r="F97" s="51"/>
      <c r="G97" s="5"/>
    </row>
    <row r="98" spans="1:7" ht="25.5" x14ac:dyDescent="0.25">
      <c r="A98" s="1"/>
      <c r="B98" s="26"/>
      <c r="C98" s="8" t="s">
        <v>115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12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4"/>
      <c r="E100" s="46"/>
      <c r="F100" s="51"/>
      <c r="G100" s="5"/>
    </row>
    <row r="101" spans="1:7" ht="15" x14ac:dyDescent="0.25">
      <c r="A101" s="6"/>
      <c r="B101" s="7"/>
      <c r="C101" s="28" t="s">
        <v>116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1"/>
      <c r="D102" s="4"/>
      <c r="E102" s="46"/>
      <c r="F102" s="51"/>
      <c r="G102" s="5"/>
    </row>
    <row r="103" spans="1:7" ht="15" x14ac:dyDescent="0.25">
      <c r="A103" s="1"/>
      <c r="B103" s="2"/>
      <c r="C103" s="3" t="s">
        <v>117</v>
      </c>
      <c r="D103" s="4"/>
      <c r="E103" s="46"/>
      <c r="F103" s="51"/>
      <c r="G103" s="5"/>
    </row>
    <row r="104" spans="1:7" ht="15" x14ac:dyDescent="0.25">
      <c r="A104" s="6"/>
      <c r="B104" s="7"/>
      <c r="C104" s="8" t="s">
        <v>118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119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6"/>
      <c r="B110" s="7"/>
      <c r="C110" s="8" t="s">
        <v>120</v>
      </c>
      <c r="D110" s="9"/>
      <c r="E110" s="47"/>
      <c r="F110" s="52"/>
      <c r="G110" s="10"/>
    </row>
    <row r="111" spans="1:7" ht="15" x14ac:dyDescent="0.25">
      <c r="A111" s="6"/>
      <c r="B111" s="7"/>
      <c r="C111" s="8" t="s">
        <v>104</v>
      </c>
      <c r="D111" s="25"/>
      <c r="E111" s="48"/>
      <c r="F111" s="53">
        <v>0</v>
      </c>
      <c r="G111" s="13">
        <v>0</v>
      </c>
    </row>
    <row r="112" spans="1:7" ht="15" x14ac:dyDescent="0.25">
      <c r="A112" s="6"/>
      <c r="B112" s="7"/>
      <c r="C112" s="14"/>
      <c r="D112" s="7"/>
      <c r="E112" s="46"/>
      <c r="F112" s="51"/>
      <c r="G112" s="5"/>
    </row>
    <row r="113" spans="1:7" ht="15" x14ac:dyDescent="0.25">
      <c r="A113" s="6"/>
      <c r="B113" s="7"/>
      <c r="C113" s="8" t="s">
        <v>121</v>
      </c>
      <c r="D113" s="9"/>
      <c r="E113" s="47"/>
      <c r="F113" s="52"/>
      <c r="G113" s="10"/>
    </row>
    <row r="114" spans="1:7" ht="15" x14ac:dyDescent="0.25">
      <c r="A114" s="6">
        <v>1</v>
      </c>
      <c r="B114" s="7"/>
      <c r="C114" s="11" t="s">
        <v>730</v>
      </c>
      <c r="D114" s="15"/>
      <c r="E114" s="46"/>
      <c r="F114" s="51">
        <v>58.990965500000001</v>
      </c>
      <c r="G114" s="5">
        <v>9.8062119999999999E-3</v>
      </c>
    </row>
    <row r="115" spans="1:7" ht="15" x14ac:dyDescent="0.25">
      <c r="A115" s="6"/>
      <c r="B115" s="7"/>
      <c r="C115" s="8" t="s">
        <v>104</v>
      </c>
      <c r="D115" s="25"/>
      <c r="E115" s="48"/>
      <c r="F115" s="53">
        <v>58.990965500000001</v>
      </c>
      <c r="G115" s="13">
        <v>9.8062119999999999E-3</v>
      </c>
    </row>
    <row r="116" spans="1:7" ht="15" x14ac:dyDescent="0.25">
      <c r="A116" s="6"/>
      <c r="B116" s="7"/>
      <c r="C116" s="14"/>
      <c r="D116" s="7"/>
      <c r="E116" s="46"/>
      <c r="F116" s="51"/>
      <c r="G116" s="5"/>
    </row>
    <row r="117" spans="1:7" ht="25.5" x14ac:dyDescent="0.25">
      <c r="A117" s="6"/>
      <c r="B117" s="7"/>
      <c r="C117" s="24" t="s">
        <v>122</v>
      </c>
      <c r="D117" s="25"/>
      <c r="E117" s="48"/>
      <c r="F117" s="53">
        <v>58.990965500000001</v>
      </c>
      <c r="G117" s="13">
        <v>9.8062119999999999E-3</v>
      </c>
    </row>
    <row r="118" spans="1:7" ht="15" x14ac:dyDescent="0.25">
      <c r="A118" s="6"/>
      <c r="B118" s="7"/>
      <c r="C118" s="29"/>
      <c r="D118" s="7"/>
      <c r="E118" s="46"/>
      <c r="F118" s="51"/>
      <c r="G118" s="5"/>
    </row>
    <row r="119" spans="1:7" ht="15" x14ac:dyDescent="0.25">
      <c r="A119" s="1"/>
      <c r="B119" s="2"/>
      <c r="C119" s="3" t="s">
        <v>123</v>
      </c>
      <c r="D119" s="4"/>
      <c r="E119" s="46"/>
      <c r="F119" s="51"/>
      <c r="G119" s="5"/>
    </row>
    <row r="120" spans="1:7" ht="25.5" x14ac:dyDescent="0.25">
      <c r="A120" s="6"/>
      <c r="B120" s="7"/>
      <c r="C120" s="8" t="s">
        <v>124</v>
      </c>
      <c r="D120" s="9"/>
      <c r="E120" s="47"/>
      <c r="F120" s="52"/>
      <c r="G120" s="10"/>
    </row>
    <row r="121" spans="1:7" ht="15" x14ac:dyDescent="0.25">
      <c r="A121" s="6"/>
      <c r="B121" s="7"/>
      <c r="C121" s="8" t="s">
        <v>104</v>
      </c>
      <c r="D121" s="25"/>
      <c r="E121" s="48"/>
      <c r="F121" s="53">
        <v>0</v>
      </c>
      <c r="G121" s="13">
        <v>0</v>
      </c>
    </row>
    <row r="122" spans="1:7" ht="15" x14ac:dyDescent="0.25">
      <c r="A122" s="6"/>
      <c r="B122" s="7"/>
      <c r="C122" s="14"/>
      <c r="D122" s="7"/>
      <c r="E122" s="46"/>
      <c r="F122" s="51"/>
      <c r="G122" s="5"/>
    </row>
    <row r="123" spans="1:7" ht="15" x14ac:dyDescent="0.25">
      <c r="A123" s="1"/>
      <c r="B123" s="2"/>
      <c r="C123" s="3" t="s">
        <v>125</v>
      </c>
      <c r="D123" s="4"/>
      <c r="E123" s="46"/>
      <c r="F123" s="51"/>
      <c r="G123" s="5"/>
    </row>
    <row r="124" spans="1:7" ht="25.5" x14ac:dyDescent="0.25">
      <c r="A124" s="6"/>
      <c r="B124" s="7"/>
      <c r="C124" s="8" t="s">
        <v>126</v>
      </c>
      <c r="D124" s="9"/>
      <c r="E124" s="47"/>
      <c r="F124" s="52"/>
      <c r="G124" s="10"/>
    </row>
    <row r="125" spans="1:7" ht="15" x14ac:dyDescent="0.25">
      <c r="A125" s="6"/>
      <c r="B125" s="7"/>
      <c r="C125" s="8" t="s">
        <v>104</v>
      </c>
      <c r="D125" s="25"/>
      <c r="E125" s="48"/>
      <c r="F125" s="53">
        <v>0</v>
      </c>
      <c r="G125" s="13">
        <v>0</v>
      </c>
    </row>
    <row r="126" spans="1:7" ht="15" x14ac:dyDescent="0.25">
      <c r="A126" s="6"/>
      <c r="B126" s="7"/>
      <c r="C126" s="14"/>
      <c r="D126" s="7"/>
      <c r="E126" s="46"/>
      <c r="F126" s="51"/>
      <c r="G126" s="5"/>
    </row>
    <row r="127" spans="1:7" ht="25.5" x14ac:dyDescent="0.25">
      <c r="A127" s="6"/>
      <c r="B127" s="7"/>
      <c r="C127" s="8" t="s">
        <v>127</v>
      </c>
      <c r="D127" s="9"/>
      <c r="E127" s="47"/>
      <c r="F127" s="112">
        <v>59.749000000000002</v>
      </c>
      <c r="G127" s="111">
        <v>9.9322219999999992E-3</v>
      </c>
    </row>
    <row r="128" spans="1:7" ht="15" x14ac:dyDescent="0.25">
      <c r="A128" s="6"/>
      <c r="B128" s="7"/>
      <c r="C128" s="96" t="s">
        <v>810</v>
      </c>
      <c r="D128" s="25"/>
      <c r="E128" s="48"/>
      <c r="F128" s="53">
        <v>59.749000000000002</v>
      </c>
      <c r="G128" s="13">
        <v>9.9322219999999992E-3</v>
      </c>
    </row>
    <row r="129" spans="1:7" ht="15" x14ac:dyDescent="0.25">
      <c r="A129" s="6"/>
      <c r="B129" s="7"/>
      <c r="C129" s="14"/>
      <c r="D129" s="7"/>
      <c r="E129" s="46"/>
      <c r="F129" s="56"/>
      <c r="G129" s="27"/>
    </row>
    <row r="130" spans="1:7" ht="25.5" x14ac:dyDescent="0.25">
      <c r="A130" s="6"/>
      <c r="B130" s="7"/>
      <c r="C130" s="29" t="s">
        <v>128</v>
      </c>
      <c r="D130" s="7"/>
      <c r="E130" s="46"/>
      <c r="F130" s="56">
        <v>4.3870633100000003</v>
      </c>
      <c r="G130" s="27">
        <v>7.2927199999999999E-4</v>
      </c>
    </row>
    <row r="131" spans="1:7" ht="15" x14ac:dyDescent="0.25">
      <c r="A131" s="6"/>
      <c r="B131" s="7"/>
      <c r="C131" s="30" t="s">
        <v>129</v>
      </c>
      <c r="D131" s="12"/>
      <c r="E131" s="48"/>
      <c r="F131" s="53">
        <v>6015.6729418099994</v>
      </c>
      <c r="G131" s="13">
        <v>0.99999999999999989</v>
      </c>
    </row>
    <row r="133" spans="1:7" ht="15" x14ac:dyDescent="0.25">
      <c r="B133" s="279"/>
      <c r="C133" s="279"/>
      <c r="D133" s="279"/>
      <c r="E133" s="279"/>
      <c r="F133" s="279"/>
    </row>
    <row r="134" spans="1:7" ht="15" x14ac:dyDescent="0.25">
      <c r="B134" s="279"/>
      <c r="C134" s="279"/>
      <c r="D134" s="279"/>
      <c r="E134" s="279"/>
      <c r="F134" s="279"/>
    </row>
    <row r="136" spans="1:7" ht="15" x14ac:dyDescent="0.25">
      <c r="B136" s="36" t="s">
        <v>131</v>
      </c>
      <c r="C136" s="37"/>
      <c r="D136" s="38"/>
    </row>
    <row r="137" spans="1:7" ht="15" x14ac:dyDescent="0.25">
      <c r="B137" s="39" t="s">
        <v>132</v>
      </c>
      <c r="C137" s="40"/>
      <c r="D137" s="62" t="s">
        <v>133</v>
      </c>
    </row>
    <row r="138" spans="1:7" ht="15" x14ac:dyDescent="0.25">
      <c r="B138" s="39" t="s">
        <v>134</v>
      </c>
      <c r="C138" s="40"/>
      <c r="D138" s="62" t="s">
        <v>133</v>
      </c>
    </row>
    <row r="139" spans="1:7" ht="15" x14ac:dyDescent="0.25">
      <c r="B139" s="41" t="s">
        <v>135</v>
      </c>
      <c r="C139" s="40"/>
      <c r="D139" s="42"/>
    </row>
    <row r="140" spans="1:7" ht="25.5" customHeight="1" x14ac:dyDescent="0.25">
      <c r="B140" s="42"/>
      <c r="C140" s="32" t="s">
        <v>136</v>
      </c>
      <c r="D140" s="33" t="s">
        <v>137</v>
      </c>
    </row>
    <row r="141" spans="1:7" ht="12.75" customHeight="1" x14ac:dyDescent="0.25">
      <c r="B141" s="57" t="s">
        <v>138</v>
      </c>
      <c r="C141" s="58" t="s">
        <v>139</v>
      </c>
      <c r="D141" s="58" t="s">
        <v>140</v>
      </c>
    </row>
    <row r="142" spans="1:7" ht="15" x14ac:dyDescent="0.25">
      <c r="B142" s="42" t="s">
        <v>141</v>
      </c>
      <c r="C142" s="43">
        <v>9.7736999999999998</v>
      </c>
      <c r="D142" s="43">
        <v>8.5733999999999995</v>
      </c>
    </row>
    <row r="143" spans="1:7" ht="15" x14ac:dyDescent="0.25">
      <c r="B143" s="42" t="s">
        <v>142</v>
      </c>
      <c r="C143" s="43">
        <v>9.7736999999999998</v>
      </c>
      <c r="D143" s="43">
        <v>8.5733999999999995</v>
      </c>
    </row>
    <row r="144" spans="1:7" ht="15" x14ac:dyDescent="0.25">
      <c r="B144" s="42" t="s">
        <v>143</v>
      </c>
      <c r="C144" s="43">
        <v>9.5655999999999999</v>
      </c>
      <c r="D144" s="43">
        <v>8.3879999999999999</v>
      </c>
    </row>
    <row r="145" spans="2:4" ht="15" x14ac:dyDescent="0.25">
      <c r="B145" s="42" t="s">
        <v>144</v>
      </c>
      <c r="C145" s="43">
        <v>9.5655999999999999</v>
      </c>
      <c r="D145" s="43">
        <v>8.3879999999999999</v>
      </c>
    </row>
    <row r="147" spans="2:4" ht="15" x14ac:dyDescent="0.25">
      <c r="B147" s="59" t="s">
        <v>145</v>
      </c>
      <c r="C147" s="44"/>
      <c r="D147" s="60" t="s">
        <v>133</v>
      </c>
    </row>
    <row r="148" spans="2:4" ht="24.75" customHeight="1" x14ac:dyDescent="0.25">
      <c r="B148" s="61"/>
      <c r="C148" s="61"/>
    </row>
    <row r="149" spans="2:4" ht="15" x14ac:dyDescent="0.25">
      <c r="B149" s="63"/>
      <c r="C149" s="65"/>
      <c r="D149"/>
    </row>
    <row r="151" spans="2:4" ht="15" x14ac:dyDescent="0.25">
      <c r="B151" s="41" t="s">
        <v>146</v>
      </c>
      <c r="C151" s="40"/>
      <c r="D151" s="64" t="s">
        <v>133</v>
      </c>
    </row>
    <row r="152" spans="2:4" ht="15" x14ac:dyDescent="0.25">
      <c r="B152" s="41" t="s">
        <v>147</v>
      </c>
      <c r="C152" s="40"/>
      <c r="D152" s="64" t="s">
        <v>133</v>
      </c>
    </row>
    <row r="153" spans="2:4" ht="15" x14ac:dyDescent="0.25">
      <c r="B153" s="41" t="s">
        <v>148</v>
      </c>
      <c r="C153" s="40"/>
      <c r="D153" s="45">
        <v>1.4454901969226058E-2</v>
      </c>
    </row>
    <row r="154" spans="2:4" ht="15" x14ac:dyDescent="0.25">
      <c r="B154" s="41" t="s">
        <v>149</v>
      </c>
      <c r="C154" s="40"/>
      <c r="D154" s="45" t="s">
        <v>133</v>
      </c>
    </row>
  </sheetData>
  <mergeCells count="5">
    <mergeCell ref="A1:G1"/>
    <mergeCell ref="A2:G2"/>
    <mergeCell ref="A3:G3"/>
    <mergeCell ref="B133:F133"/>
    <mergeCell ref="B134:F13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56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266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23</v>
      </c>
      <c r="C7" s="11" t="s">
        <v>24</v>
      </c>
      <c r="D7" s="2" t="s">
        <v>22</v>
      </c>
      <c r="E7" s="46">
        <v>75167</v>
      </c>
      <c r="F7" s="51">
        <v>413.30574949999999</v>
      </c>
      <c r="G7" s="5">
        <v>4.1082753E-2</v>
      </c>
    </row>
    <row r="8" spans="1:7" ht="25.5" x14ac:dyDescent="0.25">
      <c r="A8" s="6">
        <v>2</v>
      </c>
      <c r="B8" s="7" t="s">
        <v>153</v>
      </c>
      <c r="C8" s="11" t="s">
        <v>154</v>
      </c>
      <c r="D8" s="2" t="s">
        <v>155</v>
      </c>
      <c r="E8" s="46">
        <v>64459</v>
      </c>
      <c r="F8" s="51">
        <v>401.45065199999999</v>
      </c>
      <c r="G8" s="5">
        <v>3.9904350999999998E-2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73119</v>
      </c>
      <c r="F9" s="51">
        <v>350.7152835</v>
      </c>
      <c r="G9" s="5">
        <v>3.4861235999999997E-2</v>
      </c>
    </row>
    <row r="10" spans="1:7" ht="25.5" x14ac:dyDescent="0.25">
      <c r="A10" s="6">
        <v>4</v>
      </c>
      <c r="B10" s="7" t="s">
        <v>68</v>
      </c>
      <c r="C10" s="11" t="s">
        <v>69</v>
      </c>
      <c r="D10" s="2" t="s">
        <v>19</v>
      </c>
      <c r="E10" s="46">
        <v>279101</v>
      </c>
      <c r="F10" s="51">
        <v>337.433109</v>
      </c>
      <c r="G10" s="5">
        <v>3.3540983000000003E-2</v>
      </c>
    </row>
    <row r="11" spans="1:7" ht="15" x14ac:dyDescent="0.25">
      <c r="A11" s="6">
        <v>5</v>
      </c>
      <c r="B11" s="7" t="s">
        <v>151</v>
      </c>
      <c r="C11" s="11" t="s">
        <v>152</v>
      </c>
      <c r="D11" s="2" t="s">
        <v>16</v>
      </c>
      <c r="E11" s="46">
        <v>162815</v>
      </c>
      <c r="F11" s="51">
        <v>315.20983999999999</v>
      </c>
      <c r="G11" s="5">
        <v>3.1331981000000002E-2</v>
      </c>
    </row>
    <row r="12" spans="1:7" ht="15" x14ac:dyDescent="0.25">
      <c r="A12" s="6">
        <v>6</v>
      </c>
      <c r="B12" s="7" t="s">
        <v>60</v>
      </c>
      <c r="C12" s="11" t="s">
        <v>61</v>
      </c>
      <c r="D12" s="2" t="s">
        <v>16</v>
      </c>
      <c r="E12" s="46">
        <v>32514</v>
      </c>
      <c r="F12" s="51">
        <v>314.08524</v>
      </c>
      <c r="G12" s="5">
        <v>3.1220194999999999E-2</v>
      </c>
    </row>
    <row r="13" spans="1:7" ht="25.5" x14ac:dyDescent="0.25">
      <c r="A13" s="6">
        <v>7</v>
      </c>
      <c r="B13" s="7" t="s">
        <v>92</v>
      </c>
      <c r="C13" s="11" t="s">
        <v>93</v>
      </c>
      <c r="D13" s="2" t="s">
        <v>22</v>
      </c>
      <c r="E13" s="46">
        <v>62322</v>
      </c>
      <c r="F13" s="51">
        <v>273.313131</v>
      </c>
      <c r="G13" s="5">
        <v>2.7167431999999998E-2</v>
      </c>
    </row>
    <row r="14" spans="1:7" ht="25.5" x14ac:dyDescent="0.25">
      <c r="A14" s="6">
        <v>8</v>
      </c>
      <c r="B14" s="7" t="s">
        <v>196</v>
      </c>
      <c r="C14" s="11" t="s">
        <v>846</v>
      </c>
      <c r="D14" s="2" t="s">
        <v>59</v>
      </c>
      <c r="E14" s="46">
        <v>15026</v>
      </c>
      <c r="F14" s="51">
        <v>246.62173799999999</v>
      </c>
      <c r="G14" s="5">
        <v>2.4514297000000001E-2</v>
      </c>
    </row>
    <row r="15" spans="1:7" ht="15" x14ac:dyDescent="0.25">
      <c r="A15" s="6">
        <v>9</v>
      </c>
      <c r="B15" s="7" t="s">
        <v>160</v>
      </c>
      <c r="C15" s="11" t="s">
        <v>161</v>
      </c>
      <c r="D15" s="2" t="s">
        <v>162</v>
      </c>
      <c r="E15" s="46">
        <v>84901</v>
      </c>
      <c r="F15" s="51">
        <v>223.799036</v>
      </c>
      <c r="G15" s="5">
        <v>2.2245712000000001E-2</v>
      </c>
    </row>
    <row r="16" spans="1:7" ht="38.25" x14ac:dyDescent="0.25">
      <c r="A16" s="6">
        <v>10</v>
      </c>
      <c r="B16" s="7" t="s">
        <v>82</v>
      </c>
      <c r="C16" s="11" t="s">
        <v>83</v>
      </c>
      <c r="D16" s="2" t="s">
        <v>84</v>
      </c>
      <c r="E16" s="46">
        <v>278377</v>
      </c>
      <c r="F16" s="51">
        <v>220.89214949999999</v>
      </c>
      <c r="G16" s="5">
        <v>2.1956765999999999E-2</v>
      </c>
    </row>
    <row r="17" spans="1:7" ht="25.5" x14ac:dyDescent="0.25">
      <c r="A17" s="6">
        <v>11</v>
      </c>
      <c r="B17" s="7" t="s">
        <v>43</v>
      </c>
      <c r="C17" s="11" t="s">
        <v>44</v>
      </c>
      <c r="D17" s="2" t="s">
        <v>30</v>
      </c>
      <c r="E17" s="46">
        <v>205520</v>
      </c>
      <c r="F17" s="51">
        <v>216.92635999999999</v>
      </c>
      <c r="G17" s="5">
        <v>2.1562564999999999E-2</v>
      </c>
    </row>
    <row r="18" spans="1:7" ht="15" x14ac:dyDescent="0.25">
      <c r="A18" s="6">
        <v>12</v>
      </c>
      <c r="B18" s="7" t="s">
        <v>49</v>
      </c>
      <c r="C18" s="11" t="s">
        <v>50</v>
      </c>
      <c r="D18" s="2" t="s">
        <v>51</v>
      </c>
      <c r="E18" s="46">
        <v>81977</v>
      </c>
      <c r="F18" s="51">
        <v>214.451832</v>
      </c>
      <c r="G18" s="5">
        <v>2.1316596E-2</v>
      </c>
    </row>
    <row r="19" spans="1:7" ht="25.5" x14ac:dyDescent="0.25">
      <c r="A19" s="6">
        <v>13</v>
      </c>
      <c r="B19" s="7" t="s">
        <v>178</v>
      </c>
      <c r="C19" s="11" t="s">
        <v>179</v>
      </c>
      <c r="D19" s="2" t="s">
        <v>22</v>
      </c>
      <c r="E19" s="46">
        <v>61176</v>
      </c>
      <c r="F19" s="51">
        <v>213.076008</v>
      </c>
      <c r="G19" s="5">
        <v>2.1179837999999999E-2</v>
      </c>
    </row>
    <row r="20" spans="1:7" ht="25.5" x14ac:dyDescent="0.25">
      <c r="A20" s="6">
        <v>14</v>
      </c>
      <c r="B20" s="7" t="s">
        <v>189</v>
      </c>
      <c r="C20" s="11" t="s">
        <v>190</v>
      </c>
      <c r="D20" s="2" t="s">
        <v>167</v>
      </c>
      <c r="E20" s="46">
        <v>47584</v>
      </c>
      <c r="F20" s="51">
        <v>210.035776</v>
      </c>
      <c r="G20" s="5">
        <v>2.0877638E-2</v>
      </c>
    </row>
    <row r="21" spans="1:7" ht="15" x14ac:dyDescent="0.25">
      <c r="A21" s="6">
        <v>15</v>
      </c>
      <c r="B21" s="7" t="s">
        <v>231</v>
      </c>
      <c r="C21" s="11" t="s">
        <v>232</v>
      </c>
      <c r="D21" s="2" t="s">
        <v>170</v>
      </c>
      <c r="E21" s="46">
        <v>60444</v>
      </c>
      <c r="F21" s="51">
        <v>209.34779399999999</v>
      </c>
      <c r="G21" s="5">
        <v>2.0809252E-2</v>
      </c>
    </row>
    <row r="22" spans="1:7" ht="15" x14ac:dyDescent="0.25">
      <c r="A22" s="6">
        <v>16</v>
      </c>
      <c r="B22" s="7" t="s">
        <v>267</v>
      </c>
      <c r="C22" s="11" t="s">
        <v>268</v>
      </c>
      <c r="D22" s="2" t="s">
        <v>269</v>
      </c>
      <c r="E22" s="46">
        <v>28006</v>
      </c>
      <c r="F22" s="51">
        <v>208.53267600000001</v>
      </c>
      <c r="G22" s="5">
        <v>2.0728229000000001E-2</v>
      </c>
    </row>
    <row r="23" spans="1:7" ht="25.5" x14ac:dyDescent="0.25">
      <c r="A23" s="6">
        <v>17</v>
      </c>
      <c r="B23" s="7" t="s">
        <v>87</v>
      </c>
      <c r="C23" s="11" t="s">
        <v>88</v>
      </c>
      <c r="D23" s="2" t="s">
        <v>89</v>
      </c>
      <c r="E23" s="46">
        <v>70349</v>
      </c>
      <c r="F23" s="51">
        <v>204.50454300000001</v>
      </c>
      <c r="G23" s="5">
        <v>2.0327831000000001E-2</v>
      </c>
    </row>
    <row r="24" spans="1:7" ht="25.5" x14ac:dyDescent="0.25">
      <c r="A24" s="6">
        <v>18</v>
      </c>
      <c r="B24" s="7" t="s">
        <v>171</v>
      </c>
      <c r="C24" s="11" t="s">
        <v>172</v>
      </c>
      <c r="D24" s="2" t="s">
        <v>173</v>
      </c>
      <c r="E24" s="46">
        <v>67518</v>
      </c>
      <c r="F24" s="51">
        <v>198.46916100000001</v>
      </c>
      <c r="G24" s="5">
        <v>1.9727912E-2</v>
      </c>
    </row>
    <row r="25" spans="1:7" ht="25.5" x14ac:dyDescent="0.25">
      <c r="A25" s="6">
        <v>19</v>
      </c>
      <c r="B25" s="7" t="s">
        <v>52</v>
      </c>
      <c r="C25" s="11" t="s">
        <v>53</v>
      </c>
      <c r="D25" s="2" t="s">
        <v>30</v>
      </c>
      <c r="E25" s="46">
        <v>45520</v>
      </c>
      <c r="F25" s="51">
        <v>194.84836000000001</v>
      </c>
      <c r="G25" s="5">
        <v>1.9368003000000002E-2</v>
      </c>
    </row>
    <row r="26" spans="1:7" ht="15" x14ac:dyDescent="0.25">
      <c r="A26" s="6">
        <v>20</v>
      </c>
      <c r="B26" s="7" t="s">
        <v>270</v>
      </c>
      <c r="C26" s="11" t="s">
        <v>271</v>
      </c>
      <c r="D26" s="2" t="s">
        <v>16</v>
      </c>
      <c r="E26" s="46">
        <v>116255</v>
      </c>
      <c r="F26" s="51">
        <v>194.37835999999999</v>
      </c>
      <c r="G26" s="5">
        <v>1.9321285000000001E-2</v>
      </c>
    </row>
    <row r="27" spans="1:7" ht="51" x14ac:dyDescent="0.25">
      <c r="A27" s="6">
        <v>21</v>
      </c>
      <c r="B27" s="7" t="s">
        <v>233</v>
      </c>
      <c r="C27" s="11" t="s">
        <v>234</v>
      </c>
      <c r="D27" s="2" t="s">
        <v>235</v>
      </c>
      <c r="E27" s="46">
        <v>84532</v>
      </c>
      <c r="F27" s="51">
        <v>191.21138400000001</v>
      </c>
      <c r="G27" s="5">
        <v>1.9006486E-2</v>
      </c>
    </row>
    <row r="28" spans="1:7" ht="25.5" x14ac:dyDescent="0.25">
      <c r="A28" s="6">
        <v>22</v>
      </c>
      <c r="B28" s="7" t="s">
        <v>205</v>
      </c>
      <c r="C28" s="11" t="s">
        <v>206</v>
      </c>
      <c r="D28" s="2" t="s">
        <v>173</v>
      </c>
      <c r="E28" s="46">
        <v>185657</v>
      </c>
      <c r="F28" s="51">
        <v>187.9777125</v>
      </c>
      <c r="G28" s="5">
        <v>1.8685058000000001E-2</v>
      </c>
    </row>
    <row r="29" spans="1:7" ht="15" x14ac:dyDescent="0.25">
      <c r="A29" s="6">
        <v>23</v>
      </c>
      <c r="B29" s="7" t="s">
        <v>158</v>
      </c>
      <c r="C29" s="11" t="s">
        <v>159</v>
      </c>
      <c r="D29" s="2" t="s">
        <v>16</v>
      </c>
      <c r="E29" s="46">
        <v>209020</v>
      </c>
      <c r="F29" s="51">
        <v>183.51956000000001</v>
      </c>
      <c r="G29" s="5">
        <v>1.8241916E-2</v>
      </c>
    </row>
    <row r="30" spans="1:7" ht="25.5" x14ac:dyDescent="0.25">
      <c r="A30" s="6">
        <v>24</v>
      </c>
      <c r="B30" s="7" t="s">
        <v>20</v>
      </c>
      <c r="C30" s="11" t="s">
        <v>21</v>
      </c>
      <c r="D30" s="2" t="s">
        <v>22</v>
      </c>
      <c r="E30" s="46">
        <v>26989</v>
      </c>
      <c r="F30" s="51">
        <v>183.20133200000001</v>
      </c>
      <c r="G30" s="5">
        <v>1.8210284E-2</v>
      </c>
    </row>
    <row r="31" spans="1:7" ht="15" x14ac:dyDescent="0.25">
      <c r="A31" s="6">
        <v>25</v>
      </c>
      <c r="B31" s="7" t="s">
        <v>62</v>
      </c>
      <c r="C31" s="11" t="s">
        <v>63</v>
      </c>
      <c r="D31" s="2" t="s">
        <v>16</v>
      </c>
      <c r="E31" s="46">
        <v>178780</v>
      </c>
      <c r="F31" s="51">
        <v>182.17681999999999</v>
      </c>
      <c r="G31" s="5">
        <v>1.8108447E-2</v>
      </c>
    </row>
    <row r="32" spans="1:7" ht="15" x14ac:dyDescent="0.25">
      <c r="A32" s="6">
        <v>26</v>
      </c>
      <c r="B32" s="7" t="s">
        <v>218</v>
      </c>
      <c r="C32" s="11" t="s">
        <v>219</v>
      </c>
      <c r="D32" s="2" t="s">
        <v>51</v>
      </c>
      <c r="E32" s="46">
        <v>84224</v>
      </c>
      <c r="F32" s="51">
        <v>179.39712</v>
      </c>
      <c r="G32" s="5">
        <v>1.7832144000000001E-2</v>
      </c>
    </row>
    <row r="33" spans="1:7" ht="15" x14ac:dyDescent="0.25">
      <c r="A33" s="6">
        <v>27</v>
      </c>
      <c r="B33" s="7" t="s">
        <v>168</v>
      </c>
      <c r="C33" s="11" t="s">
        <v>169</v>
      </c>
      <c r="D33" s="2" t="s">
        <v>170</v>
      </c>
      <c r="E33" s="46">
        <v>89890</v>
      </c>
      <c r="F33" s="51">
        <v>171.24045000000001</v>
      </c>
      <c r="G33" s="5">
        <v>1.7021367999999999E-2</v>
      </c>
    </row>
    <row r="34" spans="1:7" ht="15" x14ac:dyDescent="0.25">
      <c r="A34" s="6">
        <v>28</v>
      </c>
      <c r="B34" s="7" t="s">
        <v>182</v>
      </c>
      <c r="C34" s="11" t="s">
        <v>183</v>
      </c>
      <c r="D34" s="2" t="s">
        <v>184</v>
      </c>
      <c r="E34" s="46">
        <v>90803</v>
      </c>
      <c r="F34" s="51">
        <v>169.71080699999999</v>
      </c>
      <c r="G34" s="5">
        <v>1.686932E-2</v>
      </c>
    </row>
    <row r="35" spans="1:7" ht="25.5" x14ac:dyDescent="0.25">
      <c r="A35" s="6">
        <v>29</v>
      </c>
      <c r="B35" s="7" t="s">
        <v>64</v>
      </c>
      <c r="C35" s="11" t="s">
        <v>65</v>
      </c>
      <c r="D35" s="2" t="s">
        <v>19</v>
      </c>
      <c r="E35" s="46">
        <v>205203</v>
      </c>
      <c r="F35" s="51">
        <v>150.10599450000001</v>
      </c>
      <c r="G35" s="5">
        <v>1.4920594000000001E-2</v>
      </c>
    </row>
    <row r="36" spans="1:7" ht="25.5" x14ac:dyDescent="0.25">
      <c r="A36" s="6">
        <v>30</v>
      </c>
      <c r="B36" s="7" t="s">
        <v>194</v>
      </c>
      <c r="C36" s="11" t="s">
        <v>195</v>
      </c>
      <c r="D36" s="2" t="s">
        <v>37</v>
      </c>
      <c r="E36" s="46">
        <v>44106</v>
      </c>
      <c r="F36" s="51">
        <v>149.276757</v>
      </c>
      <c r="G36" s="5">
        <v>1.4838168000000001E-2</v>
      </c>
    </row>
    <row r="37" spans="1:7" ht="15" x14ac:dyDescent="0.25">
      <c r="A37" s="6">
        <v>31</v>
      </c>
      <c r="B37" s="7" t="s">
        <v>187</v>
      </c>
      <c r="C37" s="11" t="s">
        <v>188</v>
      </c>
      <c r="D37" s="2" t="s">
        <v>162</v>
      </c>
      <c r="E37" s="46">
        <v>16100</v>
      </c>
      <c r="F37" s="51">
        <v>147.72555</v>
      </c>
      <c r="G37" s="5">
        <v>1.4683977000000001E-2</v>
      </c>
    </row>
    <row r="38" spans="1:7" ht="25.5" x14ac:dyDescent="0.25">
      <c r="A38" s="6">
        <v>32</v>
      </c>
      <c r="B38" s="7" t="s">
        <v>85</v>
      </c>
      <c r="C38" s="11" t="s">
        <v>86</v>
      </c>
      <c r="D38" s="2" t="s">
        <v>22</v>
      </c>
      <c r="E38" s="46">
        <v>23975</v>
      </c>
      <c r="F38" s="51">
        <v>142.01591250000001</v>
      </c>
      <c r="G38" s="5">
        <v>1.4116437000000001E-2</v>
      </c>
    </row>
    <row r="39" spans="1:7" ht="25.5" x14ac:dyDescent="0.25">
      <c r="A39" s="6">
        <v>33</v>
      </c>
      <c r="B39" s="7" t="s">
        <v>94</v>
      </c>
      <c r="C39" s="11" t="s">
        <v>95</v>
      </c>
      <c r="D39" s="2" t="s">
        <v>22</v>
      </c>
      <c r="E39" s="46">
        <v>134925</v>
      </c>
      <c r="F39" s="51">
        <v>138.23066249999999</v>
      </c>
      <c r="G39" s="5">
        <v>1.3740182E-2</v>
      </c>
    </row>
    <row r="40" spans="1:7" ht="15" x14ac:dyDescent="0.25">
      <c r="A40" s="6">
        <v>34</v>
      </c>
      <c r="B40" s="7" t="s">
        <v>191</v>
      </c>
      <c r="C40" s="11" t="s">
        <v>192</v>
      </c>
      <c r="D40" s="2" t="s">
        <v>193</v>
      </c>
      <c r="E40" s="46">
        <v>103185</v>
      </c>
      <c r="F40" s="51">
        <v>137.339235</v>
      </c>
      <c r="G40" s="5">
        <v>1.3651574E-2</v>
      </c>
    </row>
    <row r="41" spans="1:7" ht="15" x14ac:dyDescent="0.25">
      <c r="A41" s="6">
        <v>35</v>
      </c>
      <c r="B41" s="7" t="s">
        <v>236</v>
      </c>
      <c r="C41" s="11" t="s">
        <v>237</v>
      </c>
      <c r="D41" s="2" t="s">
        <v>238</v>
      </c>
      <c r="E41" s="46">
        <v>21869</v>
      </c>
      <c r="F41" s="51">
        <v>131.5748385</v>
      </c>
      <c r="G41" s="5">
        <v>1.3078589999999999E-2</v>
      </c>
    </row>
    <row r="42" spans="1:7" ht="15" x14ac:dyDescent="0.25">
      <c r="A42" s="6">
        <v>36</v>
      </c>
      <c r="B42" s="7" t="s">
        <v>244</v>
      </c>
      <c r="C42" s="11" t="s">
        <v>245</v>
      </c>
      <c r="D42" s="2" t="s">
        <v>162</v>
      </c>
      <c r="E42" s="46">
        <v>21569</v>
      </c>
      <c r="F42" s="51">
        <v>111.6734975</v>
      </c>
      <c r="G42" s="5">
        <v>1.1100389E-2</v>
      </c>
    </row>
    <row r="43" spans="1:7" ht="15" x14ac:dyDescent="0.25">
      <c r="A43" s="6">
        <v>37</v>
      </c>
      <c r="B43" s="7" t="s">
        <v>246</v>
      </c>
      <c r="C43" s="11" t="s">
        <v>247</v>
      </c>
      <c r="D43" s="2" t="s">
        <v>170</v>
      </c>
      <c r="E43" s="46">
        <v>49328</v>
      </c>
      <c r="F43" s="51">
        <v>109.82879200000001</v>
      </c>
      <c r="G43" s="5">
        <v>1.0917025E-2</v>
      </c>
    </row>
    <row r="44" spans="1:7" ht="15" x14ac:dyDescent="0.25">
      <c r="A44" s="6">
        <v>38</v>
      </c>
      <c r="B44" s="7" t="s">
        <v>72</v>
      </c>
      <c r="C44" s="11" t="s">
        <v>845</v>
      </c>
      <c r="D44" s="2" t="s">
        <v>51</v>
      </c>
      <c r="E44" s="46">
        <v>45310</v>
      </c>
      <c r="F44" s="51">
        <v>107.31673499999999</v>
      </c>
      <c r="G44" s="5">
        <v>1.0667325E-2</v>
      </c>
    </row>
    <row r="45" spans="1:7" ht="51" x14ac:dyDescent="0.25">
      <c r="A45" s="6">
        <v>39</v>
      </c>
      <c r="B45" s="7" t="s">
        <v>248</v>
      </c>
      <c r="C45" s="11" t="s">
        <v>249</v>
      </c>
      <c r="D45" s="2" t="s">
        <v>235</v>
      </c>
      <c r="E45" s="46">
        <v>64794</v>
      </c>
      <c r="F45" s="51">
        <v>107.007291</v>
      </c>
      <c r="G45" s="5">
        <v>1.0636566E-2</v>
      </c>
    </row>
    <row r="46" spans="1:7" ht="15" x14ac:dyDescent="0.25">
      <c r="A46" s="6">
        <v>40</v>
      </c>
      <c r="B46" s="7" t="s">
        <v>252</v>
      </c>
      <c r="C46" s="11" t="s">
        <v>253</v>
      </c>
      <c r="D46" s="2" t="s">
        <v>215</v>
      </c>
      <c r="E46" s="46">
        <v>12700</v>
      </c>
      <c r="F46" s="51">
        <v>98.888549999999995</v>
      </c>
      <c r="G46" s="5">
        <v>9.8295599999999993E-3</v>
      </c>
    </row>
    <row r="47" spans="1:7" ht="25.5" x14ac:dyDescent="0.25">
      <c r="A47" s="6">
        <v>41</v>
      </c>
      <c r="B47" s="7" t="s">
        <v>185</v>
      </c>
      <c r="C47" s="11" t="s">
        <v>186</v>
      </c>
      <c r="D47" s="2" t="s">
        <v>59</v>
      </c>
      <c r="E47" s="46">
        <v>77991</v>
      </c>
      <c r="F47" s="51">
        <v>98.463637500000004</v>
      </c>
      <c r="G47" s="5">
        <v>9.787324E-3</v>
      </c>
    </row>
    <row r="48" spans="1:7" ht="15" x14ac:dyDescent="0.25">
      <c r="A48" s="6">
        <v>42</v>
      </c>
      <c r="B48" s="7" t="s">
        <v>75</v>
      </c>
      <c r="C48" s="11" t="s">
        <v>76</v>
      </c>
      <c r="D48" s="2" t="s">
        <v>51</v>
      </c>
      <c r="E48" s="46">
        <v>44000</v>
      </c>
      <c r="F48" s="51">
        <v>97.438000000000002</v>
      </c>
      <c r="G48" s="5">
        <v>9.6853749999999995E-3</v>
      </c>
    </row>
    <row r="49" spans="1:7" ht="15" x14ac:dyDescent="0.25">
      <c r="A49" s="6">
        <v>43</v>
      </c>
      <c r="B49" s="7" t="s">
        <v>254</v>
      </c>
      <c r="C49" s="11" t="s">
        <v>255</v>
      </c>
      <c r="D49" s="2" t="s">
        <v>215</v>
      </c>
      <c r="E49" s="46">
        <v>119925</v>
      </c>
      <c r="F49" s="51">
        <v>95.280412499999997</v>
      </c>
      <c r="G49" s="5">
        <v>9.4709100000000008E-3</v>
      </c>
    </row>
    <row r="50" spans="1:7" ht="15" x14ac:dyDescent="0.25">
      <c r="A50" s="6">
        <v>44</v>
      </c>
      <c r="B50" s="7" t="s">
        <v>258</v>
      </c>
      <c r="C50" s="11" t="s">
        <v>259</v>
      </c>
      <c r="D50" s="2" t="s">
        <v>193</v>
      </c>
      <c r="E50" s="46">
        <v>120496</v>
      </c>
      <c r="F50" s="51">
        <v>92.902416000000002</v>
      </c>
      <c r="G50" s="5">
        <v>9.2345359999999998E-3</v>
      </c>
    </row>
    <row r="51" spans="1:7" ht="25.5" x14ac:dyDescent="0.25">
      <c r="A51" s="6">
        <v>45</v>
      </c>
      <c r="B51" s="7" t="s">
        <v>73</v>
      </c>
      <c r="C51" s="11" t="s">
        <v>74</v>
      </c>
      <c r="D51" s="2" t="s">
        <v>30</v>
      </c>
      <c r="E51" s="46">
        <v>63135</v>
      </c>
      <c r="F51" s="51">
        <v>92.713747499999997</v>
      </c>
      <c r="G51" s="5">
        <v>9.215783E-3</v>
      </c>
    </row>
    <row r="52" spans="1:7" ht="25.5" x14ac:dyDescent="0.25">
      <c r="A52" s="6">
        <v>46</v>
      </c>
      <c r="B52" s="7" t="s">
        <v>250</v>
      </c>
      <c r="C52" s="11" t="s">
        <v>251</v>
      </c>
      <c r="D52" s="2" t="s">
        <v>30</v>
      </c>
      <c r="E52" s="46">
        <v>90345</v>
      </c>
      <c r="F52" s="51">
        <v>92.151899999999998</v>
      </c>
      <c r="G52" s="5">
        <v>9.1599349999999993E-3</v>
      </c>
    </row>
    <row r="53" spans="1:7" ht="15" x14ac:dyDescent="0.25">
      <c r="A53" s="6">
        <v>47</v>
      </c>
      <c r="B53" s="7" t="s">
        <v>163</v>
      </c>
      <c r="C53" s="11" t="s">
        <v>164</v>
      </c>
      <c r="D53" s="2" t="s">
        <v>13</v>
      </c>
      <c r="E53" s="46">
        <v>45093</v>
      </c>
      <c r="F53" s="51">
        <v>88.156814999999995</v>
      </c>
      <c r="G53" s="5">
        <v>8.762822E-3</v>
      </c>
    </row>
    <row r="54" spans="1:7" ht="15" x14ac:dyDescent="0.25">
      <c r="A54" s="6">
        <v>48</v>
      </c>
      <c r="B54" s="7" t="s">
        <v>272</v>
      </c>
      <c r="C54" s="11" t="s">
        <v>273</v>
      </c>
      <c r="D54" s="2" t="s">
        <v>170</v>
      </c>
      <c r="E54" s="46">
        <v>38054</v>
      </c>
      <c r="F54" s="51">
        <v>86.420634000000007</v>
      </c>
      <c r="G54" s="5">
        <v>8.5902449999999998E-3</v>
      </c>
    </row>
    <row r="55" spans="1:7" ht="15" x14ac:dyDescent="0.25">
      <c r="A55" s="6">
        <v>49</v>
      </c>
      <c r="B55" s="7" t="s">
        <v>201</v>
      </c>
      <c r="C55" s="11" t="s">
        <v>202</v>
      </c>
      <c r="D55" s="2" t="s">
        <v>27</v>
      </c>
      <c r="E55" s="46">
        <v>147461</v>
      </c>
      <c r="F55" s="51">
        <v>82.504429500000001</v>
      </c>
      <c r="G55" s="5">
        <v>8.2009720000000008E-3</v>
      </c>
    </row>
    <row r="56" spans="1:7" ht="15" x14ac:dyDescent="0.25">
      <c r="A56" s="6">
        <v>50</v>
      </c>
      <c r="B56" s="7" t="s">
        <v>256</v>
      </c>
      <c r="C56" s="11" t="s">
        <v>257</v>
      </c>
      <c r="D56" s="2" t="s">
        <v>215</v>
      </c>
      <c r="E56" s="46">
        <v>11000</v>
      </c>
      <c r="F56" s="51">
        <v>81.95</v>
      </c>
      <c r="G56" s="5">
        <v>8.1458620000000002E-3</v>
      </c>
    </row>
    <row r="57" spans="1:7" ht="15" x14ac:dyDescent="0.25">
      <c r="A57" s="6">
        <v>51</v>
      </c>
      <c r="B57" s="7" t="s">
        <v>209</v>
      </c>
      <c r="C57" s="11" t="s">
        <v>210</v>
      </c>
      <c r="D57" s="2" t="s">
        <v>155</v>
      </c>
      <c r="E57" s="46">
        <v>48950</v>
      </c>
      <c r="F57" s="51">
        <v>81.575175000000002</v>
      </c>
      <c r="G57" s="5">
        <v>8.1086040000000002E-3</v>
      </c>
    </row>
    <row r="58" spans="1:7" ht="15" x14ac:dyDescent="0.25">
      <c r="A58" s="6">
        <v>52</v>
      </c>
      <c r="B58" s="7" t="s">
        <v>220</v>
      </c>
      <c r="C58" s="11" t="s">
        <v>221</v>
      </c>
      <c r="D58" s="2" t="s">
        <v>193</v>
      </c>
      <c r="E58" s="46">
        <v>40090</v>
      </c>
      <c r="F58" s="51">
        <v>76.93271</v>
      </c>
      <c r="G58" s="5">
        <v>7.6471409999999997E-3</v>
      </c>
    </row>
    <row r="59" spans="1:7" ht="15" x14ac:dyDescent="0.25">
      <c r="A59" s="6">
        <v>53</v>
      </c>
      <c r="B59" s="7" t="s">
        <v>211</v>
      </c>
      <c r="C59" s="11" t="s">
        <v>212</v>
      </c>
      <c r="D59" s="2" t="s">
        <v>162</v>
      </c>
      <c r="E59" s="46">
        <v>94221</v>
      </c>
      <c r="F59" s="51">
        <v>74.905694999999994</v>
      </c>
      <c r="G59" s="5">
        <v>7.4456549999999998E-3</v>
      </c>
    </row>
    <row r="60" spans="1:7" ht="25.5" x14ac:dyDescent="0.25">
      <c r="A60" s="6">
        <v>54</v>
      </c>
      <c r="B60" s="7" t="s">
        <v>216</v>
      </c>
      <c r="C60" s="11" t="s">
        <v>217</v>
      </c>
      <c r="D60" s="2" t="s">
        <v>59</v>
      </c>
      <c r="E60" s="46">
        <v>28882</v>
      </c>
      <c r="F60" s="51">
        <v>65.374407000000005</v>
      </c>
      <c r="G60" s="5">
        <v>6.4982420000000004E-3</v>
      </c>
    </row>
    <row r="61" spans="1:7" ht="25.5" x14ac:dyDescent="0.25">
      <c r="A61" s="6">
        <v>55</v>
      </c>
      <c r="B61" s="7" t="s">
        <v>274</v>
      </c>
      <c r="C61" s="11" t="s">
        <v>275</v>
      </c>
      <c r="D61" s="2" t="s">
        <v>22</v>
      </c>
      <c r="E61" s="46">
        <v>16127</v>
      </c>
      <c r="F61" s="51">
        <v>63.5323165</v>
      </c>
      <c r="G61" s="5">
        <v>6.3151370000000002E-3</v>
      </c>
    </row>
    <row r="62" spans="1:7" ht="15" x14ac:dyDescent="0.25">
      <c r="A62" s="6">
        <v>56</v>
      </c>
      <c r="B62" s="7" t="s">
        <v>102</v>
      </c>
      <c r="C62" s="11" t="s">
        <v>103</v>
      </c>
      <c r="D62" s="2" t="s">
        <v>51</v>
      </c>
      <c r="E62" s="46">
        <v>56005</v>
      </c>
      <c r="F62" s="51">
        <v>60.7934275</v>
      </c>
      <c r="G62" s="5">
        <v>6.0428900000000004E-3</v>
      </c>
    </row>
    <row r="63" spans="1:7" ht="15" x14ac:dyDescent="0.25">
      <c r="A63" s="6">
        <v>57</v>
      </c>
      <c r="B63" s="7" t="s">
        <v>222</v>
      </c>
      <c r="C63" s="11" t="s">
        <v>223</v>
      </c>
      <c r="D63" s="2" t="s">
        <v>215</v>
      </c>
      <c r="E63" s="46">
        <v>12736</v>
      </c>
      <c r="F63" s="51">
        <v>58.891264</v>
      </c>
      <c r="G63" s="5">
        <v>5.8538150000000001E-3</v>
      </c>
    </row>
    <row r="64" spans="1:7" ht="15" x14ac:dyDescent="0.25">
      <c r="A64" s="6">
        <v>58</v>
      </c>
      <c r="B64" s="7" t="s">
        <v>224</v>
      </c>
      <c r="C64" s="11" t="s">
        <v>225</v>
      </c>
      <c r="D64" s="2" t="s">
        <v>226</v>
      </c>
      <c r="E64" s="46">
        <v>5182</v>
      </c>
      <c r="F64" s="51">
        <v>56.092559000000001</v>
      </c>
      <c r="G64" s="5">
        <v>5.5756219999999997E-3</v>
      </c>
    </row>
    <row r="65" spans="1:7" ht="38.25" x14ac:dyDescent="0.25">
      <c r="A65" s="6">
        <v>59</v>
      </c>
      <c r="B65" s="7" t="s">
        <v>260</v>
      </c>
      <c r="C65" s="11" t="s">
        <v>261</v>
      </c>
      <c r="D65" s="2" t="s">
        <v>262</v>
      </c>
      <c r="E65" s="46">
        <v>56589</v>
      </c>
      <c r="F65" s="51">
        <v>51.892113000000002</v>
      </c>
      <c r="G65" s="5">
        <v>5.158096E-3</v>
      </c>
    </row>
    <row r="66" spans="1:7" ht="15" x14ac:dyDescent="0.25">
      <c r="A66" s="6">
        <v>60</v>
      </c>
      <c r="B66" s="7" t="s">
        <v>197</v>
      </c>
      <c r="C66" s="11" t="s">
        <v>198</v>
      </c>
      <c r="D66" s="2" t="s">
        <v>162</v>
      </c>
      <c r="E66" s="46">
        <v>13364</v>
      </c>
      <c r="F66" s="51">
        <v>39.336933999999999</v>
      </c>
      <c r="G66" s="5">
        <v>3.9101070000000003E-3</v>
      </c>
    </row>
    <row r="67" spans="1:7" ht="25.5" x14ac:dyDescent="0.25">
      <c r="A67" s="6">
        <v>61</v>
      </c>
      <c r="B67" s="7" t="s">
        <v>276</v>
      </c>
      <c r="C67" s="11" t="s">
        <v>277</v>
      </c>
      <c r="D67" s="2" t="s">
        <v>37</v>
      </c>
      <c r="E67" s="46">
        <v>38000</v>
      </c>
      <c r="F67" s="51">
        <v>25.478999999999999</v>
      </c>
      <c r="G67" s="5">
        <v>2.5326229999999999E-3</v>
      </c>
    </row>
    <row r="68" spans="1:7" ht="25.5" x14ac:dyDescent="0.25">
      <c r="A68" s="6">
        <v>62</v>
      </c>
      <c r="B68" s="7" t="s">
        <v>227</v>
      </c>
      <c r="C68" s="11" t="s">
        <v>228</v>
      </c>
      <c r="D68" s="2" t="s">
        <v>173</v>
      </c>
      <c r="E68" s="46">
        <v>32894</v>
      </c>
      <c r="F68" s="51">
        <v>20.854796</v>
      </c>
      <c r="G68" s="5">
        <v>2.0729749999999999E-3</v>
      </c>
    </row>
    <row r="69" spans="1:7" ht="25.5" x14ac:dyDescent="0.25">
      <c r="A69" s="6">
        <v>63</v>
      </c>
      <c r="B69" s="7" t="s">
        <v>229</v>
      </c>
      <c r="C69" s="11" t="s">
        <v>230</v>
      </c>
      <c r="D69" s="2" t="s">
        <v>37</v>
      </c>
      <c r="E69" s="46">
        <v>122313</v>
      </c>
      <c r="F69" s="51">
        <v>12.598239</v>
      </c>
      <c r="G69" s="5">
        <v>1.25227E-3</v>
      </c>
    </row>
    <row r="70" spans="1:7" ht="15" x14ac:dyDescent="0.25">
      <c r="A70" s="6">
        <v>64</v>
      </c>
      <c r="B70" s="7" t="s">
        <v>264</v>
      </c>
      <c r="C70" s="11" t="s">
        <v>265</v>
      </c>
      <c r="D70" s="2" t="s">
        <v>162</v>
      </c>
      <c r="E70" s="46">
        <v>2099</v>
      </c>
      <c r="F70" s="51">
        <v>1.4052804999999999</v>
      </c>
      <c r="G70" s="5">
        <v>1.3968499999999999E-4</v>
      </c>
    </row>
    <row r="71" spans="1:7" ht="15" x14ac:dyDescent="0.25">
      <c r="A71" s="1"/>
      <c r="B71" s="2"/>
      <c r="C71" s="8" t="s">
        <v>104</v>
      </c>
      <c r="D71" s="12"/>
      <c r="E71" s="48"/>
      <c r="F71" s="53">
        <v>9738.4617080000007</v>
      </c>
      <c r="G71" s="13">
        <v>0.96800689100000037</v>
      </c>
    </row>
    <row r="72" spans="1:7" ht="15" x14ac:dyDescent="0.25">
      <c r="A72" s="6"/>
      <c r="B72" s="7"/>
      <c r="C72" s="14"/>
      <c r="D72" s="15"/>
      <c r="E72" s="46"/>
      <c r="F72" s="51"/>
      <c r="G72" s="5"/>
    </row>
    <row r="73" spans="1:7" ht="15" x14ac:dyDescent="0.25">
      <c r="A73" s="1"/>
      <c r="B73" s="2"/>
      <c r="C73" s="8" t="s">
        <v>105</v>
      </c>
      <c r="D73" s="9"/>
      <c r="E73" s="47"/>
      <c r="F73" s="52"/>
      <c r="G73" s="10"/>
    </row>
    <row r="74" spans="1:7" ht="15" x14ac:dyDescent="0.25">
      <c r="A74" s="1"/>
      <c r="B74" s="2"/>
      <c r="C74" s="8" t="s">
        <v>104</v>
      </c>
      <c r="D74" s="12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15"/>
      <c r="E75" s="46"/>
      <c r="F75" s="51"/>
      <c r="G75" s="5"/>
    </row>
    <row r="76" spans="1:7" ht="15" x14ac:dyDescent="0.25">
      <c r="A76" s="16"/>
      <c r="B76" s="17"/>
      <c r="C76" s="8" t="s">
        <v>106</v>
      </c>
      <c r="D76" s="9"/>
      <c r="E76" s="47"/>
      <c r="F76" s="52"/>
      <c r="G76" s="10"/>
    </row>
    <row r="77" spans="1:7" ht="15" x14ac:dyDescent="0.25">
      <c r="A77" s="18"/>
      <c r="B77" s="19"/>
      <c r="C77" s="8" t="s">
        <v>104</v>
      </c>
      <c r="D77" s="20"/>
      <c r="E77" s="49"/>
      <c r="F77" s="54">
        <v>0</v>
      </c>
      <c r="G77" s="21">
        <v>0</v>
      </c>
    </row>
    <row r="78" spans="1:7" ht="15" x14ac:dyDescent="0.25">
      <c r="A78" s="18"/>
      <c r="B78" s="19"/>
      <c r="C78" s="14"/>
      <c r="D78" s="22"/>
      <c r="E78" s="50"/>
      <c r="F78" s="55"/>
      <c r="G78" s="23"/>
    </row>
    <row r="79" spans="1:7" ht="15" x14ac:dyDescent="0.25">
      <c r="A79" s="1"/>
      <c r="B79" s="2"/>
      <c r="C79" s="8" t="s">
        <v>108</v>
      </c>
      <c r="D79" s="9"/>
      <c r="E79" s="47"/>
      <c r="F79" s="52"/>
      <c r="G79" s="10"/>
    </row>
    <row r="80" spans="1:7" ht="15" x14ac:dyDescent="0.25">
      <c r="A80" s="1"/>
      <c r="B80" s="2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1"/>
      <c r="B81" s="2"/>
      <c r="C81" s="14"/>
      <c r="D81" s="4"/>
      <c r="E81" s="46"/>
      <c r="F81" s="51"/>
      <c r="G81" s="5"/>
    </row>
    <row r="82" spans="1:7" ht="15" x14ac:dyDescent="0.25">
      <c r="A82" s="1"/>
      <c r="B82" s="2"/>
      <c r="C82" s="8" t="s">
        <v>109</v>
      </c>
      <c r="D82" s="9"/>
      <c r="E82" s="47"/>
      <c r="F82" s="52"/>
      <c r="G82" s="10"/>
    </row>
    <row r="83" spans="1:7" ht="15" x14ac:dyDescent="0.25">
      <c r="A83" s="1"/>
      <c r="B83" s="2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15" x14ac:dyDescent="0.25">
      <c r="A85" s="1"/>
      <c r="B85" s="2"/>
      <c r="C85" s="8" t="s">
        <v>110</v>
      </c>
      <c r="D85" s="9"/>
      <c r="E85" s="47"/>
      <c r="F85" s="52"/>
      <c r="G85" s="10"/>
    </row>
    <row r="86" spans="1:7" ht="15" x14ac:dyDescent="0.25">
      <c r="A86" s="1"/>
      <c r="B86" s="2"/>
      <c r="C86" s="8" t="s">
        <v>104</v>
      </c>
      <c r="D86" s="12"/>
      <c r="E86" s="48"/>
      <c r="F86" s="53">
        <v>0</v>
      </c>
      <c r="G86" s="13">
        <v>0</v>
      </c>
    </row>
    <row r="87" spans="1:7" ht="15" x14ac:dyDescent="0.25">
      <c r="A87" s="1"/>
      <c r="B87" s="2"/>
      <c r="C87" s="14"/>
      <c r="D87" s="4"/>
      <c r="E87" s="46"/>
      <c r="F87" s="51"/>
      <c r="G87" s="5"/>
    </row>
    <row r="88" spans="1:7" ht="25.5" x14ac:dyDescent="0.25">
      <c r="A88" s="6"/>
      <c r="B88" s="7"/>
      <c r="C88" s="24" t="s">
        <v>111</v>
      </c>
      <c r="D88" s="25"/>
      <c r="E88" s="48"/>
      <c r="F88" s="53">
        <v>9738.4617080000007</v>
      </c>
      <c r="G88" s="13">
        <v>0.96800689100000037</v>
      </c>
    </row>
    <row r="89" spans="1:7" ht="15" x14ac:dyDescent="0.25">
      <c r="A89" s="1"/>
      <c r="B89" s="2"/>
      <c r="C89" s="11"/>
      <c r="D89" s="4"/>
      <c r="E89" s="46"/>
      <c r="F89" s="51"/>
      <c r="G89" s="5"/>
    </row>
    <row r="90" spans="1:7" ht="15" x14ac:dyDescent="0.25">
      <c r="A90" s="1"/>
      <c r="B90" s="2"/>
      <c r="C90" s="3" t="s">
        <v>112</v>
      </c>
      <c r="D90" s="4"/>
      <c r="E90" s="46"/>
      <c r="F90" s="51"/>
      <c r="G90" s="5"/>
    </row>
    <row r="91" spans="1:7" ht="25.5" x14ac:dyDescent="0.25">
      <c r="A91" s="1"/>
      <c r="B91" s="2"/>
      <c r="C91" s="8" t="s">
        <v>10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12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4"/>
      <c r="E93" s="46"/>
      <c r="F93" s="51"/>
      <c r="G93" s="5"/>
    </row>
    <row r="94" spans="1:7" ht="15" x14ac:dyDescent="0.25">
      <c r="A94" s="1"/>
      <c r="B94" s="26"/>
      <c r="C94" s="8" t="s">
        <v>113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12"/>
      <c r="E95" s="48"/>
      <c r="F95" s="53">
        <v>0</v>
      </c>
      <c r="G95" s="13">
        <v>0</v>
      </c>
    </row>
    <row r="96" spans="1:7" ht="15" x14ac:dyDescent="0.25">
      <c r="A96" s="6"/>
      <c r="B96" s="7"/>
      <c r="C96" s="14"/>
      <c r="D96" s="4"/>
      <c r="E96" s="46"/>
      <c r="F96" s="56"/>
      <c r="G96" s="27"/>
    </row>
    <row r="97" spans="1:7" ht="15" x14ac:dyDescent="0.25">
      <c r="A97" s="1"/>
      <c r="B97" s="2"/>
      <c r="C97" s="8" t="s">
        <v>114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12"/>
      <c r="E98" s="48"/>
      <c r="F98" s="53">
        <v>0</v>
      </c>
      <c r="G98" s="13">
        <v>0</v>
      </c>
    </row>
    <row r="99" spans="1:7" ht="15" x14ac:dyDescent="0.25">
      <c r="A99" s="1"/>
      <c r="B99" s="2"/>
      <c r="C99" s="14"/>
      <c r="D99" s="4"/>
      <c r="E99" s="46"/>
      <c r="F99" s="51"/>
      <c r="G99" s="5"/>
    </row>
    <row r="100" spans="1:7" ht="25.5" x14ac:dyDescent="0.25">
      <c r="A100" s="1"/>
      <c r="B100" s="26"/>
      <c r="C100" s="8" t="s">
        <v>115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12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4"/>
      <c r="E102" s="46"/>
      <c r="F102" s="51"/>
      <c r="G102" s="5"/>
    </row>
    <row r="103" spans="1:7" ht="15" x14ac:dyDescent="0.25">
      <c r="A103" s="6"/>
      <c r="B103" s="7"/>
      <c r="C103" s="28" t="s">
        <v>116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1"/>
      <c r="D104" s="4"/>
      <c r="E104" s="46"/>
      <c r="F104" s="51"/>
      <c r="G104" s="5"/>
    </row>
    <row r="105" spans="1:7" ht="15" x14ac:dyDescent="0.25">
      <c r="A105" s="1"/>
      <c r="B105" s="2"/>
      <c r="C105" s="3" t="s">
        <v>117</v>
      </c>
      <c r="D105" s="4"/>
      <c r="E105" s="46"/>
      <c r="F105" s="51"/>
      <c r="G105" s="5"/>
    </row>
    <row r="106" spans="1:7" ht="15" x14ac:dyDescent="0.25">
      <c r="A106" s="6"/>
      <c r="B106" s="7"/>
      <c r="C106" s="8" t="s">
        <v>118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6"/>
      <c r="B109" s="7"/>
      <c r="C109" s="8" t="s">
        <v>119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15" x14ac:dyDescent="0.25">
      <c r="A112" s="6"/>
      <c r="B112" s="7"/>
      <c r="C112" s="8" t="s">
        <v>120</v>
      </c>
      <c r="D112" s="9"/>
      <c r="E112" s="47"/>
      <c r="F112" s="52"/>
      <c r="G112" s="10"/>
    </row>
    <row r="113" spans="1:7" ht="15" x14ac:dyDescent="0.25">
      <c r="A113" s="6"/>
      <c r="B113" s="7"/>
      <c r="C113" s="8" t="s">
        <v>104</v>
      </c>
      <c r="D113" s="25"/>
      <c r="E113" s="48"/>
      <c r="F113" s="53">
        <v>0</v>
      </c>
      <c r="G113" s="13">
        <v>0</v>
      </c>
    </row>
    <row r="114" spans="1:7" ht="15" x14ac:dyDescent="0.25">
      <c r="A114" s="6"/>
      <c r="B114" s="7"/>
      <c r="C114" s="14"/>
      <c r="D114" s="7"/>
      <c r="E114" s="46"/>
      <c r="F114" s="51"/>
      <c r="G114" s="5"/>
    </row>
    <row r="115" spans="1:7" ht="15" x14ac:dyDescent="0.25">
      <c r="A115" s="6"/>
      <c r="B115" s="7"/>
      <c r="C115" s="8" t="s">
        <v>121</v>
      </c>
      <c r="D115" s="9"/>
      <c r="E115" s="47"/>
      <c r="F115" s="52"/>
      <c r="G115" s="10"/>
    </row>
    <row r="116" spans="1:7" ht="15" x14ac:dyDescent="0.25">
      <c r="A116" s="6">
        <v>1</v>
      </c>
      <c r="B116" s="7"/>
      <c r="C116" s="11" t="s">
        <v>730</v>
      </c>
      <c r="D116" s="15"/>
      <c r="E116" s="46"/>
      <c r="F116" s="51">
        <v>123.9810123</v>
      </c>
      <c r="G116" s="5">
        <v>1.2323761000000001E-2</v>
      </c>
    </row>
    <row r="117" spans="1:7" ht="15" x14ac:dyDescent="0.25">
      <c r="A117" s="6"/>
      <c r="B117" s="7"/>
      <c r="C117" s="8" t="s">
        <v>104</v>
      </c>
      <c r="D117" s="25"/>
      <c r="E117" s="48"/>
      <c r="F117" s="53">
        <v>123.9810123</v>
      </c>
      <c r="G117" s="13">
        <v>1.2323761000000001E-2</v>
      </c>
    </row>
    <row r="118" spans="1:7" ht="15" x14ac:dyDescent="0.25">
      <c r="A118" s="6"/>
      <c r="B118" s="7"/>
      <c r="C118" s="14"/>
      <c r="D118" s="7"/>
      <c r="E118" s="46"/>
      <c r="F118" s="51"/>
      <c r="G118" s="5"/>
    </row>
    <row r="119" spans="1:7" ht="25.5" x14ac:dyDescent="0.25">
      <c r="A119" s="6"/>
      <c r="B119" s="7"/>
      <c r="C119" s="24" t="s">
        <v>122</v>
      </c>
      <c r="D119" s="25"/>
      <c r="E119" s="48"/>
      <c r="F119" s="53">
        <v>123.9810123</v>
      </c>
      <c r="G119" s="13">
        <v>1.2323761000000001E-2</v>
      </c>
    </row>
    <row r="120" spans="1:7" ht="15" x14ac:dyDescent="0.25">
      <c r="A120" s="6"/>
      <c r="B120" s="7"/>
      <c r="C120" s="29"/>
      <c r="D120" s="7"/>
      <c r="E120" s="46"/>
      <c r="F120" s="51"/>
      <c r="G120" s="5"/>
    </row>
    <row r="121" spans="1:7" ht="15" x14ac:dyDescent="0.25">
      <c r="A121" s="1"/>
      <c r="B121" s="2"/>
      <c r="C121" s="3" t="s">
        <v>123</v>
      </c>
      <c r="D121" s="4"/>
      <c r="E121" s="46"/>
      <c r="F121" s="51"/>
      <c r="G121" s="5"/>
    </row>
    <row r="122" spans="1:7" ht="25.5" x14ac:dyDescent="0.25">
      <c r="A122" s="6"/>
      <c r="B122" s="7"/>
      <c r="C122" s="8" t="s">
        <v>124</v>
      </c>
      <c r="D122" s="9"/>
      <c r="E122" s="47"/>
      <c r="F122" s="52"/>
      <c r="G122" s="10"/>
    </row>
    <row r="123" spans="1:7" ht="15" x14ac:dyDescent="0.25">
      <c r="A123" s="6"/>
      <c r="B123" s="7"/>
      <c r="C123" s="8" t="s">
        <v>104</v>
      </c>
      <c r="D123" s="25"/>
      <c r="E123" s="48"/>
      <c r="F123" s="53">
        <v>0</v>
      </c>
      <c r="G123" s="13">
        <v>0</v>
      </c>
    </row>
    <row r="124" spans="1:7" ht="15" x14ac:dyDescent="0.25">
      <c r="A124" s="6"/>
      <c r="B124" s="7"/>
      <c r="C124" s="14"/>
      <c r="D124" s="7"/>
      <c r="E124" s="46"/>
      <c r="F124" s="51"/>
      <c r="G124" s="5"/>
    </row>
    <row r="125" spans="1:7" ht="15" x14ac:dyDescent="0.25">
      <c r="A125" s="1"/>
      <c r="B125" s="2"/>
      <c r="C125" s="3" t="s">
        <v>125</v>
      </c>
      <c r="D125" s="4"/>
      <c r="E125" s="46"/>
      <c r="F125" s="51"/>
      <c r="G125" s="5"/>
    </row>
    <row r="126" spans="1:7" ht="25.5" x14ac:dyDescent="0.25">
      <c r="A126" s="6"/>
      <c r="B126" s="7"/>
      <c r="C126" s="8" t="s">
        <v>126</v>
      </c>
      <c r="D126" s="9"/>
      <c r="E126" s="47"/>
      <c r="F126" s="52"/>
      <c r="G126" s="10"/>
    </row>
    <row r="127" spans="1:7" ht="15" x14ac:dyDescent="0.25">
      <c r="A127" s="6"/>
      <c r="B127" s="7"/>
      <c r="C127" s="8" t="s">
        <v>104</v>
      </c>
      <c r="D127" s="25"/>
      <c r="E127" s="48"/>
      <c r="F127" s="53">
        <v>0</v>
      </c>
      <c r="G127" s="13">
        <v>0</v>
      </c>
    </row>
    <row r="128" spans="1:7" ht="15" x14ac:dyDescent="0.25">
      <c r="A128" s="6"/>
      <c r="B128" s="7"/>
      <c r="C128" s="14"/>
      <c r="D128" s="7"/>
      <c r="E128" s="46"/>
      <c r="F128" s="51"/>
      <c r="G128" s="5"/>
    </row>
    <row r="129" spans="1:7" ht="25.5" x14ac:dyDescent="0.25">
      <c r="A129" s="6"/>
      <c r="B129" s="7"/>
      <c r="C129" s="8" t="s">
        <v>127</v>
      </c>
      <c r="D129" s="9"/>
      <c r="E129" s="47"/>
      <c r="F129" s="112">
        <v>199.21299999999999</v>
      </c>
      <c r="G129" s="111">
        <v>1.9801849999999999E-2</v>
      </c>
    </row>
    <row r="130" spans="1:7" ht="15" x14ac:dyDescent="0.25">
      <c r="A130" s="6"/>
      <c r="B130" s="7"/>
      <c r="C130" s="8" t="s">
        <v>810</v>
      </c>
      <c r="D130" s="25"/>
      <c r="E130" s="48"/>
      <c r="F130" s="53">
        <v>199.21299999999999</v>
      </c>
      <c r="G130" s="13">
        <v>1.9801849999999999E-2</v>
      </c>
    </row>
    <row r="131" spans="1:7" ht="15" x14ac:dyDescent="0.25">
      <c r="A131" s="6"/>
      <c r="B131" s="7"/>
      <c r="C131" s="14"/>
      <c r="D131" s="7"/>
      <c r="E131" s="46"/>
      <c r="F131" s="56"/>
      <c r="G131" s="27"/>
    </row>
    <row r="132" spans="1:7" ht="25.5" x14ac:dyDescent="0.25">
      <c r="A132" s="6"/>
      <c r="B132" s="7"/>
      <c r="C132" s="29" t="s">
        <v>128</v>
      </c>
      <c r="D132" s="7"/>
      <c r="E132" s="46"/>
      <c r="F132" s="56">
        <v>-1.3330379000000001</v>
      </c>
      <c r="G132" s="27" t="s">
        <v>278</v>
      </c>
    </row>
    <row r="133" spans="1:7" ht="15" x14ac:dyDescent="0.25">
      <c r="A133" s="6"/>
      <c r="B133" s="7"/>
      <c r="C133" s="30" t="s">
        <v>129</v>
      </c>
      <c r="D133" s="12"/>
      <c r="E133" s="48"/>
      <c r="F133" s="53">
        <v>10060.322682400001</v>
      </c>
      <c r="G133" s="13">
        <v>0.99999999800000039</v>
      </c>
    </row>
    <row r="135" spans="1:7" ht="15" x14ac:dyDescent="0.25">
      <c r="B135" s="279"/>
      <c r="C135" s="279"/>
      <c r="D135" s="279"/>
      <c r="E135" s="279"/>
      <c r="F135" s="279"/>
    </row>
    <row r="136" spans="1:7" ht="15" x14ac:dyDescent="0.25">
      <c r="B136" s="279" t="s">
        <v>130</v>
      </c>
      <c r="C136" s="279"/>
      <c r="D136" s="279"/>
      <c r="E136" s="279"/>
      <c r="F136" s="279"/>
    </row>
    <row r="138" spans="1:7" ht="15" x14ac:dyDescent="0.25">
      <c r="B138" s="36" t="s">
        <v>131</v>
      </c>
      <c r="C138" s="37"/>
      <c r="D138" s="38"/>
    </row>
    <row r="139" spans="1:7" ht="15" x14ac:dyDescent="0.25">
      <c r="B139" s="39" t="s">
        <v>132</v>
      </c>
      <c r="C139" s="40"/>
      <c r="D139" s="62" t="s">
        <v>133</v>
      </c>
    </row>
    <row r="140" spans="1:7" ht="15" x14ac:dyDescent="0.25">
      <c r="B140" s="39" t="s">
        <v>134</v>
      </c>
      <c r="C140" s="40"/>
      <c r="D140" s="62" t="s">
        <v>133</v>
      </c>
    </row>
    <row r="141" spans="1:7" ht="15" x14ac:dyDescent="0.25">
      <c r="B141" s="41" t="s">
        <v>135</v>
      </c>
      <c r="C141" s="40"/>
      <c r="D141" s="42"/>
    </row>
    <row r="142" spans="1:7" ht="25.5" customHeight="1" x14ac:dyDescent="0.25">
      <c r="B142" s="42"/>
      <c r="C142" s="32" t="s">
        <v>136</v>
      </c>
      <c r="D142" s="33" t="s">
        <v>137</v>
      </c>
    </row>
    <row r="143" spans="1:7" ht="12.75" customHeight="1" x14ac:dyDescent="0.25">
      <c r="B143" s="57" t="s">
        <v>138</v>
      </c>
      <c r="C143" s="58" t="s">
        <v>139</v>
      </c>
      <c r="D143" s="58" t="s">
        <v>140</v>
      </c>
    </row>
    <row r="144" spans="1:7" ht="15" x14ac:dyDescent="0.25">
      <c r="B144" s="42" t="s">
        <v>141</v>
      </c>
      <c r="C144" s="43">
        <v>8.7769999999999992</v>
      </c>
      <c r="D144" s="43">
        <v>7.6821999999999999</v>
      </c>
    </row>
    <row r="145" spans="2:4" ht="15" x14ac:dyDescent="0.25">
      <c r="B145" s="42" t="s">
        <v>142</v>
      </c>
      <c r="C145" s="43">
        <v>8.7769999999999992</v>
      </c>
      <c r="D145" s="43">
        <v>7.6821999999999999</v>
      </c>
    </row>
    <row r="146" spans="2:4" ht="15" x14ac:dyDescent="0.25">
      <c r="B146" s="42" t="s">
        <v>143</v>
      </c>
      <c r="C146" s="43">
        <v>8.6588999999999992</v>
      </c>
      <c r="D146" s="43">
        <v>7.5750000000000002</v>
      </c>
    </row>
    <row r="147" spans="2:4" ht="15" x14ac:dyDescent="0.25">
      <c r="B147" s="42" t="s">
        <v>144</v>
      </c>
      <c r="C147" s="43">
        <v>8.6588999999999992</v>
      </c>
      <c r="D147" s="43">
        <v>7.5750000000000002</v>
      </c>
    </row>
    <row r="149" spans="2:4" ht="15" x14ac:dyDescent="0.25">
      <c r="B149" s="59" t="s">
        <v>145</v>
      </c>
      <c r="C149" s="44"/>
      <c r="D149" s="60" t="s">
        <v>133</v>
      </c>
    </row>
    <row r="150" spans="2:4" ht="24.75" customHeight="1" x14ac:dyDescent="0.25">
      <c r="B150" s="61"/>
      <c r="C150" s="61"/>
    </row>
    <row r="151" spans="2:4" ht="15" x14ac:dyDescent="0.25">
      <c r="B151" s="63"/>
      <c r="C151" s="65"/>
      <c r="D151"/>
    </row>
    <row r="153" spans="2:4" ht="15" x14ac:dyDescent="0.25">
      <c r="B153" s="41" t="s">
        <v>146</v>
      </c>
      <c r="C153" s="40"/>
      <c r="D153" s="64" t="s">
        <v>133</v>
      </c>
    </row>
    <row r="154" spans="2:4" ht="15" x14ac:dyDescent="0.25">
      <c r="B154" s="41" t="s">
        <v>147</v>
      </c>
      <c r="C154" s="40"/>
      <c r="D154" s="64" t="s">
        <v>133</v>
      </c>
    </row>
    <row r="155" spans="2:4" ht="15" x14ac:dyDescent="0.25">
      <c r="B155" s="41" t="s">
        <v>148</v>
      </c>
      <c r="C155" s="40"/>
      <c r="D155" s="45">
        <v>1.5376421900299864E-2</v>
      </c>
    </row>
    <row r="156" spans="2:4" ht="15" x14ac:dyDescent="0.25">
      <c r="B156" s="41" t="s">
        <v>149</v>
      </c>
      <c r="C156" s="40"/>
      <c r="D156" s="45" t="s">
        <v>133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55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279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23</v>
      </c>
      <c r="C7" s="11" t="s">
        <v>24</v>
      </c>
      <c r="D7" s="2" t="s">
        <v>22</v>
      </c>
      <c r="E7" s="46">
        <v>73840</v>
      </c>
      <c r="F7" s="51">
        <v>406.00923999999998</v>
      </c>
      <c r="G7" s="5">
        <v>4.1082042999999999E-2</v>
      </c>
    </row>
    <row r="8" spans="1:7" ht="25.5" x14ac:dyDescent="0.25">
      <c r="A8" s="6">
        <v>2</v>
      </c>
      <c r="B8" s="7" t="s">
        <v>153</v>
      </c>
      <c r="C8" s="11" t="s">
        <v>154</v>
      </c>
      <c r="D8" s="2" t="s">
        <v>155</v>
      </c>
      <c r="E8" s="46">
        <v>63720</v>
      </c>
      <c r="F8" s="51">
        <v>396.84816000000001</v>
      </c>
      <c r="G8" s="5">
        <v>4.0155080000000003E-2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70480</v>
      </c>
      <c r="F9" s="51">
        <v>338.05732</v>
      </c>
      <c r="G9" s="5">
        <v>3.4206329000000001E-2</v>
      </c>
    </row>
    <row r="10" spans="1:7" ht="25.5" x14ac:dyDescent="0.25">
      <c r="A10" s="6">
        <v>4</v>
      </c>
      <c r="B10" s="7" t="s">
        <v>68</v>
      </c>
      <c r="C10" s="11" t="s">
        <v>69</v>
      </c>
      <c r="D10" s="2" t="s">
        <v>19</v>
      </c>
      <c r="E10" s="46">
        <v>278327</v>
      </c>
      <c r="F10" s="51">
        <v>336.497343</v>
      </c>
      <c r="G10" s="5">
        <v>3.4048481999999998E-2</v>
      </c>
    </row>
    <row r="11" spans="1:7" ht="15" x14ac:dyDescent="0.25">
      <c r="A11" s="6">
        <v>5</v>
      </c>
      <c r="B11" s="7" t="s">
        <v>151</v>
      </c>
      <c r="C11" s="11" t="s">
        <v>152</v>
      </c>
      <c r="D11" s="2" t="s">
        <v>16</v>
      </c>
      <c r="E11" s="46">
        <v>166306</v>
      </c>
      <c r="F11" s="51">
        <v>321.96841599999999</v>
      </c>
      <c r="G11" s="5">
        <v>3.2578373000000001E-2</v>
      </c>
    </row>
    <row r="12" spans="1:7" ht="15" x14ac:dyDescent="0.25">
      <c r="A12" s="6">
        <v>6</v>
      </c>
      <c r="B12" s="7" t="s">
        <v>60</v>
      </c>
      <c r="C12" s="11" t="s">
        <v>61</v>
      </c>
      <c r="D12" s="2" t="s">
        <v>16</v>
      </c>
      <c r="E12" s="46">
        <v>32403</v>
      </c>
      <c r="F12" s="51">
        <v>313.01298000000003</v>
      </c>
      <c r="G12" s="5">
        <v>3.1672217000000003E-2</v>
      </c>
    </row>
    <row r="13" spans="1:7" ht="25.5" x14ac:dyDescent="0.25">
      <c r="A13" s="6">
        <v>7</v>
      </c>
      <c r="B13" s="7" t="s">
        <v>92</v>
      </c>
      <c r="C13" s="11" t="s">
        <v>93</v>
      </c>
      <c r="D13" s="2" t="s">
        <v>22</v>
      </c>
      <c r="E13" s="46">
        <v>61203</v>
      </c>
      <c r="F13" s="51">
        <v>268.4057565</v>
      </c>
      <c r="G13" s="5">
        <v>2.7158636E-2</v>
      </c>
    </row>
    <row r="14" spans="1:7" ht="15" x14ac:dyDescent="0.25">
      <c r="A14" s="6">
        <v>8</v>
      </c>
      <c r="B14" s="7" t="s">
        <v>62</v>
      </c>
      <c r="C14" s="11" t="s">
        <v>63</v>
      </c>
      <c r="D14" s="2" t="s">
        <v>16</v>
      </c>
      <c r="E14" s="46">
        <v>253785</v>
      </c>
      <c r="F14" s="51">
        <v>258.60691500000001</v>
      </c>
      <c r="G14" s="5">
        <v>2.6167139999999998E-2</v>
      </c>
    </row>
    <row r="15" spans="1:7" ht="38.25" x14ac:dyDescent="0.25">
      <c r="A15" s="6">
        <v>9</v>
      </c>
      <c r="B15" s="7" t="s">
        <v>82</v>
      </c>
      <c r="C15" s="11" t="s">
        <v>83</v>
      </c>
      <c r="D15" s="2" t="s">
        <v>84</v>
      </c>
      <c r="E15" s="46">
        <v>317233</v>
      </c>
      <c r="F15" s="51">
        <v>251.72438550000001</v>
      </c>
      <c r="G15" s="5">
        <v>2.5470731E-2</v>
      </c>
    </row>
    <row r="16" spans="1:7" ht="25.5" x14ac:dyDescent="0.25">
      <c r="A16" s="6">
        <v>10</v>
      </c>
      <c r="B16" s="7" t="s">
        <v>43</v>
      </c>
      <c r="C16" s="11" t="s">
        <v>44</v>
      </c>
      <c r="D16" s="2" t="s">
        <v>30</v>
      </c>
      <c r="E16" s="46">
        <v>201902</v>
      </c>
      <c r="F16" s="51">
        <v>213.107561</v>
      </c>
      <c r="G16" s="5">
        <v>2.1563288E-2</v>
      </c>
    </row>
    <row r="17" spans="1:7" ht="25.5" x14ac:dyDescent="0.25">
      <c r="A17" s="6">
        <v>11</v>
      </c>
      <c r="B17" s="7" t="s">
        <v>178</v>
      </c>
      <c r="C17" s="11" t="s">
        <v>179</v>
      </c>
      <c r="D17" s="2" t="s">
        <v>22</v>
      </c>
      <c r="E17" s="46">
        <v>60820</v>
      </c>
      <c r="F17" s="51">
        <v>211.83606</v>
      </c>
      <c r="G17" s="5">
        <v>2.1434630999999999E-2</v>
      </c>
    </row>
    <row r="18" spans="1:7" ht="25.5" x14ac:dyDescent="0.25">
      <c r="A18" s="6">
        <v>12</v>
      </c>
      <c r="B18" s="7" t="s">
        <v>189</v>
      </c>
      <c r="C18" s="11" t="s">
        <v>190</v>
      </c>
      <c r="D18" s="2" t="s">
        <v>167</v>
      </c>
      <c r="E18" s="46">
        <v>47230</v>
      </c>
      <c r="F18" s="51">
        <v>208.47322</v>
      </c>
      <c r="G18" s="5">
        <v>2.1094361999999998E-2</v>
      </c>
    </row>
    <row r="19" spans="1:7" ht="15" x14ac:dyDescent="0.25">
      <c r="A19" s="6">
        <v>13</v>
      </c>
      <c r="B19" s="7" t="s">
        <v>267</v>
      </c>
      <c r="C19" s="11" t="s">
        <v>268</v>
      </c>
      <c r="D19" s="2" t="s">
        <v>269</v>
      </c>
      <c r="E19" s="46">
        <v>27041</v>
      </c>
      <c r="F19" s="51">
        <v>201.347286</v>
      </c>
      <c r="G19" s="5">
        <v>2.0373324000000002E-2</v>
      </c>
    </row>
    <row r="20" spans="1:7" ht="25.5" x14ac:dyDescent="0.25">
      <c r="A20" s="6">
        <v>14</v>
      </c>
      <c r="B20" s="7" t="s">
        <v>171</v>
      </c>
      <c r="C20" s="11" t="s">
        <v>172</v>
      </c>
      <c r="D20" s="2" t="s">
        <v>173</v>
      </c>
      <c r="E20" s="46">
        <v>66376</v>
      </c>
      <c r="F20" s="51">
        <v>195.11225200000001</v>
      </c>
      <c r="G20" s="5">
        <v>1.9742433E-2</v>
      </c>
    </row>
    <row r="21" spans="1:7" ht="25.5" x14ac:dyDescent="0.25">
      <c r="A21" s="6">
        <v>15</v>
      </c>
      <c r="B21" s="7" t="s">
        <v>87</v>
      </c>
      <c r="C21" s="11" t="s">
        <v>88</v>
      </c>
      <c r="D21" s="2" t="s">
        <v>89</v>
      </c>
      <c r="E21" s="46">
        <v>67035</v>
      </c>
      <c r="F21" s="51">
        <v>194.870745</v>
      </c>
      <c r="G21" s="5">
        <v>1.9717996000000002E-2</v>
      </c>
    </row>
    <row r="22" spans="1:7" ht="25.5" x14ac:dyDescent="0.25">
      <c r="A22" s="6">
        <v>16</v>
      </c>
      <c r="B22" s="7" t="s">
        <v>52</v>
      </c>
      <c r="C22" s="11" t="s">
        <v>53</v>
      </c>
      <c r="D22" s="2" t="s">
        <v>30</v>
      </c>
      <c r="E22" s="46">
        <v>44780</v>
      </c>
      <c r="F22" s="51">
        <v>191.68079</v>
      </c>
      <c r="G22" s="5">
        <v>1.9395220000000001E-2</v>
      </c>
    </row>
    <row r="23" spans="1:7" ht="25.5" x14ac:dyDescent="0.25">
      <c r="A23" s="6">
        <v>17</v>
      </c>
      <c r="B23" s="7" t="s">
        <v>205</v>
      </c>
      <c r="C23" s="11" t="s">
        <v>206</v>
      </c>
      <c r="D23" s="2" t="s">
        <v>173</v>
      </c>
      <c r="E23" s="46">
        <v>183660</v>
      </c>
      <c r="F23" s="51">
        <v>185.95574999999999</v>
      </c>
      <c r="G23" s="5">
        <v>1.8815932E-2</v>
      </c>
    </row>
    <row r="24" spans="1:7" ht="25.5" x14ac:dyDescent="0.25">
      <c r="A24" s="6">
        <v>18</v>
      </c>
      <c r="B24" s="7" t="s">
        <v>196</v>
      </c>
      <c r="C24" s="11" t="s">
        <v>846</v>
      </c>
      <c r="D24" s="2" t="s">
        <v>59</v>
      </c>
      <c r="E24" s="46">
        <v>11000</v>
      </c>
      <c r="F24" s="51">
        <v>180.54300000000001</v>
      </c>
      <c r="G24" s="5">
        <v>1.8268243E-2</v>
      </c>
    </row>
    <row r="25" spans="1:7" ht="25.5" x14ac:dyDescent="0.25">
      <c r="A25" s="6">
        <v>19</v>
      </c>
      <c r="B25" s="7" t="s">
        <v>85</v>
      </c>
      <c r="C25" s="11" t="s">
        <v>86</v>
      </c>
      <c r="D25" s="2" t="s">
        <v>22</v>
      </c>
      <c r="E25" s="46">
        <v>30455</v>
      </c>
      <c r="F25" s="51">
        <v>180.4001925</v>
      </c>
      <c r="G25" s="5">
        <v>1.8253793000000001E-2</v>
      </c>
    </row>
    <row r="26" spans="1:7" ht="25.5" x14ac:dyDescent="0.25">
      <c r="A26" s="6">
        <v>20</v>
      </c>
      <c r="B26" s="7" t="s">
        <v>194</v>
      </c>
      <c r="C26" s="11" t="s">
        <v>195</v>
      </c>
      <c r="D26" s="2" t="s">
        <v>37</v>
      </c>
      <c r="E26" s="46">
        <v>51856</v>
      </c>
      <c r="F26" s="51">
        <v>175.506632</v>
      </c>
      <c r="G26" s="5">
        <v>1.7758638E-2</v>
      </c>
    </row>
    <row r="27" spans="1:7" ht="15" x14ac:dyDescent="0.25">
      <c r="A27" s="6">
        <v>21</v>
      </c>
      <c r="B27" s="7" t="s">
        <v>163</v>
      </c>
      <c r="C27" s="11" t="s">
        <v>164</v>
      </c>
      <c r="D27" s="2" t="s">
        <v>13</v>
      </c>
      <c r="E27" s="46">
        <v>88481</v>
      </c>
      <c r="F27" s="51">
        <v>172.980355</v>
      </c>
      <c r="G27" s="5">
        <v>1.7503016999999999E-2</v>
      </c>
    </row>
    <row r="28" spans="1:7" ht="15" x14ac:dyDescent="0.25">
      <c r="A28" s="6">
        <v>22</v>
      </c>
      <c r="B28" s="7" t="s">
        <v>218</v>
      </c>
      <c r="C28" s="11" t="s">
        <v>219</v>
      </c>
      <c r="D28" s="2" t="s">
        <v>51</v>
      </c>
      <c r="E28" s="46">
        <v>79310</v>
      </c>
      <c r="F28" s="51">
        <v>168.93029999999999</v>
      </c>
      <c r="G28" s="5">
        <v>1.7093212E-2</v>
      </c>
    </row>
    <row r="29" spans="1:7" ht="15" x14ac:dyDescent="0.25">
      <c r="A29" s="6">
        <v>23</v>
      </c>
      <c r="B29" s="7" t="s">
        <v>270</v>
      </c>
      <c r="C29" s="11" t="s">
        <v>271</v>
      </c>
      <c r="D29" s="2" t="s">
        <v>16</v>
      </c>
      <c r="E29" s="46">
        <v>100000</v>
      </c>
      <c r="F29" s="51">
        <v>167.2</v>
      </c>
      <c r="G29" s="5">
        <v>1.6918130999999999E-2</v>
      </c>
    </row>
    <row r="30" spans="1:7" ht="15" x14ac:dyDescent="0.25">
      <c r="A30" s="6">
        <v>24</v>
      </c>
      <c r="B30" s="7" t="s">
        <v>191</v>
      </c>
      <c r="C30" s="11" t="s">
        <v>192</v>
      </c>
      <c r="D30" s="2" t="s">
        <v>193</v>
      </c>
      <c r="E30" s="46">
        <v>125377</v>
      </c>
      <c r="F30" s="51">
        <v>166.87678700000001</v>
      </c>
      <c r="G30" s="5">
        <v>1.6885427000000001E-2</v>
      </c>
    </row>
    <row r="31" spans="1:7" ht="15" x14ac:dyDescent="0.25">
      <c r="A31" s="6">
        <v>25</v>
      </c>
      <c r="B31" s="7" t="s">
        <v>182</v>
      </c>
      <c r="C31" s="11" t="s">
        <v>183</v>
      </c>
      <c r="D31" s="2" t="s">
        <v>184</v>
      </c>
      <c r="E31" s="46">
        <v>89271</v>
      </c>
      <c r="F31" s="51">
        <v>166.847499</v>
      </c>
      <c r="G31" s="5">
        <v>1.6882464E-2</v>
      </c>
    </row>
    <row r="32" spans="1:7" ht="15" x14ac:dyDescent="0.25">
      <c r="A32" s="6">
        <v>26</v>
      </c>
      <c r="B32" s="7" t="s">
        <v>168</v>
      </c>
      <c r="C32" s="11" t="s">
        <v>169</v>
      </c>
      <c r="D32" s="2" t="s">
        <v>170</v>
      </c>
      <c r="E32" s="46">
        <v>87547</v>
      </c>
      <c r="F32" s="51">
        <v>166.77703500000001</v>
      </c>
      <c r="G32" s="5">
        <v>1.6875333999999999E-2</v>
      </c>
    </row>
    <row r="33" spans="1:7" ht="15" x14ac:dyDescent="0.25">
      <c r="A33" s="6">
        <v>27</v>
      </c>
      <c r="B33" s="7" t="s">
        <v>158</v>
      </c>
      <c r="C33" s="11" t="s">
        <v>159</v>
      </c>
      <c r="D33" s="2" t="s">
        <v>16</v>
      </c>
      <c r="E33" s="46">
        <v>189159</v>
      </c>
      <c r="F33" s="51">
        <v>166.081602</v>
      </c>
      <c r="G33" s="5">
        <v>1.6804966000000001E-2</v>
      </c>
    </row>
    <row r="34" spans="1:7" ht="51" x14ac:dyDescent="0.25">
      <c r="A34" s="6">
        <v>28</v>
      </c>
      <c r="B34" s="7" t="s">
        <v>233</v>
      </c>
      <c r="C34" s="11" t="s">
        <v>234</v>
      </c>
      <c r="D34" s="2" t="s">
        <v>235</v>
      </c>
      <c r="E34" s="46">
        <v>67975</v>
      </c>
      <c r="F34" s="51">
        <v>153.75944999999999</v>
      </c>
      <c r="G34" s="5">
        <v>1.5558149E-2</v>
      </c>
    </row>
    <row r="35" spans="1:7" ht="15" x14ac:dyDescent="0.25">
      <c r="A35" s="6">
        <v>29</v>
      </c>
      <c r="B35" s="7" t="s">
        <v>187</v>
      </c>
      <c r="C35" s="11" t="s">
        <v>188</v>
      </c>
      <c r="D35" s="2" t="s">
        <v>162</v>
      </c>
      <c r="E35" s="46">
        <v>16577</v>
      </c>
      <c r="F35" s="51">
        <v>152.10226349999999</v>
      </c>
      <c r="G35" s="5">
        <v>1.5390467E-2</v>
      </c>
    </row>
    <row r="36" spans="1:7" ht="15" x14ac:dyDescent="0.25">
      <c r="A36" s="6">
        <v>30</v>
      </c>
      <c r="B36" s="7" t="s">
        <v>49</v>
      </c>
      <c r="C36" s="11" t="s">
        <v>50</v>
      </c>
      <c r="D36" s="2" t="s">
        <v>51</v>
      </c>
      <c r="E36" s="46">
        <v>57550</v>
      </c>
      <c r="F36" s="51">
        <v>150.55080000000001</v>
      </c>
      <c r="G36" s="5">
        <v>1.5233482E-2</v>
      </c>
    </row>
    <row r="37" spans="1:7" ht="25.5" x14ac:dyDescent="0.25">
      <c r="A37" s="6">
        <v>31</v>
      </c>
      <c r="B37" s="7" t="s">
        <v>94</v>
      </c>
      <c r="C37" s="11" t="s">
        <v>95</v>
      </c>
      <c r="D37" s="2" t="s">
        <v>22</v>
      </c>
      <c r="E37" s="46">
        <v>139267</v>
      </c>
      <c r="F37" s="51">
        <v>142.67904150000001</v>
      </c>
      <c r="G37" s="5">
        <v>1.4436978E-2</v>
      </c>
    </row>
    <row r="38" spans="1:7" ht="15" x14ac:dyDescent="0.25">
      <c r="A38" s="6">
        <v>32</v>
      </c>
      <c r="B38" s="7" t="s">
        <v>160</v>
      </c>
      <c r="C38" s="11" t="s">
        <v>161</v>
      </c>
      <c r="D38" s="2" t="s">
        <v>162</v>
      </c>
      <c r="E38" s="46">
        <v>52972</v>
      </c>
      <c r="F38" s="51">
        <v>139.63419200000001</v>
      </c>
      <c r="G38" s="5">
        <v>1.4128885000000001E-2</v>
      </c>
    </row>
    <row r="39" spans="1:7" ht="25.5" x14ac:dyDescent="0.25">
      <c r="A39" s="6">
        <v>33</v>
      </c>
      <c r="B39" s="7" t="s">
        <v>64</v>
      </c>
      <c r="C39" s="11" t="s">
        <v>65</v>
      </c>
      <c r="D39" s="2" t="s">
        <v>19</v>
      </c>
      <c r="E39" s="46">
        <v>189500</v>
      </c>
      <c r="F39" s="51">
        <v>138.61924999999999</v>
      </c>
      <c r="G39" s="5">
        <v>1.4026188E-2</v>
      </c>
    </row>
    <row r="40" spans="1:7" ht="25.5" x14ac:dyDescent="0.25">
      <c r="A40" s="6">
        <v>34</v>
      </c>
      <c r="B40" s="7" t="s">
        <v>20</v>
      </c>
      <c r="C40" s="11" t="s">
        <v>21</v>
      </c>
      <c r="D40" s="2" t="s">
        <v>22</v>
      </c>
      <c r="E40" s="46">
        <v>20295</v>
      </c>
      <c r="F40" s="51">
        <v>137.76246</v>
      </c>
      <c r="G40" s="5">
        <v>1.3939494E-2</v>
      </c>
    </row>
    <row r="41" spans="1:7" ht="15" x14ac:dyDescent="0.25">
      <c r="A41" s="6">
        <v>35</v>
      </c>
      <c r="B41" s="7" t="s">
        <v>236</v>
      </c>
      <c r="C41" s="11" t="s">
        <v>237</v>
      </c>
      <c r="D41" s="2" t="s">
        <v>238</v>
      </c>
      <c r="E41" s="46">
        <v>21574</v>
      </c>
      <c r="F41" s="51">
        <v>129.799971</v>
      </c>
      <c r="G41" s="5">
        <v>1.3133809999999999E-2</v>
      </c>
    </row>
    <row r="42" spans="1:7" ht="15" x14ac:dyDescent="0.25">
      <c r="A42" s="6">
        <v>36</v>
      </c>
      <c r="B42" s="7" t="s">
        <v>244</v>
      </c>
      <c r="C42" s="11" t="s">
        <v>245</v>
      </c>
      <c r="D42" s="2" t="s">
        <v>162</v>
      </c>
      <c r="E42" s="46">
        <v>22051</v>
      </c>
      <c r="F42" s="51">
        <v>114.16905250000001</v>
      </c>
      <c r="G42" s="5">
        <v>1.1552194999999999E-2</v>
      </c>
    </row>
    <row r="43" spans="1:7" ht="25.5" x14ac:dyDescent="0.25">
      <c r="A43" s="6">
        <v>37</v>
      </c>
      <c r="B43" s="7" t="s">
        <v>90</v>
      </c>
      <c r="C43" s="11" t="s">
        <v>91</v>
      </c>
      <c r="D43" s="2" t="s">
        <v>22</v>
      </c>
      <c r="E43" s="46">
        <v>11000</v>
      </c>
      <c r="F43" s="51">
        <v>109.9945</v>
      </c>
      <c r="G43" s="5">
        <v>1.1129793000000001E-2</v>
      </c>
    </row>
    <row r="44" spans="1:7" ht="15" x14ac:dyDescent="0.25">
      <c r="A44" s="6">
        <v>38</v>
      </c>
      <c r="B44" s="7" t="s">
        <v>246</v>
      </c>
      <c r="C44" s="11" t="s">
        <v>247</v>
      </c>
      <c r="D44" s="2" t="s">
        <v>170</v>
      </c>
      <c r="E44" s="46">
        <v>48550</v>
      </c>
      <c r="F44" s="51">
        <v>108.096575</v>
      </c>
      <c r="G44" s="5">
        <v>1.0937752E-2</v>
      </c>
    </row>
    <row r="45" spans="1:7" ht="51" x14ac:dyDescent="0.25">
      <c r="A45" s="6">
        <v>39</v>
      </c>
      <c r="B45" s="7" t="s">
        <v>248</v>
      </c>
      <c r="C45" s="11" t="s">
        <v>249</v>
      </c>
      <c r="D45" s="2" t="s">
        <v>235</v>
      </c>
      <c r="E45" s="46">
        <v>64938</v>
      </c>
      <c r="F45" s="51">
        <v>107.245107</v>
      </c>
      <c r="G45" s="5">
        <v>1.0851596E-2</v>
      </c>
    </row>
    <row r="46" spans="1:7" ht="15" x14ac:dyDescent="0.25">
      <c r="A46" s="6">
        <v>40</v>
      </c>
      <c r="B46" s="7" t="s">
        <v>72</v>
      </c>
      <c r="C46" s="11" t="s">
        <v>845</v>
      </c>
      <c r="D46" s="2" t="s">
        <v>51</v>
      </c>
      <c r="E46" s="46">
        <v>44443</v>
      </c>
      <c r="F46" s="51">
        <v>105.2632455</v>
      </c>
      <c r="G46" s="5">
        <v>1.0651061E-2</v>
      </c>
    </row>
    <row r="47" spans="1:7" ht="25.5" x14ac:dyDescent="0.25">
      <c r="A47" s="6">
        <v>41</v>
      </c>
      <c r="B47" s="7" t="s">
        <v>216</v>
      </c>
      <c r="C47" s="11" t="s">
        <v>217</v>
      </c>
      <c r="D47" s="2" t="s">
        <v>59</v>
      </c>
      <c r="E47" s="46">
        <v>45318</v>
      </c>
      <c r="F47" s="51">
        <v>102.577293</v>
      </c>
      <c r="G47" s="5">
        <v>1.0379283E-2</v>
      </c>
    </row>
    <row r="48" spans="1:7" ht="25.5" x14ac:dyDescent="0.25">
      <c r="A48" s="6">
        <v>42</v>
      </c>
      <c r="B48" s="7" t="s">
        <v>276</v>
      </c>
      <c r="C48" s="11" t="s">
        <v>277</v>
      </c>
      <c r="D48" s="2" t="s">
        <v>37</v>
      </c>
      <c r="E48" s="46">
        <v>148485</v>
      </c>
      <c r="F48" s="51">
        <v>99.559192499999995</v>
      </c>
      <c r="G48" s="5">
        <v>1.0073897E-2</v>
      </c>
    </row>
    <row r="49" spans="1:7" ht="15" x14ac:dyDescent="0.25">
      <c r="A49" s="6">
        <v>43</v>
      </c>
      <c r="B49" s="7" t="s">
        <v>252</v>
      </c>
      <c r="C49" s="11" t="s">
        <v>253</v>
      </c>
      <c r="D49" s="2" t="s">
        <v>215</v>
      </c>
      <c r="E49" s="46">
        <v>12700</v>
      </c>
      <c r="F49" s="51">
        <v>98.888549999999995</v>
      </c>
      <c r="G49" s="5">
        <v>1.0006038E-2</v>
      </c>
    </row>
    <row r="50" spans="1:7" ht="25.5" x14ac:dyDescent="0.25">
      <c r="A50" s="6">
        <v>44</v>
      </c>
      <c r="B50" s="7" t="s">
        <v>250</v>
      </c>
      <c r="C50" s="11" t="s">
        <v>251</v>
      </c>
      <c r="D50" s="2" t="s">
        <v>30</v>
      </c>
      <c r="E50" s="46">
        <v>92942</v>
      </c>
      <c r="F50" s="51">
        <v>94.800839999999994</v>
      </c>
      <c r="G50" s="5">
        <v>9.5924229999999992E-3</v>
      </c>
    </row>
    <row r="51" spans="1:7" ht="15" x14ac:dyDescent="0.25">
      <c r="A51" s="6">
        <v>45</v>
      </c>
      <c r="B51" s="7" t="s">
        <v>209</v>
      </c>
      <c r="C51" s="11" t="s">
        <v>210</v>
      </c>
      <c r="D51" s="2" t="s">
        <v>155</v>
      </c>
      <c r="E51" s="46">
        <v>56443</v>
      </c>
      <c r="F51" s="51">
        <v>94.062259499999996</v>
      </c>
      <c r="G51" s="5">
        <v>9.5176889999999993E-3</v>
      </c>
    </row>
    <row r="52" spans="1:7" ht="15" x14ac:dyDescent="0.25">
      <c r="A52" s="6">
        <v>46</v>
      </c>
      <c r="B52" s="7" t="s">
        <v>254</v>
      </c>
      <c r="C52" s="11" t="s">
        <v>255</v>
      </c>
      <c r="D52" s="2" t="s">
        <v>215</v>
      </c>
      <c r="E52" s="46">
        <v>118259</v>
      </c>
      <c r="F52" s="51">
        <v>93.956775500000006</v>
      </c>
      <c r="G52" s="5">
        <v>9.5070160000000001E-3</v>
      </c>
    </row>
    <row r="53" spans="1:7" ht="25.5" x14ac:dyDescent="0.25">
      <c r="A53" s="6">
        <v>47</v>
      </c>
      <c r="B53" s="7" t="s">
        <v>185</v>
      </c>
      <c r="C53" s="11" t="s">
        <v>186</v>
      </c>
      <c r="D53" s="2" t="s">
        <v>59</v>
      </c>
      <c r="E53" s="46">
        <v>70939</v>
      </c>
      <c r="F53" s="51">
        <v>89.560487499999994</v>
      </c>
      <c r="G53" s="5">
        <v>9.0621780000000006E-3</v>
      </c>
    </row>
    <row r="54" spans="1:7" ht="15" x14ac:dyDescent="0.25">
      <c r="A54" s="6">
        <v>48</v>
      </c>
      <c r="B54" s="7" t="s">
        <v>222</v>
      </c>
      <c r="C54" s="11" t="s">
        <v>223</v>
      </c>
      <c r="D54" s="2" t="s">
        <v>215</v>
      </c>
      <c r="E54" s="46">
        <v>18941</v>
      </c>
      <c r="F54" s="51">
        <v>87.583184000000003</v>
      </c>
      <c r="G54" s="5">
        <v>8.8621040000000009E-3</v>
      </c>
    </row>
    <row r="55" spans="1:7" ht="25.5" x14ac:dyDescent="0.25">
      <c r="A55" s="6">
        <v>49</v>
      </c>
      <c r="B55" s="7" t="s">
        <v>73</v>
      </c>
      <c r="C55" s="11" t="s">
        <v>74</v>
      </c>
      <c r="D55" s="2" t="s">
        <v>30</v>
      </c>
      <c r="E55" s="46">
        <v>58939</v>
      </c>
      <c r="F55" s="51">
        <v>86.551921500000006</v>
      </c>
      <c r="G55" s="5">
        <v>8.7577560000000002E-3</v>
      </c>
    </row>
    <row r="56" spans="1:7" ht="15" x14ac:dyDescent="0.25">
      <c r="A56" s="6">
        <v>50</v>
      </c>
      <c r="B56" s="7" t="s">
        <v>272</v>
      </c>
      <c r="C56" s="11" t="s">
        <v>273</v>
      </c>
      <c r="D56" s="2" t="s">
        <v>170</v>
      </c>
      <c r="E56" s="46">
        <v>36118</v>
      </c>
      <c r="F56" s="51">
        <v>82.023978</v>
      </c>
      <c r="G56" s="5">
        <v>8.2995959999999994E-3</v>
      </c>
    </row>
    <row r="57" spans="1:7" ht="15" x14ac:dyDescent="0.25">
      <c r="A57" s="6">
        <v>51</v>
      </c>
      <c r="B57" s="7" t="s">
        <v>256</v>
      </c>
      <c r="C57" s="11" t="s">
        <v>257</v>
      </c>
      <c r="D57" s="2" t="s">
        <v>215</v>
      </c>
      <c r="E57" s="46">
        <v>11000</v>
      </c>
      <c r="F57" s="51">
        <v>81.95</v>
      </c>
      <c r="G57" s="5">
        <v>8.2921100000000001E-3</v>
      </c>
    </row>
    <row r="58" spans="1:7" ht="15" x14ac:dyDescent="0.25">
      <c r="A58" s="6">
        <v>52</v>
      </c>
      <c r="B58" s="7" t="s">
        <v>201</v>
      </c>
      <c r="C58" s="11" t="s">
        <v>202</v>
      </c>
      <c r="D58" s="2" t="s">
        <v>27</v>
      </c>
      <c r="E58" s="46">
        <v>145919</v>
      </c>
      <c r="F58" s="51">
        <v>81.641680500000007</v>
      </c>
      <c r="G58" s="5">
        <v>8.2609129999999999E-3</v>
      </c>
    </row>
    <row r="59" spans="1:7" ht="25.5" x14ac:dyDescent="0.25">
      <c r="A59" s="6">
        <v>53</v>
      </c>
      <c r="B59" s="7" t="s">
        <v>274</v>
      </c>
      <c r="C59" s="11" t="s">
        <v>275</v>
      </c>
      <c r="D59" s="2" t="s">
        <v>22</v>
      </c>
      <c r="E59" s="46">
        <v>19538</v>
      </c>
      <c r="F59" s="51">
        <v>76.969950999999995</v>
      </c>
      <c r="G59" s="5">
        <v>7.788204E-3</v>
      </c>
    </row>
    <row r="60" spans="1:7" ht="15" x14ac:dyDescent="0.25">
      <c r="A60" s="6">
        <v>54</v>
      </c>
      <c r="B60" s="7" t="s">
        <v>75</v>
      </c>
      <c r="C60" s="11" t="s">
        <v>76</v>
      </c>
      <c r="D60" s="2" t="s">
        <v>51</v>
      </c>
      <c r="E60" s="46">
        <v>33620</v>
      </c>
      <c r="F60" s="51">
        <v>74.451490000000007</v>
      </c>
      <c r="G60" s="5">
        <v>7.5333739999999998E-3</v>
      </c>
    </row>
    <row r="61" spans="1:7" ht="15" x14ac:dyDescent="0.25">
      <c r="A61" s="6">
        <v>55</v>
      </c>
      <c r="B61" s="7" t="s">
        <v>211</v>
      </c>
      <c r="C61" s="11" t="s">
        <v>212</v>
      </c>
      <c r="D61" s="2" t="s">
        <v>162</v>
      </c>
      <c r="E61" s="46">
        <v>92637</v>
      </c>
      <c r="F61" s="51">
        <v>73.646415000000005</v>
      </c>
      <c r="G61" s="5">
        <v>7.4519119999999998E-3</v>
      </c>
    </row>
    <row r="62" spans="1:7" ht="15" x14ac:dyDescent="0.25">
      <c r="A62" s="6">
        <v>56</v>
      </c>
      <c r="B62" s="7" t="s">
        <v>258</v>
      </c>
      <c r="C62" s="11" t="s">
        <v>259</v>
      </c>
      <c r="D62" s="2" t="s">
        <v>193</v>
      </c>
      <c r="E62" s="46">
        <v>87696</v>
      </c>
      <c r="F62" s="51">
        <v>67.613615999999993</v>
      </c>
      <c r="G62" s="5">
        <v>6.8414829999999998E-3</v>
      </c>
    </row>
    <row r="63" spans="1:7" ht="15" x14ac:dyDescent="0.25">
      <c r="A63" s="6">
        <v>57</v>
      </c>
      <c r="B63" s="7" t="s">
        <v>102</v>
      </c>
      <c r="C63" s="11" t="s">
        <v>103</v>
      </c>
      <c r="D63" s="2" t="s">
        <v>51</v>
      </c>
      <c r="E63" s="46">
        <v>52124</v>
      </c>
      <c r="F63" s="51">
        <v>56.580601999999999</v>
      </c>
      <c r="G63" s="5">
        <v>5.7251079999999996E-3</v>
      </c>
    </row>
    <row r="64" spans="1:7" ht="15" x14ac:dyDescent="0.25">
      <c r="A64" s="6">
        <v>58</v>
      </c>
      <c r="B64" s="7" t="s">
        <v>224</v>
      </c>
      <c r="C64" s="11" t="s">
        <v>225</v>
      </c>
      <c r="D64" s="2" t="s">
        <v>226</v>
      </c>
      <c r="E64" s="46">
        <v>5091</v>
      </c>
      <c r="F64" s="51">
        <v>55.107529499999998</v>
      </c>
      <c r="G64" s="5">
        <v>5.5760549999999999E-3</v>
      </c>
    </row>
    <row r="65" spans="1:7" ht="15" x14ac:dyDescent="0.25">
      <c r="A65" s="6">
        <v>59</v>
      </c>
      <c r="B65" s="7" t="s">
        <v>220</v>
      </c>
      <c r="C65" s="11" t="s">
        <v>221</v>
      </c>
      <c r="D65" s="2" t="s">
        <v>193</v>
      </c>
      <c r="E65" s="46">
        <v>28650</v>
      </c>
      <c r="F65" s="51">
        <v>54.979349999999997</v>
      </c>
      <c r="G65" s="5">
        <v>5.5630849999999997E-3</v>
      </c>
    </row>
    <row r="66" spans="1:7" ht="38.25" x14ac:dyDescent="0.25">
      <c r="A66" s="6">
        <v>60</v>
      </c>
      <c r="B66" s="7" t="s">
        <v>260</v>
      </c>
      <c r="C66" s="11" t="s">
        <v>261</v>
      </c>
      <c r="D66" s="2" t="s">
        <v>262</v>
      </c>
      <c r="E66" s="46">
        <v>45577</v>
      </c>
      <c r="F66" s="51">
        <v>41.794108999999999</v>
      </c>
      <c r="G66" s="5">
        <v>4.2289370000000003E-3</v>
      </c>
    </row>
    <row r="67" spans="1:7" ht="25.5" x14ac:dyDescent="0.25">
      <c r="A67" s="6">
        <v>61</v>
      </c>
      <c r="B67" s="7" t="s">
        <v>227</v>
      </c>
      <c r="C67" s="11" t="s">
        <v>228</v>
      </c>
      <c r="D67" s="2" t="s">
        <v>173</v>
      </c>
      <c r="E67" s="46">
        <v>32356</v>
      </c>
      <c r="F67" s="51">
        <v>20.513704000000001</v>
      </c>
      <c r="G67" s="5">
        <v>2.075679E-3</v>
      </c>
    </row>
    <row r="68" spans="1:7" ht="25.5" x14ac:dyDescent="0.25">
      <c r="A68" s="6">
        <v>62</v>
      </c>
      <c r="B68" s="7" t="s">
        <v>229</v>
      </c>
      <c r="C68" s="11" t="s">
        <v>230</v>
      </c>
      <c r="D68" s="2" t="s">
        <v>37</v>
      </c>
      <c r="E68" s="46">
        <v>117545</v>
      </c>
      <c r="F68" s="51">
        <v>12.107135</v>
      </c>
      <c r="G68" s="5">
        <v>1.22506E-3</v>
      </c>
    </row>
    <row r="69" spans="1:7" ht="15" x14ac:dyDescent="0.25">
      <c r="A69" s="6">
        <v>63</v>
      </c>
      <c r="B69" s="7" t="s">
        <v>264</v>
      </c>
      <c r="C69" s="11" t="s">
        <v>265</v>
      </c>
      <c r="D69" s="2" t="s">
        <v>162</v>
      </c>
      <c r="E69" s="46">
        <v>2062</v>
      </c>
      <c r="F69" s="51">
        <v>1.380509</v>
      </c>
      <c r="G69" s="5">
        <v>1.3968699999999999E-4</v>
      </c>
    </row>
    <row r="70" spans="1:7" ht="15" x14ac:dyDescent="0.25">
      <c r="A70" s="1"/>
      <c r="B70" s="2"/>
      <c r="C70" s="8" t="s">
        <v>104</v>
      </c>
      <c r="D70" s="12"/>
      <c r="E70" s="48"/>
      <c r="F70" s="53">
        <v>9523.6340630000013</v>
      </c>
      <c r="G70" s="13">
        <v>0.96364887900000018</v>
      </c>
    </row>
    <row r="71" spans="1:7" ht="15" x14ac:dyDescent="0.25">
      <c r="A71" s="6"/>
      <c r="B71" s="7"/>
      <c r="C71" s="14"/>
      <c r="D71" s="15"/>
      <c r="E71" s="46"/>
      <c r="F71" s="51"/>
      <c r="G71" s="5"/>
    </row>
    <row r="72" spans="1:7" ht="15" x14ac:dyDescent="0.25">
      <c r="A72" s="1"/>
      <c r="B72" s="2"/>
      <c r="C72" s="8" t="s">
        <v>105</v>
      </c>
      <c r="D72" s="9"/>
      <c r="E72" s="47"/>
      <c r="F72" s="52"/>
      <c r="G72" s="10"/>
    </row>
    <row r="73" spans="1:7" ht="15" x14ac:dyDescent="0.25">
      <c r="A73" s="1"/>
      <c r="B73" s="2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15"/>
      <c r="E74" s="46"/>
      <c r="F74" s="51"/>
      <c r="G74" s="5"/>
    </row>
    <row r="75" spans="1:7" ht="15" x14ac:dyDescent="0.25">
      <c r="A75" s="16"/>
      <c r="B75" s="17"/>
      <c r="C75" s="8" t="s">
        <v>106</v>
      </c>
      <c r="D75" s="9"/>
      <c r="E75" s="47"/>
      <c r="F75" s="52"/>
      <c r="G75" s="10"/>
    </row>
    <row r="76" spans="1:7" ht="15" x14ac:dyDescent="0.25">
      <c r="A76" s="18"/>
      <c r="B76" s="19"/>
      <c r="C76" s="8" t="s">
        <v>104</v>
      </c>
      <c r="D76" s="20"/>
      <c r="E76" s="49"/>
      <c r="F76" s="54">
        <v>0</v>
      </c>
      <c r="G76" s="21">
        <v>0</v>
      </c>
    </row>
    <row r="77" spans="1:7" ht="15" x14ac:dyDescent="0.25">
      <c r="A77" s="18"/>
      <c r="B77" s="19"/>
      <c r="C77" s="14"/>
      <c r="D77" s="22"/>
      <c r="E77" s="50"/>
      <c r="F77" s="55"/>
      <c r="G77" s="23"/>
    </row>
    <row r="78" spans="1:7" ht="15" x14ac:dyDescent="0.25">
      <c r="A78" s="1"/>
      <c r="B78" s="2"/>
      <c r="C78" s="8" t="s">
        <v>108</v>
      </c>
      <c r="D78" s="9"/>
      <c r="E78" s="47"/>
      <c r="F78" s="52"/>
      <c r="G78" s="10"/>
    </row>
    <row r="79" spans="1:7" ht="15" x14ac:dyDescent="0.25">
      <c r="A79" s="1"/>
      <c r="B79" s="2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1"/>
      <c r="B80" s="2"/>
      <c r="C80" s="14"/>
      <c r="D80" s="4"/>
      <c r="E80" s="46"/>
      <c r="F80" s="51"/>
      <c r="G80" s="5"/>
    </row>
    <row r="81" spans="1:7" ht="15" x14ac:dyDescent="0.25">
      <c r="A81" s="1"/>
      <c r="B81" s="2"/>
      <c r="C81" s="8" t="s">
        <v>109</v>
      </c>
      <c r="D81" s="9"/>
      <c r="E81" s="47"/>
      <c r="F81" s="52"/>
      <c r="G81" s="10"/>
    </row>
    <row r="82" spans="1:7" ht="15" x14ac:dyDescent="0.25">
      <c r="A82" s="1"/>
      <c r="B82" s="2"/>
      <c r="C82" s="8" t="s">
        <v>104</v>
      </c>
      <c r="D82" s="12"/>
      <c r="E82" s="48"/>
      <c r="F82" s="53">
        <v>0</v>
      </c>
      <c r="G82" s="13">
        <v>0</v>
      </c>
    </row>
    <row r="83" spans="1:7" ht="15" x14ac:dyDescent="0.25">
      <c r="A83" s="1"/>
      <c r="B83" s="2"/>
      <c r="C83" s="14"/>
      <c r="D83" s="4"/>
      <c r="E83" s="46"/>
      <c r="F83" s="51"/>
      <c r="G83" s="5"/>
    </row>
    <row r="84" spans="1:7" ht="15" x14ac:dyDescent="0.25">
      <c r="A84" s="1"/>
      <c r="B84" s="2"/>
      <c r="C84" s="8" t="s">
        <v>110</v>
      </c>
      <c r="D84" s="9"/>
      <c r="E84" s="47"/>
      <c r="F84" s="52"/>
      <c r="G84" s="10"/>
    </row>
    <row r="85" spans="1:7" ht="15" x14ac:dyDescent="0.25">
      <c r="A85" s="1"/>
      <c r="B85" s="2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1"/>
      <c r="B86" s="2"/>
      <c r="C86" s="14"/>
      <c r="D86" s="4"/>
      <c r="E86" s="46"/>
      <c r="F86" s="51"/>
      <c r="G86" s="5"/>
    </row>
    <row r="87" spans="1:7" ht="25.5" x14ac:dyDescent="0.25">
      <c r="A87" s="6"/>
      <c r="B87" s="7"/>
      <c r="C87" s="24" t="s">
        <v>111</v>
      </c>
      <c r="D87" s="25"/>
      <c r="E87" s="48"/>
      <c r="F87" s="53">
        <v>9523.6340630000013</v>
      </c>
      <c r="G87" s="13">
        <v>0.96364887900000018</v>
      </c>
    </row>
    <row r="88" spans="1:7" ht="15" x14ac:dyDescent="0.25">
      <c r="A88" s="1"/>
      <c r="B88" s="2"/>
      <c r="C88" s="11"/>
      <c r="D88" s="4"/>
      <c r="E88" s="46"/>
      <c r="F88" s="51"/>
      <c r="G88" s="5"/>
    </row>
    <row r="89" spans="1:7" ht="15" x14ac:dyDescent="0.25">
      <c r="A89" s="1"/>
      <c r="B89" s="2"/>
      <c r="C89" s="3" t="s">
        <v>112</v>
      </c>
      <c r="D89" s="4"/>
      <c r="E89" s="46"/>
      <c r="F89" s="51"/>
      <c r="G89" s="5"/>
    </row>
    <row r="90" spans="1:7" ht="25.5" x14ac:dyDescent="0.25">
      <c r="A90" s="1"/>
      <c r="B90" s="2"/>
      <c r="C90" s="8" t="s">
        <v>10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12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4"/>
      <c r="E92" s="46"/>
      <c r="F92" s="51"/>
      <c r="G92" s="5"/>
    </row>
    <row r="93" spans="1:7" ht="15" x14ac:dyDescent="0.25">
      <c r="A93" s="1"/>
      <c r="B93" s="26"/>
      <c r="C93" s="8" t="s">
        <v>113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12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4"/>
      <c r="E95" s="46"/>
      <c r="F95" s="56"/>
      <c r="G95" s="27"/>
    </row>
    <row r="96" spans="1:7" ht="15" x14ac:dyDescent="0.25">
      <c r="A96" s="1"/>
      <c r="B96" s="2"/>
      <c r="C96" s="8" t="s">
        <v>114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12"/>
      <c r="E97" s="48"/>
      <c r="F97" s="53">
        <v>0</v>
      </c>
      <c r="G97" s="13">
        <v>0</v>
      </c>
    </row>
    <row r="98" spans="1:7" ht="15" x14ac:dyDescent="0.25">
      <c r="A98" s="1"/>
      <c r="B98" s="2"/>
      <c r="C98" s="14"/>
      <c r="D98" s="4"/>
      <c r="E98" s="46"/>
      <c r="F98" s="51"/>
      <c r="G98" s="5"/>
    </row>
    <row r="99" spans="1:7" ht="25.5" x14ac:dyDescent="0.25">
      <c r="A99" s="1"/>
      <c r="B99" s="26"/>
      <c r="C99" s="8" t="s">
        <v>115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12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4"/>
      <c r="E101" s="46"/>
      <c r="F101" s="51"/>
      <c r="G101" s="5"/>
    </row>
    <row r="102" spans="1:7" ht="15" x14ac:dyDescent="0.25">
      <c r="A102" s="6"/>
      <c r="B102" s="7"/>
      <c r="C102" s="28" t="s">
        <v>116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1"/>
      <c r="D103" s="4"/>
      <c r="E103" s="46"/>
      <c r="F103" s="51"/>
      <c r="G103" s="5"/>
    </row>
    <row r="104" spans="1:7" ht="15" x14ac:dyDescent="0.25">
      <c r="A104" s="1"/>
      <c r="B104" s="2"/>
      <c r="C104" s="3" t="s">
        <v>117</v>
      </c>
      <c r="D104" s="4"/>
      <c r="E104" s="46"/>
      <c r="F104" s="51"/>
      <c r="G104" s="5"/>
    </row>
    <row r="105" spans="1:7" ht="15" x14ac:dyDescent="0.25">
      <c r="A105" s="6"/>
      <c r="B105" s="7"/>
      <c r="C105" s="8" t="s">
        <v>118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15" x14ac:dyDescent="0.25">
      <c r="A108" s="6"/>
      <c r="B108" s="7"/>
      <c r="C108" s="8" t="s">
        <v>119</v>
      </c>
      <c r="D108" s="9"/>
      <c r="E108" s="47"/>
      <c r="F108" s="52"/>
      <c r="G108" s="10"/>
    </row>
    <row r="109" spans="1:7" ht="15" x14ac:dyDescent="0.25">
      <c r="A109" s="6"/>
      <c r="B109" s="7"/>
      <c r="C109" s="8" t="s">
        <v>104</v>
      </c>
      <c r="D109" s="25"/>
      <c r="E109" s="48"/>
      <c r="F109" s="53">
        <v>0</v>
      </c>
      <c r="G109" s="13">
        <v>0</v>
      </c>
    </row>
    <row r="110" spans="1:7" ht="15" x14ac:dyDescent="0.25">
      <c r="A110" s="6"/>
      <c r="B110" s="7"/>
      <c r="C110" s="14"/>
      <c r="D110" s="7"/>
      <c r="E110" s="46"/>
      <c r="F110" s="51"/>
      <c r="G110" s="5"/>
    </row>
    <row r="111" spans="1:7" ht="15" x14ac:dyDescent="0.25">
      <c r="A111" s="6"/>
      <c r="B111" s="7"/>
      <c r="C111" s="8" t="s">
        <v>120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15" x14ac:dyDescent="0.25">
      <c r="A114" s="6"/>
      <c r="B114" s="7"/>
      <c r="C114" s="8" t="s">
        <v>121</v>
      </c>
      <c r="D114" s="9"/>
      <c r="E114" s="47"/>
      <c r="F114" s="52"/>
      <c r="G114" s="10"/>
    </row>
    <row r="115" spans="1:7" ht="15" x14ac:dyDescent="0.25">
      <c r="A115" s="6">
        <v>1</v>
      </c>
      <c r="B115" s="7"/>
      <c r="C115" s="11" t="s">
        <v>730</v>
      </c>
      <c r="D115" s="15"/>
      <c r="E115" s="46"/>
      <c r="F115" s="51">
        <v>160.97534659999999</v>
      </c>
      <c r="G115" s="5">
        <v>1.628829E-2</v>
      </c>
    </row>
    <row r="116" spans="1:7" ht="15" x14ac:dyDescent="0.25">
      <c r="A116" s="6"/>
      <c r="B116" s="7"/>
      <c r="C116" s="8" t="s">
        <v>104</v>
      </c>
      <c r="D116" s="25"/>
      <c r="E116" s="48"/>
      <c r="F116" s="53">
        <v>160.97534659999999</v>
      </c>
      <c r="G116" s="13">
        <v>1.628829E-2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25.5" x14ac:dyDescent="0.25">
      <c r="A118" s="6"/>
      <c r="B118" s="7"/>
      <c r="C118" s="24" t="s">
        <v>122</v>
      </c>
      <c r="D118" s="25"/>
      <c r="E118" s="48"/>
      <c r="F118" s="53">
        <v>160.97534659999999</v>
      </c>
      <c r="G118" s="13">
        <v>1.628829E-2</v>
      </c>
    </row>
    <row r="119" spans="1:7" ht="15" x14ac:dyDescent="0.25">
      <c r="A119" s="6"/>
      <c r="B119" s="7"/>
      <c r="C119" s="29"/>
      <c r="D119" s="7"/>
      <c r="E119" s="46"/>
      <c r="F119" s="51"/>
      <c r="G119" s="5"/>
    </row>
    <row r="120" spans="1:7" ht="15" x14ac:dyDescent="0.25">
      <c r="A120" s="1"/>
      <c r="B120" s="2"/>
      <c r="C120" s="3" t="s">
        <v>123</v>
      </c>
      <c r="D120" s="4"/>
      <c r="E120" s="46"/>
      <c r="F120" s="51"/>
      <c r="G120" s="5"/>
    </row>
    <row r="121" spans="1:7" ht="25.5" x14ac:dyDescent="0.25">
      <c r="A121" s="6"/>
      <c r="B121" s="7"/>
      <c r="C121" s="8" t="s">
        <v>124</v>
      </c>
      <c r="D121" s="9"/>
      <c r="E121" s="47"/>
      <c r="F121" s="52"/>
      <c r="G121" s="10"/>
    </row>
    <row r="122" spans="1:7" ht="15" x14ac:dyDescent="0.25">
      <c r="A122" s="6"/>
      <c r="B122" s="7"/>
      <c r="C122" s="8" t="s">
        <v>104</v>
      </c>
      <c r="D122" s="25"/>
      <c r="E122" s="48"/>
      <c r="F122" s="53">
        <v>0</v>
      </c>
      <c r="G122" s="13">
        <v>0</v>
      </c>
    </row>
    <row r="123" spans="1:7" ht="15" x14ac:dyDescent="0.25">
      <c r="A123" s="6"/>
      <c r="B123" s="7"/>
      <c r="C123" s="14"/>
      <c r="D123" s="7"/>
      <c r="E123" s="46"/>
      <c r="F123" s="51"/>
      <c r="G123" s="5"/>
    </row>
    <row r="124" spans="1:7" ht="15" x14ac:dyDescent="0.25">
      <c r="A124" s="1"/>
      <c r="B124" s="2"/>
      <c r="C124" s="3" t="s">
        <v>125</v>
      </c>
      <c r="D124" s="4"/>
      <c r="E124" s="46"/>
      <c r="F124" s="51"/>
      <c r="G124" s="5"/>
    </row>
    <row r="125" spans="1:7" ht="25.5" x14ac:dyDescent="0.25">
      <c r="A125" s="6"/>
      <c r="B125" s="7"/>
      <c r="C125" s="8" t="s">
        <v>126</v>
      </c>
      <c r="D125" s="9"/>
      <c r="E125" s="47"/>
      <c r="F125" s="52"/>
      <c r="G125" s="10"/>
    </row>
    <row r="126" spans="1:7" ht="15" x14ac:dyDescent="0.25">
      <c r="A126" s="6"/>
      <c r="B126" s="7"/>
      <c r="C126" s="8" t="s">
        <v>104</v>
      </c>
      <c r="D126" s="25"/>
      <c r="E126" s="48"/>
      <c r="F126" s="53">
        <v>0</v>
      </c>
      <c r="G126" s="13">
        <v>0</v>
      </c>
    </row>
    <row r="127" spans="1:7" ht="15" x14ac:dyDescent="0.25">
      <c r="A127" s="6"/>
      <c r="B127" s="7"/>
      <c r="C127" s="14"/>
      <c r="D127" s="7"/>
      <c r="E127" s="46"/>
      <c r="F127" s="51"/>
      <c r="G127" s="5"/>
    </row>
    <row r="128" spans="1:7" ht="25.5" x14ac:dyDescent="0.25">
      <c r="A128" s="6"/>
      <c r="B128" s="7"/>
      <c r="C128" s="8" t="s">
        <v>127</v>
      </c>
      <c r="D128" s="9"/>
      <c r="E128" s="47"/>
      <c r="F128" s="131">
        <v>195.786</v>
      </c>
      <c r="G128" s="132">
        <v>1.9810606000000001E-2</v>
      </c>
    </row>
    <row r="129" spans="1:7" ht="15" x14ac:dyDescent="0.25">
      <c r="A129" s="6"/>
      <c r="B129" s="7"/>
      <c r="C129" s="8" t="s">
        <v>810</v>
      </c>
      <c r="D129" s="25"/>
      <c r="E129" s="48"/>
      <c r="F129" s="53">
        <v>195.786</v>
      </c>
      <c r="G129" s="13">
        <v>1.9810606000000001E-2</v>
      </c>
    </row>
    <row r="130" spans="1:7" ht="15" x14ac:dyDescent="0.25">
      <c r="A130" s="6"/>
      <c r="B130" s="7"/>
      <c r="C130" s="14"/>
      <c r="D130" s="7"/>
      <c r="E130" s="46"/>
      <c r="F130" s="56"/>
      <c r="G130" s="27"/>
    </row>
    <row r="131" spans="1:7" ht="25.5" x14ac:dyDescent="0.25">
      <c r="A131" s="6"/>
      <c r="B131" s="7"/>
      <c r="C131" s="29" t="s">
        <v>128</v>
      </c>
      <c r="D131" s="7"/>
      <c r="E131" s="46"/>
      <c r="F131" s="56">
        <v>2.4927211900000001</v>
      </c>
      <c r="G131" s="27">
        <v>2.5222599999999998E-4</v>
      </c>
    </row>
    <row r="132" spans="1:7" ht="15" x14ac:dyDescent="0.25">
      <c r="A132" s="6"/>
      <c r="B132" s="7"/>
      <c r="C132" s="30" t="s">
        <v>129</v>
      </c>
      <c r="D132" s="12"/>
      <c r="E132" s="48"/>
      <c r="F132" s="53">
        <v>9882.888130790001</v>
      </c>
      <c r="G132" s="13">
        <v>1.0000000010000001</v>
      </c>
    </row>
    <row r="134" spans="1:7" ht="15" x14ac:dyDescent="0.25">
      <c r="B134" s="279"/>
      <c r="C134" s="279"/>
      <c r="D134" s="279"/>
      <c r="E134" s="279"/>
      <c r="F134" s="279"/>
    </row>
    <row r="135" spans="1:7" ht="15" x14ac:dyDescent="0.25">
      <c r="B135" s="279"/>
      <c r="C135" s="279"/>
      <c r="D135" s="279"/>
      <c r="E135" s="279"/>
      <c r="F135" s="279"/>
    </row>
    <row r="137" spans="1:7" ht="15" x14ac:dyDescent="0.25">
      <c r="B137" s="36" t="s">
        <v>131</v>
      </c>
      <c r="C137" s="37"/>
      <c r="D137" s="38"/>
    </row>
    <row r="138" spans="1:7" ht="15" x14ac:dyDescent="0.25">
      <c r="B138" s="39" t="s">
        <v>132</v>
      </c>
      <c r="C138" s="40"/>
      <c r="D138" s="62" t="s">
        <v>133</v>
      </c>
    </row>
    <row r="139" spans="1:7" ht="15" x14ac:dyDescent="0.25">
      <c r="B139" s="39" t="s">
        <v>134</v>
      </c>
      <c r="C139" s="40"/>
      <c r="D139" s="62" t="s">
        <v>133</v>
      </c>
    </row>
    <row r="140" spans="1:7" ht="15" x14ac:dyDescent="0.25">
      <c r="B140" s="41" t="s">
        <v>135</v>
      </c>
      <c r="C140" s="40"/>
      <c r="D140" s="42"/>
    </row>
    <row r="141" spans="1:7" ht="25.5" customHeight="1" x14ac:dyDescent="0.25">
      <c r="B141" s="42"/>
      <c r="C141" s="32" t="s">
        <v>136</v>
      </c>
      <c r="D141" s="33" t="s">
        <v>137</v>
      </c>
    </row>
    <row r="142" spans="1:7" ht="12.75" customHeight="1" x14ac:dyDescent="0.25">
      <c r="B142" s="57" t="s">
        <v>138</v>
      </c>
      <c r="C142" s="58" t="s">
        <v>139</v>
      </c>
      <c r="D142" s="58" t="s">
        <v>140</v>
      </c>
    </row>
    <row r="143" spans="1:7" ht="15" x14ac:dyDescent="0.25">
      <c r="B143" s="42" t="s">
        <v>141</v>
      </c>
      <c r="C143" s="43">
        <v>8.6508000000000003</v>
      </c>
      <c r="D143" s="43">
        <v>7.5679999999999996</v>
      </c>
    </row>
    <row r="144" spans="1:7" ht="15" x14ac:dyDescent="0.25">
      <c r="B144" s="42" t="s">
        <v>142</v>
      </c>
      <c r="C144" s="43">
        <v>8.6508000000000003</v>
      </c>
      <c r="D144" s="43">
        <v>7.5678999999999998</v>
      </c>
    </row>
    <row r="145" spans="2:4" ht="15" x14ac:dyDescent="0.25">
      <c r="B145" s="42" t="s">
        <v>143</v>
      </c>
      <c r="C145" s="43">
        <v>8.4751999999999992</v>
      </c>
      <c r="D145" s="43">
        <v>7.4101999999999997</v>
      </c>
    </row>
    <row r="146" spans="2:4" ht="15" x14ac:dyDescent="0.25">
      <c r="B146" s="42" t="s">
        <v>144</v>
      </c>
      <c r="C146" s="43">
        <v>8.4751999999999992</v>
      </c>
      <c r="D146" s="43">
        <v>7.4101999999999997</v>
      </c>
    </row>
    <row r="148" spans="2:4" ht="15" x14ac:dyDescent="0.25">
      <c r="B148" s="59" t="s">
        <v>145</v>
      </c>
      <c r="C148" s="44"/>
      <c r="D148" s="60" t="s">
        <v>133</v>
      </c>
    </row>
    <row r="149" spans="2:4" ht="24.75" customHeight="1" x14ac:dyDescent="0.25">
      <c r="B149" s="61"/>
      <c r="C149" s="61"/>
    </row>
    <row r="150" spans="2:4" ht="15" x14ac:dyDescent="0.25">
      <c r="B150" s="63"/>
      <c r="C150" s="65"/>
      <c r="D150"/>
    </row>
    <row r="152" spans="2:4" ht="15" x14ac:dyDescent="0.25">
      <c r="B152" s="41" t="s">
        <v>146</v>
      </c>
      <c r="C152" s="40"/>
      <c r="D152" s="64" t="s">
        <v>133</v>
      </c>
    </row>
    <row r="153" spans="2:4" ht="15" x14ac:dyDescent="0.25">
      <c r="B153" s="41" t="s">
        <v>147</v>
      </c>
      <c r="C153" s="40"/>
      <c r="D153" s="64" t="s">
        <v>133</v>
      </c>
    </row>
    <row r="154" spans="2:4" ht="15" x14ac:dyDescent="0.25">
      <c r="B154" s="41" t="s">
        <v>148</v>
      </c>
      <c r="C154" s="40"/>
      <c r="D154" s="45">
        <v>1.4240158301847805E-2</v>
      </c>
    </row>
    <row r="155" spans="2:4" ht="15" x14ac:dyDescent="0.25">
      <c r="B155" s="41" t="s">
        <v>149</v>
      </c>
      <c r="C155" s="40"/>
      <c r="D155" s="45" t="s">
        <v>133</v>
      </c>
    </row>
  </sheetData>
  <mergeCells count="5">
    <mergeCell ref="A1:G1"/>
    <mergeCell ref="A2:G2"/>
    <mergeCell ref="A3:G3"/>
    <mergeCell ref="B134:F134"/>
    <mergeCell ref="B135:F13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15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280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153</v>
      </c>
      <c r="C7" s="11" t="s">
        <v>154</v>
      </c>
      <c r="D7" s="2" t="s">
        <v>155</v>
      </c>
      <c r="E7" s="46">
        <v>43934</v>
      </c>
      <c r="F7" s="51">
        <v>273.62095199999999</v>
      </c>
      <c r="G7" s="5">
        <v>4.3530258000000002E-2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47145</v>
      </c>
      <c r="F8" s="51">
        <v>259.22678250000001</v>
      </c>
      <c r="G8" s="5">
        <v>4.1240293999999997E-2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51485</v>
      </c>
      <c r="F9" s="51">
        <v>246.94780249999999</v>
      </c>
      <c r="G9" s="5">
        <v>3.9286835999999999E-2</v>
      </c>
    </row>
    <row r="10" spans="1:7" ht="25.5" x14ac:dyDescent="0.25">
      <c r="A10" s="6">
        <v>4</v>
      </c>
      <c r="B10" s="7" t="s">
        <v>68</v>
      </c>
      <c r="C10" s="11" t="s">
        <v>69</v>
      </c>
      <c r="D10" s="2" t="s">
        <v>19</v>
      </c>
      <c r="E10" s="46">
        <v>182875</v>
      </c>
      <c r="F10" s="51">
        <v>221.09587500000001</v>
      </c>
      <c r="G10" s="5">
        <v>3.5174061999999999E-2</v>
      </c>
    </row>
    <row r="11" spans="1:7" ht="15" x14ac:dyDescent="0.25">
      <c r="A11" s="6">
        <v>5</v>
      </c>
      <c r="B11" s="7" t="s">
        <v>60</v>
      </c>
      <c r="C11" s="11" t="s">
        <v>61</v>
      </c>
      <c r="D11" s="2" t="s">
        <v>16</v>
      </c>
      <c r="E11" s="46">
        <v>20712</v>
      </c>
      <c r="F11" s="51">
        <v>200.07792000000001</v>
      </c>
      <c r="G11" s="5">
        <v>3.1830323000000001E-2</v>
      </c>
    </row>
    <row r="12" spans="1:7" ht="15" x14ac:dyDescent="0.25">
      <c r="A12" s="6">
        <v>6</v>
      </c>
      <c r="B12" s="7" t="s">
        <v>151</v>
      </c>
      <c r="C12" s="11" t="s">
        <v>152</v>
      </c>
      <c r="D12" s="2" t="s">
        <v>16</v>
      </c>
      <c r="E12" s="46">
        <v>103276</v>
      </c>
      <c r="F12" s="51">
        <v>199.94233600000001</v>
      </c>
      <c r="G12" s="5">
        <v>3.1808753000000002E-2</v>
      </c>
    </row>
    <row r="13" spans="1:7" ht="25.5" x14ac:dyDescent="0.25">
      <c r="A13" s="6">
        <v>7</v>
      </c>
      <c r="B13" s="7" t="s">
        <v>92</v>
      </c>
      <c r="C13" s="11" t="s">
        <v>93</v>
      </c>
      <c r="D13" s="2" t="s">
        <v>22</v>
      </c>
      <c r="E13" s="46">
        <v>38777</v>
      </c>
      <c r="F13" s="51">
        <v>170.0565335</v>
      </c>
      <c r="G13" s="5">
        <v>2.7054232000000001E-2</v>
      </c>
    </row>
    <row r="14" spans="1:7" ht="15" x14ac:dyDescent="0.25">
      <c r="A14" s="6">
        <v>8</v>
      </c>
      <c r="B14" s="7" t="s">
        <v>62</v>
      </c>
      <c r="C14" s="11" t="s">
        <v>63</v>
      </c>
      <c r="D14" s="2" t="s">
        <v>16</v>
      </c>
      <c r="E14" s="46">
        <v>165773</v>
      </c>
      <c r="F14" s="51">
        <v>168.922687</v>
      </c>
      <c r="G14" s="5">
        <v>2.6873848999999998E-2</v>
      </c>
    </row>
    <row r="15" spans="1:7" ht="25.5" x14ac:dyDescent="0.25">
      <c r="A15" s="6">
        <v>9</v>
      </c>
      <c r="B15" s="7" t="s">
        <v>90</v>
      </c>
      <c r="C15" s="11" t="s">
        <v>91</v>
      </c>
      <c r="D15" s="2" t="s">
        <v>22</v>
      </c>
      <c r="E15" s="46">
        <v>16700</v>
      </c>
      <c r="F15" s="51">
        <v>166.99164999999999</v>
      </c>
      <c r="G15" s="5">
        <v>2.6566640999999998E-2</v>
      </c>
    </row>
    <row r="16" spans="1:7" ht="15" x14ac:dyDescent="0.25">
      <c r="A16" s="6">
        <v>10</v>
      </c>
      <c r="B16" s="7" t="s">
        <v>160</v>
      </c>
      <c r="C16" s="11" t="s">
        <v>161</v>
      </c>
      <c r="D16" s="2" t="s">
        <v>162</v>
      </c>
      <c r="E16" s="46">
        <v>57781</v>
      </c>
      <c r="F16" s="51">
        <v>152.31071600000001</v>
      </c>
      <c r="G16" s="5">
        <v>2.4231056000000001E-2</v>
      </c>
    </row>
    <row r="17" spans="1:7" ht="15" x14ac:dyDescent="0.25">
      <c r="A17" s="6">
        <v>11</v>
      </c>
      <c r="B17" s="7" t="s">
        <v>281</v>
      </c>
      <c r="C17" s="11" t="s">
        <v>282</v>
      </c>
      <c r="D17" s="2" t="s">
        <v>56</v>
      </c>
      <c r="E17" s="46">
        <v>222659</v>
      </c>
      <c r="F17" s="51">
        <v>151.7421085</v>
      </c>
      <c r="G17" s="5">
        <v>2.4140597E-2</v>
      </c>
    </row>
    <row r="18" spans="1:7" ht="15" x14ac:dyDescent="0.25">
      <c r="A18" s="6">
        <v>12</v>
      </c>
      <c r="B18" s="7" t="s">
        <v>218</v>
      </c>
      <c r="C18" s="11" t="s">
        <v>219</v>
      </c>
      <c r="D18" s="2" t="s">
        <v>51</v>
      </c>
      <c r="E18" s="46">
        <v>66950</v>
      </c>
      <c r="F18" s="51">
        <v>142.6035</v>
      </c>
      <c r="G18" s="5">
        <v>2.2686739000000001E-2</v>
      </c>
    </row>
    <row r="19" spans="1:7" ht="25.5" x14ac:dyDescent="0.25">
      <c r="A19" s="6">
        <v>13</v>
      </c>
      <c r="B19" s="7" t="s">
        <v>43</v>
      </c>
      <c r="C19" s="11" t="s">
        <v>44</v>
      </c>
      <c r="D19" s="2" t="s">
        <v>30</v>
      </c>
      <c r="E19" s="46">
        <v>131928</v>
      </c>
      <c r="F19" s="51">
        <v>139.25000399999999</v>
      </c>
      <c r="G19" s="5">
        <v>2.2153231999999998E-2</v>
      </c>
    </row>
    <row r="20" spans="1:7" ht="25.5" x14ac:dyDescent="0.25">
      <c r="A20" s="6">
        <v>14</v>
      </c>
      <c r="B20" s="7" t="s">
        <v>178</v>
      </c>
      <c r="C20" s="11" t="s">
        <v>179</v>
      </c>
      <c r="D20" s="2" t="s">
        <v>22</v>
      </c>
      <c r="E20" s="46">
        <v>39478</v>
      </c>
      <c r="F20" s="51">
        <v>137.50187399999999</v>
      </c>
      <c r="G20" s="5">
        <v>2.1875123E-2</v>
      </c>
    </row>
    <row r="21" spans="1:7" ht="25.5" x14ac:dyDescent="0.25">
      <c r="A21" s="6">
        <v>15</v>
      </c>
      <c r="B21" s="7" t="s">
        <v>189</v>
      </c>
      <c r="C21" s="11" t="s">
        <v>190</v>
      </c>
      <c r="D21" s="2" t="s">
        <v>167</v>
      </c>
      <c r="E21" s="46">
        <v>30319</v>
      </c>
      <c r="F21" s="51">
        <v>133.82806600000001</v>
      </c>
      <c r="G21" s="5">
        <v>2.1290658E-2</v>
      </c>
    </row>
    <row r="22" spans="1:7" ht="25.5" x14ac:dyDescent="0.25">
      <c r="A22" s="6">
        <v>16</v>
      </c>
      <c r="B22" s="7" t="s">
        <v>52</v>
      </c>
      <c r="C22" s="11" t="s">
        <v>53</v>
      </c>
      <c r="D22" s="2" t="s">
        <v>30</v>
      </c>
      <c r="E22" s="46">
        <v>29570</v>
      </c>
      <c r="F22" s="51">
        <v>126.57438500000001</v>
      </c>
      <c r="G22" s="5">
        <v>2.0136673000000001E-2</v>
      </c>
    </row>
    <row r="23" spans="1:7" ht="25.5" x14ac:dyDescent="0.25">
      <c r="A23" s="6">
        <v>17</v>
      </c>
      <c r="B23" s="7" t="s">
        <v>171</v>
      </c>
      <c r="C23" s="11" t="s">
        <v>172</v>
      </c>
      <c r="D23" s="2" t="s">
        <v>173</v>
      </c>
      <c r="E23" s="46">
        <v>42223</v>
      </c>
      <c r="F23" s="51">
        <v>124.1145085</v>
      </c>
      <c r="G23" s="5">
        <v>1.9745332000000001E-2</v>
      </c>
    </row>
    <row r="24" spans="1:7" ht="15" x14ac:dyDescent="0.25">
      <c r="A24" s="6">
        <v>18</v>
      </c>
      <c r="B24" s="7" t="s">
        <v>158</v>
      </c>
      <c r="C24" s="11" t="s">
        <v>159</v>
      </c>
      <c r="D24" s="2" t="s">
        <v>16</v>
      </c>
      <c r="E24" s="46">
        <v>138968</v>
      </c>
      <c r="F24" s="51">
        <v>122.013904</v>
      </c>
      <c r="G24" s="5">
        <v>1.9411148E-2</v>
      </c>
    </row>
    <row r="25" spans="1:7" ht="15" x14ac:dyDescent="0.25">
      <c r="A25" s="6">
        <v>19</v>
      </c>
      <c r="B25" s="7" t="s">
        <v>270</v>
      </c>
      <c r="C25" s="11" t="s">
        <v>271</v>
      </c>
      <c r="D25" s="2" t="s">
        <v>16</v>
      </c>
      <c r="E25" s="46">
        <v>72429</v>
      </c>
      <c r="F25" s="51">
        <v>121.101288</v>
      </c>
      <c r="G25" s="5">
        <v>1.9265959999999999E-2</v>
      </c>
    </row>
    <row r="26" spans="1:7" ht="25.5" x14ac:dyDescent="0.25">
      <c r="A26" s="6">
        <v>20</v>
      </c>
      <c r="B26" s="7" t="s">
        <v>205</v>
      </c>
      <c r="C26" s="11" t="s">
        <v>206</v>
      </c>
      <c r="D26" s="2" t="s">
        <v>173</v>
      </c>
      <c r="E26" s="46">
        <v>118261</v>
      </c>
      <c r="F26" s="51">
        <v>119.7392625</v>
      </c>
      <c r="G26" s="5">
        <v>1.9049276E-2</v>
      </c>
    </row>
    <row r="27" spans="1:7" ht="25.5" x14ac:dyDescent="0.25">
      <c r="A27" s="6">
        <v>21</v>
      </c>
      <c r="B27" s="7" t="s">
        <v>194</v>
      </c>
      <c r="C27" s="11" t="s">
        <v>195</v>
      </c>
      <c r="D27" s="2" t="s">
        <v>37</v>
      </c>
      <c r="E27" s="46">
        <v>35071</v>
      </c>
      <c r="F27" s="51">
        <v>118.6977995</v>
      </c>
      <c r="G27" s="5">
        <v>1.8883589999999999E-2</v>
      </c>
    </row>
    <row r="28" spans="1:7" ht="25.5" x14ac:dyDescent="0.25">
      <c r="A28" s="6">
        <v>22</v>
      </c>
      <c r="B28" s="7" t="s">
        <v>196</v>
      </c>
      <c r="C28" s="11" t="s">
        <v>846</v>
      </c>
      <c r="D28" s="2" t="s">
        <v>59</v>
      </c>
      <c r="E28" s="46">
        <v>7000</v>
      </c>
      <c r="F28" s="51">
        <v>114.89100000000001</v>
      </c>
      <c r="G28" s="5">
        <v>1.8277966999999999E-2</v>
      </c>
    </row>
    <row r="29" spans="1:7" ht="15" x14ac:dyDescent="0.25">
      <c r="A29" s="6">
        <v>23</v>
      </c>
      <c r="B29" s="7" t="s">
        <v>163</v>
      </c>
      <c r="C29" s="11" t="s">
        <v>164</v>
      </c>
      <c r="D29" s="2" t="s">
        <v>13</v>
      </c>
      <c r="E29" s="46">
        <v>57156</v>
      </c>
      <c r="F29" s="51">
        <v>111.73998</v>
      </c>
      <c r="G29" s="5">
        <v>1.7776673E-2</v>
      </c>
    </row>
    <row r="30" spans="1:7" ht="15" x14ac:dyDescent="0.25">
      <c r="A30" s="6">
        <v>24</v>
      </c>
      <c r="B30" s="7" t="s">
        <v>168</v>
      </c>
      <c r="C30" s="11" t="s">
        <v>169</v>
      </c>
      <c r="D30" s="2" t="s">
        <v>170</v>
      </c>
      <c r="E30" s="46">
        <v>56654</v>
      </c>
      <c r="F30" s="51">
        <v>107.92587</v>
      </c>
      <c r="G30" s="5">
        <v>1.7169887000000002E-2</v>
      </c>
    </row>
    <row r="31" spans="1:7" ht="51" x14ac:dyDescent="0.25">
      <c r="A31" s="6">
        <v>25</v>
      </c>
      <c r="B31" s="7" t="s">
        <v>233</v>
      </c>
      <c r="C31" s="11" t="s">
        <v>234</v>
      </c>
      <c r="D31" s="2" t="s">
        <v>235</v>
      </c>
      <c r="E31" s="46">
        <v>47472</v>
      </c>
      <c r="F31" s="51">
        <v>107.381664</v>
      </c>
      <c r="G31" s="5">
        <v>1.7083310000000001E-2</v>
      </c>
    </row>
    <row r="32" spans="1:7" ht="15" x14ac:dyDescent="0.25">
      <c r="A32" s="6">
        <v>26</v>
      </c>
      <c r="B32" s="7" t="s">
        <v>182</v>
      </c>
      <c r="C32" s="11" t="s">
        <v>183</v>
      </c>
      <c r="D32" s="2" t="s">
        <v>184</v>
      </c>
      <c r="E32" s="46">
        <v>57054</v>
      </c>
      <c r="F32" s="51">
        <v>106.633926</v>
      </c>
      <c r="G32" s="5">
        <v>1.6964351999999999E-2</v>
      </c>
    </row>
    <row r="33" spans="1:7" ht="25.5" x14ac:dyDescent="0.25">
      <c r="A33" s="6">
        <v>27</v>
      </c>
      <c r="B33" s="7" t="s">
        <v>64</v>
      </c>
      <c r="C33" s="11" t="s">
        <v>65</v>
      </c>
      <c r="D33" s="2" t="s">
        <v>19</v>
      </c>
      <c r="E33" s="46">
        <v>140508</v>
      </c>
      <c r="F33" s="51">
        <v>102.78160200000001</v>
      </c>
      <c r="G33" s="5">
        <v>1.6351488000000001E-2</v>
      </c>
    </row>
    <row r="34" spans="1:7" ht="15" x14ac:dyDescent="0.25">
      <c r="A34" s="6">
        <v>28</v>
      </c>
      <c r="B34" s="7" t="s">
        <v>187</v>
      </c>
      <c r="C34" s="11" t="s">
        <v>188</v>
      </c>
      <c r="D34" s="2" t="s">
        <v>162</v>
      </c>
      <c r="E34" s="46">
        <v>10939</v>
      </c>
      <c r="F34" s="51">
        <v>100.3707945</v>
      </c>
      <c r="G34" s="5">
        <v>1.5967953E-2</v>
      </c>
    </row>
    <row r="35" spans="1:7" ht="15" x14ac:dyDescent="0.25">
      <c r="A35" s="6">
        <v>29</v>
      </c>
      <c r="B35" s="7" t="s">
        <v>49</v>
      </c>
      <c r="C35" s="11" t="s">
        <v>50</v>
      </c>
      <c r="D35" s="2" t="s">
        <v>51</v>
      </c>
      <c r="E35" s="46">
        <v>38344</v>
      </c>
      <c r="F35" s="51">
        <v>100.30790399999999</v>
      </c>
      <c r="G35" s="5">
        <v>1.5957948E-2</v>
      </c>
    </row>
    <row r="36" spans="1:7" ht="25.5" x14ac:dyDescent="0.25">
      <c r="A36" s="6">
        <v>30</v>
      </c>
      <c r="B36" s="7" t="s">
        <v>94</v>
      </c>
      <c r="C36" s="11" t="s">
        <v>95</v>
      </c>
      <c r="D36" s="2" t="s">
        <v>22</v>
      </c>
      <c r="E36" s="46">
        <v>88228</v>
      </c>
      <c r="F36" s="51">
        <v>90.389585999999994</v>
      </c>
      <c r="G36" s="5">
        <v>1.4380046E-2</v>
      </c>
    </row>
    <row r="37" spans="1:7" ht="25.5" x14ac:dyDescent="0.25">
      <c r="A37" s="6">
        <v>31</v>
      </c>
      <c r="B37" s="7" t="s">
        <v>85</v>
      </c>
      <c r="C37" s="11" t="s">
        <v>86</v>
      </c>
      <c r="D37" s="2" t="s">
        <v>22</v>
      </c>
      <c r="E37" s="46">
        <v>15150</v>
      </c>
      <c r="F37" s="51">
        <v>89.741024999999993</v>
      </c>
      <c r="G37" s="5">
        <v>1.4276867E-2</v>
      </c>
    </row>
    <row r="38" spans="1:7" ht="15" x14ac:dyDescent="0.25">
      <c r="A38" s="6">
        <v>32</v>
      </c>
      <c r="B38" s="7" t="s">
        <v>191</v>
      </c>
      <c r="C38" s="11" t="s">
        <v>192</v>
      </c>
      <c r="D38" s="2" t="s">
        <v>193</v>
      </c>
      <c r="E38" s="46">
        <v>67193</v>
      </c>
      <c r="F38" s="51">
        <v>89.433882999999994</v>
      </c>
      <c r="G38" s="5">
        <v>1.4228004000000001E-2</v>
      </c>
    </row>
    <row r="39" spans="1:7" ht="25.5" x14ac:dyDescent="0.25">
      <c r="A39" s="6">
        <v>33</v>
      </c>
      <c r="B39" s="7" t="s">
        <v>20</v>
      </c>
      <c r="C39" s="11" t="s">
        <v>21</v>
      </c>
      <c r="D39" s="2" t="s">
        <v>22</v>
      </c>
      <c r="E39" s="46">
        <v>12715</v>
      </c>
      <c r="F39" s="51">
        <v>86.309420000000003</v>
      </c>
      <c r="G39" s="5">
        <v>1.3730934E-2</v>
      </c>
    </row>
    <row r="40" spans="1:7" ht="15" x14ac:dyDescent="0.25">
      <c r="A40" s="6">
        <v>34</v>
      </c>
      <c r="B40" s="7" t="s">
        <v>236</v>
      </c>
      <c r="C40" s="11" t="s">
        <v>237</v>
      </c>
      <c r="D40" s="2" t="s">
        <v>238</v>
      </c>
      <c r="E40" s="46">
        <v>13839</v>
      </c>
      <c r="F40" s="51">
        <v>83.2623435</v>
      </c>
      <c r="G40" s="5">
        <v>1.3246176E-2</v>
      </c>
    </row>
    <row r="41" spans="1:7" ht="38.25" x14ac:dyDescent="0.25">
      <c r="A41" s="6">
        <v>35</v>
      </c>
      <c r="B41" s="7" t="s">
        <v>82</v>
      </c>
      <c r="C41" s="11" t="s">
        <v>83</v>
      </c>
      <c r="D41" s="2" t="s">
        <v>84</v>
      </c>
      <c r="E41" s="46">
        <v>92000</v>
      </c>
      <c r="F41" s="51">
        <v>73.001999999999995</v>
      </c>
      <c r="G41" s="5">
        <v>1.1613862000000001E-2</v>
      </c>
    </row>
    <row r="42" spans="1:7" ht="25.5" x14ac:dyDescent="0.25">
      <c r="A42" s="6">
        <v>36</v>
      </c>
      <c r="B42" s="7" t="s">
        <v>87</v>
      </c>
      <c r="C42" s="11" t="s">
        <v>88</v>
      </c>
      <c r="D42" s="2" t="s">
        <v>89</v>
      </c>
      <c r="E42" s="46">
        <v>25000</v>
      </c>
      <c r="F42" s="51">
        <v>72.674999999999997</v>
      </c>
      <c r="G42" s="5">
        <v>1.1561839000000001E-2</v>
      </c>
    </row>
    <row r="43" spans="1:7" ht="15" x14ac:dyDescent="0.25">
      <c r="A43" s="6">
        <v>37</v>
      </c>
      <c r="B43" s="7" t="s">
        <v>244</v>
      </c>
      <c r="C43" s="11" t="s">
        <v>245</v>
      </c>
      <c r="D43" s="2" t="s">
        <v>162</v>
      </c>
      <c r="E43" s="46">
        <v>13950</v>
      </c>
      <c r="F43" s="51">
        <v>72.226124999999996</v>
      </c>
      <c r="G43" s="5">
        <v>1.1490428E-2</v>
      </c>
    </row>
    <row r="44" spans="1:7" ht="15" x14ac:dyDescent="0.25">
      <c r="A44" s="6">
        <v>38</v>
      </c>
      <c r="B44" s="7" t="s">
        <v>246</v>
      </c>
      <c r="C44" s="11" t="s">
        <v>247</v>
      </c>
      <c r="D44" s="2" t="s">
        <v>170</v>
      </c>
      <c r="E44" s="46">
        <v>31377</v>
      </c>
      <c r="F44" s="51">
        <v>69.860890499999996</v>
      </c>
      <c r="G44" s="5">
        <v>1.1114143999999999E-2</v>
      </c>
    </row>
    <row r="45" spans="1:7" ht="25.5" x14ac:dyDescent="0.25">
      <c r="A45" s="6">
        <v>39</v>
      </c>
      <c r="B45" s="7" t="s">
        <v>216</v>
      </c>
      <c r="C45" s="11" t="s">
        <v>217</v>
      </c>
      <c r="D45" s="2" t="s">
        <v>59</v>
      </c>
      <c r="E45" s="46">
        <v>29938</v>
      </c>
      <c r="F45" s="51">
        <v>67.764662999999999</v>
      </c>
      <c r="G45" s="5">
        <v>1.0780656E-2</v>
      </c>
    </row>
    <row r="46" spans="1:7" ht="15" x14ac:dyDescent="0.25">
      <c r="A46" s="6">
        <v>40</v>
      </c>
      <c r="B46" s="7" t="s">
        <v>72</v>
      </c>
      <c r="C46" s="11" t="s">
        <v>845</v>
      </c>
      <c r="D46" s="2" t="s">
        <v>51</v>
      </c>
      <c r="E46" s="46">
        <v>27635</v>
      </c>
      <c r="F46" s="51">
        <v>65.453497499999997</v>
      </c>
      <c r="G46" s="5">
        <v>1.0412973000000001E-2</v>
      </c>
    </row>
    <row r="47" spans="1:7" ht="25.5" x14ac:dyDescent="0.25">
      <c r="A47" s="6">
        <v>41</v>
      </c>
      <c r="B47" s="7" t="s">
        <v>276</v>
      </c>
      <c r="C47" s="11" t="s">
        <v>277</v>
      </c>
      <c r="D47" s="2" t="s">
        <v>37</v>
      </c>
      <c r="E47" s="46">
        <v>97000</v>
      </c>
      <c r="F47" s="51">
        <v>65.038499999999999</v>
      </c>
      <c r="G47" s="5">
        <v>1.0346951E-2</v>
      </c>
    </row>
    <row r="48" spans="1:7" ht="15" x14ac:dyDescent="0.25">
      <c r="A48" s="6">
        <v>42</v>
      </c>
      <c r="B48" s="7" t="s">
        <v>252</v>
      </c>
      <c r="C48" s="11" t="s">
        <v>253</v>
      </c>
      <c r="D48" s="2" t="s">
        <v>215</v>
      </c>
      <c r="E48" s="46">
        <v>8000</v>
      </c>
      <c r="F48" s="51">
        <v>62.292000000000002</v>
      </c>
      <c r="G48" s="5">
        <v>9.9100119999999993E-3</v>
      </c>
    </row>
    <row r="49" spans="1:7" ht="15" x14ac:dyDescent="0.25">
      <c r="A49" s="6">
        <v>43</v>
      </c>
      <c r="B49" s="7" t="s">
        <v>254</v>
      </c>
      <c r="C49" s="11" t="s">
        <v>255</v>
      </c>
      <c r="D49" s="2" t="s">
        <v>215</v>
      </c>
      <c r="E49" s="46">
        <v>75777</v>
      </c>
      <c r="F49" s="51">
        <v>60.204826500000003</v>
      </c>
      <c r="G49" s="5">
        <v>9.5779639999999996E-3</v>
      </c>
    </row>
    <row r="50" spans="1:7" ht="25.5" x14ac:dyDescent="0.25">
      <c r="A50" s="6">
        <v>44</v>
      </c>
      <c r="B50" s="7" t="s">
        <v>185</v>
      </c>
      <c r="C50" s="11" t="s">
        <v>186</v>
      </c>
      <c r="D50" s="2" t="s">
        <v>59</v>
      </c>
      <c r="E50" s="46">
        <v>45969</v>
      </c>
      <c r="F50" s="51">
        <v>58.0358625</v>
      </c>
      <c r="G50" s="5">
        <v>9.2329040000000001E-3</v>
      </c>
    </row>
    <row r="51" spans="1:7" ht="15" x14ac:dyDescent="0.25">
      <c r="A51" s="6">
        <v>45</v>
      </c>
      <c r="B51" s="7" t="s">
        <v>222</v>
      </c>
      <c r="C51" s="11" t="s">
        <v>223</v>
      </c>
      <c r="D51" s="2" t="s">
        <v>215</v>
      </c>
      <c r="E51" s="46">
        <v>12015</v>
      </c>
      <c r="F51" s="51">
        <v>55.557360000000003</v>
      </c>
      <c r="G51" s="5">
        <v>8.8386000000000003E-3</v>
      </c>
    </row>
    <row r="52" spans="1:7" ht="15" x14ac:dyDescent="0.25">
      <c r="A52" s="6">
        <v>46</v>
      </c>
      <c r="B52" s="7" t="s">
        <v>272</v>
      </c>
      <c r="C52" s="11" t="s">
        <v>273</v>
      </c>
      <c r="D52" s="2" t="s">
        <v>170</v>
      </c>
      <c r="E52" s="46">
        <v>23974</v>
      </c>
      <c r="F52" s="51">
        <v>54.444954000000003</v>
      </c>
      <c r="G52" s="5">
        <v>8.6616279999999993E-3</v>
      </c>
    </row>
    <row r="53" spans="1:7" ht="15" x14ac:dyDescent="0.25">
      <c r="A53" s="6">
        <v>47</v>
      </c>
      <c r="B53" s="7" t="s">
        <v>283</v>
      </c>
      <c r="C53" s="11" t="s">
        <v>284</v>
      </c>
      <c r="D53" s="2" t="s">
        <v>155</v>
      </c>
      <c r="E53" s="46">
        <v>30303</v>
      </c>
      <c r="F53" s="51">
        <v>53.757522000000002</v>
      </c>
      <c r="G53" s="5">
        <v>8.5522649999999999E-3</v>
      </c>
    </row>
    <row r="54" spans="1:7" ht="15" x14ac:dyDescent="0.25">
      <c r="A54" s="6">
        <v>48</v>
      </c>
      <c r="B54" s="7" t="s">
        <v>256</v>
      </c>
      <c r="C54" s="11" t="s">
        <v>257</v>
      </c>
      <c r="D54" s="2" t="s">
        <v>215</v>
      </c>
      <c r="E54" s="46">
        <v>7000</v>
      </c>
      <c r="F54" s="51">
        <v>52.15</v>
      </c>
      <c r="G54" s="5">
        <v>8.2965239999999996E-3</v>
      </c>
    </row>
    <row r="55" spans="1:7" ht="15" x14ac:dyDescent="0.25">
      <c r="A55" s="6">
        <v>49</v>
      </c>
      <c r="B55" s="7" t="s">
        <v>201</v>
      </c>
      <c r="C55" s="11" t="s">
        <v>202</v>
      </c>
      <c r="D55" s="2" t="s">
        <v>27</v>
      </c>
      <c r="E55" s="46">
        <v>93180</v>
      </c>
      <c r="F55" s="51">
        <v>52.134210000000003</v>
      </c>
      <c r="G55" s="5">
        <v>8.2940119999999999E-3</v>
      </c>
    </row>
    <row r="56" spans="1:7" ht="15" x14ac:dyDescent="0.25">
      <c r="A56" s="6">
        <v>50</v>
      </c>
      <c r="B56" s="7" t="s">
        <v>75</v>
      </c>
      <c r="C56" s="11" t="s">
        <v>76</v>
      </c>
      <c r="D56" s="2" t="s">
        <v>51</v>
      </c>
      <c r="E56" s="46">
        <v>22340</v>
      </c>
      <c r="F56" s="51">
        <v>49.47193</v>
      </c>
      <c r="G56" s="5">
        <v>7.8704710000000004E-3</v>
      </c>
    </row>
    <row r="57" spans="1:7" ht="15" x14ac:dyDescent="0.25">
      <c r="A57" s="6">
        <v>51</v>
      </c>
      <c r="B57" s="7" t="s">
        <v>211</v>
      </c>
      <c r="C57" s="11" t="s">
        <v>212</v>
      </c>
      <c r="D57" s="2" t="s">
        <v>162</v>
      </c>
      <c r="E57" s="46">
        <v>59339</v>
      </c>
      <c r="F57" s="51">
        <v>47.174505000000003</v>
      </c>
      <c r="G57" s="5">
        <v>7.5049749999999997E-3</v>
      </c>
    </row>
    <row r="58" spans="1:7" ht="15" x14ac:dyDescent="0.25">
      <c r="A58" s="6">
        <v>52</v>
      </c>
      <c r="B58" s="7" t="s">
        <v>209</v>
      </c>
      <c r="C58" s="11" t="s">
        <v>210</v>
      </c>
      <c r="D58" s="2" t="s">
        <v>155</v>
      </c>
      <c r="E58" s="46">
        <v>25137</v>
      </c>
      <c r="F58" s="51">
        <v>41.890810500000001</v>
      </c>
      <c r="G58" s="5">
        <v>6.6643939999999997E-3</v>
      </c>
    </row>
    <row r="59" spans="1:7" ht="25.5" x14ac:dyDescent="0.25">
      <c r="A59" s="6">
        <v>53</v>
      </c>
      <c r="B59" s="7" t="s">
        <v>274</v>
      </c>
      <c r="C59" s="11" t="s">
        <v>275</v>
      </c>
      <c r="D59" s="2" t="s">
        <v>22</v>
      </c>
      <c r="E59" s="46">
        <v>10582</v>
      </c>
      <c r="F59" s="51">
        <v>41.687789000000002</v>
      </c>
      <c r="G59" s="5">
        <v>6.6320950000000002E-3</v>
      </c>
    </row>
    <row r="60" spans="1:7" ht="15" x14ac:dyDescent="0.25">
      <c r="A60" s="6">
        <v>54</v>
      </c>
      <c r="B60" s="7" t="s">
        <v>258</v>
      </c>
      <c r="C60" s="11" t="s">
        <v>259</v>
      </c>
      <c r="D60" s="2" t="s">
        <v>193</v>
      </c>
      <c r="E60" s="46">
        <v>53931</v>
      </c>
      <c r="F60" s="51">
        <v>41.580801000000001</v>
      </c>
      <c r="G60" s="5">
        <v>6.6150740000000003E-3</v>
      </c>
    </row>
    <row r="61" spans="1:7" ht="15" x14ac:dyDescent="0.25">
      <c r="A61" s="6">
        <v>55</v>
      </c>
      <c r="B61" s="7" t="s">
        <v>220</v>
      </c>
      <c r="C61" s="11" t="s">
        <v>221</v>
      </c>
      <c r="D61" s="2" t="s">
        <v>193</v>
      </c>
      <c r="E61" s="46">
        <v>19307</v>
      </c>
      <c r="F61" s="51">
        <v>37.050133000000002</v>
      </c>
      <c r="G61" s="5">
        <v>5.8942919999999998E-3</v>
      </c>
    </row>
    <row r="62" spans="1:7" ht="15" x14ac:dyDescent="0.25">
      <c r="A62" s="6">
        <v>56</v>
      </c>
      <c r="B62" s="7" t="s">
        <v>224</v>
      </c>
      <c r="C62" s="11" t="s">
        <v>225</v>
      </c>
      <c r="D62" s="2" t="s">
        <v>226</v>
      </c>
      <c r="E62" s="46">
        <v>3295</v>
      </c>
      <c r="F62" s="51">
        <v>35.6667275</v>
      </c>
      <c r="G62" s="5">
        <v>5.6742069999999997E-3</v>
      </c>
    </row>
    <row r="63" spans="1:7" ht="25.5" x14ac:dyDescent="0.25">
      <c r="A63" s="6">
        <v>57</v>
      </c>
      <c r="B63" s="7" t="s">
        <v>227</v>
      </c>
      <c r="C63" s="11" t="s">
        <v>228</v>
      </c>
      <c r="D63" s="2" t="s">
        <v>173</v>
      </c>
      <c r="E63" s="46">
        <v>21434</v>
      </c>
      <c r="F63" s="51">
        <v>13.589155999999999</v>
      </c>
      <c r="G63" s="5">
        <v>2.1618940000000001E-3</v>
      </c>
    </row>
    <row r="64" spans="1:7" ht="25.5" x14ac:dyDescent="0.25">
      <c r="A64" s="6">
        <v>58</v>
      </c>
      <c r="B64" s="7" t="s">
        <v>229</v>
      </c>
      <c r="C64" s="11" t="s">
        <v>230</v>
      </c>
      <c r="D64" s="2" t="s">
        <v>37</v>
      </c>
      <c r="E64" s="46">
        <v>75976</v>
      </c>
      <c r="F64" s="51">
        <v>7.8255280000000003</v>
      </c>
      <c r="G64" s="5">
        <v>1.24496E-3</v>
      </c>
    </row>
    <row r="65" spans="1:7" ht="15" x14ac:dyDescent="0.25">
      <c r="A65" s="6">
        <v>59</v>
      </c>
      <c r="B65" s="7" t="s">
        <v>264</v>
      </c>
      <c r="C65" s="11" t="s">
        <v>265</v>
      </c>
      <c r="D65" s="2" t="s">
        <v>162</v>
      </c>
      <c r="E65" s="46">
        <v>1319</v>
      </c>
      <c r="F65" s="51">
        <v>0.88307049999999998</v>
      </c>
      <c r="G65" s="5">
        <v>1.4048700000000001E-4</v>
      </c>
    </row>
    <row r="66" spans="1:7" ht="15" x14ac:dyDescent="0.25">
      <c r="A66" s="1"/>
      <c r="B66" s="2"/>
      <c r="C66" s="8" t="s">
        <v>104</v>
      </c>
      <c r="D66" s="12"/>
      <c r="E66" s="48"/>
      <c r="F66" s="53">
        <v>6038.9468139999981</v>
      </c>
      <c r="G66" s="13">
        <v>0.96073384799999983</v>
      </c>
    </row>
    <row r="67" spans="1:7" ht="15" x14ac:dyDescent="0.25">
      <c r="A67" s="6"/>
      <c r="B67" s="7"/>
      <c r="C67" s="14"/>
      <c r="D67" s="15"/>
      <c r="E67" s="46"/>
      <c r="F67" s="51"/>
      <c r="G67" s="5"/>
    </row>
    <row r="68" spans="1:7" ht="15" x14ac:dyDescent="0.25">
      <c r="A68" s="1"/>
      <c r="B68" s="2"/>
      <c r="C68" s="8" t="s">
        <v>105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6"/>
      <c r="B71" s="17"/>
      <c r="C71" s="8" t="s">
        <v>106</v>
      </c>
      <c r="D71" s="9"/>
      <c r="E71" s="47"/>
      <c r="F71" s="52"/>
      <c r="G71" s="10"/>
    </row>
    <row r="72" spans="1:7" ht="15" x14ac:dyDescent="0.25">
      <c r="A72" s="18"/>
      <c r="B72" s="19"/>
      <c r="C72" s="8" t="s">
        <v>104</v>
      </c>
      <c r="D72" s="20"/>
      <c r="E72" s="49"/>
      <c r="F72" s="54">
        <v>0</v>
      </c>
      <c r="G72" s="21">
        <v>0</v>
      </c>
    </row>
    <row r="73" spans="1:7" ht="15" x14ac:dyDescent="0.25">
      <c r="A73" s="18"/>
      <c r="B73" s="19"/>
      <c r="C73" s="14"/>
      <c r="D73" s="22"/>
      <c r="E73" s="50"/>
      <c r="F73" s="55"/>
      <c r="G73" s="23"/>
    </row>
    <row r="74" spans="1:7" ht="15" x14ac:dyDescent="0.25">
      <c r="A74" s="1"/>
      <c r="B74" s="2"/>
      <c r="C74" s="8" t="s">
        <v>108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15" x14ac:dyDescent="0.25">
      <c r="A77" s="1"/>
      <c r="B77" s="2"/>
      <c r="C77" s="8" t="s">
        <v>109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110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25.5" x14ac:dyDescent="0.25">
      <c r="A83" s="6"/>
      <c r="B83" s="7"/>
      <c r="C83" s="24" t="s">
        <v>111</v>
      </c>
      <c r="D83" s="25"/>
      <c r="E83" s="48"/>
      <c r="F83" s="53">
        <v>6038.9468139999981</v>
      </c>
      <c r="G83" s="13">
        <v>0.96073384799999983</v>
      </c>
    </row>
    <row r="84" spans="1:7" ht="15" x14ac:dyDescent="0.25">
      <c r="A84" s="1"/>
      <c r="B84" s="2"/>
      <c r="C84" s="11"/>
      <c r="D84" s="4"/>
      <c r="E84" s="46"/>
      <c r="F84" s="51"/>
      <c r="G84" s="5"/>
    </row>
    <row r="85" spans="1:7" ht="15" x14ac:dyDescent="0.25">
      <c r="A85" s="1"/>
      <c r="B85" s="2"/>
      <c r="C85" s="3" t="s">
        <v>112</v>
      </c>
      <c r="D85" s="4"/>
      <c r="E85" s="46"/>
      <c r="F85" s="51"/>
      <c r="G85" s="5"/>
    </row>
    <row r="86" spans="1:7" ht="25.5" x14ac:dyDescent="0.25">
      <c r="A86" s="1"/>
      <c r="B86" s="2"/>
      <c r="C86" s="8" t="s">
        <v>10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4"/>
      <c r="E88" s="46"/>
      <c r="F88" s="51"/>
      <c r="G88" s="5"/>
    </row>
    <row r="89" spans="1:7" ht="15" x14ac:dyDescent="0.25">
      <c r="A89" s="1"/>
      <c r="B89" s="26"/>
      <c r="C89" s="8" t="s">
        <v>113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6"/>
      <c r="G91" s="27"/>
    </row>
    <row r="92" spans="1:7" ht="15" x14ac:dyDescent="0.25">
      <c r="A92" s="1"/>
      <c r="B92" s="2"/>
      <c r="C92" s="8" t="s">
        <v>114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1"/>
      <c r="B94" s="2"/>
      <c r="C94" s="14"/>
      <c r="D94" s="4"/>
      <c r="E94" s="46"/>
      <c r="F94" s="51"/>
      <c r="G94" s="5"/>
    </row>
    <row r="95" spans="1:7" ht="25.5" x14ac:dyDescent="0.25">
      <c r="A95" s="1"/>
      <c r="B95" s="26"/>
      <c r="C95" s="8" t="s">
        <v>115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12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4"/>
      <c r="E97" s="46"/>
      <c r="F97" s="51"/>
      <c r="G97" s="5"/>
    </row>
    <row r="98" spans="1:7" ht="15" x14ac:dyDescent="0.25">
      <c r="A98" s="6"/>
      <c r="B98" s="7"/>
      <c r="C98" s="28" t="s">
        <v>116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1"/>
      <c r="D99" s="4"/>
      <c r="E99" s="46"/>
      <c r="F99" s="51"/>
      <c r="G99" s="5"/>
    </row>
    <row r="100" spans="1:7" ht="15" x14ac:dyDescent="0.25">
      <c r="A100" s="1"/>
      <c r="B100" s="2"/>
      <c r="C100" s="3" t="s">
        <v>117</v>
      </c>
      <c r="D100" s="4"/>
      <c r="E100" s="46"/>
      <c r="F100" s="51"/>
      <c r="G100" s="5"/>
    </row>
    <row r="101" spans="1:7" ht="15" x14ac:dyDescent="0.25">
      <c r="A101" s="6"/>
      <c r="B101" s="7"/>
      <c r="C101" s="8" t="s">
        <v>118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119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120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6"/>
      <c r="B110" s="7"/>
      <c r="C110" s="8" t="s">
        <v>121</v>
      </c>
      <c r="D110" s="9"/>
      <c r="E110" s="47"/>
      <c r="F110" s="52"/>
      <c r="G110" s="10"/>
    </row>
    <row r="111" spans="1:7" ht="15" x14ac:dyDescent="0.25">
      <c r="A111" s="6">
        <v>1</v>
      </c>
      <c r="B111" s="7"/>
      <c r="C111" s="11" t="s">
        <v>730</v>
      </c>
      <c r="D111" s="15"/>
      <c r="E111" s="46"/>
      <c r="F111" s="51">
        <v>119.98162480000001</v>
      </c>
      <c r="G111" s="5">
        <v>1.9087832999999998E-2</v>
      </c>
    </row>
    <row r="112" spans="1:7" ht="15" x14ac:dyDescent="0.25">
      <c r="A112" s="6"/>
      <c r="B112" s="7"/>
      <c r="C112" s="8" t="s">
        <v>104</v>
      </c>
      <c r="D112" s="25"/>
      <c r="E112" s="48"/>
      <c r="F112" s="53">
        <v>119.98162480000001</v>
      </c>
      <c r="G112" s="13">
        <v>1.9087832999999998E-2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25.5" x14ac:dyDescent="0.25">
      <c r="A114" s="6"/>
      <c r="B114" s="7"/>
      <c r="C114" s="24" t="s">
        <v>122</v>
      </c>
      <c r="D114" s="25"/>
      <c r="E114" s="48"/>
      <c r="F114" s="53">
        <v>119.98162480000001</v>
      </c>
      <c r="G114" s="13">
        <v>1.9087832999999998E-2</v>
      </c>
    </row>
    <row r="115" spans="1:7" ht="15" x14ac:dyDescent="0.25">
      <c r="A115" s="6"/>
      <c r="B115" s="7"/>
      <c r="C115" s="29"/>
      <c r="D115" s="7"/>
      <c r="E115" s="46"/>
      <c r="F115" s="51"/>
      <c r="G115" s="5"/>
    </row>
    <row r="116" spans="1:7" ht="15" x14ac:dyDescent="0.25">
      <c r="A116" s="1"/>
      <c r="B116" s="2"/>
      <c r="C116" s="3" t="s">
        <v>123</v>
      </c>
      <c r="D116" s="4"/>
      <c r="E116" s="46"/>
      <c r="F116" s="51"/>
      <c r="G116" s="5"/>
    </row>
    <row r="117" spans="1:7" ht="25.5" x14ac:dyDescent="0.25">
      <c r="A117" s="6"/>
      <c r="B117" s="7"/>
      <c r="C117" s="8" t="s">
        <v>124</v>
      </c>
      <c r="D117" s="9"/>
      <c r="E117" s="47"/>
      <c r="F117" s="52"/>
      <c r="G117" s="10"/>
    </row>
    <row r="118" spans="1:7" ht="15" x14ac:dyDescent="0.25">
      <c r="A118" s="6"/>
      <c r="B118" s="7"/>
      <c r="C118" s="8" t="s">
        <v>104</v>
      </c>
      <c r="D118" s="25"/>
      <c r="E118" s="48"/>
      <c r="F118" s="53">
        <v>0</v>
      </c>
      <c r="G118" s="13">
        <v>0</v>
      </c>
    </row>
    <row r="119" spans="1:7" ht="15" x14ac:dyDescent="0.25">
      <c r="A119" s="6"/>
      <c r="B119" s="7"/>
      <c r="C119" s="14"/>
      <c r="D119" s="7"/>
      <c r="E119" s="46"/>
      <c r="F119" s="51"/>
      <c r="G119" s="5"/>
    </row>
    <row r="120" spans="1:7" ht="15" x14ac:dyDescent="0.25">
      <c r="A120" s="1"/>
      <c r="B120" s="2"/>
      <c r="C120" s="3" t="s">
        <v>125</v>
      </c>
      <c r="D120" s="4"/>
      <c r="E120" s="46"/>
      <c r="F120" s="51"/>
      <c r="G120" s="5"/>
    </row>
    <row r="121" spans="1:7" ht="25.5" x14ac:dyDescent="0.25">
      <c r="A121" s="6"/>
      <c r="B121" s="7"/>
      <c r="C121" s="8" t="s">
        <v>126</v>
      </c>
      <c r="D121" s="9"/>
      <c r="E121" s="47"/>
      <c r="F121" s="52"/>
      <c r="G121" s="10"/>
    </row>
    <row r="122" spans="1:7" ht="15" x14ac:dyDescent="0.25">
      <c r="A122" s="6"/>
      <c r="B122" s="7"/>
      <c r="C122" s="8" t="s">
        <v>104</v>
      </c>
      <c r="D122" s="25"/>
      <c r="E122" s="48"/>
      <c r="F122" s="53">
        <v>0</v>
      </c>
      <c r="G122" s="13">
        <v>0</v>
      </c>
    </row>
    <row r="123" spans="1:7" ht="15" x14ac:dyDescent="0.25">
      <c r="A123" s="6"/>
      <c r="B123" s="7"/>
      <c r="C123" s="14"/>
      <c r="D123" s="7"/>
      <c r="E123" s="46"/>
      <c r="F123" s="51"/>
      <c r="G123" s="5"/>
    </row>
    <row r="124" spans="1:7" ht="25.5" x14ac:dyDescent="0.25">
      <c r="A124" s="6"/>
      <c r="B124" s="7"/>
      <c r="C124" s="8" t="s">
        <v>127</v>
      </c>
      <c r="D124" s="9"/>
      <c r="E124" s="47"/>
      <c r="F124" s="112">
        <v>124.71299999999999</v>
      </c>
      <c r="G124" s="111">
        <v>1.9840546000000001E-2</v>
      </c>
    </row>
    <row r="125" spans="1:7" ht="15" x14ac:dyDescent="0.25">
      <c r="A125" s="6"/>
      <c r="B125" s="7"/>
      <c r="C125" s="8" t="s">
        <v>810</v>
      </c>
      <c r="D125" s="25"/>
      <c r="E125" s="48"/>
      <c r="F125" s="53">
        <v>124.71299999999999</v>
      </c>
      <c r="G125" s="13">
        <v>1.9840546000000001E-2</v>
      </c>
    </row>
    <row r="126" spans="1:7" ht="15" x14ac:dyDescent="0.25">
      <c r="A126" s="6"/>
      <c r="B126" s="7"/>
      <c r="C126" s="14"/>
      <c r="D126" s="7"/>
      <c r="E126" s="46"/>
      <c r="F126" s="56"/>
      <c r="G126" s="27"/>
    </row>
    <row r="127" spans="1:7" ht="25.5" x14ac:dyDescent="0.25">
      <c r="A127" s="6"/>
      <c r="B127" s="7"/>
      <c r="C127" s="29" t="s">
        <v>128</v>
      </c>
      <c r="D127" s="7"/>
      <c r="E127" s="46"/>
      <c r="F127" s="56">
        <v>2.1231630899999998</v>
      </c>
      <c r="G127" s="27">
        <v>3.3777299999999998E-4</v>
      </c>
    </row>
    <row r="128" spans="1:7" ht="15" x14ac:dyDescent="0.25">
      <c r="A128" s="6"/>
      <c r="B128" s="7"/>
      <c r="C128" s="30" t="s">
        <v>129</v>
      </c>
      <c r="D128" s="12"/>
      <c r="E128" s="48"/>
      <c r="F128" s="53">
        <v>6285.7646018899977</v>
      </c>
      <c r="G128" s="13">
        <v>0.99999999999999978</v>
      </c>
    </row>
    <row r="130" spans="2:6" ht="15" x14ac:dyDescent="0.25">
      <c r="B130" s="279"/>
      <c r="C130" s="279"/>
      <c r="D130" s="279"/>
      <c r="E130" s="279"/>
      <c r="F130" s="279"/>
    </row>
    <row r="131" spans="2:6" ht="15" x14ac:dyDescent="0.25">
      <c r="B131" s="279"/>
      <c r="C131" s="279"/>
      <c r="D131" s="279"/>
      <c r="E131" s="279"/>
      <c r="F131" s="279"/>
    </row>
    <row r="133" spans="2:6" ht="15" x14ac:dyDescent="0.25">
      <c r="B133" s="36" t="s">
        <v>131</v>
      </c>
      <c r="C133" s="37"/>
      <c r="D133" s="38"/>
    </row>
    <row r="134" spans="2:6" ht="15" x14ac:dyDescent="0.25">
      <c r="B134" s="39" t="s">
        <v>132</v>
      </c>
      <c r="C134" s="40"/>
      <c r="D134" s="62" t="s">
        <v>133</v>
      </c>
    </row>
    <row r="135" spans="2:6" ht="15" x14ac:dyDescent="0.25">
      <c r="B135" s="39" t="s">
        <v>134</v>
      </c>
      <c r="C135" s="40"/>
      <c r="D135" s="62" t="s">
        <v>133</v>
      </c>
    </row>
    <row r="136" spans="2:6" ht="15" x14ac:dyDescent="0.25">
      <c r="B136" s="41" t="s">
        <v>135</v>
      </c>
      <c r="C136" s="40"/>
      <c r="D136" s="42"/>
    </row>
    <row r="137" spans="2:6" ht="25.5" customHeight="1" x14ac:dyDescent="0.25">
      <c r="B137" s="42"/>
      <c r="C137" s="32" t="s">
        <v>136</v>
      </c>
      <c r="D137" s="33" t="s">
        <v>137</v>
      </c>
    </row>
    <row r="138" spans="2:6" ht="12.75" customHeight="1" x14ac:dyDescent="0.25">
      <c r="B138" s="57" t="s">
        <v>138</v>
      </c>
      <c r="C138" s="58" t="s">
        <v>139</v>
      </c>
      <c r="D138" s="58" t="s">
        <v>140</v>
      </c>
    </row>
    <row r="139" spans="2:6" ht="15" x14ac:dyDescent="0.25">
      <c r="B139" s="42" t="s">
        <v>141</v>
      </c>
      <c r="C139" s="43">
        <v>8.0351999999999997</v>
      </c>
      <c r="D139" s="43">
        <v>6.9932999999999996</v>
      </c>
    </row>
    <row r="140" spans="2:6" ht="15" x14ac:dyDescent="0.25">
      <c r="B140" s="42" t="s">
        <v>142</v>
      </c>
      <c r="C140" s="43">
        <v>8.0351999999999997</v>
      </c>
      <c r="D140" s="43">
        <v>6.9932999999999996</v>
      </c>
    </row>
    <row r="141" spans="2:6" ht="15" x14ac:dyDescent="0.25">
      <c r="B141" s="42" t="s">
        <v>143</v>
      </c>
      <c r="C141" s="43">
        <v>7.9500999999999999</v>
      </c>
      <c r="D141" s="43">
        <v>6.9157999999999999</v>
      </c>
    </row>
    <row r="142" spans="2:6" ht="15" x14ac:dyDescent="0.25">
      <c r="B142" s="42" t="s">
        <v>144</v>
      </c>
      <c r="C142" s="43">
        <v>7.9500999999999999</v>
      </c>
      <c r="D142" s="43">
        <v>6.9157999999999999</v>
      </c>
    </row>
    <row r="144" spans="2:6" ht="15" x14ac:dyDescent="0.25">
      <c r="B144" s="59" t="s">
        <v>145</v>
      </c>
      <c r="C144" s="44"/>
      <c r="D144" s="60" t="s">
        <v>133</v>
      </c>
    </row>
    <row r="145" spans="2:4" ht="24.75" customHeight="1" x14ac:dyDescent="0.25">
      <c r="B145" s="61"/>
      <c r="C145" s="61"/>
    </row>
    <row r="146" spans="2:4" ht="15" x14ac:dyDescent="0.25">
      <c r="B146" s="63"/>
      <c r="C146" s="65"/>
      <c r="D146"/>
    </row>
    <row r="148" spans="2:4" ht="15" x14ac:dyDescent="0.25">
      <c r="B148" s="41" t="s">
        <v>146</v>
      </c>
      <c r="C148" s="40"/>
      <c r="D148" s="64" t="s">
        <v>133</v>
      </c>
    </row>
    <row r="149" spans="2:4" ht="15" x14ac:dyDescent="0.25">
      <c r="B149" s="41" t="s">
        <v>147</v>
      </c>
      <c r="C149" s="40"/>
      <c r="D149" s="64" t="s">
        <v>133</v>
      </c>
    </row>
    <row r="150" spans="2:4" ht="15" x14ac:dyDescent="0.25">
      <c r="B150" s="41" t="s">
        <v>148</v>
      </c>
      <c r="C150" s="40"/>
      <c r="D150" s="45">
        <v>1.20178603081418E-2</v>
      </c>
    </row>
    <row r="151" spans="2:4" ht="15" x14ac:dyDescent="0.25">
      <c r="B151" s="41" t="s">
        <v>149</v>
      </c>
      <c r="C151" s="40"/>
      <c r="D151" s="45" t="s">
        <v>133</v>
      </c>
    </row>
  </sheetData>
  <mergeCells count="5">
    <mergeCell ref="A1:G1"/>
    <mergeCell ref="A2:G2"/>
    <mergeCell ref="A3:G3"/>
    <mergeCell ref="B130:F130"/>
    <mergeCell ref="B131:F13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155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285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153</v>
      </c>
      <c r="C7" s="11" t="s">
        <v>154</v>
      </c>
      <c r="D7" s="2" t="s">
        <v>155</v>
      </c>
      <c r="E7" s="46">
        <v>34359</v>
      </c>
      <c r="F7" s="51">
        <v>213.987852</v>
      </c>
      <c r="G7" s="5">
        <v>4.049415E-2</v>
      </c>
    </row>
    <row r="8" spans="1:7" ht="15" x14ac:dyDescent="0.25">
      <c r="A8" s="6">
        <v>2</v>
      </c>
      <c r="B8" s="7" t="s">
        <v>151</v>
      </c>
      <c r="C8" s="11" t="s">
        <v>152</v>
      </c>
      <c r="D8" s="2" t="s">
        <v>16</v>
      </c>
      <c r="E8" s="46">
        <v>106078</v>
      </c>
      <c r="F8" s="51">
        <v>205.367008</v>
      </c>
      <c r="G8" s="5">
        <v>3.8862778000000001E-2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40089</v>
      </c>
      <c r="F9" s="51">
        <v>192.2868885</v>
      </c>
      <c r="G9" s="5">
        <v>3.6387551999999997E-2</v>
      </c>
    </row>
    <row r="10" spans="1:7" ht="25.5" x14ac:dyDescent="0.25">
      <c r="A10" s="6">
        <v>4</v>
      </c>
      <c r="B10" s="7" t="s">
        <v>68</v>
      </c>
      <c r="C10" s="11" t="s">
        <v>69</v>
      </c>
      <c r="D10" s="2" t="s">
        <v>19</v>
      </c>
      <c r="E10" s="46">
        <v>151415</v>
      </c>
      <c r="F10" s="51">
        <v>183.06073499999999</v>
      </c>
      <c r="G10" s="5">
        <v>3.4641633999999998E-2</v>
      </c>
    </row>
    <row r="11" spans="1:7" ht="15" x14ac:dyDescent="0.25">
      <c r="A11" s="6">
        <v>5</v>
      </c>
      <c r="B11" s="7" t="s">
        <v>60</v>
      </c>
      <c r="C11" s="11" t="s">
        <v>61</v>
      </c>
      <c r="D11" s="2" t="s">
        <v>16</v>
      </c>
      <c r="E11" s="46">
        <v>17622</v>
      </c>
      <c r="F11" s="51">
        <v>170.22852</v>
      </c>
      <c r="G11" s="5">
        <v>3.2213319999999997E-2</v>
      </c>
    </row>
    <row r="12" spans="1:7" ht="25.5" x14ac:dyDescent="0.25">
      <c r="A12" s="6">
        <v>6</v>
      </c>
      <c r="B12" s="7" t="s">
        <v>23</v>
      </c>
      <c r="C12" s="11" t="s">
        <v>24</v>
      </c>
      <c r="D12" s="2" t="s">
        <v>22</v>
      </c>
      <c r="E12" s="46">
        <v>28959</v>
      </c>
      <c r="F12" s="51">
        <v>159.23106150000001</v>
      </c>
      <c r="G12" s="5">
        <v>3.0132208000000001E-2</v>
      </c>
    </row>
    <row r="13" spans="1:7" ht="15" x14ac:dyDescent="0.25">
      <c r="A13" s="6">
        <v>7</v>
      </c>
      <c r="B13" s="7" t="s">
        <v>62</v>
      </c>
      <c r="C13" s="11" t="s">
        <v>63</v>
      </c>
      <c r="D13" s="2" t="s">
        <v>16</v>
      </c>
      <c r="E13" s="46">
        <v>142798</v>
      </c>
      <c r="F13" s="51">
        <v>145.51116200000001</v>
      </c>
      <c r="G13" s="5">
        <v>2.7535912999999999E-2</v>
      </c>
    </row>
    <row r="14" spans="1:7" ht="25.5" x14ac:dyDescent="0.25">
      <c r="A14" s="6">
        <v>8</v>
      </c>
      <c r="B14" s="7" t="s">
        <v>90</v>
      </c>
      <c r="C14" s="11" t="s">
        <v>91</v>
      </c>
      <c r="D14" s="2" t="s">
        <v>22</v>
      </c>
      <c r="E14" s="46">
        <v>14300</v>
      </c>
      <c r="F14" s="51">
        <v>142.99285</v>
      </c>
      <c r="G14" s="5">
        <v>2.7059357999999999E-2</v>
      </c>
    </row>
    <row r="15" spans="1:7" ht="15" x14ac:dyDescent="0.25">
      <c r="A15" s="6">
        <v>9</v>
      </c>
      <c r="B15" s="7" t="s">
        <v>281</v>
      </c>
      <c r="C15" s="11" t="s">
        <v>282</v>
      </c>
      <c r="D15" s="2" t="s">
        <v>56</v>
      </c>
      <c r="E15" s="46">
        <v>188420</v>
      </c>
      <c r="F15" s="51">
        <v>128.40823</v>
      </c>
      <c r="G15" s="5">
        <v>2.4299426999999998E-2</v>
      </c>
    </row>
    <row r="16" spans="1:7" ht="15" x14ac:dyDescent="0.25">
      <c r="A16" s="6">
        <v>10</v>
      </c>
      <c r="B16" s="7" t="s">
        <v>160</v>
      </c>
      <c r="C16" s="11" t="s">
        <v>161</v>
      </c>
      <c r="D16" s="2" t="s">
        <v>162</v>
      </c>
      <c r="E16" s="46">
        <v>48350</v>
      </c>
      <c r="F16" s="51">
        <v>127.45059999999999</v>
      </c>
      <c r="G16" s="5">
        <v>2.4118209000000002E-2</v>
      </c>
    </row>
    <row r="17" spans="1:7" ht="25.5" x14ac:dyDescent="0.25">
      <c r="A17" s="6">
        <v>11</v>
      </c>
      <c r="B17" s="7" t="s">
        <v>189</v>
      </c>
      <c r="C17" s="11" t="s">
        <v>190</v>
      </c>
      <c r="D17" s="2" t="s">
        <v>167</v>
      </c>
      <c r="E17" s="46">
        <v>28134</v>
      </c>
      <c r="F17" s="51">
        <v>124.183476</v>
      </c>
      <c r="G17" s="5">
        <v>2.3499952000000001E-2</v>
      </c>
    </row>
    <row r="18" spans="1:7" ht="15" x14ac:dyDescent="0.25">
      <c r="A18" s="6">
        <v>12</v>
      </c>
      <c r="B18" s="7" t="s">
        <v>218</v>
      </c>
      <c r="C18" s="11" t="s">
        <v>219</v>
      </c>
      <c r="D18" s="2" t="s">
        <v>51</v>
      </c>
      <c r="E18" s="46">
        <v>57337</v>
      </c>
      <c r="F18" s="51">
        <v>122.12781</v>
      </c>
      <c r="G18" s="5">
        <v>2.3110947E-2</v>
      </c>
    </row>
    <row r="19" spans="1:7" ht="25.5" x14ac:dyDescent="0.25">
      <c r="A19" s="6">
        <v>13</v>
      </c>
      <c r="B19" s="7" t="s">
        <v>43</v>
      </c>
      <c r="C19" s="11" t="s">
        <v>44</v>
      </c>
      <c r="D19" s="2" t="s">
        <v>30</v>
      </c>
      <c r="E19" s="46">
        <v>114091</v>
      </c>
      <c r="F19" s="51">
        <v>120.4230505</v>
      </c>
      <c r="G19" s="5">
        <v>2.2788345000000002E-2</v>
      </c>
    </row>
    <row r="20" spans="1:7" ht="25.5" x14ac:dyDescent="0.25">
      <c r="A20" s="6">
        <v>14</v>
      </c>
      <c r="B20" s="7" t="s">
        <v>178</v>
      </c>
      <c r="C20" s="11" t="s">
        <v>179</v>
      </c>
      <c r="D20" s="2" t="s">
        <v>22</v>
      </c>
      <c r="E20" s="46">
        <v>32892</v>
      </c>
      <c r="F20" s="51">
        <v>114.562836</v>
      </c>
      <c r="G20" s="5">
        <v>2.1679383E-2</v>
      </c>
    </row>
    <row r="21" spans="1:7" ht="25.5" x14ac:dyDescent="0.25">
      <c r="A21" s="6">
        <v>15</v>
      </c>
      <c r="B21" s="7" t="s">
        <v>174</v>
      </c>
      <c r="C21" s="11" t="s">
        <v>175</v>
      </c>
      <c r="D21" s="2" t="s">
        <v>22</v>
      </c>
      <c r="E21" s="46">
        <v>37873</v>
      </c>
      <c r="F21" s="51">
        <v>111.687477</v>
      </c>
      <c r="G21" s="5">
        <v>2.1135263000000001E-2</v>
      </c>
    </row>
    <row r="22" spans="1:7" ht="25.5" x14ac:dyDescent="0.25">
      <c r="A22" s="6">
        <v>16</v>
      </c>
      <c r="B22" s="7" t="s">
        <v>52</v>
      </c>
      <c r="C22" s="11" t="s">
        <v>53</v>
      </c>
      <c r="D22" s="2" t="s">
        <v>30</v>
      </c>
      <c r="E22" s="46">
        <v>25630</v>
      </c>
      <c r="F22" s="51">
        <v>109.709215</v>
      </c>
      <c r="G22" s="5">
        <v>2.0760905E-2</v>
      </c>
    </row>
    <row r="23" spans="1:7" ht="25.5" x14ac:dyDescent="0.25">
      <c r="A23" s="6">
        <v>17</v>
      </c>
      <c r="B23" s="7" t="s">
        <v>171</v>
      </c>
      <c r="C23" s="11" t="s">
        <v>172</v>
      </c>
      <c r="D23" s="2" t="s">
        <v>173</v>
      </c>
      <c r="E23" s="46">
        <v>36963</v>
      </c>
      <c r="F23" s="51">
        <v>108.6527385</v>
      </c>
      <c r="G23" s="5">
        <v>2.0560981999999998E-2</v>
      </c>
    </row>
    <row r="24" spans="1:7" ht="25.5" x14ac:dyDescent="0.25">
      <c r="A24" s="6">
        <v>18</v>
      </c>
      <c r="B24" s="7" t="s">
        <v>194</v>
      </c>
      <c r="C24" s="11" t="s">
        <v>195</v>
      </c>
      <c r="D24" s="2" t="s">
        <v>37</v>
      </c>
      <c r="E24" s="46">
        <v>30747</v>
      </c>
      <c r="F24" s="51">
        <v>104.0632215</v>
      </c>
      <c r="G24" s="5">
        <v>1.9692481000000001E-2</v>
      </c>
    </row>
    <row r="25" spans="1:7" ht="25.5" x14ac:dyDescent="0.25">
      <c r="A25" s="6">
        <v>19</v>
      </c>
      <c r="B25" s="7" t="s">
        <v>92</v>
      </c>
      <c r="C25" s="11" t="s">
        <v>93</v>
      </c>
      <c r="D25" s="2" t="s">
        <v>22</v>
      </c>
      <c r="E25" s="46">
        <v>22756</v>
      </c>
      <c r="F25" s="51">
        <v>99.796437999999995</v>
      </c>
      <c r="G25" s="5">
        <v>1.8885052999999999E-2</v>
      </c>
    </row>
    <row r="26" spans="1:7" ht="15" x14ac:dyDescent="0.25">
      <c r="A26" s="6">
        <v>20</v>
      </c>
      <c r="B26" s="7" t="s">
        <v>270</v>
      </c>
      <c r="C26" s="11" t="s">
        <v>271</v>
      </c>
      <c r="D26" s="2" t="s">
        <v>16</v>
      </c>
      <c r="E26" s="46">
        <v>58791</v>
      </c>
      <c r="F26" s="51">
        <v>98.298552000000001</v>
      </c>
      <c r="G26" s="5">
        <v>1.8601599E-2</v>
      </c>
    </row>
    <row r="27" spans="1:7" ht="15" x14ac:dyDescent="0.25">
      <c r="A27" s="6">
        <v>21</v>
      </c>
      <c r="B27" s="7" t="s">
        <v>168</v>
      </c>
      <c r="C27" s="11" t="s">
        <v>169</v>
      </c>
      <c r="D27" s="2" t="s">
        <v>170</v>
      </c>
      <c r="E27" s="46">
        <v>48259</v>
      </c>
      <c r="F27" s="51">
        <v>91.933395000000004</v>
      </c>
      <c r="G27" s="5">
        <v>1.7397084E-2</v>
      </c>
    </row>
    <row r="28" spans="1:7" ht="15" x14ac:dyDescent="0.25">
      <c r="A28" s="6">
        <v>22</v>
      </c>
      <c r="B28" s="7" t="s">
        <v>182</v>
      </c>
      <c r="C28" s="11" t="s">
        <v>183</v>
      </c>
      <c r="D28" s="2" t="s">
        <v>184</v>
      </c>
      <c r="E28" s="46">
        <v>48138</v>
      </c>
      <c r="F28" s="51">
        <v>89.969921999999997</v>
      </c>
      <c r="G28" s="5">
        <v>1.7025525E-2</v>
      </c>
    </row>
    <row r="29" spans="1:7" ht="15" x14ac:dyDescent="0.25">
      <c r="A29" s="6">
        <v>23</v>
      </c>
      <c r="B29" s="7" t="s">
        <v>187</v>
      </c>
      <c r="C29" s="11" t="s">
        <v>188</v>
      </c>
      <c r="D29" s="2" t="s">
        <v>162</v>
      </c>
      <c r="E29" s="46">
        <v>9515</v>
      </c>
      <c r="F29" s="51">
        <v>87.304882500000005</v>
      </c>
      <c r="G29" s="5">
        <v>1.6521204000000001E-2</v>
      </c>
    </row>
    <row r="30" spans="1:7" ht="51" x14ac:dyDescent="0.25">
      <c r="A30" s="6">
        <v>24</v>
      </c>
      <c r="B30" s="7" t="s">
        <v>286</v>
      </c>
      <c r="C30" s="11" t="s">
        <v>287</v>
      </c>
      <c r="D30" s="2" t="s">
        <v>235</v>
      </c>
      <c r="E30" s="46">
        <v>270455</v>
      </c>
      <c r="F30" s="51">
        <v>87.086510000000004</v>
      </c>
      <c r="G30" s="5">
        <v>1.6479879999999999E-2</v>
      </c>
    </row>
    <row r="31" spans="1:7" ht="15" x14ac:dyDescent="0.25">
      <c r="A31" s="6">
        <v>25</v>
      </c>
      <c r="B31" s="7" t="s">
        <v>49</v>
      </c>
      <c r="C31" s="11" t="s">
        <v>50</v>
      </c>
      <c r="D31" s="2" t="s">
        <v>51</v>
      </c>
      <c r="E31" s="46">
        <v>32900</v>
      </c>
      <c r="F31" s="51">
        <v>86.066400000000002</v>
      </c>
      <c r="G31" s="5">
        <v>1.6286839000000001E-2</v>
      </c>
    </row>
    <row r="32" spans="1:7" ht="15" x14ac:dyDescent="0.25">
      <c r="A32" s="6">
        <v>26</v>
      </c>
      <c r="B32" s="7" t="s">
        <v>158</v>
      </c>
      <c r="C32" s="11" t="s">
        <v>159</v>
      </c>
      <c r="D32" s="2" t="s">
        <v>16</v>
      </c>
      <c r="E32" s="46">
        <v>98000</v>
      </c>
      <c r="F32" s="51">
        <v>86.043999999999997</v>
      </c>
      <c r="G32" s="5">
        <v>1.6282600000000001E-2</v>
      </c>
    </row>
    <row r="33" spans="1:7" ht="25.5" x14ac:dyDescent="0.25">
      <c r="A33" s="6">
        <v>27</v>
      </c>
      <c r="B33" s="7" t="s">
        <v>64</v>
      </c>
      <c r="C33" s="11" t="s">
        <v>65</v>
      </c>
      <c r="D33" s="2" t="s">
        <v>19</v>
      </c>
      <c r="E33" s="46">
        <v>117618</v>
      </c>
      <c r="F33" s="51">
        <v>86.037566999999996</v>
      </c>
      <c r="G33" s="5">
        <v>1.6281383E-2</v>
      </c>
    </row>
    <row r="34" spans="1:7" ht="15" x14ac:dyDescent="0.25">
      <c r="A34" s="6">
        <v>28</v>
      </c>
      <c r="B34" s="7" t="s">
        <v>191</v>
      </c>
      <c r="C34" s="11" t="s">
        <v>192</v>
      </c>
      <c r="D34" s="2" t="s">
        <v>193</v>
      </c>
      <c r="E34" s="46">
        <v>61316</v>
      </c>
      <c r="F34" s="51">
        <v>81.611596000000006</v>
      </c>
      <c r="G34" s="5">
        <v>1.5443831E-2</v>
      </c>
    </row>
    <row r="35" spans="1:7" ht="25.5" x14ac:dyDescent="0.25">
      <c r="A35" s="6">
        <v>29</v>
      </c>
      <c r="B35" s="7" t="s">
        <v>196</v>
      </c>
      <c r="C35" s="11" t="s">
        <v>846</v>
      </c>
      <c r="D35" s="2" t="s">
        <v>59</v>
      </c>
      <c r="E35" s="46">
        <v>4927</v>
      </c>
      <c r="F35" s="51">
        <v>80.866850999999997</v>
      </c>
      <c r="G35" s="5">
        <v>1.5302899E-2</v>
      </c>
    </row>
    <row r="36" spans="1:7" ht="25.5" x14ac:dyDescent="0.25">
      <c r="A36" s="6">
        <v>30</v>
      </c>
      <c r="B36" s="7" t="s">
        <v>94</v>
      </c>
      <c r="C36" s="11" t="s">
        <v>95</v>
      </c>
      <c r="D36" s="2" t="s">
        <v>22</v>
      </c>
      <c r="E36" s="46">
        <v>72038</v>
      </c>
      <c r="F36" s="51">
        <v>73.802931000000001</v>
      </c>
      <c r="G36" s="5">
        <v>1.3966152000000001E-2</v>
      </c>
    </row>
    <row r="37" spans="1:7" ht="25.5" x14ac:dyDescent="0.25">
      <c r="A37" s="6">
        <v>31</v>
      </c>
      <c r="B37" s="7" t="s">
        <v>85</v>
      </c>
      <c r="C37" s="11" t="s">
        <v>86</v>
      </c>
      <c r="D37" s="2" t="s">
        <v>22</v>
      </c>
      <c r="E37" s="46">
        <v>12072</v>
      </c>
      <c r="F37" s="51">
        <v>71.508492000000004</v>
      </c>
      <c r="G37" s="5">
        <v>1.3531962999999999E-2</v>
      </c>
    </row>
    <row r="38" spans="1:7" ht="25.5" x14ac:dyDescent="0.25">
      <c r="A38" s="6">
        <v>32</v>
      </c>
      <c r="B38" s="7" t="s">
        <v>20</v>
      </c>
      <c r="C38" s="11" t="s">
        <v>21</v>
      </c>
      <c r="D38" s="2" t="s">
        <v>22</v>
      </c>
      <c r="E38" s="46">
        <v>10490</v>
      </c>
      <c r="F38" s="51">
        <v>71.206119999999999</v>
      </c>
      <c r="G38" s="5">
        <v>1.3474743000000001E-2</v>
      </c>
    </row>
    <row r="39" spans="1:7" ht="15" x14ac:dyDescent="0.25">
      <c r="A39" s="6">
        <v>33</v>
      </c>
      <c r="B39" s="7" t="s">
        <v>236</v>
      </c>
      <c r="C39" s="11" t="s">
        <v>237</v>
      </c>
      <c r="D39" s="2" t="s">
        <v>238</v>
      </c>
      <c r="E39" s="46">
        <v>11742</v>
      </c>
      <c r="F39" s="51">
        <v>70.645742999999996</v>
      </c>
      <c r="G39" s="5">
        <v>1.3368700000000001E-2</v>
      </c>
    </row>
    <row r="40" spans="1:7" ht="51" x14ac:dyDescent="0.25">
      <c r="A40" s="6">
        <v>34</v>
      </c>
      <c r="B40" s="7" t="s">
        <v>233</v>
      </c>
      <c r="C40" s="11" t="s">
        <v>234</v>
      </c>
      <c r="D40" s="2" t="s">
        <v>235</v>
      </c>
      <c r="E40" s="46">
        <v>29874</v>
      </c>
      <c r="F40" s="51">
        <v>67.574988000000005</v>
      </c>
      <c r="G40" s="5">
        <v>1.2787603E-2</v>
      </c>
    </row>
    <row r="41" spans="1:7" ht="38.25" x14ac:dyDescent="0.25">
      <c r="A41" s="6">
        <v>35</v>
      </c>
      <c r="B41" s="7" t="s">
        <v>82</v>
      </c>
      <c r="C41" s="11" t="s">
        <v>83</v>
      </c>
      <c r="D41" s="2" t="s">
        <v>84</v>
      </c>
      <c r="E41" s="46">
        <v>79000</v>
      </c>
      <c r="F41" s="51">
        <v>62.686500000000002</v>
      </c>
      <c r="G41" s="5">
        <v>1.1862526E-2</v>
      </c>
    </row>
    <row r="42" spans="1:7" ht="15" x14ac:dyDescent="0.25">
      <c r="A42" s="6">
        <v>36</v>
      </c>
      <c r="B42" s="7" t="s">
        <v>244</v>
      </c>
      <c r="C42" s="11" t="s">
        <v>245</v>
      </c>
      <c r="D42" s="2" t="s">
        <v>162</v>
      </c>
      <c r="E42" s="46">
        <v>11780</v>
      </c>
      <c r="F42" s="51">
        <v>60.990949999999998</v>
      </c>
      <c r="G42" s="5">
        <v>1.1541668E-2</v>
      </c>
    </row>
    <row r="43" spans="1:7" ht="25.5" x14ac:dyDescent="0.25">
      <c r="A43" s="6">
        <v>37</v>
      </c>
      <c r="B43" s="7" t="s">
        <v>276</v>
      </c>
      <c r="C43" s="11" t="s">
        <v>277</v>
      </c>
      <c r="D43" s="2" t="s">
        <v>37</v>
      </c>
      <c r="E43" s="46">
        <v>89000</v>
      </c>
      <c r="F43" s="51">
        <v>59.674500000000002</v>
      </c>
      <c r="G43" s="5">
        <v>1.1292547999999999E-2</v>
      </c>
    </row>
    <row r="44" spans="1:7" ht="25.5" x14ac:dyDescent="0.25">
      <c r="A44" s="6">
        <v>38</v>
      </c>
      <c r="B44" s="7" t="s">
        <v>216</v>
      </c>
      <c r="C44" s="11" t="s">
        <v>217</v>
      </c>
      <c r="D44" s="2" t="s">
        <v>59</v>
      </c>
      <c r="E44" s="46">
        <v>25594</v>
      </c>
      <c r="F44" s="51">
        <v>57.932018999999997</v>
      </c>
      <c r="G44" s="5">
        <v>1.0962809E-2</v>
      </c>
    </row>
    <row r="45" spans="1:7" ht="15" x14ac:dyDescent="0.25">
      <c r="A45" s="6">
        <v>39</v>
      </c>
      <c r="B45" s="7" t="s">
        <v>72</v>
      </c>
      <c r="C45" s="11" t="s">
        <v>845</v>
      </c>
      <c r="D45" s="2" t="s">
        <v>51</v>
      </c>
      <c r="E45" s="46">
        <v>24117</v>
      </c>
      <c r="F45" s="51">
        <v>57.121114499999997</v>
      </c>
      <c r="G45" s="5">
        <v>1.0809356000000001E-2</v>
      </c>
    </row>
    <row r="46" spans="1:7" ht="25.5" x14ac:dyDescent="0.25">
      <c r="A46" s="6">
        <v>40</v>
      </c>
      <c r="B46" s="7" t="s">
        <v>45</v>
      </c>
      <c r="C46" s="11" t="s">
        <v>46</v>
      </c>
      <c r="D46" s="2" t="s">
        <v>22</v>
      </c>
      <c r="E46" s="46">
        <v>9139</v>
      </c>
      <c r="F46" s="51">
        <v>55.921540999999998</v>
      </c>
      <c r="G46" s="5">
        <v>1.0582354E-2</v>
      </c>
    </row>
    <row r="47" spans="1:7" ht="15" x14ac:dyDescent="0.25">
      <c r="A47" s="6">
        <v>41</v>
      </c>
      <c r="B47" s="7" t="s">
        <v>252</v>
      </c>
      <c r="C47" s="11" t="s">
        <v>253</v>
      </c>
      <c r="D47" s="2" t="s">
        <v>215</v>
      </c>
      <c r="E47" s="46">
        <v>6900</v>
      </c>
      <c r="F47" s="51">
        <v>53.726849999999999</v>
      </c>
      <c r="G47" s="5">
        <v>1.016704E-2</v>
      </c>
    </row>
    <row r="48" spans="1:7" ht="15" x14ac:dyDescent="0.25">
      <c r="A48" s="6">
        <v>42</v>
      </c>
      <c r="B48" s="7" t="s">
        <v>254</v>
      </c>
      <c r="C48" s="11" t="s">
        <v>255</v>
      </c>
      <c r="D48" s="2" t="s">
        <v>215</v>
      </c>
      <c r="E48" s="46">
        <v>64028</v>
      </c>
      <c r="F48" s="51">
        <v>50.870246000000002</v>
      </c>
      <c r="G48" s="5">
        <v>9.6264690000000003E-3</v>
      </c>
    </row>
    <row r="49" spans="1:7" ht="25.5" x14ac:dyDescent="0.25">
      <c r="A49" s="6">
        <v>43</v>
      </c>
      <c r="B49" s="7" t="s">
        <v>185</v>
      </c>
      <c r="C49" s="11" t="s">
        <v>186</v>
      </c>
      <c r="D49" s="2" t="s">
        <v>59</v>
      </c>
      <c r="E49" s="46">
        <v>38919</v>
      </c>
      <c r="F49" s="51">
        <v>49.135237500000002</v>
      </c>
      <c r="G49" s="5">
        <v>9.298143E-3</v>
      </c>
    </row>
    <row r="50" spans="1:7" ht="15" x14ac:dyDescent="0.25">
      <c r="A50" s="6">
        <v>44</v>
      </c>
      <c r="B50" s="7" t="s">
        <v>222</v>
      </c>
      <c r="C50" s="11" t="s">
        <v>223</v>
      </c>
      <c r="D50" s="2" t="s">
        <v>215</v>
      </c>
      <c r="E50" s="46">
        <v>10280</v>
      </c>
      <c r="F50" s="51">
        <v>47.53472</v>
      </c>
      <c r="G50" s="5">
        <v>8.9952680000000007E-3</v>
      </c>
    </row>
    <row r="51" spans="1:7" ht="15" x14ac:dyDescent="0.25">
      <c r="A51" s="6">
        <v>45</v>
      </c>
      <c r="B51" s="7" t="s">
        <v>163</v>
      </c>
      <c r="C51" s="11" t="s">
        <v>164</v>
      </c>
      <c r="D51" s="2" t="s">
        <v>13</v>
      </c>
      <c r="E51" s="46">
        <v>24161</v>
      </c>
      <c r="F51" s="51">
        <v>47.234755</v>
      </c>
      <c r="G51" s="5">
        <v>8.9385039999999999E-3</v>
      </c>
    </row>
    <row r="52" spans="1:7" ht="15" x14ac:dyDescent="0.25">
      <c r="A52" s="6">
        <v>46</v>
      </c>
      <c r="B52" s="7" t="s">
        <v>283</v>
      </c>
      <c r="C52" s="11" t="s">
        <v>284</v>
      </c>
      <c r="D52" s="2" t="s">
        <v>155</v>
      </c>
      <c r="E52" s="46">
        <v>25632</v>
      </c>
      <c r="F52" s="51">
        <v>45.471167999999999</v>
      </c>
      <c r="G52" s="5">
        <v>8.6047699999999994E-3</v>
      </c>
    </row>
    <row r="53" spans="1:7" ht="15" x14ac:dyDescent="0.25">
      <c r="A53" s="6">
        <v>47</v>
      </c>
      <c r="B53" s="7" t="s">
        <v>256</v>
      </c>
      <c r="C53" s="11" t="s">
        <v>257</v>
      </c>
      <c r="D53" s="2" t="s">
        <v>215</v>
      </c>
      <c r="E53" s="46">
        <v>6000</v>
      </c>
      <c r="F53" s="51">
        <v>44.7</v>
      </c>
      <c r="G53" s="5">
        <v>8.4588379999999998E-3</v>
      </c>
    </row>
    <row r="54" spans="1:7" ht="15" x14ac:dyDescent="0.25">
      <c r="A54" s="6">
        <v>48</v>
      </c>
      <c r="B54" s="7" t="s">
        <v>246</v>
      </c>
      <c r="C54" s="11" t="s">
        <v>247</v>
      </c>
      <c r="D54" s="2" t="s">
        <v>170</v>
      </c>
      <c r="E54" s="46">
        <v>20028</v>
      </c>
      <c r="F54" s="51">
        <v>44.592342000000002</v>
      </c>
      <c r="G54" s="5">
        <v>8.4384649999999992E-3</v>
      </c>
    </row>
    <row r="55" spans="1:7" ht="15" x14ac:dyDescent="0.25">
      <c r="A55" s="6">
        <v>49</v>
      </c>
      <c r="B55" s="7" t="s">
        <v>201</v>
      </c>
      <c r="C55" s="11" t="s">
        <v>202</v>
      </c>
      <c r="D55" s="2" t="s">
        <v>27</v>
      </c>
      <c r="E55" s="46">
        <v>78758</v>
      </c>
      <c r="F55" s="51">
        <v>44.065100999999999</v>
      </c>
      <c r="G55" s="5">
        <v>8.338692E-3</v>
      </c>
    </row>
    <row r="56" spans="1:7" ht="25.5" x14ac:dyDescent="0.25">
      <c r="A56" s="6">
        <v>50</v>
      </c>
      <c r="B56" s="7" t="s">
        <v>87</v>
      </c>
      <c r="C56" s="11" t="s">
        <v>88</v>
      </c>
      <c r="D56" s="2" t="s">
        <v>89</v>
      </c>
      <c r="E56" s="46">
        <v>15000</v>
      </c>
      <c r="F56" s="51">
        <v>43.604999999999997</v>
      </c>
      <c r="G56" s="5">
        <v>8.2516250000000003E-3</v>
      </c>
    </row>
    <row r="57" spans="1:7" ht="15" x14ac:dyDescent="0.25">
      <c r="A57" s="6">
        <v>51</v>
      </c>
      <c r="B57" s="7" t="s">
        <v>272</v>
      </c>
      <c r="C57" s="11" t="s">
        <v>273</v>
      </c>
      <c r="D57" s="2" t="s">
        <v>170</v>
      </c>
      <c r="E57" s="46">
        <v>19090</v>
      </c>
      <c r="F57" s="51">
        <v>43.353389999999997</v>
      </c>
      <c r="G57" s="5">
        <v>8.2040110000000006E-3</v>
      </c>
    </row>
    <row r="58" spans="1:7" ht="15" x14ac:dyDescent="0.25">
      <c r="A58" s="6">
        <v>52</v>
      </c>
      <c r="B58" s="7" t="s">
        <v>75</v>
      </c>
      <c r="C58" s="11" t="s">
        <v>76</v>
      </c>
      <c r="D58" s="2" t="s">
        <v>51</v>
      </c>
      <c r="E58" s="46">
        <v>19208</v>
      </c>
      <c r="F58" s="51">
        <v>42.536116</v>
      </c>
      <c r="G58" s="5">
        <v>8.0493530000000004E-3</v>
      </c>
    </row>
    <row r="59" spans="1:7" ht="25.5" x14ac:dyDescent="0.25">
      <c r="A59" s="6">
        <v>53</v>
      </c>
      <c r="B59" s="7" t="s">
        <v>207</v>
      </c>
      <c r="C59" s="11" t="s">
        <v>208</v>
      </c>
      <c r="D59" s="2" t="s">
        <v>30</v>
      </c>
      <c r="E59" s="46">
        <v>38605</v>
      </c>
      <c r="F59" s="51">
        <v>42.4075925</v>
      </c>
      <c r="G59" s="5">
        <v>8.0250319999999997E-3</v>
      </c>
    </row>
    <row r="60" spans="1:7" ht="15" x14ac:dyDescent="0.25">
      <c r="A60" s="6">
        <v>54</v>
      </c>
      <c r="B60" s="7" t="s">
        <v>211</v>
      </c>
      <c r="C60" s="11" t="s">
        <v>212</v>
      </c>
      <c r="D60" s="2" t="s">
        <v>162</v>
      </c>
      <c r="E60" s="46">
        <v>50242</v>
      </c>
      <c r="F60" s="51">
        <v>39.942390000000003</v>
      </c>
      <c r="G60" s="5">
        <v>7.5585280000000001E-3</v>
      </c>
    </row>
    <row r="61" spans="1:7" ht="15" x14ac:dyDescent="0.25">
      <c r="A61" s="6">
        <v>55</v>
      </c>
      <c r="B61" s="7" t="s">
        <v>209</v>
      </c>
      <c r="C61" s="11" t="s">
        <v>210</v>
      </c>
      <c r="D61" s="2" t="s">
        <v>155</v>
      </c>
      <c r="E61" s="46">
        <v>22567</v>
      </c>
      <c r="F61" s="51">
        <v>37.607905500000001</v>
      </c>
      <c r="G61" s="5">
        <v>7.1167599999999998E-3</v>
      </c>
    </row>
    <row r="62" spans="1:7" ht="15" x14ac:dyDescent="0.25">
      <c r="A62" s="6">
        <v>56</v>
      </c>
      <c r="B62" s="7" t="s">
        <v>258</v>
      </c>
      <c r="C62" s="11" t="s">
        <v>259</v>
      </c>
      <c r="D62" s="2" t="s">
        <v>193</v>
      </c>
      <c r="E62" s="46">
        <v>46393</v>
      </c>
      <c r="F62" s="51">
        <v>35.769002999999998</v>
      </c>
      <c r="G62" s="5">
        <v>6.768774E-3</v>
      </c>
    </row>
    <row r="63" spans="1:7" ht="15" x14ac:dyDescent="0.25">
      <c r="A63" s="6">
        <v>57</v>
      </c>
      <c r="B63" s="7" t="s">
        <v>197</v>
      </c>
      <c r="C63" s="11" t="s">
        <v>198</v>
      </c>
      <c r="D63" s="2" t="s">
        <v>162</v>
      </c>
      <c r="E63" s="46">
        <v>10712</v>
      </c>
      <c r="F63" s="51">
        <v>31.530771999999999</v>
      </c>
      <c r="G63" s="5">
        <v>5.9667490000000004E-3</v>
      </c>
    </row>
    <row r="64" spans="1:7" ht="15" x14ac:dyDescent="0.25">
      <c r="A64" s="6">
        <v>58</v>
      </c>
      <c r="B64" s="7" t="s">
        <v>224</v>
      </c>
      <c r="C64" s="11" t="s">
        <v>225</v>
      </c>
      <c r="D64" s="2" t="s">
        <v>226</v>
      </c>
      <c r="E64" s="46">
        <v>2863</v>
      </c>
      <c r="F64" s="51">
        <v>30.990543500000001</v>
      </c>
      <c r="G64" s="5">
        <v>5.864518E-3</v>
      </c>
    </row>
    <row r="65" spans="1:7" ht="25.5" x14ac:dyDescent="0.25">
      <c r="A65" s="6">
        <v>59</v>
      </c>
      <c r="B65" s="7" t="s">
        <v>274</v>
      </c>
      <c r="C65" s="11" t="s">
        <v>275</v>
      </c>
      <c r="D65" s="2" t="s">
        <v>22</v>
      </c>
      <c r="E65" s="46">
        <v>7809</v>
      </c>
      <c r="F65" s="51">
        <v>30.763555499999999</v>
      </c>
      <c r="G65" s="5">
        <v>5.8215640000000004E-3</v>
      </c>
    </row>
    <row r="66" spans="1:7" ht="15" x14ac:dyDescent="0.25">
      <c r="A66" s="6">
        <v>60</v>
      </c>
      <c r="B66" s="7" t="s">
        <v>102</v>
      </c>
      <c r="C66" s="11" t="s">
        <v>103</v>
      </c>
      <c r="D66" s="2" t="s">
        <v>51</v>
      </c>
      <c r="E66" s="46">
        <v>27261</v>
      </c>
      <c r="F66" s="51">
        <v>29.591815499999999</v>
      </c>
      <c r="G66" s="5">
        <v>5.5998289999999997E-3</v>
      </c>
    </row>
    <row r="67" spans="1:7" ht="25.5" x14ac:dyDescent="0.25">
      <c r="A67" s="6">
        <v>61</v>
      </c>
      <c r="B67" s="7" t="s">
        <v>227</v>
      </c>
      <c r="C67" s="11" t="s">
        <v>228</v>
      </c>
      <c r="D67" s="2" t="s">
        <v>173</v>
      </c>
      <c r="E67" s="46">
        <v>18997</v>
      </c>
      <c r="F67" s="51">
        <v>12.044098</v>
      </c>
      <c r="G67" s="5">
        <v>2.2791740000000001E-3</v>
      </c>
    </row>
    <row r="68" spans="1:7" ht="25.5" x14ac:dyDescent="0.25">
      <c r="A68" s="6">
        <v>62</v>
      </c>
      <c r="B68" s="7" t="s">
        <v>229</v>
      </c>
      <c r="C68" s="11" t="s">
        <v>230</v>
      </c>
      <c r="D68" s="2" t="s">
        <v>37</v>
      </c>
      <c r="E68" s="46">
        <v>63687</v>
      </c>
      <c r="F68" s="51">
        <v>6.559761</v>
      </c>
      <c r="G68" s="5">
        <v>1.241341E-3</v>
      </c>
    </row>
    <row r="69" spans="1:7" ht="15" x14ac:dyDescent="0.25">
      <c r="A69" s="6">
        <v>63</v>
      </c>
      <c r="B69" s="7" t="s">
        <v>264</v>
      </c>
      <c r="C69" s="11" t="s">
        <v>265</v>
      </c>
      <c r="D69" s="2" t="s">
        <v>162</v>
      </c>
      <c r="E69" s="46">
        <v>1116</v>
      </c>
      <c r="F69" s="51">
        <v>0.74716199999999999</v>
      </c>
      <c r="G69" s="5">
        <v>1.4139E-4</v>
      </c>
    </row>
    <row r="70" spans="1:7" ht="15" x14ac:dyDescent="0.25">
      <c r="A70" s="1"/>
      <c r="B70" s="2"/>
      <c r="C70" s="8" t="s">
        <v>104</v>
      </c>
      <c r="D70" s="12"/>
      <c r="E70" s="48"/>
      <c r="F70" s="53">
        <v>5122.7952674999988</v>
      </c>
      <c r="G70" s="13">
        <v>0.9694159630000001</v>
      </c>
    </row>
    <row r="71" spans="1:7" ht="15" x14ac:dyDescent="0.25">
      <c r="A71" s="6"/>
      <c r="B71" s="7"/>
      <c r="C71" s="14"/>
      <c r="D71" s="15"/>
      <c r="E71" s="46"/>
      <c r="F71" s="51"/>
      <c r="G71" s="5"/>
    </row>
    <row r="72" spans="1:7" ht="15" x14ac:dyDescent="0.25">
      <c r="A72" s="1"/>
      <c r="B72" s="2"/>
      <c r="C72" s="8" t="s">
        <v>105</v>
      </c>
      <c r="D72" s="9"/>
      <c r="E72" s="47"/>
      <c r="F72" s="52"/>
      <c r="G72" s="10"/>
    </row>
    <row r="73" spans="1:7" ht="15" x14ac:dyDescent="0.25">
      <c r="A73" s="1"/>
      <c r="B73" s="2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15"/>
      <c r="E74" s="46"/>
      <c r="F74" s="51"/>
      <c r="G74" s="5"/>
    </row>
    <row r="75" spans="1:7" ht="15" x14ac:dyDescent="0.25">
      <c r="A75" s="16"/>
      <c r="B75" s="17"/>
      <c r="C75" s="8" t="s">
        <v>106</v>
      </c>
      <c r="D75" s="9"/>
      <c r="E75" s="47"/>
      <c r="F75" s="52"/>
      <c r="G75" s="10"/>
    </row>
    <row r="76" spans="1:7" ht="15" x14ac:dyDescent="0.25">
      <c r="A76" s="18"/>
      <c r="B76" s="19"/>
      <c r="C76" s="8" t="s">
        <v>104</v>
      </c>
      <c r="D76" s="20"/>
      <c r="E76" s="49"/>
      <c r="F76" s="54">
        <v>0</v>
      </c>
      <c r="G76" s="21">
        <v>0</v>
      </c>
    </row>
    <row r="77" spans="1:7" ht="15" x14ac:dyDescent="0.25">
      <c r="A77" s="18"/>
      <c r="B77" s="19"/>
      <c r="C77" s="14"/>
      <c r="D77" s="22"/>
      <c r="E77" s="50"/>
      <c r="F77" s="55"/>
      <c r="G77" s="23"/>
    </row>
    <row r="78" spans="1:7" ht="15" x14ac:dyDescent="0.25">
      <c r="A78" s="1"/>
      <c r="B78" s="2"/>
      <c r="C78" s="8" t="s">
        <v>108</v>
      </c>
      <c r="D78" s="9"/>
      <c r="E78" s="47"/>
      <c r="F78" s="52"/>
      <c r="G78" s="10"/>
    </row>
    <row r="79" spans="1:7" ht="15" x14ac:dyDescent="0.25">
      <c r="A79" s="1"/>
      <c r="B79" s="2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1"/>
      <c r="B80" s="2"/>
      <c r="C80" s="14"/>
      <c r="D80" s="4"/>
      <c r="E80" s="46"/>
      <c r="F80" s="51"/>
      <c r="G80" s="5"/>
    </row>
    <row r="81" spans="1:7" ht="15" x14ac:dyDescent="0.25">
      <c r="A81" s="1"/>
      <c r="B81" s="2"/>
      <c r="C81" s="8" t="s">
        <v>109</v>
      </c>
      <c r="D81" s="9"/>
      <c r="E81" s="47"/>
      <c r="F81" s="52"/>
      <c r="G81" s="10"/>
    </row>
    <row r="82" spans="1:7" ht="15" x14ac:dyDescent="0.25">
      <c r="A82" s="1"/>
      <c r="B82" s="2"/>
      <c r="C82" s="8" t="s">
        <v>104</v>
      </c>
      <c r="D82" s="12"/>
      <c r="E82" s="48"/>
      <c r="F82" s="53">
        <v>0</v>
      </c>
      <c r="G82" s="13">
        <v>0</v>
      </c>
    </row>
    <row r="83" spans="1:7" ht="15" x14ac:dyDescent="0.25">
      <c r="A83" s="1"/>
      <c r="B83" s="2"/>
      <c r="C83" s="14"/>
      <c r="D83" s="4"/>
      <c r="E83" s="46"/>
      <c r="F83" s="51"/>
      <c r="G83" s="5"/>
    </row>
    <row r="84" spans="1:7" ht="15" x14ac:dyDescent="0.25">
      <c r="A84" s="1"/>
      <c r="B84" s="2"/>
      <c r="C84" s="8" t="s">
        <v>110</v>
      </c>
      <c r="D84" s="9"/>
      <c r="E84" s="47"/>
      <c r="F84" s="52"/>
      <c r="G84" s="10"/>
    </row>
    <row r="85" spans="1:7" ht="15" x14ac:dyDescent="0.25">
      <c r="A85" s="1"/>
      <c r="B85" s="2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1"/>
      <c r="B86" s="2"/>
      <c r="C86" s="14"/>
      <c r="D86" s="4"/>
      <c r="E86" s="46"/>
      <c r="F86" s="51"/>
      <c r="G86" s="5"/>
    </row>
    <row r="87" spans="1:7" ht="25.5" x14ac:dyDescent="0.25">
      <c r="A87" s="6"/>
      <c r="B87" s="7"/>
      <c r="C87" s="24" t="s">
        <v>111</v>
      </c>
      <c r="D87" s="25"/>
      <c r="E87" s="48"/>
      <c r="F87" s="53">
        <v>5122.7952674999988</v>
      </c>
      <c r="G87" s="13">
        <v>0.9694159630000001</v>
      </c>
    </row>
    <row r="88" spans="1:7" ht="15" x14ac:dyDescent="0.25">
      <c r="A88" s="1"/>
      <c r="B88" s="2"/>
      <c r="C88" s="11"/>
      <c r="D88" s="4"/>
      <c r="E88" s="46"/>
      <c r="F88" s="51"/>
      <c r="G88" s="5"/>
    </row>
    <row r="89" spans="1:7" ht="15" x14ac:dyDescent="0.25">
      <c r="A89" s="1"/>
      <c r="B89" s="2"/>
      <c r="C89" s="3" t="s">
        <v>112</v>
      </c>
      <c r="D89" s="4"/>
      <c r="E89" s="46"/>
      <c r="F89" s="51"/>
      <c r="G89" s="5"/>
    </row>
    <row r="90" spans="1:7" ht="25.5" x14ac:dyDescent="0.25">
      <c r="A90" s="1"/>
      <c r="B90" s="2"/>
      <c r="C90" s="8" t="s">
        <v>10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12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4"/>
      <c r="E92" s="46"/>
      <c r="F92" s="51"/>
      <c r="G92" s="5"/>
    </row>
    <row r="93" spans="1:7" ht="15" x14ac:dyDescent="0.25">
      <c r="A93" s="1"/>
      <c r="B93" s="26"/>
      <c r="C93" s="8" t="s">
        <v>113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12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4"/>
      <c r="E95" s="46"/>
      <c r="F95" s="56"/>
      <c r="G95" s="27"/>
    </row>
    <row r="96" spans="1:7" ht="15" x14ac:dyDescent="0.25">
      <c r="A96" s="1"/>
      <c r="B96" s="2"/>
      <c r="C96" s="8" t="s">
        <v>114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12"/>
      <c r="E97" s="48"/>
      <c r="F97" s="53">
        <v>0</v>
      </c>
      <c r="G97" s="13">
        <v>0</v>
      </c>
    </row>
    <row r="98" spans="1:7" ht="15" x14ac:dyDescent="0.25">
      <c r="A98" s="1"/>
      <c r="B98" s="2"/>
      <c r="C98" s="14"/>
      <c r="D98" s="4"/>
      <c r="E98" s="46"/>
      <c r="F98" s="51"/>
      <c r="G98" s="5"/>
    </row>
    <row r="99" spans="1:7" ht="25.5" x14ac:dyDescent="0.25">
      <c r="A99" s="1"/>
      <c r="B99" s="26"/>
      <c r="C99" s="8" t="s">
        <v>115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12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4"/>
      <c r="E101" s="46"/>
      <c r="F101" s="51"/>
      <c r="G101" s="5"/>
    </row>
    <row r="102" spans="1:7" ht="15" x14ac:dyDescent="0.25">
      <c r="A102" s="6"/>
      <c r="B102" s="7"/>
      <c r="C102" s="28" t="s">
        <v>116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1"/>
      <c r="D103" s="4"/>
      <c r="E103" s="46"/>
      <c r="F103" s="51"/>
      <c r="G103" s="5"/>
    </row>
    <row r="104" spans="1:7" ht="15" x14ac:dyDescent="0.25">
      <c r="A104" s="1"/>
      <c r="B104" s="2"/>
      <c r="C104" s="3" t="s">
        <v>117</v>
      </c>
      <c r="D104" s="4"/>
      <c r="E104" s="46"/>
      <c r="F104" s="51"/>
      <c r="G104" s="5"/>
    </row>
    <row r="105" spans="1:7" ht="15" x14ac:dyDescent="0.25">
      <c r="A105" s="6"/>
      <c r="B105" s="7"/>
      <c r="C105" s="8" t="s">
        <v>118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15" x14ac:dyDescent="0.25">
      <c r="A108" s="6"/>
      <c r="B108" s="7"/>
      <c r="C108" s="8" t="s">
        <v>119</v>
      </c>
      <c r="D108" s="9"/>
      <c r="E108" s="47"/>
      <c r="F108" s="52"/>
      <c r="G108" s="10"/>
    </row>
    <row r="109" spans="1:7" ht="15" x14ac:dyDescent="0.25">
      <c r="A109" s="6"/>
      <c r="B109" s="7"/>
      <c r="C109" s="8" t="s">
        <v>104</v>
      </c>
      <c r="D109" s="25"/>
      <c r="E109" s="48"/>
      <c r="F109" s="53">
        <v>0</v>
      </c>
      <c r="G109" s="13">
        <v>0</v>
      </c>
    </row>
    <row r="110" spans="1:7" ht="15" x14ac:dyDescent="0.25">
      <c r="A110" s="6"/>
      <c r="B110" s="7"/>
      <c r="C110" s="14"/>
      <c r="D110" s="7"/>
      <c r="E110" s="46"/>
      <c r="F110" s="51"/>
      <c r="G110" s="5"/>
    </row>
    <row r="111" spans="1:7" ht="15" x14ac:dyDescent="0.25">
      <c r="A111" s="6"/>
      <c r="B111" s="7"/>
      <c r="C111" s="8" t="s">
        <v>120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15" x14ac:dyDescent="0.25">
      <c r="A114" s="6"/>
      <c r="B114" s="7"/>
      <c r="C114" s="8" t="s">
        <v>121</v>
      </c>
      <c r="D114" s="9"/>
      <c r="E114" s="47"/>
      <c r="F114" s="52"/>
      <c r="G114" s="10"/>
    </row>
    <row r="115" spans="1:7" ht="15" x14ac:dyDescent="0.25">
      <c r="A115" s="6">
        <v>1</v>
      </c>
      <c r="B115" s="7"/>
      <c r="C115" s="11" t="s">
        <v>730</v>
      </c>
      <c r="D115" s="15"/>
      <c r="E115" s="46"/>
      <c r="F115" s="51">
        <v>53.991731100000003</v>
      </c>
      <c r="G115" s="5">
        <v>1.0217165E-2</v>
      </c>
    </row>
    <row r="116" spans="1:7" ht="15" x14ac:dyDescent="0.25">
      <c r="A116" s="6"/>
      <c r="B116" s="7"/>
      <c r="C116" s="8" t="s">
        <v>104</v>
      </c>
      <c r="D116" s="25"/>
      <c r="E116" s="48"/>
      <c r="F116" s="53">
        <v>53.991731100000003</v>
      </c>
      <c r="G116" s="13">
        <v>1.0217165E-2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25.5" x14ac:dyDescent="0.25">
      <c r="A118" s="6"/>
      <c r="B118" s="7"/>
      <c r="C118" s="24" t="s">
        <v>122</v>
      </c>
      <c r="D118" s="25"/>
      <c r="E118" s="48"/>
      <c r="F118" s="53">
        <v>53.991731100000003</v>
      </c>
      <c r="G118" s="13">
        <v>1.0217165E-2</v>
      </c>
    </row>
    <row r="119" spans="1:7" ht="15" x14ac:dyDescent="0.25">
      <c r="A119" s="6"/>
      <c r="B119" s="7"/>
      <c r="C119" s="29"/>
      <c r="D119" s="7"/>
      <c r="E119" s="46"/>
      <c r="F119" s="51"/>
      <c r="G119" s="5"/>
    </row>
    <row r="120" spans="1:7" ht="15" x14ac:dyDescent="0.25">
      <c r="A120" s="1"/>
      <c r="B120" s="2"/>
      <c r="C120" s="3" t="s">
        <v>123</v>
      </c>
      <c r="D120" s="4"/>
      <c r="E120" s="46"/>
      <c r="F120" s="51"/>
      <c r="G120" s="5"/>
    </row>
    <row r="121" spans="1:7" ht="25.5" x14ac:dyDescent="0.25">
      <c r="A121" s="6"/>
      <c r="B121" s="7"/>
      <c r="C121" s="8" t="s">
        <v>124</v>
      </c>
      <c r="D121" s="9"/>
      <c r="E121" s="47"/>
      <c r="F121" s="52"/>
      <c r="G121" s="10"/>
    </row>
    <row r="122" spans="1:7" ht="15" x14ac:dyDescent="0.25">
      <c r="A122" s="6"/>
      <c r="B122" s="7"/>
      <c r="C122" s="8" t="s">
        <v>104</v>
      </c>
      <c r="D122" s="25"/>
      <c r="E122" s="48"/>
      <c r="F122" s="53">
        <v>0</v>
      </c>
      <c r="G122" s="13">
        <v>0</v>
      </c>
    </row>
    <row r="123" spans="1:7" ht="15" x14ac:dyDescent="0.25">
      <c r="A123" s="6"/>
      <c r="B123" s="7"/>
      <c r="C123" s="14"/>
      <c r="D123" s="7"/>
      <c r="E123" s="46"/>
      <c r="F123" s="51"/>
      <c r="G123" s="5"/>
    </row>
    <row r="124" spans="1:7" ht="15" x14ac:dyDescent="0.25">
      <c r="A124" s="1"/>
      <c r="B124" s="2"/>
      <c r="C124" s="3" t="s">
        <v>125</v>
      </c>
      <c r="D124" s="4"/>
      <c r="E124" s="46"/>
      <c r="F124" s="51"/>
      <c r="G124" s="5"/>
    </row>
    <row r="125" spans="1:7" ht="25.5" x14ac:dyDescent="0.25">
      <c r="A125" s="6"/>
      <c r="B125" s="7"/>
      <c r="C125" s="8" t="s">
        <v>126</v>
      </c>
      <c r="D125" s="9"/>
      <c r="E125" s="47"/>
      <c r="F125" s="52"/>
      <c r="G125" s="10"/>
    </row>
    <row r="126" spans="1:7" ht="15" x14ac:dyDescent="0.25">
      <c r="A126" s="6"/>
      <c r="B126" s="7"/>
      <c r="C126" s="8" t="s">
        <v>104</v>
      </c>
      <c r="D126" s="25"/>
      <c r="E126" s="48"/>
      <c r="F126" s="53">
        <v>0</v>
      </c>
      <c r="G126" s="13">
        <v>0</v>
      </c>
    </row>
    <row r="127" spans="1:7" ht="15" x14ac:dyDescent="0.25">
      <c r="A127" s="6"/>
      <c r="B127" s="7"/>
      <c r="C127" s="14"/>
      <c r="D127" s="7"/>
      <c r="E127" s="46"/>
      <c r="F127" s="51"/>
      <c r="G127" s="5"/>
    </row>
    <row r="128" spans="1:7" ht="25.5" x14ac:dyDescent="0.25">
      <c r="A128" s="6"/>
      <c r="B128" s="7"/>
      <c r="C128" s="8" t="s">
        <v>127</v>
      </c>
      <c r="D128" s="9"/>
      <c r="E128" s="47"/>
      <c r="F128" s="112">
        <v>104.896</v>
      </c>
      <c r="G128" s="111">
        <v>1.9850072E-2</v>
      </c>
    </row>
    <row r="129" spans="1:7" ht="15" x14ac:dyDescent="0.25">
      <c r="A129" s="6"/>
      <c r="B129" s="7"/>
      <c r="C129" s="8" t="s">
        <v>810</v>
      </c>
      <c r="D129" s="25"/>
      <c r="E129" s="48"/>
      <c r="F129" s="53">
        <v>104.896</v>
      </c>
      <c r="G129" s="13">
        <v>1.9850072E-2</v>
      </c>
    </row>
    <row r="130" spans="1:7" ht="15" x14ac:dyDescent="0.25">
      <c r="A130" s="6"/>
      <c r="B130" s="7"/>
      <c r="C130" s="14"/>
      <c r="D130" s="7"/>
      <c r="E130" s="46"/>
      <c r="F130" s="56"/>
      <c r="G130" s="27"/>
    </row>
    <row r="131" spans="1:7" ht="25.5" x14ac:dyDescent="0.25">
      <c r="A131" s="6"/>
      <c r="B131" s="7"/>
      <c r="C131" s="29" t="s">
        <v>128</v>
      </c>
      <c r="D131" s="7"/>
      <c r="E131" s="46"/>
      <c r="F131" s="56">
        <v>2.7309871100000001</v>
      </c>
      <c r="G131" s="27">
        <v>5.1679999999999999E-4</v>
      </c>
    </row>
    <row r="132" spans="1:7" ht="15" x14ac:dyDescent="0.25">
      <c r="A132" s="6"/>
      <c r="B132" s="7"/>
      <c r="C132" s="30" t="s">
        <v>129</v>
      </c>
      <c r="D132" s="12"/>
      <c r="E132" s="48"/>
      <c r="F132" s="53">
        <v>5284.413985709999</v>
      </c>
      <c r="G132" s="13">
        <v>1.0000000000000004</v>
      </c>
    </row>
    <row r="134" spans="1:7" ht="15" x14ac:dyDescent="0.25">
      <c r="B134" s="279"/>
      <c r="C134" s="279"/>
      <c r="D134" s="279"/>
      <c r="E134" s="279"/>
      <c r="F134" s="279"/>
    </row>
    <row r="135" spans="1:7" ht="15" x14ac:dyDescent="0.25">
      <c r="B135" s="279"/>
      <c r="C135" s="279"/>
      <c r="D135" s="279"/>
      <c r="E135" s="279"/>
      <c r="F135" s="279"/>
    </row>
    <row r="137" spans="1:7" ht="15" x14ac:dyDescent="0.25">
      <c r="B137" s="36" t="s">
        <v>131</v>
      </c>
      <c r="C137" s="37"/>
      <c r="D137" s="38"/>
    </row>
    <row r="138" spans="1:7" ht="15" x14ac:dyDescent="0.25">
      <c r="B138" s="39" t="s">
        <v>132</v>
      </c>
      <c r="C138" s="40"/>
      <c r="D138" s="62" t="s">
        <v>133</v>
      </c>
    </row>
    <row r="139" spans="1:7" ht="15" x14ac:dyDescent="0.25">
      <c r="B139" s="39" t="s">
        <v>134</v>
      </c>
      <c r="C139" s="40"/>
      <c r="D139" s="62" t="s">
        <v>133</v>
      </c>
    </row>
    <row r="140" spans="1:7" ht="15" x14ac:dyDescent="0.25">
      <c r="B140" s="41" t="s">
        <v>135</v>
      </c>
      <c r="C140" s="40"/>
      <c r="D140" s="42"/>
    </row>
    <row r="141" spans="1:7" ht="25.5" customHeight="1" x14ac:dyDescent="0.25">
      <c r="B141" s="42"/>
      <c r="C141" s="32" t="s">
        <v>136</v>
      </c>
      <c r="D141" s="33" t="s">
        <v>137</v>
      </c>
    </row>
    <row r="142" spans="1:7" ht="12.75" customHeight="1" x14ac:dyDescent="0.25">
      <c r="B142" s="57" t="s">
        <v>138</v>
      </c>
      <c r="C142" s="58" t="s">
        <v>139</v>
      </c>
      <c r="D142" s="58" t="s">
        <v>140</v>
      </c>
    </row>
    <row r="143" spans="1:7" ht="15" x14ac:dyDescent="0.25">
      <c r="B143" s="42" t="s">
        <v>141</v>
      </c>
      <c r="C143" s="43">
        <v>7.7195999999999998</v>
      </c>
      <c r="D143" s="43">
        <v>6.7015000000000002</v>
      </c>
    </row>
    <row r="144" spans="1:7" ht="15" x14ac:dyDescent="0.25">
      <c r="B144" s="42" t="s">
        <v>142</v>
      </c>
      <c r="C144" s="43">
        <v>7.7195999999999998</v>
      </c>
      <c r="D144" s="43">
        <v>6.7015000000000002</v>
      </c>
    </row>
    <row r="145" spans="2:4" ht="15" x14ac:dyDescent="0.25">
      <c r="B145" s="42" t="s">
        <v>143</v>
      </c>
      <c r="C145" s="43">
        <v>7.5289000000000001</v>
      </c>
      <c r="D145" s="43">
        <v>6.5330000000000004</v>
      </c>
    </row>
    <row r="146" spans="2:4" ht="15" x14ac:dyDescent="0.25">
      <c r="B146" s="42" t="s">
        <v>144</v>
      </c>
      <c r="C146" s="43">
        <v>7.5289000000000001</v>
      </c>
      <c r="D146" s="43">
        <v>6.5330000000000004</v>
      </c>
    </row>
    <row r="148" spans="2:4" ht="15" x14ac:dyDescent="0.25">
      <c r="B148" s="59" t="s">
        <v>145</v>
      </c>
      <c r="C148" s="44"/>
      <c r="D148" s="60" t="s">
        <v>133</v>
      </c>
    </row>
    <row r="149" spans="2:4" ht="24.75" customHeight="1" x14ac:dyDescent="0.25">
      <c r="B149" s="61"/>
      <c r="C149" s="61"/>
    </row>
    <row r="150" spans="2:4" ht="15" x14ac:dyDescent="0.25">
      <c r="B150" s="63"/>
      <c r="C150" s="65"/>
      <c r="D150"/>
    </row>
    <row r="152" spans="2:4" ht="15" x14ac:dyDescent="0.25">
      <c r="B152" s="41" t="s">
        <v>146</v>
      </c>
      <c r="C152" s="40"/>
      <c r="D152" s="64" t="s">
        <v>133</v>
      </c>
    </row>
    <row r="153" spans="2:4" ht="15" x14ac:dyDescent="0.25">
      <c r="B153" s="41" t="s">
        <v>147</v>
      </c>
      <c r="C153" s="40"/>
      <c r="D153" s="64" t="s">
        <v>133</v>
      </c>
    </row>
    <row r="154" spans="2:4" ht="15" x14ac:dyDescent="0.25">
      <c r="B154" s="41" t="s">
        <v>148</v>
      </c>
      <c r="C154" s="40"/>
      <c r="D154" s="45">
        <v>1.140465433148579E-2</v>
      </c>
    </row>
    <row r="155" spans="2:4" ht="15" x14ac:dyDescent="0.25">
      <c r="B155" s="41" t="s">
        <v>149</v>
      </c>
      <c r="C155" s="40"/>
      <c r="D155" s="45" t="s">
        <v>133</v>
      </c>
    </row>
  </sheetData>
  <mergeCells count="5">
    <mergeCell ref="A1:G1"/>
    <mergeCell ref="A2:G2"/>
    <mergeCell ref="A3:G3"/>
    <mergeCell ref="B134:F134"/>
    <mergeCell ref="B135:F13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145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288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92</v>
      </c>
      <c r="C7" s="11" t="s">
        <v>93</v>
      </c>
      <c r="D7" s="2" t="s">
        <v>22</v>
      </c>
      <c r="E7" s="46">
        <v>115087</v>
      </c>
      <c r="F7" s="51">
        <v>504.71403850000002</v>
      </c>
      <c r="G7" s="5">
        <v>5.2137602999999998E-2</v>
      </c>
    </row>
    <row r="8" spans="1:7" ht="25.5" x14ac:dyDescent="0.25">
      <c r="A8" s="6">
        <v>2</v>
      </c>
      <c r="B8" s="7" t="s">
        <v>57</v>
      </c>
      <c r="C8" s="11" t="s">
        <v>58</v>
      </c>
      <c r="D8" s="2" t="s">
        <v>59</v>
      </c>
      <c r="E8" s="46">
        <v>70821</v>
      </c>
      <c r="F8" s="51">
        <v>479.31652800000001</v>
      </c>
      <c r="G8" s="5">
        <v>4.9514007999999998E-2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97525</v>
      </c>
      <c r="F9" s="51">
        <v>467.7786625</v>
      </c>
      <c r="G9" s="5">
        <v>4.8322130999999997E-2</v>
      </c>
    </row>
    <row r="10" spans="1:7" ht="25.5" x14ac:dyDescent="0.25">
      <c r="A10" s="6">
        <v>4</v>
      </c>
      <c r="B10" s="7" t="s">
        <v>153</v>
      </c>
      <c r="C10" s="11" t="s">
        <v>154</v>
      </c>
      <c r="D10" s="2" t="s">
        <v>155</v>
      </c>
      <c r="E10" s="46">
        <v>60503</v>
      </c>
      <c r="F10" s="51">
        <v>376.81268399999999</v>
      </c>
      <c r="G10" s="5">
        <v>3.8925229999999998E-2</v>
      </c>
    </row>
    <row r="11" spans="1:7" ht="25.5" x14ac:dyDescent="0.25">
      <c r="A11" s="6">
        <v>5</v>
      </c>
      <c r="B11" s="7" t="s">
        <v>23</v>
      </c>
      <c r="C11" s="11" t="s">
        <v>24</v>
      </c>
      <c r="D11" s="2" t="s">
        <v>22</v>
      </c>
      <c r="E11" s="46">
        <v>66722</v>
      </c>
      <c r="F11" s="51">
        <v>366.87091700000002</v>
      </c>
      <c r="G11" s="5">
        <v>3.7898233000000003E-2</v>
      </c>
    </row>
    <row r="12" spans="1:7" ht="15" x14ac:dyDescent="0.25">
      <c r="A12" s="6">
        <v>6</v>
      </c>
      <c r="B12" s="7" t="s">
        <v>151</v>
      </c>
      <c r="C12" s="11" t="s">
        <v>152</v>
      </c>
      <c r="D12" s="2" t="s">
        <v>16</v>
      </c>
      <c r="E12" s="46">
        <v>169000</v>
      </c>
      <c r="F12" s="51">
        <v>327.18400000000003</v>
      </c>
      <c r="G12" s="5">
        <v>3.3798524000000003E-2</v>
      </c>
    </row>
    <row r="13" spans="1:7" ht="25.5" x14ac:dyDescent="0.25">
      <c r="A13" s="6">
        <v>7</v>
      </c>
      <c r="B13" s="7" t="s">
        <v>68</v>
      </c>
      <c r="C13" s="11" t="s">
        <v>69</v>
      </c>
      <c r="D13" s="2" t="s">
        <v>19</v>
      </c>
      <c r="E13" s="46">
        <v>252115</v>
      </c>
      <c r="F13" s="51">
        <v>304.80703499999998</v>
      </c>
      <c r="G13" s="5">
        <v>3.1486954999999997E-2</v>
      </c>
    </row>
    <row r="14" spans="1:7" ht="15" x14ac:dyDescent="0.25">
      <c r="A14" s="6">
        <v>8</v>
      </c>
      <c r="B14" s="7" t="s">
        <v>60</v>
      </c>
      <c r="C14" s="11" t="s">
        <v>61</v>
      </c>
      <c r="D14" s="2" t="s">
        <v>16</v>
      </c>
      <c r="E14" s="46">
        <v>30155</v>
      </c>
      <c r="F14" s="51">
        <v>291.29730000000001</v>
      </c>
      <c r="G14" s="5">
        <v>3.0091382E-2</v>
      </c>
    </row>
    <row r="15" spans="1:7" ht="38.25" x14ac:dyDescent="0.25">
      <c r="A15" s="6">
        <v>9</v>
      </c>
      <c r="B15" s="7" t="s">
        <v>82</v>
      </c>
      <c r="C15" s="11" t="s">
        <v>83</v>
      </c>
      <c r="D15" s="2" t="s">
        <v>84</v>
      </c>
      <c r="E15" s="46">
        <v>343952</v>
      </c>
      <c r="F15" s="51">
        <v>272.92591199999998</v>
      </c>
      <c r="G15" s="5">
        <v>2.8193593999999999E-2</v>
      </c>
    </row>
    <row r="16" spans="1:7" ht="15" x14ac:dyDescent="0.25">
      <c r="A16" s="6">
        <v>10</v>
      </c>
      <c r="B16" s="7" t="s">
        <v>66</v>
      </c>
      <c r="C16" s="11" t="s">
        <v>67</v>
      </c>
      <c r="D16" s="2" t="s">
        <v>51</v>
      </c>
      <c r="E16" s="46">
        <v>144031</v>
      </c>
      <c r="F16" s="51">
        <v>264.87300900000002</v>
      </c>
      <c r="G16" s="5">
        <v>2.7361719E-2</v>
      </c>
    </row>
    <row r="17" spans="1:7" ht="25.5" x14ac:dyDescent="0.25">
      <c r="A17" s="6">
        <v>11</v>
      </c>
      <c r="B17" s="7" t="s">
        <v>156</v>
      </c>
      <c r="C17" s="11" t="s">
        <v>157</v>
      </c>
      <c r="D17" s="2" t="s">
        <v>59</v>
      </c>
      <c r="E17" s="46">
        <v>113760</v>
      </c>
      <c r="F17" s="51">
        <v>264.83328</v>
      </c>
      <c r="G17" s="5">
        <v>2.7357614999999998E-2</v>
      </c>
    </row>
    <row r="18" spans="1:7" ht="15" x14ac:dyDescent="0.25">
      <c r="A18" s="6">
        <v>12</v>
      </c>
      <c r="B18" s="7" t="s">
        <v>158</v>
      </c>
      <c r="C18" s="11" t="s">
        <v>159</v>
      </c>
      <c r="D18" s="2" t="s">
        <v>16</v>
      </c>
      <c r="E18" s="46">
        <v>250620</v>
      </c>
      <c r="F18" s="51">
        <v>220.04436000000001</v>
      </c>
      <c r="G18" s="5">
        <v>2.2730863E-2</v>
      </c>
    </row>
    <row r="19" spans="1:7" ht="15" x14ac:dyDescent="0.25">
      <c r="A19" s="6">
        <v>13</v>
      </c>
      <c r="B19" s="7" t="s">
        <v>160</v>
      </c>
      <c r="C19" s="11" t="s">
        <v>161</v>
      </c>
      <c r="D19" s="2" t="s">
        <v>162</v>
      </c>
      <c r="E19" s="46">
        <v>83121</v>
      </c>
      <c r="F19" s="51">
        <v>219.106956</v>
      </c>
      <c r="G19" s="5">
        <v>2.2634028E-2</v>
      </c>
    </row>
    <row r="20" spans="1:7" ht="25.5" x14ac:dyDescent="0.25">
      <c r="A20" s="6">
        <v>14</v>
      </c>
      <c r="B20" s="7" t="s">
        <v>43</v>
      </c>
      <c r="C20" s="11" t="s">
        <v>44</v>
      </c>
      <c r="D20" s="2" t="s">
        <v>30</v>
      </c>
      <c r="E20" s="46">
        <v>201623</v>
      </c>
      <c r="F20" s="51">
        <v>212.81307649999999</v>
      </c>
      <c r="G20" s="5">
        <v>2.1983862E-2</v>
      </c>
    </row>
    <row r="21" spans="1:7" ht="25.5" x14ac:dyDescent="0.25">
      <c r="A21" s="6">
        <v>15</v>
      </c>
      <c r="B21" s="7" t="s">
        <v>165</v>
      </c>
      <c r="C21" s="11" t="s">
        <v>166</v>
      </c>
      <c r="D21" s="2" t="s">
        <v>167</v>
      </c>
      <c r="E21" s="46">
        <v>170000</v>
      </c>
      <c r="F21" s="51">
        <v>195.92500000000001</v>
      </c>
      <c r="G21" s="5">
        <v>2.0239302000000001E-2</v>
      </c>
    </row>
    <row r="22" spans="1:7" ht="25.5" x14ac:dyDescent="0.25">
      <c r="A22" s="6">
        <v>16</v>
      </c>
      <c r="B22" s="7" t="s">
        <v>171</v>
      </c>
      <c r="C22" s="11" t="s">
        <v>172</v>
      </c>
      <c r="D22" s="2" t="s">
        <v>173</v>
      </c>
      <c r="E22" s="46">
        <v>65494</v>
      </c>
      <c r="F22" s="51">
        <v>192.51961299999999</v>
      </c>
      <c r="G22" s="5">
        <v>1.9887520999999998E-2</v>
      </c>
    </row>
    <row r="23" spans="1:7" ht="25.5" x14ac:dyDescent="0.25">
      <c r="A23" s="6">
        <v>17</v>
      </c>
      <c r="B23" s="7" t="s">
        <v>174</v>
      </c>
      <c r="C23" s="11" t="s">
        <v>175</v>
      </c>
      <c r="D23" s="2" t="s">
        <v>22</v>
      </c>
      <c r="E23" s="46">
        <v>63752</v>
      </c>
      <c r="F23" s="51">
        <v>188.004648</v>
      </c>
      <c r="G23" s="5">
        <v>1.942112E-2</v>
      </c>
    </row>
    <row r="24" spans="1:7" ht="25.5" x14ac:dyDescent="0.25">
      <c r="A24" s="6">
        <v>18</v>
      </c>
      <c r="B24" s="7" t="s">
        <v>176</v>
      </c>
      <c r="C24" s="11" t="s">
        <v>177</v>
      </c>
      <c r="D24" s="2" t="s">
        <v>30</v>
      </c>
      <c r="E24" s="46">
        <v>19182</v>
      </c>
      <c r="F24" s="51">
        <v>186.679224</v>
      </c>
      <c r="G24" s="5">
        <v>1.9284202E-2</v>
      </c>
    </row>
    <row r="25" spans="1:7" ht="25.5" x14ac:dyDescent="0.25">
      <c r="A25" s="6">
        <v>19</v>
      </c>
      <c r="B25" s="7" t="s">
        <v>178</v>
      </c>
      <c r="C25" s="11" t="s">
        <v>179</v>
      </c>
      <c r="D25" s="2" t="s">
        <v>22</v>
      </c>
      <c r="E25" s="46">
        <v>53400</v>
      </c>
      <c r="F25" s="51">
        <v>185.9922</v>
      </c>
      <c r="G25" s="5">
        <v>1.9213231000000001E-2</v>
      </c>
    </row>
    <row r="26" spans="1:7" ht="25.5" x14ac:dyDescent="0.25">
      <c r="A26" s="6">
        <v>20</v>
      </c>
      <c r="B26" s="7" t="s">
        <v>180</v>
      </c>
      <c r="C26" s="11" t="s">
        <v>181</v>
      </c>
      <c r="D26" s="2" t="s">
        <v>173</v>
      </c>
      <c r="E26" s="46">
        <v>12189</v>
      </c>
      <c r="F26" s="51">
        <v>184.94369699999999</v>
      </c>
      <c r="G26" s="5">
        <v>1.9104919000000001E-2</v>
      </c>
    </row>
    <row r="27" spans="1:7" ht="25.5" x14ac:dyDescent="0.25">
      <c r="A27" s="6">
        <v>21</v>
      </c>
      <c r="B27" s="7" t="s">
        <v>20</v>
      </c>
      <c r="C27" s="11" t="s">
        <v>21</v>
      </c>
      <c r="D27" s="2" t="s">
        <v>22</v>
      </c>
      <c r="E27" s="46">
        <v>25285</v>
      </c>
      <c r="F27" s="51">
        <v>171.63458</v>
      </c>
      <c r="G27" s="5">
        <v>1.7730071E-2</v>
      </c>
    </row>
    <row r="28" spans="1:7" ht="15" x14ac:dyDescent="0.25">
      <c r="A28" s="6">
        <v>22</v>
      </c>
      <c r="B28" s="7" t="s">
        <v>182</v>
      </c>
      <c r="C28" s="11" t="s">
        <v>183</v>
      </c>
      <c r="D28" s="2" t="s">
        <v>184</v>
      </c>
      <c r="E28" s="46">
        <v>87667</v>
      </c>
      <c r="F28" s="51">
        <v>163.84962300000001</v>
      </c>
      <c r="G28" s="5">
        <v>1.6925875E-2</v>
      </c>
    </row>
    <row r="29" spans="1:7" ht="15" x14ac:dyDescent="0.25">
      <c r="A29" s="6">
        <v>23</v>
      </c>
      <c r="B29" s="7" t="s">
        <v>163</v>
      </c>
      <c r="C29" s="11" t="s">
        <v>164</v>
      </c>
      <c r="D29" s="2" t="s">
        <v>13</v>
      </c>
      <c r="E29" s="46">
        <v>83715</v>
      </c>
      <c r="F29" s="51">
        <v>163.662825</v>
      </c>
      <c r="G29" s="5">
        <v>1.6906577999999998E-2</v>
      </c>
    </row>
    <row r="30" spans="1:7" ht="25.5" x14ac:dyDescent="0.25">
      <c r="A30" s="6">
        <v>24</v>
      </c>
      <c r="B30" s="7" t="s">
        <v>189</v>
      </c>
      <c r="C30" s="11" t="s">
        <v>190</v>
      </c>
      <c r="D30" s="2" t="s">
        <v>167</v>
      </c>
      <c r="E30" s="46">
        <v>36593</v>
      </c>
      <c r="F30" s="51">
        <v>161.521502</v>
      </c>
      <c r="G30" s="5">
        <v>1.6685377000000001E-2</v>
      </c>
    </row>
    <row r="31" spans="1:7" ht="15" x14ac:dyDescent="0.25">
      <c r="A31" s="6">
        <v>25</v>
      </c>
      <c r="B31" s="7" t="s">
        <v>187</v>
      </c>
      <c r="C31" s="11" t="s">
        <v>188</v>
      </c>
      <c r="D31" s="2" t="s">
        <v>162</v>
      </c>
      <c r="E31" s="46">
        <v>17000</v>
      </c>
      <c r="F31" s="51">
        <v>155.98349999999999</v>
      </c>
      <c r="G31" s="5">
        <v>1.6113294E-2</v>
      </c>
    </row>
    <row r="32" spans="1:7" ht="15" x14ac:dyDescent="0.25">
      <c r="A32" s="6">
        <v>26</v>
      </c>
      <c r="B32" s="7" t="s">
        <v>168</v>
      </c>
      <c r="C32" s="11" t="s">
        <v>169</v>
      </c>
      <c r="D32" s="2" t="s">
        <v>170</v>
      </c>
      <c r="E32" s="46">
        <v>80000</v>
      </c>
      <c r="F32" s="51">
        <v>152.4</v>
      </c>
      <c r="G32" s="5">
        <v>1.5743113999999999E-2</v>
      </c>
    </row>
    <row r="33" spans="1:7" ht="15" x14ac:dyDescent="0.25">
      <c r="A33" s="6">
        <v>27</v>
      </c>
      <c r="B33" s="7" t="s">
        <v>96</v>
      </c>
      <c r="C33" s="11" t="s">
        <v>97</v>
      </c>
      <c r="D33" s="2" t="s">
        <v>51</v>
      </c>
      <c r="E33" s="46">
        <v>196031</v>
      </c>
      <c r="F33" s="51">
        <v>151.62997849999999</v>
      </c>
      <c r="G33" s="5">
        <v>1.5663570000000002E-2</v>
      </c>
    </row>
    <row r="34" spans="1:7" ht="25.5" x14ac:dyDescent="0.25">
      <c r="A34" s="6">
        <v>28</v>
      </c>
      <c r="B34" s="7" t="s">
        <v>85</v>
      </c>
      <c r="C34" s="11" t="s">
        <v>86</v>
      </c>
      <c r="D34" s="2" t="s">
        <v>22</v>
      </c>
      <c r="E34" s="46">
        <v>25456</v>
      </c>
      <c r="F34" s="51">
        <v>150.78861599999999</v>
      </c>
      <c r="G34" s="5">
        <v>1.5576655999999999E-2</v>
      </c>
    </row>
    <row r="35" spans="1:7" ht="15" x14ac:dyDescent="0.25">
      <c r="A35" s="6">
        <v>29</v>
      </c>
      <c r="B35" s="7" t="s">
        <v>191</v>
      </c>
      <c r="C35" s="11" t="s">
        <v>192</v>
      </c>
      <c r="D35" s="2" t="s">
        <v>193</v>
      </c>
      <c r="E35" s="46">
        <v>108935</v>
      </c>
      <c r="F35" s="51">
        <v>144.99248499999999</v>
      </c>
      <c r="G35" s="5">
        <v>1.4977908E-2</v>
      </c>
    </row>
    <row r="36" spans="1:7" ht="25.5" x14ac:dyDescent="0.25">
      <c r="A36" s="6">
        <v>30</v>
      </c>
      <c r="B36" s="7" t="s">
        <v>194</v>
      </c>
      <c r="C36" s="11" t="s">
        <v>195</v>
      </c>
      <c r="D36" s="2" t="s">
        <v>37</v>
      </c>
      <c r="E36" s="46">
        <v>42811</v>
      </c>
      <c r="F36" s="51">
        <v>144.89382950000001</v>
      </c>
      <c r="G36" s="5">
        <v>1.4967717E-2</v>
      </c>
    </row>
    <row r="37" spans="1:7" ht="25.5" x14ac:dyDescent="0.25">
      <c r="A37" s="6">
        <v>31</v>
      </c>
      <c r="B37" s="7" t="s">
        <v>205</v>
      </c>
      <c r="C37" s="11" t="s">
        <v>206</v>
      </c>
      <c r="D37" s="2" t="s">
        <v>173</v>
      </c>
      <c r="E37" s="46">
        <v>136981</v>
      </c>
      <c r="F37" s="51">
        <v>138.6932625</v>
      </c>
      <c r="G37" s="5">
        <v>1.4327191E-2</v>
      </c>
    </row>
    <row r="38" spans="1:7" ht="25.5" x14ac:dyDescent="0.25">
      <c r="A38" s="6">
        <v>32</v>
      </c>
      <c r="B38" s="7" t="s">
        <v>196</v>
      </c>
      <c r="C38" s="11" t="s">
        <v>846</v>
      </c>
      <c r="D38" s="2" t="s">
        <v>59</v>
      </c>
      <c r="E38" s="46">
        <v>8402</v>
      </c>
      <c r="F38" s="51">
        <v>137.90202600000001</v>
      </c>
      <c r="G38" s="5">
        <v>1.4245455000000001E-2</v>
      </c>
    </row>
    <row r="39" spans="1:7" ht="25.5" x14ac:dyDescent="0.25">
      <c r="A39" s="6">
        <v>33</v>
      </c>
      <c r="B39" s="7" t="s">
        <v>199</v>
      </c>
      <c r="C39" s="11" t="s">
        <v>200</v>
      </c>
      <c r="D39" s="2" t="s">
        <v>22</v>
      </c>
      <c r="E39" s="46">
        <v>18192</v>
      </c>
      <c r="F39" s="51">
        <v>133.63843199999999</v>
      </c>
      <c r="G39" s="5">
        <v>1.3805019999999999E-2</v>
      </c>
    </row>
    <row r="40" spans="1:7" ht="25.5" x14ac:dyDescent="0.25">
      <c r="A40" s="6">
        <v>34</v>
      </c>
      <c r="B40" s="7" t="s">
        <v>94</v>
      </c>
      <c r="C40" s="11" t="s">
        <v>95</v>
      </c>
      <c r="D40" s="2" t="s">
        <v>22</v>
      </c>
      <c r="E40" s="46">
        <v>130000</v>
      </c>
      <c r="F40" s="51">
        <v>133.185</v>
      </c>
      <c r="G40" s="5">
        <v>1.375818E-2</v>
      </c>
    </row>
    <row r="41" spans="1:7" ht="25.5" x14ac:dyDescent="0.25">
      <c r="A41" s="6">
        <v>35</v>
      </c>
      <c r="B41" s="7" t="s">
        <v>185</v>
      </c>
      <c r="C41" s="11" t="s">
        <v>186</v>
      </c>
      <c r="D41" s="2" t="s">
        <v>59</v>
      </c>
      <c r="E41" s="46">
        <v>100000</v>
      </c>
      <c r="F41" s="51">
        <v>126.25</v>
      </c>
      <c r="G41" s="5">
        <v>1.3041786E-2</v>
      </c>
    </row>
    <row r="42" spans="1:7" ht="25.5" x14ac:dyDescent="0.25">
      <c r="A42" s="6">
        <v>36</v>
      </c>
      <c r="B42" s="7" t="s">
        <v>45</v>
      </c>
      <c r="C42" s="11" t="s">
        <v>46</v>
      </c>
      <c r="D42" s="2" t="s">
        <v>22</v>
      </c>
      <c r="E42" s="46">
        <v>20626</v>
      </c>
      <c r="F42" s="51">
        <v>126.210494</v>
      </c>
      <c r="G42" s="5">
        <v>1.3037705E-2</v>
      </c>
    </row>
    <row r="43" spans="1:7" ht="25.5" x14ac:dyDescent="0.25">
      <c r="A43" s="6">
        <v>37</v>
      </c>
      <c r="B43" s="7" t="s">
        <v>64</v>
      </c>
      <c r="C43" s="11" t="s">
        <v>65</v>
      </c>
      <c r="D43" s="2" t="s">
        <v>19</v>
      </c>
      <c r="E43" s="46">
        <v>172385</v>
      </c>
      <c r="F43" s="51">
        <v>126.0996275</v>
      </c>
      <c r="G43" s="5">
        <v>1.3026252E-2</v>
      </c>
    </row>
    <row r="44" spans="1:7" ht="15" x14ac:dyDescent="0.25">
      <c r="A44" s="6">
        <v>38</v>
      </c>
      <c r="B44" s="7" t="s">
        <v>201</v>
      </c>
      <c r="C44" s="11" t="s">
        <v>202</v>
      </c>
      <c r="D44" s="2" t="s">
        <v>27</v>
      </c>
      <c r="E44" s="46">
        <v>216688</v>
      </c>
      <c r="F44" s="51">
        <v>121.236936</v>
      </c>
      <c r="G44" s="5">
        <v>1.2523930000000001E-2</v>
      </c>
    </row>
    <row r="45" spans="1:7" ht="15" x14ac:dyDescent="0.25">
      <c r="A45" s="6">
        <v>39</v>
      </c>
      <c r="B45" s="7" t="s">
        <v>203</v>
      </c>
      <c r="C45" s="11" t="s">
        <v>204</v>
      </c>
      <c r="D45" s="2" t="s">
        <v>81</v>
      </c>
      <c r="E45" s="46">
        <v>97410</v>
      </c>
      <c r="F45" s="51">
        <v>104.91057000000001</v>
      </c>
      <c r="G45" s="5">
        <v>1.0837395E-2</v>
      </c>
    </row>
    <row r="46" spans="1:7" ht="15" x14ac:dyDescent="0.25">
      <c r="A46" s="6">
        <v>40</v>
      </c>
      <c r="B46" s="7" t="s">
        <v>197</v>
      </c>
      <c r="C46" s="11" t="s">
        <v>198</v>
      </c>
      <c r="D46" s="2" t="s">
        <v>162</v>
      </c>
      <c r="E46" s="46">
        <v>35542</v>
      </c>
      <c r="F46" s="51">
        <v>104.61787699999999</v>
      </c>
      <c r="G46" s="5">
        <v>1.080716E-2</v>
      </c>
    </row>
    <row r="47" spans="1:7" ht="15" x14ac:dyDescent="0.25">
      <c r="A47" s="6">
        <v>41</v>
      </c>
      <c r="B47" s="7" t="s">
        <v>72</v>
      </c>
      <c r="C47" s="11" t="s">
        <v>845</v>
      </c>
      <c r="D47" s="2" t="s">
        <v>51</v>
      </c>
      <c r="E47" s="46">
        <v>41868</v>
      </c>
      <c r="F47" s="51">
        <v>99.164357999999993</v>
      </c>
      <c r="G47" s="5">
        <v>1.0243804E-2</v>
      </c>
    </row>
    <row r="48" spans="1:7" ht="15" x14ac:dyDescent="0.25">
      <c r="A48" s="6">
        <v>42</v>
      </c>
      <c r="B48" s="7" t="s">
        <v>209</v>
      </c>
      <c r="C48" s="11" t="s">
        <v>210</v>
      </c>
      <c r="D48" s="2" t="s">
        <v>155</v>
      </c>
      <c r="E48" s="46">
        <v>57504</v>
      </c>
      <c r="F48" s="51">
        <v>95.830416</v>
      </c>
      <c r="G48" s="5">
        <v>9.8994040000000005E-3</v>
      </c>
    </row>
    <row r="49" spans="1:7" ht="25.5" x14ac:dyDescent="0.25">
      <c r="A49" s="6">
        <v>43</v>
      </c>
      <c r="B49" s="7" t="s">
        <v>207</v>
      </c>
      <c r="C49" s="11" t="s">
        <v>208</v>
      </c>
      <c r="D49" s="2" t="s">
        <v>30</v>
      </c>
      <c r="E49" s="46">
        <v>81070</v>
      </c>
      <c r="F49" s="51">
        <v>89.055395000000004</v>
      </c>
      <c r="G49" s="5">
        <v>9.1995359999999995E-3</v>
      </c>
    </row>
    <row r="50" spans="1:7" ht="15" x14ac:dyDescent="0.25">
      <c r="A50" s="6">
        <v>44</v>
      </c>
      <c r="B50" s="7" t="s">
        <v>211</v>
      </c>
      <c r="C50" s="11" t="s">
        <v>212</v>
      </c>
      <c r="D50" s="2" t="s">
        <v>162</v>
      </c>
      <c r="E50" s="46">
        <v>89094</v>
      </c>
      <c r="F50" s="51">
        <v>70.829729999999998</v>
      </c>
      <c r="G50" s="5">
        <v>7.3168010000000004E-3</v>
      </c>
    </row>
    <row r="51" spans="1:7" ht="25.5" x14ac:dyDescent="0.25">
      <c r="A51" s="6">
        <v>45</v>
      </c>
      <c r="B51" s="7" t="s">
        <v>87</v>
      </c>
      <c r="C51" s="11" t="s">
        <v>88</v>
      </c>
      <c r="D51" s="2" t="s">
        <v>89</v>
      </c>
      <c r="E51" s="46">
        <v>23343</v>
      </c>
      <c r="F51" s="51">
        <v>67.858101000000005</v>
      </c>
      <c r="G51" s="5">
        <v>7.0098280000000001E-3</v>
      </c>
    </row>
    <row r="52" spans="1:7" ht="15" x14ac:dyDescent="0.25">
      <c r="A52" s="6">
        <v>46</v>
      </c>
      <c r="B52" s="7" t="s">
        <v>213</v>
      </c>
      <c r="C52" s="11" t="s">
        <v>214</v>
      </c>
      <c r="D52" s="2" t="s">
        <v>215</v>
      </c>
      <c r="E52" s="46">
        <v>70586</v>
      </c>
      <c r="F52" s="51">
        <v>67.339044000000001</v>
      </c>
      <c r="G52" s="5">
        <v>6.9562089999999997E-3</v>
      </c>
    </row>
    <row r="53" spans="1:7" ht="15" x14ac:dyDescent="0.25">
      <c r="A53" s="6">
        <v>47</v>
      </c>
      <c r="B53" s="7" t="s">
        <v>218</v>
      </c>
      <c r="C53" s="11" t="s">
        <v>219</v>
      </c>
      <c r="D53" s="2" t="s">
        <v>51</v>
      </c>
      <c r="E53" s="46">
        <v>28446</v>
      </c>
      <c r="F53" s="51">
        <v>60.589979999999997</v>
      </c>
      <c r="G53" s="5">
        <v>6.2590220000000004E-3</v>
      </c>
    </row>
    <row r="54" spans="1:7" ht="15" x14ac:dyDescent="0.25">
      <c r="A54" s="6">
        <v>48</v>
      </c>
      <c r="B54" s="7" t="s">
        <v>220</v>
      </c>
      <c r="C54" s="11" t="s">
        <v>221</v>
      </c>
      <c r="D54" s="2" t="s">
        <v>193</v>
      </c>
      <c r="E54" s="46">
        <v>29755</v>
      </c>
      <c r="F54" s="51">
        <v>57.099845000000002</v>
      </c>
      <c r="G54" s="5">
        <v>5.898487E-3</v>
      </c>
    </row>
    <row r="55" spans="1:7" ht="15" x14ac:dyDescent="0.25">
      <c r="A55" s="6">
        <v>49</v>
      </c>
      <c r="B55" s="7" t="s">
        <v>222</v>
      </c>
      <c r="C55" s="11" t="s">
        <v>223</v>
      </c>
      <c r="D55" s="2" t="s">
        <v>215</v>
      </c>
      <c r="E55" s="46">
        <v>11971</v>
      </c>
      <c r="F55" s="51">
        <v>55.353904</v>
      </c>
      <c r="G55" s="5">
        <v>5.7181289999999997E-3</v>
      </c>
    </row>
    <row r="56" spans="1:7" ht="25.5" x14ac:dyDescent="0.25">
      <c r="A56" s="6">
        <v>50</v>
      </c>
      <c r="B56" s="7" t="s">
        <v>216</v>
      </c>
      <c r="C56" s="11" t="s">
        <v>217</v>
      </c>
      <c r="D56" s="2" t="s">
        <v>59</v>
      </c>
      <c r="E56" s="46">
        <v>23197</v>
      </c>
      <c r="F56" s="51">
        <v>52.506409499999997</v>
      </c>
      <c r="G56" s="5">
        <v>5.4239789999999998E-3</v>
      </c>
    </row>
    <row r="57" spans="1:7" ht="15" x14ac:dyDescent="0.25">
      <c r="A57" s="6">
        <v>51</v>
      </c>
      <c r="B57" s="7" t="s">
        <v>102</v>
      </c>
      <c r="C57" s="11" t="s">
        <v>103</v>
      </c>
      <c r="D57" s="2" t="s">
        <v>51</v>
      </c>
      <c r="E57" s="46">
        <v>35943</v>
      </c>
      <c r="F57" s="51">
        <v>39.016126499999999</v>
      </c>
      <c r="G57" s="5">
        <v>4.0304160000000002E-3</v>
      </c>
    </row>
    <row r="58" spans="1:7" ht="25.5" x14ac:dyDescent="0.25">
      <c r="A58" s="6">
        <v>52</v>
      </c>
      <c r="B58" s="7" t="s">
        <v>227</v>
      </c>
      <c r="C58" s="11" t="s">
        <v>228</v>
      </c>
      <c r="D58" s="2" t="s">
        <v>173</v>
      </c>
      <c r="E58" s="46">
        <v>30681</v>
      </c>
      <c r="F58" s="51">
        <v>19.451754000000001</v>
      </c>
      <c r="G58" s="5">
        <v>2.0093910000000001E-3</v>
      </c>
    </row>
    <row r="59" spans="1:7" ht="25.5" x14ac:dyDescent="0.25">
      <c r="A59" s="6">
        <v>53</v>
      </c>
      <c r="B59" s="7" t="s">
        <v>229</v>
      </c>
      <c r="C59" s="11" t="s">
        <v>230</v>
      </c>
      <c r="D59" s="2" t="s">
        <v>37</v>
      </c>
      <c r="E59" s="46">
        <v>135256</v>
      </c>
      <c r="F59" s="51">
        <v>13.931368000000001</v>
      </c>
      <c r="G59" s="5">
        <v>1.439128E-3</v>
      </c>
    </row>
    <row r="60" spans="1:7" ht="15" x14ac:dyDescent="0.25">
      <c r="A60" s="1"/>
      <c r="B60" s="2"/>
      <c r="C60" s="8" t="s">
        <v>104</v>
      </c>
      <c r="D60" s="12"/>
      <c r="E60" s="48"/>
      <c r="F60" s="53">
        <v>9309.5697354999993</v>
      </c>
      <c r="G60" s="13">
        <v>0.96169040999999966</v>
      </c>
    </row>
    <row r="61" spans="1:7" ht="15" x14ac:dyDescent="0.25">
      <c r="A61" s="6"/>
      <c r="B61" s="7"/>
      <c r="C61" s="14"/>
      <c r="D61" s="15"/>
      <c r="E61" s="46"/>
      <c r="F61" s="51"/>
      <c r="G61" s="5"/>
    </row>
    <row r="62" spans="1:7" ht="15" x14ac:dyDescent="0.25">
      <c r="A62" s="1"/>
      <c r="B62" s="2"/>
      <c r="C62" s="8" t="s">
        <v>105</v>
      </c>
      <c r="D62" s="9"/>
      <c r="E62" s="47"/>
      <c r="F62" s="52"/>
      <c r="G62" s="10"/>
    </row>
    <row r="63" spans="1:7" ht="15" x14ac:dyDescent="0.25">
      <c r="A63" s="1"/>
      <c r="B63" s="2"/>
      <c r="C63" s="8" t="s">
        <v>104</v>
      </c>
      <c r="D63" s="12"/>
      <c r="E63" s="48"/>
      <c r="F63" s="53">
        <v>0</v>
      </c>
      <c r="G63" s="13">
        <v>0</v>
      </c>
    </row>
    <row r="64" spans="1:7" ht="15" x14ac:dyDescent="0.25">
      <c r="A64" s="6"/>
      <c r="B64" s="7"/>
      <c r="C64" s="14"/>
      <c r="D64" s="15"/>
      <c r="E64" s="46"/>
      <c r="F64" s="51"/>
      <c r="G64" s="5"/>
    </row>
    <row r="65" spans="1:7" ht="15" x14ac:dyDescent="0.25">
      <c r="A65" s="16"/>
      <c r="B65" s="17"/>
      <c r="C65" s="8" t="s">
        <v>106</v>
      </c>
      <c r="D65" s="9"/>
      <c r="E65" s="47"/>
      <c r="F65" s="52"/>
      <c r="G65" s="10"/>
    </row>
    <row r="66" spans="1:7" ht="15" x14ac:dyDescent="0.25">
      <c r="A66" s="18"/>
      <c r="B66" s="19"/>
      <c r="C66" s="8" t="s">
        <v>104</v>
      </c>
      <c r="D66" s="20"/>
      <c r="E66" s="49"/>
      <c r="F66" s="54">
        <v>0</v>
      </c>
      <c r="G66" s="21">
        <v>0</v>
      </c>
    </row>
    <row r="67" spans="1:7" ht="15" x14ac:dyDescent="0.25">
      <c r="A67" s="18"/>
      <c r="B67" s="19"/>
      <c r="C67" s="14"/>
      <c r="D67" s="22"/>
      <c r="E67" s="50"/>
      <c r="F67" s="55"/>
      <c r="G67" s="23"/>
    </row>
    <row r="68" spans="1:7" ht="15" x14ac:dyDescent="0.25">
      <c r="A68" s="1"/>
      <c r="B68" s="2"/>
      <c r="C68" s="8" t="s">
        <v>108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1"/>
      <c r="B70" s="2"/>
      <c r="C70" s="14"/>
      <c r="D70" s="4"/>
      <c r="E70" s="46"/>
      <c r="F70" s="51"/>
      <c r="G70" s="5"/>
    </row>
    <row r="71" spans="1:7" ht="15" x14ac:dyDescent="0.25">
      <c r="A71" s="1"/>
      <c r="B71" s="2"/>
      <c r="C71" s="8" t="s">
        <v>109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1"/>
      <c r="B73" s="2"/>
      <c r="C73" s="14"/>
      <c r="D73" s="4"/>
      <c r="E73" s="46"/>
      <c r="F73" s="51"/>
      <c r="G73" s="5"/>
    </row>
    <row r="74" spans="1:7" ht="15" x14ac:dyDescent="0.25">
      <c r="A74" s="1"/>
      <c r="B74" s="2"/>
      <c r="C74" s="8" t="s">
        <v>110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25.5" x14ac:dyDescent="0.25">
      <c r="A77" s="6"/>
      <c r="B77" s="7"/>
      <c r="C77" s="24" t="s">
        <v>111</v>
      </c>
      <c r="D77" s="25"/>
      <c r="E77" s="48"/>
      <c r="F77" s="53">
        <v>9309.5697354999993</v>
      </c>
      <c r="G77" s="13">
        <v>0.96169040999999966</v>
      </c>
    </row>
    <row r="78" spans="1:7" ht="15" x14ac:dyDescent="0.25">
      <c r="A78" s="1"/>
      <c r="B78" s="2"/>
      <c r="C78" s="11"/>
      <c r="D78" s="4"/>
      <c r="E78" s="46"/>
      <c r="F78" s="51"/>
      <c r="G78" s="5"/>
    </row>
    <row r="79" spans="1:7" ht="15" x14ac:dyDescent="0.25">
      <c r="A79" s="1"/>
      <c r="B79" s="2"/>
      <c r="C79" s="3" t="s">
        <v>112</v>
      </c>
      <c r="D79" s="4"/>
      <c r="E79" s="46"/>
      <c r="F79" s="51"/>
      <c r="G79" s="5"/>
    </row>
    <row r="80" spans="1:7" ht="25.5" x14ac:dyDescent="0.25">
      <c r="A80" s="1"/>
      <c r="B80" s="2"/>
      <c r="C80" s="8" t="s">
        <v>10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4"/>
      <c r="E82" s="46"/>
      <c r="F82" s="51"/>
      <c r="G82" s="5"/>
    </row>
    <row r="83" spans="1:7" ht="15" x14ac:dyDescent="0.25">
      <c r="A83" s="1"/>
      <c r="B83" s="26"/>
      <c r="C83" s="8" t="s">
        <v>113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4"/>
      <c r="E85" s="46"/>
      <c r="F85" s="56"/>
      <c r="G85" s="27"/>
    </row>
    <row r="86" spans="1:7" ht="15" x14ac:dyDescent="0.25">
      <c r="A86" s="1"/>
      <c r="B86" s="2"/>
      <c r="C86" s="8" t="s">
        <v>114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1"/>
      <c r="B88" s="2"/>
      <c r="C88" s="14"/>
      <c r="D88" s="4"/>
      <c r="E88" s="46"/>
      <c r="F88" s="51"/>
      <c r="G88" s="5"/>
    </row>
    <row r="89" spans="1:7" ht="25.5" x14ac:dyDescent="0.25">
      <c r="A89" s="1"/>
      <c r="B89" s="26"/>
      <c r="C89" s="8" t="s">
        <v>115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1"/>
      <c r="G91" s="5"/>
    </row>
    <row r="92" spans="1:7" ht="15" x14ac:dyDescent="0.25">
      <c r="A92" s="6"/>
      <c r="B92" s="7"/>
      <c r="C92" s="28" t="s">
        <v>116</v>
      </c>
      <c r="D92" s="25"/>
      <c r="E92" s="48"/>
      <c r="F92" s="53">
        <v>0</v>
      </c>
      <c r="G92" s="13">
        <v>0</v>
      </c>
    </row>
    <row r="93" spans="1:7" ht="15" x14ac:dyDescent="0.25">
      <c r="A93" s="6"/>
      <c r="B93" s="7"/>
      <c r="C93" s="11"/>
      <c r="D93" s="4"/>
      <c r="E93" s="46"/>
      <c r="F93" s="51"/>
      <c r="G93" s="5"/>
    </row>
    <row r="94" spans="1:7" ht="15" x14ac:dyDescent="0.25">
      <c r="A94" s="1"/>
      <c r="B94" s="2"/>
      <c r="C94" s="3" t="s">
        <v>117</v>
      </c>
      <c r="D94" s="4"/>
      <c r="E94" s="46"/>
      <c r="F94" s="51"/>
      <c r="G94" s="5"/>
    </row>
    <row r="95" spans="1:7" ht="15" x14ac:dyDescent="0.25">
      <c r="A95" s="6"/>
      <c r="B95" s="7"/>
      <c r="C95" s="8" t="s">
        <v>118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7"/>
      <c r="E97" s="46"/>
      <c r="F97" s="51"/>
      <c r="G97" s="5"/>
    </row>
    <row r="98" spans="1:7" ht="15" x14ac:dyDescent="0.25">
      <c r="A98" s="6"/>
      <c r="B98" s="7"/>
      <c r="C98" s="8" t="s">
        <v>119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25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7"/>
      <c r="E100" s="46"/>
      <c r="F100" s="51"/>
      <c r="G100" s="5"/>
    </row>
    <row r="101" spans="1:7" ht="15" x14ac:dyDescent="0.25">
      <c r="A101" s="6"/>
      <c r="B101" s="7"/>
      <c r="C101" s="8" t="s">
        <v>120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121</v>
      </c>
      <c r="D104" s="9"/>
      <c r="E104" s="47"/>
      <c r="F104" s="52"/>
      <c r="G104" s="10"/>
    </row>
    <row r="105" spans="1:7" ht="15" x14ac:dyDescent="0.25">
      <c r="A105" s="6">
        <v>1</v>
      </c>
      <c r="B105" s="7"/>
      <c r="C105" s="11" t="s">
        <v>730</v>
      </c>
      <c r="D105" s="15"/>
      <c r="E105" s="46"/>
      <c r="F105" s="51">
        <v>113.98254350000001</v>
      </c>
      <c r="G105" s="5">
        <v>1.1774542000000001E-2</v>
      </c>
    </row>
    <row r="106" spans="1:7" ht="15" x14ac:dyDescent="0.25">
      <c r="A106" s="6"/>
      <c r="B106" s="7"/>
      <c r="C106" s="8" t="s">
        <v>104</v>
      </c>
      <c r="D106" s="25"/>
      <c r="E106" s="48"/>
      <c r="F106" s="53">
        <v>113.98254350000001</v>
      </c>
      <c r="G106" s="13">
        <v>1.1774542000000001E-2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25.5" x14ac:dyDescent="0.25">
      <c r="A108" s="6"/>
      <c r="B108" s="7"/>
      <c r="C108" s="24" t="s">
        <v>122</v>
      </c>
      <c r="D108" s="25"/>
      <c r="E108" s="48"/>
      <c r="F108" s="53">
        <v>113.98254350000001</v>
      </c>
      <c r="G108" s="13">
        <v>1.1774542000000001E-2</v>
      </c>
    </row>
    <row r="109" spans="1:7" ht="15" x14ac:dyDescent="0.25">
      <c r="A109" s="6"/>
      <c r="B109" s="7"/>
      <c r="C109" s="29"/>
      <c r="D109" s="7"/>
      <c r="E109" s="46"/>
      <c r="F109" s="51"/>
      <c r="G109" s="5"/>
    </row>
    <row r="110" spans="1:7" ht="15" x14ac:dyDescent="0.25">
      <c r="A110" s="1"/>
      <c r="B110" s="2"/>
      <c r="C110" s="3" t="s">
        <v>123</v>
      </c>
      <c r="D110" s="4"/>
      <c r="E110" s="46"/>
      <c r="F110" s="51"/>
      <c r="G110" s="5"/>
    </row>
    <row r="111" spans="1:7" ht="25.5" x14ac:dyDescent="0.25">
      <c r="A111" s="6"/>
      <c r="B111" s="7"/>
      <c r="C111" s="8" t="s">
        <v>124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15" x14ac:dyDescent="0.25">
      <c r="A114" s="1"/>
      <c r="B114" s="2"/>
      <c r="C114" s="3" t="s">
        <v>125</v>
      </c>
      <c r="D114" s="4"/>
      <c r="E114" s="46"/>
      <c r="F114" s="51"/>
      <c r="G114" s="5"/>
    </row>
    <row r="115" spans="1:7" ht="25.5" x14ac:dyDescent="0.25">
      <c r="A115" s="6"/>
      <c r="B115" s="7"/>
      <c r="C115" s="8" t="s">
        <v>126</v>
      </c>
      <c r="D115" s="9"/>
      <c r="E115" s="47"/>
      <c r="F115" s="52"/>
      <c r="G115" s="10"/>
    </row>
    <row r="116" spans="1:7" ht="15" x14ac:dyDescent="0.25">
      <c r="A116" s="6"/>
      <c r="B116" s="7"/>
      <c r="C116" s="8" t="s">
        <v>104</v>
      </c>
      <c r="D116" s="25"/>
      <c r="E116" s="48"/>
      <c r="F116" s="53">
        <v>0</v>
      </c>
      <c r="G116" s="13">
        <v>0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25.5" x14ac:dyDescent="0.25">
      <c r="A118" s="6"/>
      <c r="B118" s="7"/>
      <c r="C118" s="8" t="s">
        <v>127</v>
      </c>
      <c r="D118" s="9"/>
      <c r="E118" s="47"/>
      <c r="F118" s="51">
        <v>191.91200000000001</v>
      </c>
      <c r="G118" s="5">
        <v>1.9824754E-2</v>
      </c>
    </row>
    <row r="119" spans="1:7" ht="15" x14ac:dyDescent="0.25">
      <c r="A119" s="6"/>
      <c r="B119" s="7"/>
      <c r="C119" s="8" t="s">
        <v>810</v>
      </c>
      <c r="D119" s="25"/>
      <c r="E119" s="48"/>
      <c r="F119" s="53">
        <v>191.91200000000001</v>
      </c>
      <c r="G119" s="13">
        <v>1.9824754E-2</v>
      </c>
    </row>
    <row r="120" spans="1:7" ht="15" x14ac:dyDescent="0.25">
      <c r="A120" s="6"/>
      <c r="B120" s="7"/>
      <c r="C120" s="14"/>
      <c r="D120" s="7"/>
      <c r="E120" s="46"/>
      <c r="F120" s="56"/>
      <c r="G120" s="27"/>
    </row>
    <row r="121" spans="1:7" ht="25.5" x14ac:dyDescent="0.25">
      <c r="A121" s="6"/>
      <c r="B121" s="7"/>
      <c r="C121" s="29" t="s">
        <v>128</v>
      </c>
      <c r="D121" s="7"/>
      <c r="E121" s="46"/>
      <c r="F121" s="56">
        <v>64.958502809999999</v>
      </c>
      <c r="G121" s="27">
        <v>6.7102960000000001E-3</v>
      </c>
    </row>
    <row r="122" spans="1:7" ht="15" x14ac:dyDescent="0.25">
      <c r="A122" s="6"/>
      <c r="B122" s="7"/>
      <c r="C122" s="30" t="s">
        <v>129</v>
      </c>
      <c r="D122" s="12"/>
      <c r="E122" s="48"/>
      <c r="F122" s="53">
        <v>9680.4227818100007</v>
      </c>
      <c r="G122" s="13">
        <v>1.0000000019999997</v>
      </c>
    </row>
    <row r="124" spans="1:7" ht="15" x14ac:dyDescent="0.25">
      <c r="B124" s="279"/>
      <c r="C124" s="279"/>
      <c r="D124" s="279"/>
      <c r="E124" s="279"/>
      <c r="F124" s="279"/>
    </row>
    <row r="125" spans="1:7" ht="15" x14ac:dyDescent="0.25">
      <c r="B125" s="279"/>
      <c r="C125" s="279"/>
      <c r="D125" s="279"/>
      <c r="E125" s="279"/>
      <c r="F125" s="279"/>
    </row>
    <row r="127" spans="1:7" ht="15" x14ac:dyDescent="0.25">
      <c r="B127" s="36" t="s">
        <v>131</v>
      </c>
      <c r="C127" s="37"/>
      <c r="D127" s="38"/>
    </row>
    <row r="128" spans="1:7" ht="15" x14ac:dyDescent="0.25">
      <c r="B128" s="39" t="s">
        <v>132</v>
      </c>
      <c r="C128" s="40"/>
      <c r="D128" s="62" t="s">
        <v>133</v>
      </c>
    </row>
    <row r="129" spans="2:4" ht="15" x14ac:dyDescent="0.25">
      <c r="B129" s="39" t="s">
        <v>134</v>
      </c>
      <c r="C129" s="40"/>
      <c r="D129" s="62" t="s">
        <v>133</v>
      </c>
    </row>
    <row r="130" spans="2:4" ht="15" x14ac:dyDescent="0.25">
      <c r="B130" s="41" t="s">
        <v>135</v>
      </c>
      <c r="C130" s="40"/>
      <c r="D130" s="42"/>
    </row>
    <row r="131" spans="2:4" ht="25.5" customHeight="1" x14ac:dyDescent="0.25">
      <c r="B131" s="42"/>
      <c r="C131" s="32" t="s">
        <v>136</v>
      </c>
      <c r="D131" s="33" t="s">
        <v>137</v>
      </c>
    </row>
    <row r="132" spans="2:4" ht="12.75" customHeight="1" x14ac:dyDescent="0.25">
      <c r="B132" s="57" t="s">
        <v>138</v>
      </c>
      <c r="C132" s="58" t="s">
        <v>139</v>
      </c>
      <c r="D132" s="58" t="s">
        <v>140</v>
      </c>
    </row>
    <row r="133" spans="2:4" ht="15" x14ac:dyDescent="0.25">
      <c r="B133" s="42" t="s">
        <v>141</v>
      </c>
      <c r="C133" s="43">
        <v>14.0589</v>
      </c>
      <c r="D133" s="43">
        <v>12.2624</v>
      </c>
    </row>
    <row r="134" spans="2:4" ht="15" x14ac:dyDescent="0.25">
      <c r="B134" s="42" t="s">
        <v>142</v>
      </c>
      <c r="C134" s="43">
        <v>11.183400000000001</v>
      </c>
      <c r="D134" s="43">
        <v>9.7543000000000006</v>
      </c>
    </row>
    <row r="135" spans="2:4" ht="15" x14ac:dyDescent="0.25">
      <c r="B135" s="42" t="s">
        <v>143</v>
      </c>
      <c r="C135" s="43">
        <v>13.609</v>
      </c>
      <c r="D135" s="43">
        <v>11.8675</v>
      </c>
    </row>
    <row r="136" spans="2:4" ht="15" x14ac:dyDescent="0.25">
      <c r="B136" s="42" t="s">
        <v>144</v>
      </c>
      <c r="C136" s="43">
        <v>10.795</v>
      </c>
      <c r="D136" s="43">
        <v>9.4136000000000006</v>
      </c>
    </row>
    <row r="138" spans="2:4" ht="15" x14ac:dyDescent="0.25">
      <c r="B138" s="59" t="s">
        <v>145</v>
      </c>
      <c r="C138" s="44"/>
      <c r="D138" s="60" t="s">
        <v>133</v>
      </c>
    </row>
    <row r="139" spans="2:4" ht="24.75" customHeight="1" x14ac:dyDescent="0.25">
      <c r="B139" s="61"/>
      <c r="C139" s="61"/>
    </row>
    <row r="140" spans="2:4" ht="15" x14ac:dyDescent="0.25">
      <c r="B140" s="63"/>
      <c r="C140" s="65"/>
      <c r="D140"/>
    </row>
    <row r="142" spans="2:4" ht="15" x14ac:dyDescent="0.25">
      <c r="B142" s="41" t="s">
        <v>146</v>
      </c>
      <c r="C142" s="40"/>
      <c r="D142" s="64" t="s">
        <v>133</v>
      </c>
    </row>
    <row r="143" spans="2:4" ht="15" x14ac:dyDescent="0.25">
      <c r="B143" s="41" t="s">
        <v>147</v>
      </c>
      <c r="C143" s="40"/>
      <c r="D143" s="64" t="s">
        <v>133</v>
      </c>
    </row>
    <row r="144" spans="2:4" ht="15" x14ac:dyDescent="0.25">
      <c r="B144" s="41" t="s">
        <v>148</v>
      </c>
      <c r="C144" s="40"/>
      <c r="D144" s="45">
        <v>6.8406670038337241E-3</v>
      </c>
    </row>
    <row r="145" spans="2:4" ht="15" x14ac:dyDescent="0.25">
      <c r="B145" s="41" t="s">
        <v>149</v>
      </c>
      <c r="C145" s="40"/>
      <c r="D145" s="45" t="s">
        <v>133</v>
      </c>
    </row>
  </sheetData>
  <mergeCells count="5">
    <mergeCell ref="A1:G1"/>
    <mergeCell ref="A2:G2"/>
    <mergeCell ref="A3:G3"/>
    <mergeCell ref="B124:F124"/>
    <mergeCell ref="B125:F12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145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289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92</v>
      </c>
      <c r="C7" s="11" t="s">
        <v>93</v>
      </c>
      <c r="D7" s="2" t="s">
        <v>22</v>
      </c>
      <c r="E7" s="46">
        <v>68182</v>
      </c>
      <c r="F7" s="51">
        <v>299.01216099999999</v>
      </c>
      <c r="G7" s="5">
        <v>5.2387178E-2</v>
      </c>
    </row>
    <row r="8" spans="1:7" ht="25.5" x14ac:dyDescent="0.25">
      <c r="A8" s="6">
        <v>2</v>
      </c>
      <c r="B8" s="7" t="s">
        <v>57</v>
      </c>
      <c r="C8" s="11" t="s">
        <v>58</v>
      </c>
      <c r="D8" s="2" t="s">
        <v>59</v>
      </c>
      <c r="E8" s="46">
        <v>39788</v>
      </c>
      <c r="F8" s="51">
        <v>269.28518400000002</v>
      </c>
      <c r="G8" s="5">
        <v>4.7178986999999999E-2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55562</v>
      </c>
      <c r="F9" s="51">
        <v>266.50313299999999</v>
      </c>
      <c r="G9" s="5">
        <v>4.6691569000000002E-2</v>
      </c>
    </row>
    <row r="10" spans="1:7" ht="15" x14ac:dyDescent="0.25">
      <c r="A10" s="6">
        <v>4</v>
      </c>
      <c r="B10" s="7" t="s">
        <v>151</v>
      </c>
      <c r="C10" s="11" t="s">
        <v>152</v>
      </c>
      <c r="D10" s="2" t="s">
        <v>16</v>
      </c>
      <c r="E10" s="46">
        <v>124200</v>
      </c>
      <c r="F10" s="51">
        <v>240.4512</v>
      </c>
      <c r="G10" s="5">
        <v>4.2127248999999999E-2</v>
      </c>
    </row>
    <row r="11" spans="1:7" ht="25.5" x14ac:dyDescent="0.25">
      <c r="A11" s="6">
        <v>5</v>
      </c>
      <c r="B11" s="7" t="s">
        <v>153</v>
      </c>
      <c r="C11" s="11" t="s">
        <v>154</v>
      </c>
      <c r="D11" s="2" t="s">
        <v>155</v>
      </c>
      <c r="E11" s="46">
        <v>35021</v>
      </c>
      <c r="F11" s="51">
        <v>218.11078800000001</v>
      </c>
      <c r="G11" s="5">
        <v>3.8213190000000001E-2</v>
      </c>
    </row>
    <row r="12" spans="1:7" ht="25.5" x14ac:dyDescent="0.25">
      <c r="A12" s="6">
        <v>6</v>
      </c>
      <c r="B12" s="7" t="s">
        <v>23</v>
      </c>
      <c r="C12" s="11" t="s">
        <v>24</v>
      </c>
      <c r="D12" s="2" t="s">
        <v>22</v>
      </c>
      <c r="E12" s="46">
        <v>39398</v>
      </c>
      <c r="F12" s="51">
        <v>216.62990300000001</v>
      </c>
      <c r="G12" s="5">
        <v>3.7953738000000001E-2</v>
      </c>
    </row>
    <row r="13" spans="1:7" ht="25.5" x14ac:dyDescent="0.25">
      <c r="A13" s="6">
        <v>7</v>
      </c>
      <c r="B13" s="7" t="s">
        <v>68</v>
      </c>
      <c r="C13" s="11" t="s">
        <v>69</v>
      </c>
      <c r="D13" s="2" t="s">
        <v>19</v>
      </c>
      <c r="E13" s="46">
        <v>148989</v>
      </c>
      <c r="F13" s="51">
        <v>180.127701</v>
      </c>
      <c r="G13" s="5">
        <v>3.1558521999999999E-2</v>
      </c>
    </row>
    <row r="14" spans="1:7" ht="15" x14ac:dyDescent="0.25">
      <c r="A14" s="6">
        <v>8</v>
      </c>
      <c r="B14" s="7" t="s">
        <v>60</v>
      </c>
      <c r="C14" s="11" t="s">
        <v>61</v>
      </c>
      <c r="D14" s="2" t="s">
        <v>16</v>
      </c>
      <c r="E14" s="46">
        <v>17869</v>
      </c>
      <c r="F14" s="51">
        <v>172.61454000000001</v>
      </c>
      <c r="G14" s="5">
        <v>3.0242209999999999E-2</v>
      </c>
    </row>
    <row r="15" spans="1:7" ht="38.25" x14ac:dyDescent="0.25">
      <c r="A15" s="6">
        <v>9</v>
      </c>
      <c r="B15" s="7" t="s">
        <v>82</v>
      </c>
      <c r="C15" s="11" t="s">
        <v>83</v>
      </c>
      <c r="D15" s="2" t="s">
        <v>84</v>
      </c>
      <c r="E15" s="46">
        <v>204184</v>
      </c>
      <c r="F15" s="51">
        <v>162.020004</v>
      </c>
      <c r="G15" s="5">
        <v>2.8386037999999999E-2</v>
      </c>
    </row>
    <row r="16" spans="1:7" ht="15" x14ac:dyDescent="0.25">
      <c r="A16" s="6">
        <v>10</v>
      </c>
      <c r="B16" s="7" t="s">
        <v>66</v>
      </c>
      <c r="C16" s="11" t="s">
        <v>67</v>
      </c>
      <c r="D16" s="2" t="s">
        <v>51</v>
      </c>
      <c r="E16" s="46">
        <v>84960</v>
      </c>
      <c r="F16" s="51">
        <v>156.24144000000001</v>
      </c>
      <c r="G16" s="5">
        <v>2.7373629E-2</v>
      </c>
    </row>
    <row r="17" spans="1:7" ht="25.5" x14ac:dyDescent="0.25">
      <c r="A17" s="6">
        <v>11</v>
      </c>
      <c r="B17" s="7" t="s">
        <v>156</v>
      </c>
      <c r="C17" s="11" t="s">
        <v>157</v>
      </c>
      <c r="D17" s="2" t="s">
        <v>59</v>
      </c>
      <c r="E17" s="46">
        <v>66656</v>
      </c>
      <c r="F17" s="51">
        <v>155.17516800000001</v>
      </c>
      <c r="G17" s="5">
        <v>2.7186818000000001E-2</v>
      </c>
    </row>
    <row r="18" spans="1:7" ht="15" x14ac:dyDescent="0.25">
      <c r="A18" s="6">
        <v>12</v>
      </c>
      <c r="B18" s="7" t="s">
        <v>158</v>
      </c>
      <c r="C18" s="11" t="s">
        <v>159</v>
      </c>
      <c r="D18" s="2" t="s">
        <v>16</v>
      </c>
      <c r="E18" s="46">
        <v>148446</v>
      </c>
      <c r="F18" s="51">
        <v>130.335588</v>
      </c>
      <c r="G18" s="5">
        <v>2.2834903E-2</v>
      </c>
    </row>
    <row r="19" spans="1:7" ht="15" x14ac:dyDescent="0.25">
      <c r="A19" s="6">
        <v>13</v>
      </c>
      <c r="B19" s="7" t="s">
        <v>160</v>
      </c>
      <c r="C19" s="11" t="s">
        <v>161</v>
      </c>
      <c r="D19" s="2" t="s">
        <v>162</v>
      </c>
      <c r="E19" s="46">
        <v>49250</v>
      </c>
      <c r="F19" s="51">
        <v>129.82300000000001</v>
      </c>
      <c r="G19" s="5">
        <v>2.2745096999999999E-2</v>
      </c>
    </row>
    <row r="20" spans="1:7" ht="25.5" x14ac:dyDescent="0.25">
      <c r="A20" s="6">
        <v>14</v>
      </c>
      <c r="B20" s="7" t="s">
        <v>43</v>
      </c>
      <c r="C20" s="11" t="s">
        <v>44</v>
      </c>
      <c r="D20" s="2" t="s">
        <v>30</v>
      </c>
      <c r="E20" s="46">
        <v>119142</v>
      </c>
      <c r="F20" s="51">
        <v>125.754381</v>
      </c>
      <c r="G20" s="5">
        <v>2.2032270999999999E-2</v>
      </c>
    </row>
    <row r="21" spans="1:7" ht="25.5" x14ac:dyDescent="0.25">
      <c r="A21" s="6">
        <v>15</v>
      </c>
      <c r="B21" s="7" t="s">
        <v>165</v>
      </c>
      <c r="C21" s="11" t="s">
        <v>166</v>
      </c>
      <c r="D21" s="2" t="s">
        <v>167</v>
      </c>
      <c r="E21" s="46">
        <v>101000</v>
      </c>
      <c r="F21" s="51">
        <v>116.4025</v>
      </c>
      <c r="G21" s="5">
        <v>2.0393814E-2</v>
      </c>
    </row>
    <row r="22" spans="1:7" ht="15" x14ac:dyDescent="0.25">
      <c r="A22" s="6">
        <v>16</v>
      </c>
      <c r="B22" s="7" t="s">
        <v>168</v>
      </c>
      <c r="C22" s="11" t="s">
        <v>169</v>
      </c>
      <c r="D22" s="2" t="s">
        <v>170</v>
      </c>
      <c r="E22" s="46">
        <v>59916</v>
      </c>
      <c r="F22" s="51">
        <v>114.13997999999999</v>
      </c>
      <c r="G22" s="5">
        <v>1.9997418999999999E-2</v>
      </c>
    </row>
    <row r="23" spans="1:7" ht="25.5" x14ac:dyDescent="0.25">
      <c r="A23" s="6">
        <v>17</v>
      </c>
      <c r="B23" s="7" t="s">
        <v>171</v>
      </c>
      <c r="C23" s="11" t="s">
        <v>172</v>
      </c>
      <c r="D23" s="2" t="s">
        <v>173</v>
      </c>
      <c r="E23" s="46">
        <v>38747</v>
      </c>
      <c r="F23" s="51">
        <v>113.8968065</v>
      </c>
      <c r="G23" s="5">
        <v>1.9954815000000001E-2</v>
      </c>
    </row>
    <row r="24" spans="1:7" ht="25.5" x14ac:dyDescent="0.25">
      <c r="A24" s="6">
        <v>18</v>
      </c>
      <c r="B24" s="7" t="s">
        <v>174</v>
      </c>
      <c r="C24" s="11" t="s">
        <v>175</v>
      </c>
      <c r="D24" s="2" t="s">
        <v>22</v>
      </c>
      <c r="E24" s="46">
        <v>37713</v>
      </c>
      <c r="F24" s="51">
        <v>111.215637</v>
      </c>
      <c r="G24" s="5">
        <v>1.9485071E-2</v>
      </c>
    </row>
    <row r="25" spans="1:7" ht="25.5" x14ac:dyDescent="0.25">
      <c r="A25" s="6">
        <v>19</v>
      </c>
      <c r="B25" s="7" t="s">
        <v>176</v>
      </c>
      <c r="C25" s="11" t="s">
        <v>177</v>
      </c>
      <c r="D25" s="2" t="s">
        <v>30</v>
      </c>
      <c r="E25" s="46">
        <v>11401</v>
      </c>
      <c r="F25" s="51">
        <v>110.954532</v>
      </c>
      <c r="G25" s="5">
        <v>1.9439326E-2</v>
      </c>
    </row>
    <row r="26" spans="1:7" ht="25.5" x14ac:dyDescent="0.25">
      <c r="A26" s="6">
        <v>20</v>
      </c>
      <c r="B26" s="7" t="s">
        <v>178</v>
      </c>
      <c r="C26" s="11" t="s">
        <v>179</v>
      </c>
      <c r="D26" s="2" t="s">
        <v>22</v>
      </c>
      <c r="E26" s="46">
        <v>31572</v>
      </c>
      <c r="F26" s="51">
        <v>109.965276</v>
      </c>
      <c r="G26" s="5">
        <v>1.9266007000000002E-2</v>
      </c>
    </row>
    <row r="27" spans="1:7" ht="25.5" x14ac:dyDescent="0.25">
      <c r="A27" s="6">
        <v>21</v>
      </c>
      <c r="B27" s="7" t="s">
        <v>180</v>
      </c>
      <c r="C27" s="11" t="s">
        <v>181</v>
      </c>
      <c r="D27" s="2" t="s">
        <v>173</v>
      </c>
      <c r="E27" s="46">
        <v>7168</v>
      </c>
      <c r="F27" s="51">
        <v>108.760064</v>
      </c>
      <c r="G27" s="5">
        <v>1.9054853E-2</v>
      </c>
    </row>
    <row r="28" spans="1:7" ht="15" x14ac:dyDescent="0.25">
      <c r="A28" s="6">
        <v>22</v>
      </c>
      <c r="B28" s="7" t="s">
        <v>163</v>
      </c>
      <c r="C28" s="11" t="s">
        <v>164</v>
      </c>
      <c r="D28" s="2" t="s">
        <v>13</v>
      </c>
      <c r="E28" s="46">
        <v>54696</v>
      </c>
      <c r="F28" s="51">
        <v>106.93068</v>
      </c>
      <c r="G28" s="5">
        <v>1.8734343000000001E-2</v>
      </c>
    </row>
    <row r="29" spans="1:7" ht="25.5" x14ac:dyDescent="0.25">
      <c r="A29" s="6">
        <v>23</v>
      </c>
      <c r="B29" s="7" t="s">
        <v>20</v>
      </c>
      <c r="C29" s="11" t="s">
        <v>21</v>
      </c>
      <c r="D29" s="2" t="s">
        <v>22</v>
      </c>
      <c r="E29" s="46">
        <v>14880</v>
      </c>
      <c r="F29" s="51">
        <v>101.00543999999999</v>
      </c>
      <c r="G29" s="5">
        <v>1.7696236000000001E-2</v>
      </c>
    </row>
    <row r="30" spans="1:7" ht="15" x14ac:dyDescent="0.25">
      <c r="A30" s="6">
        <v>24</v>
      </c>
      <c r="B30" s="7" t="s">
        <v>182</v>
      </c>
      <c r="C30" s="11" t="s">
        <v>183</v>
      </c>
      <c r="D30" s="2" t="s">
        <v>184</v>
      </c>
      <c r="E30" s="46">
        <v>51796</v>
      </c>
      <c r="F30" s="51">
        <v>96.806724000000003</v>
      </c>
      <c r="G30" s="5">
        <v>1.6960618E-2</v>
      </c>
    </row>
    <row r="31" spans="1:7" ht="25.5" x14ac:dyDescent="0.25">
      <c r="A31" s="6">
        <v>25</v>
      </c>
      <c r="B31" s="7" t="s">
        <v>185</v>
      </c>
      <c r="C31" s="11" t="s">
        <v>186</v>
      </c>
      <c r="D31" s="2" t="s">
        <v>59</v>
      </c>
      <c r="E31" s="46">
        <v>74800</v>
      </c>
      <c r="F31" s="51">
        <v>94.435000000000002</v>
      </c>
      <c r="G31" s="5">
        <v>1.6545089999999998E-2</v>
      </c>
    </row>
    <row r="32" spans="1:7" ht="15" x14ac:dyDescent="0.25">
      <c r="A32" s="6">
        <v>26</v>
      </c>
      <c r="B32" s="7" t="s">
        <v>187</v>
      </c>
      <c r="C32" s="11" t="s">
        <v>188</v>
      </c>
      <c r="D32" s="2" t="s">
        <v>162</v>
      </c>
      <c r="E32" s="46">
        <v>10000</v>
      </c>
      <c r="F32" s="51">
        <v>91.754999999999995</v>
      </c>
      <c r="G32" s="5">
        <v>1.6075552E-2</v>
      </c>
    </row>
    <row r="33" spans="1:7" ht="25.5" x14ac:dyDescent="0.25">
      <c r="A33" s="6">
        <v>27</v>
      </c>
      <c r="B33" s="7" t="s">
        <v>189</v>
      </c>
      <c r="C33" s="11" t="s">
        <v>190</v>
      </c>
      <c r="D33" s="2" t="s">
        <v>167</v>
      </c>
      <c r="E33" s="46">
        <v>20626</v>
      </c>
      <c r="F33" s="51">
        <v>91.043164000000004</v>
      </c>
      <c r="G33" s="5">
        <v>1.5950837999999998E-2</v>
      </c>
    </row>
    <row r="34" spans="1:7" ht="15" x14ac:dyDescent="0.25">
      <c r="A34" s="6">
        <v>28</v>
      </c>
      <c r="B34" s="7" t="s">
        <v>96</v>
      </c>
      <c r="C34" s="11" t="s">
        <v>97</v>
      </c>
      <c r="D34" s="2" t="s">
        <v>51</v>
      </c>
      <c r="E34" s="46">
        <v>116565</v>
      </c>
      <c r="F34" s="51">
        <v>90.163027499999998</v>
      </c>
      <c r="G34" s="5">
        <v>1.5796636999999999E-2</v>
      </c>
    </row>
    <row r="35" spans="1:7" ht="25.5" x14ac:dyDescent="0.25">
      <c r="A35" s="6">
        <v>29</v>
      </c>
      <c r="B35" s="7" t="s">
        <v>85</v>
      </c>
      <c r="C35" s="11" t="s">
        <v>86</v>
      </c>
      <c r="D35" s="2" t="s">
        <v>22</v>
      </c>
      <c r="E35" s="46">
        <v>15010</v>
      </c>
      <c r="F35" s="51">
        <v>88.911734999999993</v>
      </c>
      <c r="G35" s="5">
        <v>1.5577409E-2</v>
      </c>
    </row>
    <row r="36" spans="1:7" ht="15" x14ac:dyDescent="0.25">
      <c r="A36" s="6">
        <v>30</v>
      </c>
      <c r="B36" s="7" t="s">
        <v>191</v>
      </c>
      <c r="C36" s="11" t="s">
        <v>192</v>
      </c>
      <c r="D36" s="2" t="s">
        <v>193</v>
      </c>
      <c r="E36" s="46">
        <v>64490</v>
      </c>
      <c r="F36" s="51">
        <v>85.836190000000002</v>
      </c>
      <c r="G36" s="5">
        <v>1.5038571000000001E-2</v>
      </c>
    </row>
    <row r="37" spans="1:7" ht="25.5" x14ac:dyDescent="0.25">
      <c r="A37" s="6">
        <v>31</v>
      </c>
      <c r="B37" s="7" t="s">
        <v>194</v>
      </c>
      <c r="C37" s="11" t="s">
        <v>195</v>
      </c>
      <c r="D37" s="2" t="s">
        <v>37</v>
      </c>
      <c r="E37" s="46">
        <v>25338</v>
      </c>
      <c r="F37" s="51">
        <v>85.756461000000002</v>
      </c>
      <c r="G37" s="5">
        <v>1.5024602999999999E-2</v>
      </c>
    </row>
    <row r="38" spans="1:7" ht="25.5" x14ac:dyDescent="0.25">
      <c r="A38" s="6">
        <v>32</v>
      </c>
      <c r="B38" s="7" t="s">
        <v>196</v>
      </c>
      <c r="C38" s="11" t="s">
        <v>846</v>
      </c>
      <c r="D38" s="2" t="s">
        <v>59</v>
      </c>
      <c r="E38" s="46">
        <v>4988</v>
      </c>
      <c r="F38" s="51">
        <v>81.868043999999998</v>
      </c>
      <c r="G38" s="5">
        <v>1.4343349E-2</v>
      </c>
    </row>
    <row r="39" spans="1:7" ht="25.5" x14ac:dyDescent="0.25">
      <c r="A39" s="6">
        <v>33</v>
      </c>
      <c r="B39" s="7" t="s">
        <v>199</v>
      </c>
      <c r="C39" s="11" t="s">
        <v>200</v>
      </c>
      <c r="D39" s="2" t="s">
        <v>22</v>
      </c>
      <c r="E39" s="46">
        <v>10778</v>
      </c>
      <c r="F39" s="51">
        <v>79.175188000000006</v>
      </c>
      <c r="G39" s="5">
        <v>1.3871558000000001E-2</v>
      </c>
    </row>
    <row r="40" spans="1:7" ht="25.5" x14ac:dyDescent="0.25">
      <c r="A40" s="6">
        <v>34</v>
      </c>
      <c r="B40" s="7" t="s">
        <v>45</v>
      </c>
      <c r="C40" s="11" t="s">
        <v>46</v>
      </c>
      <c r="D40" s="2" t="s">
        <v>22</v>
      </c>
      <c r="E40" s="46">
        <v>12338</v>
      </c>
      <c r="F40" s="51">
        <v>75.496222000000003</v>
      </c>
      <c r="G40" s="5">
        <v>1.3226999999999999E-2</v>
      </c>
    </row>
    <row r="41" spans="1:7" ht="25.5" x14ac:dyDescent="0.25">
      <c r="A41" s="6">
        <v>35</v>
      </c>
      <c r="B41" s="7" t="s">
        <v>94</v>
      </c>
      <c r="C41" s="11" t="s">
        <v>95</v>
      </c>
      <c r="D41" s="2" t="s">
        <v>22</v>
      </c>
      <c r="E41" s="46">
        <v>73052</v>
      </c>
      <c r="F41" s="51">
        <v>74.841774000000001</v>
      </c>
      <c r="G41" s="5">
        <v>1.3112341E-2</v>
      </c>
    </row>
    <row r="42" spans="1:7" ht="25.5" x14ac:dyDescent="0.25">
      <c r="A42" s="6">
        <v>36</v>
      </c>
      <c r="B42" s="7" t="s">
        <v>64</v>
      </c>
      <c r="C42" s="11" t="s">
        <v>65</v>
      </c>
      <c r="D42" s="2" t="s">
        <v>19</v>
      </c>
      <c r="E42" s="46">
        <v>102240</v>
      </c>
      <c r="F42" s="51">
        <v>74.788560000000004</v>
      </c>
      <c r="G42" s="5">
        <v>1.3103017E-2</v>
      </c>
    </row>
    <row r="43" spans="1:7" ht="15" x14ac:dyDescent="0.25">
      <c r="A43" s="6">
        <v>37</v>
      </c>
      <c r="B43" s="7" t="s">
        <v>201</v>
      </c>
      <c r="C43" s="11" t="s">
        <v>202</v>
      </c>
      <c r="D43" s="2" t="s">
        <v>27</v>
      </c>
      <c r="E43" s="46">
        <v>128748</v>
      </c>
      <c r="F43" s="51">
        <v>72.034505999999993</v>
      </c>
      <c r="G43" s="5">
        <v>1.2620505000000001E-2</v>
      </c>
    </row>
    <row r="44" spans="1:7" ht="15" x14ac:dyDescent="0.25">
      <c r="A44" s="6">
        <v>38</v>
      </c>
      <c r="B44" s="7" t="s">
        <v>203</v>
      </c>
      <c r="C44" s="11" t="s">
        <v>204</v>
      </c>
      <c r="D44" s="2" t="s">
        <v>81</v>
      </c>
      <c r="E44" s="46">
        <v>57654</v>
      </c>
      <c r="F44" s="51">
        <v>62.093358000000002</v>
      </c>
      <c r="G44" s="5">
        <v>1.0878808E-2</v>
      </c>
    </row>
    <row r="45" spans="1:7" ht="15" x14ac:dyDescent="0.25">
      <c r="A45" s="6">
        <v>39</v>
      </c>
      <c r="B45" s="7" t="s">
        <v>197</v>
      </c>
      <c r="C45" s="11" t="s">
        <v>198</v>
      </c>
      <c r="D45" s="2" t="s">
        <v>162</v>
      </c>
      <c r="E45" s="46">
        <v>21034</v>
      </c>
      <c r="F45" s="51">
        <v>61.913578999999999</v>
      </c>
      <c r="G45" s="5">
        <v>1.0847310000000001E-2</v>
      </c>
    </row>
    <row r="46" spans="1:7" ht="25.5" x14ac:dyDescent="0.25">
      <c r="A46" s="6">
        <v>40</v>
      </c>
      <c r="B46" s="7" t="s">
        <v>205</v>
      </c>
      <c r="C46" s="11" t="s">
        <v>206</v>
      </c>
      <c r="D46" s="2" t="s">
        <v>173</v>
      </c>
      <c r="E46" s="46">
        <v>59710</v>
      </c>
      <c r="F46" s="51">
        <v>60.456375000000001</v>
      </c>
      <c r="G46" s="5">
        <v>1.0592007000000001E-2</v>
      </c>
    </row>
    <row r="47" spans="1:7" ht="15" x14ac:dyDescent="0.25">
      <c r="A47" s="6">
        <v>41</v>
      </c>
      <c r="B47" s="7" t="s">
        <v>72</v>
      </c>
      <c r="C47" s="11" t="s">
        <v>845</v>
      </c>
      <c r="D47" s="2" t="s">
        <v>51</v>
      </c>
      <c r="E47" s="46">
        <v>24468</v>
      </c>
      <c r="F47" s="51">
        <v>57.952458</v>
      </c>
      <c r="G47" s="5">
        <v>1.0153318E-2</v>
      </c>
    </row>
    <row r="48" spans="1:7" ht="25.5" x14ac:dyDescent="0.25">
      <c r="A48" s="6">
        <v>42</v>
      </c>
      <c r="B48" s="7" t="s">
        <v>207</v>
      </c>
      <c r="C48" s="11" t="s">
        <v>208</v>
      </c>
      <c r="D48" s="2" t="s">
        <v>30</v>
      </c>
      <c r="E48" s="46">
        <v>49040</v>
      </c>
      <c r="F48" s="51">
        <v>53.870440000000002</v>
      </c>
      <c r="G48" s="5">
        <v>9.4381459999999997E-3</v>
      </c>
    </row>
    <row r="49" spans="1:7" ht="15" x14ac:dyDescent="0.25">
      <c r="A49" s="6">
        <v>43</v>
      </c>
      <c r="B49" s="7" t="s">
        <v>209</v>
      </c>
      <c r="C49" s="11" t="s">
        <v>210</v>
      </c>
      <c r="D49" s="2" t="s">
        <v>155</v>
      </c>
      <c r="E49" s="46">
        <v>26778</v>
      </c>
      <c r="F49" s="51">
        <v>44.625537000000001</v>
      </c>
      <c r="G49" s="5">
        <v>7.8184310000000007E-3</v>
      </c>
    </row>
    <row r="50" spans="1:7" ht="15" x14ac:dyDescent="0.25">
      <c r="A50" s="6">
        <v>44</v>
      </c>
      <c r="B50" s="7" t="s">
        <v>211</v>
      </c>
      <c r="C50" s="11" t="s">
        <v>212</v>
      </c>
      <c r="D50" s="2" t="s">
        <v>162</v>
      </c>
      <c r="E50" s="46">
        <v>52657</v>
      </c>
      <c r="F50" s="51">
        <v>41.862315000000002</v>
      </c>
      <c r="G50" s="5">
        <v>7.3343119999999999E-3</v>
      </c>
    </row>
    <row r="51" spans="1:7" ht="25.5" x14ac:dyDescent="0.25">
      <c r="A51" s="6">
        <v>45</v>
      </c>
      <c r="B51" s="7" t="s">
        <v>87</v>
      </c>
      <c r="C51" s="11" t="s">
        <v>88</v>
      </c>
      <c r="D51" s="2" t="s">
        <v>89</v>
      </c>
      <c r="E51" s="46">
        <v>13884</v>
      </c>
      <c r="F51" s="51">
        <v>40.360787999999999</v>
      </c>
      <c r="G51" s="5">
        <v>7.0712429999999996E-3</v>
      </c>
    </row>
    <row r="52" spans="1:7" ht="15" x14ac:dyDescent="0.25">
      <c r="A52" s="6">
        <v>46</v>
      </c>
      <c r="B52" s="7" t="s">
        <v>213</v>
      </c>
      <c r="C52" s="11" t="s">
        <v>214</v>
      </c>
      <c r="D52" s="2" t="s">
        <v>215</v>
      </c>
      <c r="E52" s="46">
        <v>41104</v>
      </c>
      <c r="F52" s="51">
        <v>39.213216000000003</v>
      </c>
      <c r="G52" s="5">
        <v>6.8701880000000002E-3</v>
      </c>
    </row>
    <row r="53" spans="1:7" ht="25.5" x14ac:dyDescent="0.25">
      <c r="A53" s="6">
        <v>47</v>
      </c>
      <c r="B53" s="7" t="s">
        <v>216</v>
      </c>
      <c r="C53" s="11" t="s">
        <v>217</v>
      </c>
      <c r="D53" s="2" t="s">
        <v>59</v>
      </c>
      <c r="E53" s="46">
        <v>15883</v>
      </c>
      <c r="F53" s="51">
        <v>35.951170500000003</v>
      </c>
      <c r="G53" s="5">
        <v>6.2986750000000001E-3</v>
      </c>
    </row>
    <row r="54" spans="1:7" ht="15" x14ac:dyDescent="0.25">
      <c r="A54" s="6">
        <v>48</v>
      </c>
      <c r="B54" s="7" t="s">
        <v>218</v>
      </c>
      <c r="C54" s="11" t="s">
        <v>219</v>
      </c>
      <c r="D54" s="2" t="s">
        <v>51</v>
      </c>
      <c r="E54" s="46">
        <v>16842</v>
      </c>
      <c r="F54" s="51">
        <v>35.873460000000001</v>
      </c>
      <c r="G54" s="5">
        <v>6.2850600000000003E-3</v>
      </c>
    </row>
    <row r="55" spans="1:7" ht="15" x14ac:dyDescent="0.25">
      <c r="A55" s="6">
        <v>49</v>
      </c>
      <c r="B55" s="7" t="s">
        <v>220</v>
      </c>
      <c r="C55" s="11" t="s">
        <v>221</v>
      </c>
      <c r="D55" s="2" t="s">
        <v>193</v>
      </c>
      <c r="E55" s="46">
        <v>17620</v>
      </c>
      <c r="F55" s="51">
        <v>33.812779999999997</v>
      </c>
      <c r="G55" s="5">
        <v>5.9240270000000001E-3</v>
      </c>
    </row>
    <row r="56" spans="1:7" ht="15" x14ac:dyDescent="0.25">
      <c r="A56" s="6">
        <v>50</v>
      </c>
      <c r="B56" s="7" t="s">
        <v>222</v>
      </c>
      <c r="C56" s="11" t="s">
        <v>223</v>
      </c>
      <c r="D56" s="2" t="s">
        <v>215</v>
      </c>
      <c r="E56" s="46">
        <v>7085</v>
      </c>
      <c r="F56" s="51">
        <v>32.761040000000001</v>
      </c>
      <c r="G56" s="5">
        <v>5.7397610000000003E-3</v>
      </c>
    </row>
    <row r="57" spans="1:7" ht="15" x14ac:dyDescent="0.25">
      <c r="A57" s="6">
        <v>51</v>
      </c>
      <c r="B57" s="7" t="s">
        <v>102</v>
      </c>
      <c r="C57" s="11" t="s">
        <v>103</v>
      </c>
      <c r="D57" s="2" t="s">
        <v>51</v>
      </c>
      <c r="E57" s="46">
        <v>21300</v>
      </c>
      <c r="F57" s="51">
        <v>23.12115</v>
      </c>
      <c r="G57" s="5">
        <v>4.050845E-3</v>
      </c>
    </row>
    <row r="58" spans="1:7" ht="25.5" x14ac:dyDescent="0.25">
      <c r="A58" s="6">
        <v>52</v>
      </c>
      <c r="B58" s="7" t="s">
        <v>227</v>
      </c>
      <c r="C58" s="11" t="s">
        <v>228</v>
      </c>
      <c r="D58" s="2" t="s">
        <v>173</v>
      </c>
      <c r="E58" s="46">
        <v>18003</v>
      </c>
      <c r="F58" s="51">
        <v>11.413902</v>
      </c>
      <c r="G58" s="5">
        <v>1.9997249999999999E-3</v>
      </c>
    </row>
    <row r="59" spans="1:7" ht="25.5" x14ac:dyDescent="0.25">
      <c r="A59" s="6">
        <v>53</v>
      </c>
      <c r="B59" s="7" t="s">
        <v>229</v>
      </c>
      <c r="C59" s="11" t="s">
        <v>230</v>
      </c>
      <c r="D59" s="2" t="s">
        <v>37</v>
      </c>
      <c r="E59" s="46">
        <v>80235</v>
      </c>
      <c r="F59" s="51">
        <v>8.2642050000000005</v>
      </c>
      <c r="G59" s="5">
        <v>1.4478959999999999E-3</v>
      </c>
    </row>
    <row r="60" spans="1:7" ht="15" x14ac:dyDescent="0.25">
      <c r="A60" s="1"/>
      <c r="B60" s="2"/>
      <c r="C60" s="8" t="s">
        <v>104</v>
      </c>
      <c r="D60" s="12"/>
      <c r="E60" s="48"/>
      <c r="F60" s="53">
        <v>5541.8124755000008</v>
      </c>
      <c r="G60" s="13">
        <v>0.97093012299999992</v>
      </c>
    </row>
    <row r="61" spans="1:7" ht="15" x14ac:dyDescent="0.25">
      <c r="A61" s="6"/>
      <c r="B61" s="7"/>
      <c r="C61" s="14"/>
      <c r="D61" s="15"/>
      <c r="E61" s="46"/>
      <c r="F61" s="51"/>
      <c r="G61" s="5"/>
    </row>
    <row r="62" spans="1:7" ht="15" x14ac:dyDescent="0.25">
      <c r="A62" s="1"/>
      <c r="B62" s="2"/>
      <c r="C62" s="8" t="s">
        <v>105</v>
      </c>
      <c r="D62" s="9"/>
      <c r="E62" s="47"/>
      <c r="F62" s="52"/>
      <c r="G62" s="10"/>
    </row>
    <row r="63" spans="1:7" ht="15" x14ac:dyDescent="0.25">
      <c r="A63" s="1"/>
      <c r="B63" s="2"/>
      <c r="C63" s="8" t="s">
        <v>104</v>
      </c>
      <c r="D63" s="12"/>
      <c r="E63" s="48"/>
      <c r="F63" s="53">
        <v>0</v>
      </c>
      <c r="G63" s="13">
        <v>0</v>
      </c>
    </row>
    <row r="64" spans="1:7" ht="15" x14ac:dyDescent="0.25">
      <c r="A64" s="6"/>
      <c r="B64" s="7"/>
      <c r="C64" s="14"/>
      <c r="D64" s="15"/>
      <c r="E64" s="46"/>
      <c r="F64" s="51"/>
      <c r="G64" s="5"/>
    </row>
    <row r="65" spans="1:7" ht="15" x14ac:dyDescent="0.25">
      <c r="A65" s="16"/>
      <c r="B65" s="17"/>
      <c r="C65" s="8" t="s">
        <v>106</v>
      </c>
      <c r="D65" s="9"/>
      <c r="E65" s="47"/>
      <c r="F65" s="52"/>
      <c r="G65" s="10"/>
    </row>
    <row r="66" spans="1:7" ht="15" x14ac:dyDescent="0.25">
      <c r="A66" s="18"/>
      <c r="B66" s="19"/>
      <c r="C66" s="8" t="s">
        <v>104</v>
      </c>
      <c r="D66" s="20"/>
      <c r="E66" s="49"/>
      <c r="F66" s="54">
        <v>0</v>
      </c>
      <c r="G66" s="21">
        <v>0</v>
      </c>
    </row>
    <row r="67" spans="1:7" ht="15" x14ac:dyDescent="0.25">
      <c r="A67" s="18"/>
      <c r="B67" s="19"/>
      <c r="C67" s="14"/>
      <c r="D67" s="22"/>
      <c r="E67" s="50"/>
      <c r="F67" s="55"/>
      <c r="G67" s="23"/>
    </row>
    <row r="68" spans="1:7" ht="15" x14ac:dyDescent="0.25">
      <c r="A68" s="1"/>
      <c r="B68" s="2"/>
      <c r="C68" s="8" t="s">
        <v>108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1"/>
      <c r="B70" s="2"/>
      <c r="C70" s="14"/>
      <c r="D70" s="4"/>
      <c r="E70" s="46"/>
      <c r="F70" s="51"/>
      <c r="G70" s="5"/>
    </row>
    <row r="71" spans="1:7" ht="15" x14ac:dyDescent="0.25">
      <c r="A71" s="1"/>
      <c r="B71" s="2"/>
      <c r="C71" s="8" t="s">
        <v>109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1"/>
      <c r="B73" s="2"/>
      <c r="C73" s="14"/>
      <c r="D73" s="4"/>
      <c r="E73" s="46"/>
      <c r="F73" s="51"/>
      <c r="G73" s="5"/>
    </row>
    <row r="74" spans="1:7" ht="15" x14ac:dyDescent="0.25">
      <c r="A74" s="1"/>
      <c r="B74" s="2"/>
      <c r="C74" s="8" t="s">
        <v>110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25.5" x14ac:dyDescent="0.25">
      <c r="A77" s="6"/>
      <c r="B77" s="7"/>
      <c r="C77" s="24" t="s">
        <v>111</v>
      </c>
      <c r="D77" s="25"/>
      <c r="E77" s="48"/>
      <c r="F77" s="53">
        <v>5541.8124755000008</v>
      </c>
      <c r="G77" s="13">
        <v>0.97093012299999992</v>
      </c>
    </row>
    <row r="78" spans="1:7" ht="15" x14ac:dyDescent="0.25">
      <c r="A78" s="1"/>
      <c r="B78" s="2"/>
      <c r="C78" s="11"/>
      <c r="D78" s="4"/>
      <c r="E78" s="46"/>
      <c r="F78" s="51"/>
      <c r="G78" s="5"/>
    </row>
    <row r="79" spans="1:7" ht="15" x14ac:dyDescent="0.25">
      <c r="A79" s="1"/>
      <c r="B79" s="2"/>
      <c r="C79" s="3" t="s">
        <v>112</v>
      </c>
      <c r="D79" s="4"/>
      <c r="E79" s="46"/>
      <c r="F79" s="51"/>
      <c r="G79" s="5"/>
    </row>
    <row r="80" spans="1:7" ht="25.5" x14ac:dyDescent="0.25">
      <c r="A80" s="1"/>
      <c r="B80" s="2"/>
      <c r="C80" s="8" t="s">
        <v>10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4"/>
      <c r="E82" s="46"/>
      <c r="F82" s="51"/>
      <c r="G82" s="5"/>
    </row>
    <row r="83" spans="1:7" ht="15" x14ac:dyDescent="0.25">
      <c r="A83" s="1"/>
      <c r="B83" s="26"/>
      <c r="C83" s="8" t="s">
        <v>113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4"/>
      <c r="E85" s="46"/>
      <c r="F85" s="56"/>
      <c r="G85" s="27"/>
    </row>
    <row r="86" spans="1:7" ht="15" x14ac:dyDescent="0.25">
      <c r="A86" s="1"/>
      <c r="B86" s="2"/>
      <c r="C86" s="8" t="s">
        <v>114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1"/>
      <c r="B88" s="2"/>
      <c r="C88" s="14"/>
      <c r="D88" s="4"/>
      <c r="E88" s="46"/>
      <c r="F88" s="51"/>
      <c r="G88" s="5"/>
    </row>
    <row r="89" spans="1:7" ht="25.5" x14ac:dyDescent="0.25">
      <c r="A89" s="1"/>
      <c r="B89" s="26"/>
      <c r="C89" s="8" t="s">
        <v>115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1"/>
      <c r="G91" s="5"/>
    </row>
    <row r="92" spans="1:7" ht="15" x14ac:dyDescent="0.25">
      <c r="A92" s="6"/>
      <c r="B92" s="7"/>
      <c r="C92" s="28" t="s">
        <v>116</v>
      </c>
      <c r="D92" s="25"/>
      <c r="E92" s="48"/>
      <c r="F92" s="53">
        <v>0</v>
      </c>
      <c r="G92" s="13">
        <v>0</v>
      </c>
    </row>
    <row r="93" spans="1:7" ht="15" x14ac:dyDescent="0.25">
      <c r="A93" s="6"/>
      <c r="B93" s="7"/>
      <c r="C93" s="11"/>
      <c r="D93" s="4"/>
      <c r="E93" s="46"/>
      <c r="F93" s="51"/>
      <c r="G93" s="5"/>
    </row>
    <row r="94" spans="1:7" ht="15" x14ac:dyDescent="0.25">
      <c r="A94" s="1"/>
      <c r="B94" s="2"/>
      <c r="C94" s="3" t="s">
        <v>117</v>
      </c>
      <c r="D94" s="4"/>
      <c r="E94" s="46"/>
      <c r="F94" s="51"/>
      <c r="G94" s="5"/>
    </row>
    <row r="95" spans="1:7" ht="15" x14ac:dyDescent="0.25">
      <c r="A95" s="6"/>
      <c r="B95" s="7"/>
      <c r="C95" s="8" t="s">
        <v>118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7"/>
      <c r="E97" s="46"/>
      <c r="F97" s="51"/>
      <c r="G97" s="5"/>
    </row>
    <row r="98" spans="1:7" ht="15" x14ac:dyDescent="0.25">
      <c r="A98" s="6"/>
      <c r="B98" s="7"/>
      <c r="C98" s="8" t="s">
        <v>119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25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7"/>
      <c r="E100" s="46"/>
      <c r="F100" s="51"/>
      <c r="G100" s="5"/>
    </row>
    <row r="101" spans="1:7" ht="15" x14ac:dyDescent="0.25">
      <c r="A101" s="6"/>
      <c r="B101" s="7"/>
      <c r="C101" s="8" t="s">
        <v>120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121</v>
      </c>
      <c r="D104" s="9"/>
      <c r="E104" s="47"/>
      <c r="F104" s="52"/>
      <c r="G104" s="10"/>
    </row>
    <row r="105" spans="1:7" ht="15" x14ac:dyDescent="0.25">
      <c r="A105" s="6">
        <v>1</v>
      </c>
      <c r="B105" s="7"/>
      <c r="C105" s="11" t="s">
        <v>730</v>
      </c>
      <c r="D105" s="15"/>
      <c r="E105" s="46"/>
      <c r="F105" s="51">
        <v>56.9912718</v>
      </c>
      <c r="G105" s="5">
        <v>9.9849180000000006E-3</v>
      </c>
    </row>
    <row r="106" spans="1:7" ht="15" x14ac:dyDescent="0.25">
      <c r="A106" s="6"/>
      <c r="B106" s="7"/>
      <c r="C106" s="8" t="s">
        <v>104</v>
      </c>
      <c r="D106" s="25"/>
      <c r="E106" s="48"/>
      <c r="F106" s="53">
        <v>56.9912718</v>
      </c>
      <c r="G106" s="13">
        <v>9.9849180000000006E-3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25.5" x14ac:dyDescent="0.25">
      <c r="A108" s="6"/>
      <c r="B108" s="7"/>
      <c r="C108" s="24" t="s">
        <v>122</v>
      </c>
      <c r="D108" s="25"/>
      <c r="E108" s="48"/>
      <c r="F108" s="53">
        <v>56.9912718</v>
      </c>
      <c r="G108" s="13">
        <v>9.9849180000000006E-3</v>
      </c>
    </row>
    <row r="109" spans="1:7" ht="15" x14ac:dyDescent="0.25">
      <c r="A109" s="6"/>
      <c r="B109" s="7"/>
      <c r="C109" s="29"/>
      <c r="D109" s="7"/>
      <c r="E109" s="46"/>
      <c r="F109" s="51"/>
      <c r="G109" s="5"/>
    </row>
    <row r="110" spans="1:7" ht="15" x14ac:dyDescent="0.25">
      <c r="A110" s="1"/>
      <c r="B110" s="2"/>
      <c r="C110" s="3" t="s">
        <v>123</v>
      </c>
      <c r="D110" s="4"/>
      <c r="E110" s="46"/>
      <c r="F110" s="51"/>
      <c r="G110" s="5"/>
    </row>
    <row r="111" spans="1:7" ht="25.5" x14ac:dyDescent="0.25">
      <c r="A111" s="6"/>
      <c r="B111" s="7"/>
      <c r="C111" s="8" t="s">
        <v>124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15" x14ac:dyDescent="0.25">
      <c r="A114" s="1"/>
      <c r="B114" s="2"/>
      <c r="C114" s="3" t="s">
        <v>125</v>
      </c>
      <c r="D114" s="4"/>
      <c r="E114" s="46"/>
      <c r="F114" s="51"/>
      <c r="G114" s="5"/>
    </row>
    <row r="115" spans="1:7" ht="25.5" x14ac:dyDescent="0.25">
      <c r="A115" s="6"/>
      <c r="B115" s="7"/>
      <c r="C115" s="8" t="s">
        <v>126</v>
      </c>
      <c r="D115" s="9"/>
      <c r="E115" s="47"/>
      <c r="F115" s="52"/>
      <c r="G115" s="10"/>
    </row>
    <row r="116" spans="1:7" ht="15" x14ac:dyDescent="0.25">
      <c r="A116" s="6"/>
      <c r="B116" s="7"/>
      <c r="C116" s="8" t="s">
        <v>104</v>
      </c>
      <c r="D116" s="25"/>
      <c r="E116" s="48"/>
      <c r="F116" s="53">
        <v>0</v>
      </c>
      <c r="G116" s="13">
        <v>0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25.5" x14ac:dyDescent="0.25">
      <c r="A118" s="6"/>
      <c r="B118" s="7"/>
      <c r="C118" s="8" t="s">
        <v>127</v>
      </c>
      <c r="D118" s="9"/>
      <c r="E118" s="47"/>
      <c r="F118" s="51">
        <v>67.05</v>
      </c>
      <c r="G118" s="5">
        <v>1.1747215E-2</v>
      </c>
    </row>
    <row r="119" spans="1:7" ht="15" x14ac:dyDescent="0.25">
      <c r="A119" s="6"/>
      <c r="B119" s="7"/>
      <c r="C119" s="8" t="s">
        <v>810</v>
      </c>
      <c r="D119" s="25"/>
      <c r="E119" s="48"/>
      <c r="F119" s="53">
        <v>67.05</v>
      </c>
      <c r="G119" s="13">
        <v>1.1747215E-2</v>
      </c>
    </row>
    <row r="120" spans="1:7" ht="15" x14ac:dyDescent="0.25">
      <c r="A120" s="6"/>
      <c r="B120" s="7"/>
      <c r="C120" s="14"/>
      <c r="D120" s="7"/>
      <c r="E120" s="46"/>
      <c r="F120" s="56"/>
      <c r="G120" s="27"/>
    </row>
    <row r="121" spans="1:7" ht="25.5" x14ac:dyDescent="0.25">
      <c r="A121" s="6"/>
      <c r="B121" s="7"/>
      <c r="C121" s="29" t="s">
        <v>128</v>
      </c>
      <c r="D121" s="7"/>
      <c r="E121" s="46"/>
      <c r="F121" s="56">
        <v>41.881908199999998</v>
      </c>
      <c r="G121" s="27">
        <v>7.3377449999999997E-3</v>
      </c>
    </row>
    <row r="122" spans="1:7" ht="15" x14ac:dyDescent="0.25">
      <c r="A122" s="6"/>
      <c r="B122" s="7"/>
      <c r="C122" s="30" t="s">
        <v>129</v>
      </c>
      <c r="D122" s="12"/>
      <c r="E122" s="48"/>
      <c r="F122" s="53">
        <v>5707.7356555000006</v>
      </c>
      <c r="G122" s="13">
        <v>1.0000000009999999</v>
      </c>
    </row>
    <row r="124" spans="1:7" ht="15" x14ac:dyDescent="0.25">
      <c r="B124" s="279"/>
      <c r="C124" s="279"/>
      <c r="D124" s="279"/>
      <c r="E124" s="279"/>
      <c r="F124" s="279"/>
    </row>
    <row r="125" spans="1:7" ht="15" x14ac:dyDescent="0.25">
      <c r="B125" s="279"/>
      <c r="C125" s="279"/>
      <c r="D125" s="279"/>
      <c r="E125" s="279"/>
      <c r="F125" s="279"/>
    </row>
    <row r="127" spans="1:7" ht="15" x14ac:dyDescent="0.25">
      <c r="B127" s="36" t="s">
        <v>131</v>
      </c>
      <c r="C127" s="37"/>
      <c r="D127" s="38"/>
    </row>
    <row r="128" spans="1:7" ht="15" x14ac:dyDescent="0.25">
      <c r="B128" s="39" t="s">
        <v>132</v>
      </c>
      <c r="C128" s="40"/>
      <c r="D128" s="62" t="s">
        <v>133</v>
      </c>
    </row>
    <row r="129" spans="2:4" ht="15" x14ac:dyDescent="0.25">
      <c r="B129" s="39" t="s">
        <v>134</v>
      </c>
      <c r="C129" s="40"/>
      <c r="D129" s="62" t="s">
        <v>133</v>
      </c>
    </row>
    <row r="130" spans="2:4" ht="15" x14ac:dyDescent="0.25">
      <c r="B130" s="41" t="s">
        <v>135</v>
      </c>
      <c r="C130" s="40"/>
      <c r="D130" s="42"/>
    </row>
    <row r="131" spans="2:4" ht="25.5" customHeight="1" x14ac:dyDescent="0.25">
      <c r="B131" s="42"/>
      <c r="C131" s="32" t="s">
        <v>136</v>
      </c>
      <c r="D131" s="33" t="s">
        <v>137</v>
      </c>
    </row>
    <row r="132" spans="2:4" ht="12.75" customHeight="1" x14ac:dyDescent="0.25">
      <c r="B132" s="57" t="s">
        <v>138</v>
      </c>
      <c r="C132" s="58" t="s">
        <v>139</v>
      </c>
      <c r="D132" s="58" t="s">
        <v>140</v>
      </c>
    </row>
    <row r="133" spans="2:4" ht="15" x14ac:dyDescent="0.25">
      <c r="B133" s="42" t="s">
        <v>141</v>
      </c>
      <c r="C133" s="43">
        <v>13.980499999999999</v>
      </c>
      <c r="D133" s="43">
        <v>12.1744</v>
      </c>
    </row>
    <row r="134" spans="2:4" ht="15" x14ac:dyDescent="0.25">
      <c r="B134" s="42" t="s">
        <v>142</v>
      </c>
      <c r="C134" s="43">
        <v>11.1112</v>
      </c>
      <c r="D134" s="43">
        <v>9.6758000000000006</v>
      </c>
    </row>
    <row r="135" spans="2:4" ht="15" x14ac:dyDescent="0.25">
      <c r="B135" s="42" t="s">
        <v>143</v>
      </c>
      <c r="C135" s="43">
        <v>13.5372</v>
      </c>
      <c r="D135" s="43">
        <v>11.786</v>
      </c>
    </row>
    <row r="136" spans="2:4" ht="15" x14ac:dyDescent="0.25">
      <c r="B136" s="42" t="s">
        <v>144</v>
      </c>
      <c r="C136" s="43">
        <v>10.7294</v>
      </c>
      <c r="D136" s="43">
        <v>9.3414000000000001</v>
      </c>
    </row>
    <row r="138" spans="2:4" ht="15" x14ac:dyDescent="0.25">
      <c r="B138" s="59" t="s">
        <v>145</v>
      </c>
      <c r="C138" s="44"/>
      <c r="D138" s="60" t="s">
        <v>133</v>
      </c>
    </row>
    <row r="139" spans="2:4" ht="24.75" customHeight="1" x14ac:dyDescent="0.25">
      <c r="B139" s="61"/>
      <c r="C139" s="61"/>
    </row>
    <row r="140" spans="2:4" ht="15" x14ac:dyDescent="0.25">
      <c r="B140" s="63"/>
      <c r="C140" s="65"/>
      <c r="D140"/>
    </row>
    <row r="142" spans="2:4" ht="15" x14ac:dyDescent="0.25">
      <c r="B142" s="41" t="s">
        <v>146</v>
      </c>
      <c r="C142" s="40"/>
      <c r="D142" s="64" t="s">
        <v>133</v>
      </c>
    </row>
    <row r="143" spans="2:4" ht="15" x14ac:dyDescent="0.25">
      <c r="B143" s="41" t="s">
        <v>147</v>
      </c>
      <c r="C143" s="40"/>
      <c r="D143" s="64" t="s">
        <v>133</v>
      </c>
    </row>
    <row r="144" spans="2:4" ht="15" x14ac:dyDescent="0.25">
      <c r="B144" s="41" t="s">
        <v>148</v>
      </c>
      <c r="C144" s="40"/>
      <c r="D144" s="45">
        <v>5.0683914173158965E-3</v>
      </c>
    </row>
    <row r="145" spans="2:4" ht="15" x14ac:dyDescent="0.25">
      <c r="B145" s="41" t="s">
        <v>149</v>
      </c>
      <c r="C145" s="40"/>
      <c r="D145" s="45" t="s">
        <v>133</v>
      </c>
    </row>
  </sheetData>
  <mergeCells count="5">
    <mergeCell ref="A1:G1"/>
    <mergeCell ref="A2:G2"/>
    <mergeCell ref="A3:G3"/>
    <mergeCell ref="B124:F124"/>
    <mergeCell ref="B125:F12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J160"/>
  <sheetViews>
    <sheetView topLeftCell="A144" workbookViewId="0">
      <selection activeCell="F157" sqref="F157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7" width="13.7109375" style="31" customWidth="1"/>
    <col min="8" max="244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290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14</v>
      </c>
      <c r="C7" s="11" t="s">
        <v>15</v>
      </c>
      <c r="D7" s="2" t="s">
        <v>16</v>
      </c>
      <c r="E7" s="46">
        <v>3487781</v>
      </c>
      <c r="F7" s="51">
        <v>25684.019284000002</v>
      </c>
      <c r="G7" s="5">
        <v>4.7163712000000003E-2</v>
      </c>
    </row>
    <row r="8" spans="1:7" ht="15" x14ac:dyDescent="0.25">
      <c r="A8" s="6">
        <v>2</v>
      </c>
      <c r="B8" s="7" t="s">
        <v>291</v>
      </c>
      <c r="C8" s="11" t="s">
        <v>292</v>
      </c>
      <c r="D8" s="2" t="s">
        <v>238</v>
      </c>
      <c r="E8" s="46">
        <v>5302541</v>
      </c>
      <c r="F8" s="51">
        <v>21085.554286499999</v>
      </c>
      <c r="G8" s="5">
        <v>3.8719524999999998E-2</v>
      </c>
    </row>
    <row r="9" spans="1:7" ht="25.5" x14ac:dyDescent="0.25">
      <c r="A9" s="6">
        <v>3</v>
      </c>
      <c r="B9" s="7" t="s">
        <v>28</v>
      </c>
      <c r="C9" s="11" t="s">
        <v>29</v>
      </c>
      <c r="D9" s="2" t="s">
        <v>30</v>
      </c>
      <c r="E9" s="46">
        <v>71723</v>
      </c>
      <c r="F9" s="51">
        <v>16606.241359</v>
      </c>
      <c r="G9" s="5">
        <v>3.0494137000000001E-2</v>
      </c>
    </row>
    <row r="10" spans="1:7" ht="25.5" x14ac:dyDescent="0.25">
      <c r="A10" s="6">
        <v>4</v>
      </c>
      <c r="B10" s="7" t="s">
        <v>293</v>
      </c>
      <c r="C10" s="11" t="s">
        <v>294</v>
      </c>
      <c r="D10" s="2" t="s">
        <v>167</v>
      </c>
      <c r="E10" s="46">
        <v>1185742</v>
      </c>
      <c r="F10" s="51">
        <v>16026.488872</v>
      </c>
      <c r="G10" s="5">
        <v>2.9429534E-2</v>
      </c>
    </row>
    <row r="11" spans="1:7" ht="15" x14ac:dyDescent="0.25">
      <c r="A11" s="6">
        <v>5</v>
      </c>
      <c r="B11" s="7" t="s">
        <v>295</v>
      </c>
      <c r="C11" s="11" t="s">
        <v>296</v>
      </c>
      <c r="D11" s="2" t="s">
        <v>170</v>
      </c>
      <c r="E11" s="46">
        <v>688350</v>
      </c>
      <c r="F11" s="51">
        <v>14602.6569</v>
      </c>
      <c r="G11" s="5">
        <v>2.6814943000000001E-2</v>
      </c>
    </row>
    <row r="12" spans="1:7" ht="25.5" x14ac:dyDescent="0.25">
      <c r="A12" s="6">
        <v>6</v>
      </c>
      <c r="B12" s="7" t="s">
        <v>297</v>
      </c>
      <c r="C12" s="11" t="s">
        <v>298</v>
      </c>
      <c r="D12" s="2" t="s">
        <v>238</v>
      </c>
      <c r="E12" s="46">
        <v>7571575</v>
      </c>
      <c r="F12" s="51">
        <v>14253.4899375</v>
      </c>
      <c r="G12" s="5">
        <v>2.6173766000000001E-2</v>
      </c>
    </row>
    <row r="13" spans="1:7" ht="15" x14ac:dyDescent="0.25">
      <c r="A13" s="6">
        <v>7</v>
      </c>
      <c r="B13" s="7" t="s">
        <v>299</v>
      </c>
      <c r="C13" s="11" t="s">
        <v>300</v>
      </c>
      <c r="D13" s="2" t="s">
        <v>13</v>
      </c>
      <c r="E13" s="46">
        <v>15136618</v>
      </c>
      <c r="F13" s="51">
        <v>13986.235032000001</v>
      </c>
      <c r="G13" s="5">
        <v>2.5683003999999999E-2</v>
      </c>
    </row>
    <row r="14" spans="1:7" ht="25.5" x14ac:dyDescent="0.25">
      <c r="A14" s="6">
        <v>8</v>
      </c>
      <c r="B14" s="7" t="s">
        <v>301</v>
      </c>
      <c r="C14" s="11" t="s">
        <v>302</v>
      </c>
      <c r="D14" s="2" t="s">
        <v>22</v>
      </c>
      <c r="E14" s="46">
        <v>1828505</v>
      </c>
      <c r="F14" s="51">
        <v>12964.10045</v>
      </c>
      <c r="G14" s="5">
        <v>2.3806052000000001E-2</v>
      </c>
    </row>
    <row r="15" spans="1:7" ht="15" x14ac:dyDescent="0.25">
      <c r="A15" s="6">
        <v>9</v>
      </c>
      <c r="B15" s="7" t="s">
        <v>303</v>
      </c>
      <c r="C15" s="11" t="s">
        <v>304</v>
      </c>
      <c r="D15" s="2" t="s">
        <v>305</v>
      </c>
      <c r="E15" s="46">
        <v>4155000</v>
      </c>
      <c r="F15" s="51">
        <v>12593.805</v>
      </c>
      <c r="G15" s="5">
        <v>2.3126076999999998E-2</v>
      </c>
    </row>
    <row r="16" spans="1:7" ht="25.5" x14ac:dyDescent="0.25">
      <c r="A16" s="6">
        <v>10</v>
      </c>
      <c r="B16" s="7" t="s">
        <v>306</v>
      </c>
      <c r="C16" s="11" t="s">
        <v>307</v>
      </c>
      <c r="D16" s="2" t="s">
        <v>59</v>
      </c>
      <c r="E16" s="46">
        <v>785000</v>
      </c>
      <c r="F16" s="51">
        <v>12202.432500000001</v>
      </c>
      <c r="G16" s="5">
        <v>2.2407396999999999E-2</v>
      </c>
    </row>
    <row r="17" spans="1:7" ht="25.5" x14ac:dyDescent="0.25">
      <c r="A17" s="6">
        <v>11</v>
      </c>
      <c r="B17" s="7" t="s">
        <v>308</v>
      </c>
      <c r="C17" s="11" t="s">
        <v>309</v>
      </c>
      <c r="D17" s="2" t="s">
        <v>22</v>
      </c>
      <c r="E17" s="46">
        <v>290000</v>
      </c>
      <c r="F17" s="51">
        <v>12122.434999999999</v>
      </c>
      <c r="G17" s="5">
        <v>2.2260497000000001E-2</v>
      </c>
    </row>
    <row r="18" spans="1:7" ht="25.5" x14ac:dyDescent="0.25">
      <c r="A18" s="6">
        <v>12</v>
      </c>
      <c r="B18" s="7" t="s">
        <v>310</v>
      </c>
      <c r="C18" s="11" t="s">
        <v>311</v>
      </c>
      <c r="D18" s="2" t="s">
        <v>37</v>
      </c>
      <c r="E18" s="46">
        <v>1849838</v>
      </c>
      <c r="F18" s="51">
        <v>11818.614981999999</v>
      </c>
      <c r="G18" s="5">
        <v>2.1702591E-2</v>
      </c>
    </row>
    <row r="19" spans="1:7" ht="15" x14ac:dyDescent="0.25">
      <c r="A19" s="6">
        <v>13</v>
      </c>
      <c r="B19" s="7" t="s">
        <v>312</v>
      </c>
      <c r="C19" s="11" t="s">
        <v>313</v>
      </c>
      <c r="D19" s="2" t="s">
        <v>13</v>
      </c>
      <c r="E19" s="46">
        <v>5991656</v>
      </c>
      <c r="F19" s="51">
        <v>11605.837672</v>
      </c>
      <c r="G19" s="5">
        <v>2.1311867000000002E-2</v>
      </c>
    </row>
    <row r="20" spans="1:7" ht="15" x14ac:dyDescent="0.25">
      <c r="A20" s="6">
        <v>14</v>
      </c>
      <c r="B20" s="7" t="s">
        <v>314</v>
      </c>
      <c r="C20" s="11" t="s">
        <v>315</v>
      </c>
      <c r="D20" s="2" t="s">
        <v>170</v>
      </c>
      <c r="E20" s="46">
        <v>184296</v>
      </c>
      <c r="F20" s="51">
        <v>11196.534888</v>
      </c>
      <c r="G20" s="5">
        <v>2.0560261E-2</v>
      </c>
    </row>
    <row r="21" spans="1:7" ht="25.5" x14ac:dyDescent="0.25">
      <c r="A21" s="6">
        <v>15</v>
      </c>
      <c r="B21" s="7" t="s">
        <v>156</v>
      </c>
      <c r="C21" s="11" t="s">
        <v>157</v>
      </c>
      <c r="D21" s="2" t="s">
        <v>59</v>
      </c>
      <c r="E21" s="46">
        <v>4759747</v>
      </c>
      <c r="F21" s="51">
        <v>11080.691016000001</v>
      </c>
      <c r="G21" s="5">
        <v>2.0347536999999999E-2</v>
      </c>
    </row>
    <row r="22" spans="1:7" ht="25.5" x14ac:dyDescent="0.25">
      <c r="A22" s="6">
        <v>16</v>
      </c>
      <c r="B22" s="7" t="s">
        <v>316</v>
      </c>
      <c r="C22" s="11" t="s">
        <v>317</v>
      </c>
      <c r="D22" s="2" t="s">
        <v>37</v>
      </c>
      <c r="E22" s="46">
        <v>4344398</v>
      </c>
      <c r="F22" s="51">
        <v>10930.505368</v>
      </c>
      <c r="G22" s="5">
        <v>2.0071749999999999E-2</v>
      </c>
    </row>
    <row r="23" spans="1:7" ht="25.5" x14ac:dyDescent="0.25">
      <c r="A23" s="6">
        <v>17</v>
      </c>
      <c r="B23" s="7" t="s">
        <v>318</v>
      </c>
      <c r="C23" s="11" t="s">
        <v>319</v>
      </c>
      <c r="D23" s="2" t="s">
        <v>162</v>
      </c>
      <c r="E23" s="46">
        <v>4068013</v>
      </c>
      <c r="F23" s="51">
        <v>10562.5957545</v>
      </c>
      <c r="G23" s="5">
        <v>1.9396155000000002E-2</v>
      </c>
    </row>
    <row r="24" spans="1:7" ht="25.5" x14ac:dyDescent="0.25">
      <c r="A24" s="6">
        <v>18</v>
      </c>
      <c r="B24" s="7" t="s">
        <v>31</v>
      </c>
      <c r="C24" s="11" t="s">
        <v>32</v>
      </c>
      <c r="D24" s="2" t="s">
        <v>30</v>
      </c>
      <c r="E24" s="46">
        <v>927409</v>
      </c>
      <c r="F24" s="51">
        <v>10197.3256595</v>
      </c>
      <c r="G24" s="5">
        <v>1.8725407999999999E-2</v>
      </c>
    </row>
    <row r="25" spans="1:7" ht="25.5" x14ac:dyDescent="0.25">
      <c r="A25" s="6">
        <v>19</v>
      </c>
      <c r="B25" s="7" t="s">
        <v>20</v>
      </c>
      <c r="C25" s="11" t="s">
        <v>21</v>
      </c>
      <c r="D25" s="2" t="s">
        <v>22</v>
      </c>
      <c r="E25" s="46">
        <v>1489128</v>
      </c>
      <c r="F25" s="51">
        <v>10108.200864</v>
      </c>
      <c r="G25" s="5">
        <v>1.8561747E-2</v>
      </c>
    </row>
    <row r="26" spans="1:7" ht="51" x14ac:dyDescent="0.25">
      <c r="A26" s="6">
        <v>20</v>
      </c>
      <c r="B26" s="7" t="s">
        <v>320</v>
      </c>
      <c r="C26" s="11" t="s">
        <v>321</v>
      </c>
      <c r="D26" s="2" t="s">
        <v>235</v>
      </c>
      <c r="E26" s="46">
        <v>5947517</v>
      </c>
      <c r="F26" s="51">
        <v>9852.0619105000005</v>
      </c>
      <c r="G26" s="5">
        <v>1.8091398000000002E-2</v>
      </c>
    </row>
    <row r="27" spans="1:7" ht="25.5" x14ac:dyDescent="0.25">
      <c r="A27" s="6">
        <v>21</v>
      </c>
      <c r="B27" s="7" t="s">
        <v>35</v>
      </c>
      <c r="C27" s="11" t="s">
        <v>36</v>
      </c>
      <c r="D27" s="2" t="s">
        <v>37</v>
      </c>
      <c r="E27" s="46">
        <v>2246466</v>
      </c>
      <c r="F27" s="51">
        <v>9595.7795189999997</v>
      </c>
      <c r="G27" s="5">
        <v>1.7620785E-2</v>
      </c>
    </row>
    <row r="28" spans="1:7" ht="25.5" x14ac:dyDescent="0.25">
      <c r="A28" s="6">
        <v>22</v>
      </c>
      <c r="B28" s="7" t="s">
        <v>23</v>
      </c>
      <c r="C28" s="11" t="s">
        <v>24</v>
      </c>
      <c r="D28" s="2" t="s">
        <v>22</v>
      </c>
      <c r="E28" s="46">
        <v>1725210</v>
      </c>
      <c r="F28" s="51">
        <v>9486.0671849999999</v>
      </c>
      <c r="G28" s="5">
        <v>1.7419319999999999E-2</v>
      </c>
    </row>
    <row r="29" spans="1:7" ht="15" x14ac:dyDescent="0.25">
      <c r="A29" s="6">
        <v>23</v>
      </c>
      <c r="B29" s="7" t="s">
        <v>322</v>
      </c>
      <c r="C29" s="11" t="s">
        <v>323</v>
      </c>
      <c r="D29" s="2" t="s">
        <v>162</v>
      </c>
      <c r="E29" s="46">
        <v>1792527</v>
      </c>
      <c r="F29" s="51">
        <v>9292.4599679999992</v>
      </c>
      <c r="G29" s="5">
        <v>1.7063798000000002E-2</v>
      </c>
    </row>
    <row r="30" spans="1:7" ht="25.5" x14ac:dyDescent="0.25">
      <c r="A30" s="6">
        <v>24</v>
      </c>
      <c r="B30" s="7" t="s">
        <v>324</v>
      </c>
      <c r="C30" s="11" t="s">
        <v>325</v>
      </c>
      <c r="D30" s="2" t="s">
        <v>37</v>
      </c>
      <c r="E30" s="46">
        <v>85200</v>
      </c>
      <c r="F30" s="51">
        <v>9288.8022000000001</v>
      </c>
      <c r="G30" s="5">
        <v>1.7057081000000002E-2</v>
      </c>
    </row>
    <row r="31" spans="1:7" ht="25.5" x14ac:dyDescent="0.25">
      <c r="A31" s="6">
        <v>25</v>
      </c>
      <c r="B31" s="7" t="s">
        <v>326</v>
      </c>
      <c r="C31" s="11" t="s">
        <v>327</v>
      </c>
      <c r="D31" s="2" t="s">
        <v>37</v>
      </c>
      <c r="E31" s="46">
        <v>2876445</v>
      </c>
      <c r="F31" s="51">
        <v>9207.5004449999997</v>
      </c>
      <c r="G31" s="5">
        <v>1.6907786000000001E-2</v>
      </c>
    </row>
    <row r="32" spans="1:7" ht="15" x14ac:dyDescent="0.25">
      <c r="A32" s="6">
        <v>26</v>
      </c>
      <c r="B32" s="7" t="s">
        <v>328</v>
      </c>
      <c r="C32" s="11" t="s">
        <v>329</v>
      </c>
      <c r="D32" s="2" t="s">
        <v>241</v>
      </c>
      <c r="E32" s="46">
        <v>535552</v>
      </c>
      <c r="F32" s="51">
        <v>8948.2705920000008</v>
      </c>
      <c r="G32" s="5">
        <v>1.6431761E-2</v>
      </c>
    </row>
    <row r="33" spans="1:7" ht="15" x14ac:dyDescent="0.25">
      <c r="A33" s="6">
        <v>27</v>
      </c>
      <c r="B33" s="7" t="s">
        <v>330</v>
      </c>
      <c r="C33" s="11" t="s">
        <v>331</v>
      </c>
      <c r="D33" s="2" t="s">
        <v>215</v>
      </c>
      <c r="E33" s="46">
        <v>620220</v>
      </c>
      <c r="F33" s="51">
        <v>8937.6803099999997</v>
      </c>
      <c r="G33" s="5">
        <v>1.6412314000000001E-2</v>
      </c>
    </row>
    <row r="34" spans="1:7" ht="15" x14ac:dyDescent="0.25">
      <c r="A34" s="6">
        <v>28</v>
      </c>
      <c r="B34" s="7" t="s">
        <v>332</v>
      </c>
      <c r="C34" s="11" t="s">
        <v>333</v>
      </c>
      <c r="D34" s="2" t="s">
        <v>155</v>
      </c>
      <c r="E34" s="46">
        <v>1490720</v>
      </c>
      <c r="F34" s="51">
        <v>8597.7276000000002</v>
      </c>
      <c r="G34" s="5">
        <v>1.5788057000000001E-2</v>
      </c>
    </row>
    <row r="35" spans="1:7" ht="15" x14ac:dyDescent="0.25">
      <c r="A35" s="6">
        <v>29</v>
      </c>
      <c r="B35" s="7" t="s">
        <v>163</v>
      </c>
      <c r="C35" s="11" t="s">
        <v>164</v>
      </c>
      <c r="D35" s="2" t="s">
        <v>13</v>
      </c>
      <c r="E35" s="46">
        <v>4384430</v>
      </c>
      <c r="F35" s="51">
        <v>8571.5606499999994</v>
      </c>
      <c r="G35" s="5">
        <v>1.5740006000000001E-2</v>
      </c>
    </row>
    <row r="36" spans="1:7" ht="25.5" x14ac:dyDescent="0.25">
      <c r="A36" s="6">
        <v>30</v>
      </c>
      <c r="B36" s="7" t="s">
        <v>57</v>
      </c>
      <c r="C36" s="11" t="s">
        <v>58</v>
      </c>
      <c r="D36" s="2" t="s">
        <v>59</v>
      </c>
      <c r="E36" s="46">
        <v>1264608</v>
      </c>
      <c r="F36" s="51">
        <v>8558.8669439999994</v>
      </c>
      <c r="G36" s="5">
        <v>1.5716697000000002E-2</v>
      </c>
    </row>
    <row r="37" spans="1:7" ht="25.5" x14ac:dyDescent="0.25">
      <c r="A37" s="6">
        <v>31</v>
      </c>
      <c r="B37" s="7" t="s">
        <v>334</v>
      </c>
      <c r="C37" s="11" t="s">
        <v>335</v>
      </c>
      <c r="D37" s="2" t="s">
        <v>22</v>
      </c>
      <c r="E37" s="46">
        <v>4700000</v>
      </c>
      <c r="F37" s="51">
        <v>8410.65</v>
      </c>
      <c r="G37" s="5">
        <v>1.5444525000000001E-2</v>
      </c>
    </row>
    <row r="38" spans="1:7" ht="15" x14ac:dyDescent="0.25">
      <c r="A38" s="6">
        <v>32</v>
      </c>
      <c r="B38" s="7" t="s">
        <v>336</v>
      </c>
      <c r="C38" s="11" t="s">
        <v>337</v>
      </c>
      <c r="D38" s="2" t="s">
        <v>184</v>
      </c>
      <c r="E38" s="46">
        <v>1885017</v>
      </c>
      <c r="F38" s="51">
        <v>8270.5120874999993</v>
      </c>
      <c r="G38" s="5">
        <v>1.5187189E-2</v>
      </c>
    </row>
    <row r="39" spans="1:7" ht="15" x14ac:dyDescent="0.25">
      <c r="A39" s="6">
        <v>33</v>
      </c>
      <c r="B39" s="7" t="s">
        <v>338</v>
      </c>
      <c r="C39" s="11" t="s">
        <v>339</v>
      </c>
      <c r="D39" s="2" t="s">
        <v>162</v>
      </c>
      <c r="E39" s="46">
        <v>1961293</v>
      </c>
      <c r="F39" s="51">
        <v>8182.5143959999996</v>
      </c>
      <c r="G39" s="5">
        <v>1.5025597999999999E-2</v>
      </c>
    </row>
    <row r="40" spans="1:7" ht="15" x14ac:dyDescent="0.25">
      <c r="A40" s="6">
        <v>34</v>
      </c>
      <c r="B40" s="7" t="s">
        <v>340</v>
      </c>
      <c r="C40" s="11" t="s">
        <v>341</v>
      </c>
      <c r="D40" s="2" t="s">
        <v>13</v>
      </c>
      <c r="E40" s="46">
        <v>1908389</v>
      </c>
      <c r="F40" s="51">
        <v>7707.9831709999999</v>
      </c>
      <c r="G40" s="5">
        <v>1.4154214E-2</v>
      </c>
    </row>
    <row r="41" spans="1:7" ht="15" x14ac:dyDescent="0.25">
      <c r="A41" s="6">
        <v>35</v>
      </c>
      <c r="B41" s="7" t="s">
        <v>342</v>
      </c>
      <c r="C41" s="11" t="s">
        <v>343</v>
      </c>
      <c r="D41" s="2" t="s">
        <v>155</v>
      </c>
      <c r="E41" s="46">
        <v>438594</v>
      </c>
      <c r="F41" s="51">
        <v>7306.9760399999996</v>
      </c>
      <c r="G41" s="5">
        <v>1.3417841999999999E-2</v>
      </c>
    </row>
    <row r="42" spans="1:7" ht="15" x14ac:dyDescent="0.25">
      <c r="A42" s="6">
        <v>36</v>
      </c>
      <c r="B42" s="7" t="s">
        <v>54</v>
      </c>
      <c r="C42" s="11" t="s">
        <v>55</v>
      </c>
      <c r="D42" s="2" t="s">
        <v>56</v>
      </c>
      <c r="E42" s="46">
        <v>5262749</v>
      </c>
      <c r="F42" s="51">
        <v>7109.9738989999996</v>
      </c>
      <c r="G42" s="5">
        <v>1.3056086E-2</v>
      </c>
    </row>
    <row r="43" spans="1:7" ht="15" x14ac:dyDescent="0.25">
      <c r="A43" s="6">
        <v>37</v>
      </c>
      <c r="B43" s="7" t="s">
        <v>344</v>
      </c>
      <c r="C43" s="11" t="s">
        <v>345</v>
      </c>
      <c r="D43" s="2" t="s">
        <v>241</v>
      </c>
      <c r="E43" s="46">
        <v>115722</v>
      </c>
      <c r="F43" s="51">
        <v>7094.6265149999999</v>
      </c>
      <c r="G43" s="5">
        <v>1.3027903E-2</v>
      </c>
    </row>
    <row r="44" spans="1:7" ht="25.5" x14ac:dyDescent="0.25">
      <c r="A44" s="6">
        <v>38</v>
      </c>
      <c r="B44" s="7" t="s">
        <v>180</v>
      </c>
      <c r="C44" s="11" t="s">
        <v>181</v>
      </c>
      <c r="D44" s="2" t="s">
        <v>173</v>
      </c>
      <c r="E44" s="46">
        <v>460000</v>
      </c>
      <c r="F44" s="51">
        <v>6979.58</v>
      </c>
      <c r="G44" s="5">
        <v>1.2816643000000001E-2</v>
      </c>
    </row>
    <row r="45" spans="1:7" ht="15" x14ac:dyDescent="0.25">
      <c r="A45" s="6">
        <v>39</v>
      </c>
      <c r="B45" s="7" t="s">
        <v>346</v>
      </c>
      <c r="C45" s="11" t="s">
        <v>347</v>
      </c>
      <c r="D45" s="2" t="s">
        <v>238</v>
      </c>
      <c r="E45" s="46">
        <v>1649710</v>
      </c>
      <c r="F45" s="51">
        <v>6802.5791849999996</v>
      </c>
      <c r="G45" s="5">
        <v>1.2491614999999999E-2</v>
      </c>
    </row>
    <row r="46" spans="1:7" ht="51" x14ac:dyDescent="0.25">
      <c r="A46" s="6">
        <v>40</v>
      </c>
      <c r="B46" s="7" t="s">
        <v>233</v>
      </c>
      <c r="C46" s="11" t="s">
        <v>234</v>
      </c>
      <c r="D46" s="2" t="s">
        <v>235</v>
      </c>
      <c r="E46" s="46">
        <v>2990497</v>
      </c>
      <c r="F46" s="51">
        <v>6764.5042139999996</v>
      </c>
      <c r="G46" s="5">
        <v>1.2421698E-2</v>
      </c>
    </row>
    <row r="47" spans="1:7" ht="15" x14ac:dyDescent="0.25">
      <c r="A47" s="6">
        <v>41</v>
      </c>
      <c r="B47" s="7" t="s">
        <v>348</v>
      </c>
      <c r="C47" s="11" t="s">
        <v>349</v>
      </c>
      <c r="D47" s="2" t="s">
        <v>241</v>
      </c>
      <c r="E47" s="46">
        <v>1295613</v>
      </c>
      <c r="F47" s="51">
        <v>6673.0547564999997</v>
      </c>
      <c r="G47" s="5">
        <v>1.2253768999999999E-2</v>
      </c>
    </row>
    <row r="48" spans="1:7" ht="25.5" x14ac:dyDescent="0.25">
      <c r="A48" s="6">
        <v>42</v>
      </c>
      <c r="B48" s="7" t="s">
        <v>350</v>
      </c>
      <c r="C48" s="11" t="s">
        <v>351</v>
      </c>
      <c r="D48" s="2" t="s">
        <v>352</v>
      </c>
      <c r="E48" s="46">
        <v>775000</v>
      </c>
      <c r="F48" s="51">
        <v>6466.9875000000002</v>
      </c>
      <c r="G48" s="5">
        <v>1.1875366E-2</v>
      </c>
    </row>
    <row r="49" spans="1:7" ht="15" x14ac:dyDescent="0.25">
      <c r="A49" s="6">
        <v>43</v>
      </c>
      <c r="B49" s="7" t="s">
        <v>160</v>
      </c>
      <c r="C49" s="11" t="s">
        <v>161</v>
      </c>
      <c r="D49" s="2" t="s">
        <v>162</v>
      </c>
      <c r="E49" s="46">
        <v>2450000</v>
      </c>
      <c r="F49" s="51">
        <v>6458.2</v>
      </c>
      <c r="G49" s="5">
        <v>1.185923E-2</v>
      </c>
    </row>
    <row r="50" spans="1:7" ht="15" x14ac:dyDescent="0.25">
      <c r="A50" s="6">
        <v>44</v>
      </c>
      <c r="B50" s="7" t="s">
        <v>353</v>
      </c>
      <c r="C50" s="11" t="s">
        <v>354</v>
      </c>
      <c r="D50" s="2" t="s">
        <v>215</v>
      </c>
      <c r="E50" s="46">
        <v>610000</v>
      </c>
      <c r="F50" s="51">
        <v>5727.29</v>
      </c>
      <c r="G50" s="5">
        <v>1.0517056E-2</v>
      </c>
    </row>
    <row r="51" spans="1:7" ht="25.5" x14ac:dyDescent="0.25">
      <c r="A51" s="6">
        <v>45</v>
      </c>
      <c r="B51" s="7" t="s">
        <v>355</v>
      </c>
      <c r="C51" s="11" t="s">
        <v>356</v>
      </c>
      <c r="D51" s="2" t="s">
        <v>22</v>
      </c>
      <c r="E51" s="46">
        <v>1683910</v>
      </c>
      <c r="F51" s="51">
        <v>5552.693225</v>
      </c>
      <c r="G51" s="5">
        <v>1.0196442999999999E-2</v>
      </c>
    </row>
    <row r="52" spans="1:7" ht="25.5" x14ac:dyDescent="0.25">
      <c r="A52" s="6">
        <v>46</v>
      </c>
      <c r="B52" s="7" t="s">
        <v>357</v>
      </c>
      <c r="C52" s="11" t="s">
        <v>358</v>
      </c>
      <c r="D52" s="2" t="s">
        <v>162</v>
      </c>
      <c r="E52" s="46">
        <v>1757346</v>
      </c>
      <c r="F52" s="51">
        <v>5356.3906079999997</v>
      </c>
      <c r="G52" s="5">
        <v>9.8359710000000006E-3</v>
      </c>
    </row>
    <row r="53" spans="1:7" ht="25.5" x14ac:dyDescent="0.25">
      <c r="A53" s="6">
        <v>47</v>
      </c>
      <c r="B53" s="7" t="s">
        <v>64</v>
      </c>
      <c r="C53" s="11" t="s">
        <v>65</v>
      </c>
      <c r="D53" s="2" t="s">
        <v>19</v>
      </c>
      <c r="E53" s="46">
        <v>7153048</v>
      </c>
      <c r="F53" s="51">
        <v>5232.4546120000005</v>
      </c>
      <c r="G53" s="5">
        <v>9.6083869999999995E-3</v>
      </c>
    </row>
    <row r="54" spans="1:7" ht="15" x14ac:dyDescent="0.25">
      <c r="A54" s="6">
        <v>48</v>
      </c>
      <c r="B54" s="7" t="s">
        <v>359</v>
      </c>
      <c r="C54" s="11" t="s">
        <v>360</v>
      </c>
      <c r="D54" s="2" t="s">
        <v>27</v>
      </c>
      <c r="E54" s="46">
        <v>8600000</v>
      </c>
      <c r="F54" s="51">
        <v>5207.3</v>
      </c>
      <c r="G54" s="5">
        <v>9.5621950000000008E-3</v>
      </c>
    </row>
    <row r="55" spans="1:7" ht="15" x14ac:dyDescent="0.25">
      <c r="A55" s="6">
        <v>49</v>
      </c>
      <c r="B55" s="7" t="s">
        <v>361</v>
      </c>
      <c r="C55" s="11" t="s">
        <v>362</v>
      </c>
      <c r="D55" s="2" t="s">
        <v>162</v>
      </c>
      <c r="E55" s="46">
        <v>2383117</v>
      </c>
      <c r="F55" s="51">
        <v>5197.5781770000003</v>
      </c>
      <c r="G55" s="5">
        <v>9.5443430000000003E-3</v>
      </c>
    </row>
    <row r="56" spans="1:7" ht="15" x14ac:dyDescent="0.25">
      <c r="A56" s="6">
        <v>50</v>
      </c>
      <c r="B56" s="7" t="s">
        <v>75</v>
      </c>
      <c r="C56" s="11" t="s">
        <v>76</v>
      </c>
      <c r="D56" s="2" t="s">
        <v>51</v>
      </c>
      <c r="E56" s="46">
        <v>2080000</v>
      </c>
      <c r="F56" s="51">
        <v>4606.16</v>
      </c>
      <c r="G56" s="5">
        <v>8.4583179999999994E-3</v>
      </c>
    </row>
    <row r="57" spans="1:7" ht="15" x14ac:dyDescent="0.25">
      <c r="A57" s="6">
        <v>51</v>
      </c>
      <c r="B57" s="7" t="s">
        <v>363</v>
      </c>
      <c r="C57" s="11" t="s">
        <v>364</v>
      </c>
      <c r="D57" s="2" t="s">
        <v>365</v>
      </c>
      <c r="E57" s="46">
        <v>149724</v>
      </c>
      <c r="F57" s="51">
        <v>4593.6820440000001</v>
      </c>
      <c r="G57" s="5">
        <v>8.435405E-3</v>
      </c>
    </row>
    <row r="58" spans="1:7" ht="15" x14ac:dyDescent="0.25">
      <c r="A58" s="6">
        <v>52</v>
      </c>
      <c r="B58" s="7" t="s">
        <v>366</v>
      </c>
      <c r="C58" s="11" t="s">
        <v>367</v>
      </c>
      <c r="D58" s="2" t="s">
        <v>162</v>
      </c>
      <c r="E58" s="46">
        <v>4487058</v>
      </c>
      <c r="F58" s="51">
        <v>4444.4309489999996</v>
      </c>
      <c r="G58" s="5">
        <v>8.1613339999999993E-3</v>
      </c>
    </row>
    <row r="59" spans="1:7" ht="15" x14ac:dyDescent="0.25">
      <c r="A59" s="6">
        <v>53</v>
      </c>
      <c r="B59" s="7" t="s">
        <v>368</v>
      </c>
      <c r="C59" s="11" t="s">
        <v>369</v>
      </c>
      <c r="D59" s="2" t="s">
        <v>162</v>
      </c>
      <c r="E59" s="46">
        <v>322161</v>
      </c>
      <c r="F59" s="51">
        <v>4395.7257645</v>
      </c>
      <c r="G59" s="5">
        <v>8.0718969999999998E-3</v>
      </c>
    </row>
    <row r="60" spans="1:7" ht="15" x14ac:dyDescent="0.25">
      <c r="A60" s="6">
        <v>54</v>
      </c>
      <c r="B60" s="7" t="s">
        <v>264</v>
      </c>
      <c r="C60" s="11" t="s">
        <v>265</v>
      </c>
      <c r="D60" s="2" t="s">
        <v>162</v>
      </c>
      <c r="E60" s="46">
        <v>5474987</v>
      </c>
      <c r="F60" s="51">
        <v>3665.5037965000001</v>
      </c>
      <c r="G60" s="5">
        <v>6.7309859999999996E-3</v>
      </c>
    </row>
    <row r="61" spans="1:7" ht="15" x14ac:dyDescent="0.25">
      <c r="A61" s="6">
        <v>55</v>
      </c>
      <c r="B61" s="7" t="s">
        <v>370</v>
      </c>
      <c r="C61" s="11" t="s">
        <v>371</v>
      </c>
      <c r="D61" s="2" t="s">
        <v>372</v>
      </c>
      <c r="E61" s="46">
        <v>945762</v>
      </c>
      <c r="F61" s="51">
        <v>3528.6380220000001</v>
      </c>
      <c r="G61" s="5">
        <v>6.4796580000000001E-3</v>
      </c>
    </row>
    <row r="62" spans="1:7" ht="25.5" x14ac:dyDescent="0.25">
      <c r="A62" s="6">
        <v>56</v>
      </c>
      <c r="B62" s="7" t="s">
        <v>165</v>
      </c>
      <c r="C62" s="11" t="s">
        <v>166</v>
      </c>
      <c r="D62" s="2" t="s">
        <v>167</v>
      </c>
      <c r="E62" s="46">
        <v>3010440</v>
      </c>
      <c r="F62" s="51">
        <v>3469.5320999999999</v>
      </c>
      <c r="G62" s="5">
        <v>6.3711219999999999E-3</v>
      </c>
    </row>
    <row r="63" spans="1:7" ht="15" x14ac:dyDescent="0.25">
      <c r="A63" s="6">
        <v>57</v>
      </c>
      <c r="B63" s="7" t="s">
        <v>373</v>
      </c>
      <c r="C63" s="11" t="s">
        <v>374</v>
      </c>
      <c r="D63" s="2" t="s">
        <v>13</v>
      </c>
      <c r="E63" s="46">
        <v>5315211</v>
      </c>
      <c r="F63" s="51">
        <v>3343.2677189999999</v>
      </c>
      <c r="G63" s="5">
        <v>6.1392620000000004E-3</v>
      </c>
    </row>
    <row r="64" spans="1:7" ht="15" x14ac:dyDescent="0.25">
      <c r="A64" s="6">
        <v>58</v>
      </c>
      <c r="B64" s="7" t="s">
        <v>375</v>
      </c>
      <c r="C64" s="11" t="s">
        <v>376</v>
      </c>
      <c r="D64" s="2" t="s">
        <v>162</v>
      </c>
      <c r="E64" s="46">
        <v>237534</v>
      </c>
      <c r="F64" s="51">
        <v>2536.7562296999999</v>
      </c>
      <c r="G64" s="5">
        <v>4.65826E-3</v>
      </c>
    </row>
    <row r="65" spans="1:7" ht="15" x14ac:dyDescent="0.25">
      <c r="A65" s="6">
        <v>59</v>
      </c>
      <c r="B65" s="7" t="s">
        <v>224</v>
      </c>
      <c r="C65" s="11" t="s">
        <v>225</v>
      </c>
      <c r="D65" s="2" t="s">
        <v>226</v>
      </c>
      <c r="E65" s="46">
        <v>222922</v>
      </c>
      <c r="F65" s="51">
        <v>2413.0191890000001</v>
      </c>
      <c r="G65" s="5">
        <v>4.4310410000000001E-3</v>
      </c>
    </row>
    <row r="66" spans="1:7" ht="15" x14ac:dyDescent="0.25">
      <c r="A66" s="6">
        <v>60</v>
      </c>
      <c r="B66" s="7" t="s">
        <v>377</v>
      </c>
      <c r="C66" s="11" t="s">
        <v>378</v>
      </c>
      <c r="D66" s="2" t="s">
        <v>162</v>
      </c>
      <c r="E66" s="46">
        <v>700000</v>
      </c>
      <c r="F66" s="51">
        <v>826.35</v>
      </c>
      <c r="G66" s="5">
        <v>1.5174310000000001E-3</v>
      </c>
    </row>
    <row r="67" spans="1:7" ht="15" x14ac:dyDescent="0.25">
      <c r="A67" s="6">
        <v>61</v>
      </c>
      <c r="B67" s="7" t="s">
        <v>379</v>
      </c>
      <c r="C67" s="11" t="s">
        <v>380</v>
      </c>
      <c r="D67" s="2" t="s">
        <v>162</v>
      </c>
      <c r="E67" s="46">
        <v>1662739</v>
      </c>
      <c r="F67" s="51">
        <v>362.39396505000002</v>
      </c>
      <c r="G67" s="5">
        <v>6.6546599999999997E-4</v>
      </c>
    </row>
    <row r="68" spans="1:7" ht="15" x14ac:dyDescent="0.25">
      <c r="A68" s="6">
        <v>62</v>
      </c>
      <c r="B68" s="86" t="s">
        <v>847</v>
      </c>
      <c r="C68" s="11" t="s">
        <v>381</v>
      </c>
      <c r="D68" s="2" t="s">
        <v>155</v>
      </c>
      <c r="E68" s="46">
        <v>45800</v>
      </c>
      <c r="F68" s="51">
        <v>217.779</v>
      </c>
      <c r="G68" s="5">
        <v>3.99909E-4</v>
      </c>
    </row>
    <row r="69" spans="1:7" ht="15" x14ac:dyDescent="0.25">
      <c r="A69" s="1"/>
      <c r="B69" s="2"/>
      <c r="C69" s="8" t="s">
        <v>104</v>
      </c>
      <c r="D69" s="12"/>
      <c r="E69" s="48"/>
      <c r="F69" s="53">
        <v>524869.62931324996</v>
      </c>
      <c r="G69" s="13">
        <v>0.96382112499999995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"/>
      <c r="B71" s="2"/>
      <c r="C71" s="8" t="s">
        <v>105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6"/>
      <c r="B73" s="7"/>
      <c r="C73" s="14"/>
      <c r="D73" s="15"/>
      <c r="E73" s="46"/>
      <c r="F73" s="51"/>
      <c r="G73" s="5"/>
    </row>
    <row r="74" spans="1:7" ht="15" x14ac:dyDescent="0.25">
      <c r="A74" s="16"/>
      <c r="B74" s="17"/>
      <c r="C74" s="8" t="s">
        <v>106</v>
      </c>
      <c r="D74" s="9"/>
      <c r="E74" s="47"/>
      <c r="F74" s="52"/>
      <c r="G74" s="10"/>
    </row>
    <row r="75" spans="1:7" ht="15" x14ac:dyDescent="0.25">
      <c r="A75" s="18"/>
      <c r="B75" s="19"/>
      <c r="C75" s="8" t="s">
        <v>104</v>
      </c>
      <c r="D75" s="20"/>
      <c r="E75" s="49"/>
      <c r="F75" s="54">
        <v>0</v>
      </c>
      <c r="G75" s="21">
        <v>0</v>
      </c>
    </row>
    <row r="76" spans="1:7" ht="15" x14ac:dyDescent="0.25">
      <c r="A76" s="18"/>
      <c r="B76" s="19"/>
      <c r="C76" s="14"/>
      <c r="D76" s="22"/>
      <c r="E76" s="50"/>
      <c r="F76" s="55"/>
      <c r="G76" s="23"/>
    </row>
    <row r="77" spans="1:7" ht="15" x14ac:dyDescent="0.25">
      <c r="A77" s="1"/>
      <c r="B77" s="2"/>
      <c r="C77" s="8" t="s">
        <v>108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109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15" x14ac:dyDescent="0.25">
      <c r="A83" s="1"/>
      <c r="B83" s="2"/>
      <c r="C83" s="8" t="s">
        <v>110</v>
      </c>
      <c r="D83" s="9"/>
      <c r="E83" s="47"/>
      <c r="F83" s="52"/>
      <c r="G83" s="10"/>
    </row>
    <row r="84" spans="1:7" ht="15" x14ac:dyDescent="0.25">
      <c r="A84" s="6">
        <v>1</v>
      </c>
      <c r="B84" s="7"/>
      <c r="C84" s="11" t="s">
        <v>812</v>
      </c>
      <c r="D84" s="15" t="s">
        <v>382</v>
      </c>
      <c r="E84" s="134">
        <v>-600000</v>
      </c>
      <c r="F84" s="135">
        <v>-2435.1</v>
      </c>
      <c r="G84" s="136">
        <v>-4.4715880000000003E-3</v>
      </c>
    </row>
    <row r="85" spans="1:7" ht="15" x14ac:dyDescent="0.25">
      <c r="A85" s="1"/>
      <c r="B85" s="2"/>
      <c r="C85" s="8" t="s">
        <v>104</v>
      </c>
      <c r="D85" s="12"/>
      <c r="E85" s="48"/>
      <c r="F85" s="137">
        <v>-2435.1</v>
      </c>
      <c r="G85" s="138">
        <v>-4.4715880000000003E-3</v>
      </c>
    </row>
    <row r="86" spans="1:7" ht="15" x14ac:dyDescent="0.25">
      <c r="A86" s="1"/>
      <c r="B86" s="2"/>
      <c r="C86" s="14"/>
      <c r="D86" s="4"/>
      <c r="E86" s="46"/>
      <c r="F86" s="51"/>
      <c r="G86" s="5"/>
    </row>
    <row r="87" spans="1:7" ht="25.5" x14ac:dyDescent="0.25">
      <c r="A87" s="6"/>
      <c r="B87" s="7"/>
      <c r="C87" s="24" t="s">
        <v>111</v>
      </c>
      <c r="D87" s="25"/>
      <c r="E87" s="48"/>
      <c r="F87" s="53">
        <v>524869.62931324996</v>
      </c>
      <c r="G87" s="13">
        <v>0.96382112499999995</v>
      </c>
    </row>
    <row r="88" spans="1:7" ht="15" x14ac:dyDescent="0.25">
      <c r="A88" s="1"/>
      <c r="B88" s="2"/>
      <c r="C88" s="11"/>
      <c r="D88" s="4"/>
      <c r="E88" s="46"/>
      <c r="F88" s="51"/>
      <c r="G88" s="5"/>
    </row>
    <row r="89" spans="1:7" ht="15" x14ac:dyDescent="0.25">
      <c r="A89" s="1"/>
      <c r="B89" s="2"/>
      <c r="C89" s="3" t="s">
        <v>112</v>
      </c>
      <c r="D89" s="4"/>
      <c r="E89" s="46"/>
      <c r="F89" s="51"/>
      <c r="G89" s="5"/>
    </row>
    <row r="90" spans="1:7" ht="25.5" x14ac:dyDescent="0.25">
      <c r="A90" s="1"/>
      <c r="B90" s="2"/>
      <c r="C90" s="8" t="s">
        <v>10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12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4"/>
      <c r="E92" s="46"/>
      <c r="F92" s="51"/>
      <c r="G92" s="5"/>
    </row>
    <row r="93" spans="1:7" ht="15" x14ac:dyDescent="0.25">
      <c r="A93" s="1"/>
      <c r="B93" s="26"/>
      <c r="C93" s="8" t="s">
        <v>113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12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4"/>
      <c r="E95" s="46"/>
      <c r="F95" s="56"/>
      <c r="G95" s="27"/>
    </row>
    <row r="96" spans="1:7" ht="15" x14ac:dyDescent="0.25">
      <c r="A96" s="1"/>
      <c r="B96" s="2"/>
      <c r="C96" s="8" t="s">
        <v>114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12"/>
      <c r="E97" s="48"/>
      <c r="F97" s="53">
        <v>0</v>
      </c>
      <c r="G97" s="13">
        <v>0</v>
      </c>
    </row>
    <row r="98" spans="1:7" ht="15" x14ac:dyDescent="0.25">
      <c r="A98" s="1"/>
      <c r="B98" s="2"/>
      <c r="C98" s="14"/>
      <c r="D98" s="4"/>
      <c r="E98" s="46"/>
      <c r="F98" s="51"/>
      <c r="G98" s="5"/>
    </row>
    <row r="99" spans="1:7" ht="25.5" x14ac:dyDescent="0.25">
      <c r="A99" s="1"/>
      <c r="B99" s="26"/>
      <c r="C99" s="8" t="s">
        <v>115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12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4"/>
      <c r="E101" s="46"/>
      <c r="F101" s="51"/>
      <c r="G101" s="5"/>
    </row>
    <row r="102" spans="1:7" ht="15" x14ac:dyDescent="0.25">
      <c r="A102" s="6"/>
      <c r="B102" s="7"/>
      <c r="C102" s="28" t="s">
        <v>116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1"/>
      <c r="D103" s="4"/>
      <c r="E103" s="46"/>
      <c r="F103" s="51"/>
      <c r="G103" s="5"/>
    </row>
    <row r="104" spans="1:7" ht="15" x14ac:dyDescent="0.25">
      <c r="A104" s="1"/>
      <c r="B104" s="2"/>
      <c r="C104" s="3" t="s">
        <v>117</v>
      </c>
      <c r="D104" s="4"/>
      <c r="E104" s="46"/>
      <c r="F104" s="51"/>
      <c r="G104" s="5"/>
    </row>
    <row r="105" spans="1:7" ht="15" x14ac:dyDescent="0.25">
      <c r="A105" s="6"/>
      <c r="B105" s="7"/>
      <c r="C105" s="8" t="s">
        <v>118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15" x14ac:dyDescent="0.25">
      <c r="A108" s="6"/>
      <c r="B108" s="7"/>
      <c r="C108" s="8" t="s">
        <v>119</v>
      </c>
      <c r="D108" s="9"/>
      <c r="E108" s="47"/>
      <c r="F108" s="52"/>
      <c r="G108" s="10"/>
    </row>
    <row r="109" spans="1:7" ht="15" x14ac:dyDescent="0.25">
      <c r="A109" s="6"/>
      <c r="B109" s="7"/>
      <c r="C109" s="8" t="s">
        <v>104</v>
      </c>
      <c r="D109" s="25"/>
      <c r="E109" s="48"/>
      <c r="F109" s="53">
        <v>0</v>
      </c>
      <c r="G109" s="13">
        <v>0</v>
      </c>
    </row>
    <row r="110" spans="1:7" ht="15" x14ac:dyDescent="0.25">
      <c r="A110" s="6"/>
      <c r="B110" s="7"/>
      <c r="C110" s="14"/>
      <c r="D110" s="7"/>
      <c r="E110" s="46"/>
      <c r="F110" s="51"/>
      <c r="G110" s="5"/>
    </row>
    <row r="111" spans="1:7" ht="15" x14ac:dyDescent="0.25">
      <c r="A111" s="6"/>
      <c r="B111" s="7"/>
      <c r="C111" s="8" t="s">
        <v>120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15" x14ac:dyDescent="0.25">
      <c r="A114" s="6"/>
      <c r="B114" s="7"/>
      <c r="C114" s="8" t="s">
        <v>121</v>
      </c>
      <c r="D114" s="9"/>
      <c r="E114" s="47"/>
      <c r="F114" s="52"/>
      <c r="G114" s="10"/>
    </row>
    <row r="115" spans="1:7" ht="15" x14ac:dyDescent="0.25">
      <c r="A115" s="6">
        <v>1</v>
      </c>
      <c r="B115" s="7"/>
      <c r="C115" s="11" t="s">
        <v>730</v>
      </c>
      <c r="D115" s="15"/>
      <c r="E115" s="46"/>
      <c r="F115" s="51">
        <v>8829.6477355000006</v>
      </c>
      <c r="G115" s="5">
        <v>1.6213933E-2</v>
      </c>
    </row>
    <row r="116" spans="1:7" ht="15" x14ac:dyDescent="0.25">
      <c r="A116" s="6"/>
      <c r="B116" s="7"/>
      <c r="C116" s="8" t="s">
        <v>104</v>
      </c>
      <c r="D116" s="25"/>
      <c r="E116" s="48"/>
      <c r="F116" s="53">
        <v>8829.6477355000006</v>
      </c>
      <c r="G116" s="13">
        <v>1.6213933E-2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25.5" x14ac:dyDescent="0.25">
      <c r="A118" s="6"/>
      <c r="B118" s="7"/>
      <c r="C118" s="24" t="s">
        <v>122</v>
      </c>
      <c r="D118" s="25"/>
      <c r="E118" s="48"/>
      <c r="F118" s="53">
        <v>8829.6477355000006</v>
      </c>
      <c r="G118" s="13">
        <v>1.6213933E-2</v>
      </c>
    </row>
    <row r="119" spans="1:7" ht="15" x14ac:dyDescent="0.25">
      <c r="A119" s="6"/>
      <c r="B119" s="7"/>
      <c r="C119" s="29"/>
      <c r="D119" s="7"/>
      <c r="E119" s="46"/>
      <c r="F119" s="51"/>
      <c r="G119" s="5"/>
    </row>
    <row r="120" spans="1:7" ht="15" x14ac:dyDescent="0.25">
      <c r="A120" s="1"/>
      <c r="B120" s="2"/>
      <c r="C120" s="3" t="s">
        <v>123</v>
      </c>
      <c r="D120" s="4"/>
      <c r="E120" s="46"/>
      <c r="F120" s="51"/>
      <c r="G120" s="5"/>
    </row>
    <row r="121" spans="1:7" ht="25.5" x14ac:dyDescent="0.25">
      <c r="A121" s="6"/>
      <c r="B121" s="7"/>
      <c r="C121" s="8" t="s">
        <v>124</v>
      </c>
      <c r="D121" s="9"/>
      <c r="E121" s="47"/>
      <c r="F121" s="52"/>
      <c r="G121" s="10"/>
    </row>
    <row r="122" spans="1:7" ht="15" x14ac:dyDescent="0.25">
      <c r="A122" s="6"/>
      <c r="B122" s="7"/>
      <c r="C122" s="8" t="s">
        <v>104</v>
      </c>
      <c r="D122" s="25"/>
      <c r="E122" s="48"/>
      <c r="F122" s="53">
        <v>0</v>
      </c>
      <c r="G122" s="13">
        <v>0</v>
      </c>
    </row>
    <row r="123" spans="1:7" ht="15" x14ac:dyDescent="0.25">
      <c r="A123" s="6"/>
      <c r="B123" s="7"/>
      <c r="C123" s="14"/>
      <c r="D123" s="7"/>
      <c r="E123" s="46"/>
      <c r="F123" s="51"/>
      <c r="G123" s="5"/>
    </row>
    <row r="124" spans="1:7" ht="15" x14ac:dyDescent="0.25">
      <c r="A124" s="1"/>
      <c r="B124" s="2"/>
      <c r="C124" s="3" t="s">
        <v>125</v>
      </c>
      <c r="D124" s="4"/>
      <c r="E124" s="46"/>
      <c r="F124" s="51"/>
      <c r="G124" s="5"/>
    </row>
    <row r="125" spans="1:7" ht="25.5" x14ac:dyDescent="0.25">
      <c r="A125" s="6"/>
      <c r="B125" s="7"/>
      <c r="C125" s="8" t="s">
        <v>126</v>
      </c>
      <c r="D125" s="9"/>
      <c r="E125" s="47"/>
      <c r="F125" s="52"/>
      <c r="G125" s="10"/>
    </row>
    <row r="126" spans="1:7" ht="15" x14ac:dyDescent="0.25">
      <c r="A126" s="6"/>
      <c r="B126" s="7"/>
      <c r="C126" s="8" t="s">
        <v>104</v>
      </c>
      <c r="D126" s="25"/>
      <c r="E126" s="48"/>
      <c r="F126" s="53">
        <v>0</v>
      </c>
      <c r="G126" s="13">
        <v>0</v>
      </c>
    </row>
    <row r="127" spans="1:7" ht="15" x14ac:dyDescent="0.25">
      <c r="A127" s="6"/>
      <c r="B127" s="7"/>
      <c r="C127" s="14"/>
      <c r="D127" s="7"/>
      <c r="E127" s="46"/>
      <c r="F127" s="51"/>
      <c r="G127" s="5"/>
    </row>
    <row r="128" spans="1:7" ht="25.5" x14ac:dyDescent="0.25">
      <c r="A128" s="6"/>
      <c r="B128" s="7"/>
      <c r="C128" s="8" t="s">
        <v>127</v>
      </c>
      <c r="D128" s="9"/>
      <c r="E128" s="47"/>
      <c r="F128" s="51">
        <v>8648.5560000000005</v>
      </c>
      <c r="G128" s="5">
        <v>1.5881393000000001E-2</v>
      </c>
    </row>
    <row r="129" spans="1:7" ht="15" x14ac:dyDescent="0.25">
      <c r="A129" s="6"/>
      <c r="B129" s="7"/>
      <c r="C129" s="8" t="s">
        <v>810</v>
      </c>
      <c r="D129" s="25"/>
      <c r="E129" s="48"/>
      <c r="F129" s="53">
        <v>8648.5560000000005</v>
      </c>
      <c r="G129" s="13">
        <v>1.5881393000000001E-2</v>
      </c>
    </row>
    <row r="130" spans="1:7" ht="15" x14ac:dyDescent="0.25">
      <c r="A130" s="6"/>
      <c r="B130" s="7"/>
      <c r="C130" s="14"/>
      <c r="D130" s="7"/>
      <c r="E130" s="46"/>
      <c r="F130" s="56"/>
      <c r="G130" s="27"/>
    </row>
    <row r="131" spans="1:7" ht="15" x14ac:dyDescent="0.25">
      <c r="A131" s="6"/>
      <c r="B131" s="7"/>
      <c r="C131" s="14" t="s">
        <v>383</v>
      </c>
      <c r="D131" s="7"/>
      <c r="E131" s="46"/>
      <c r="F131" s="56">
        <v>1646.7439869</v>
      </c>
      <c r="G131" s="27">
        <v>3.0239249999999998E-3</v>
      </c>
    </row>
    <row r="132" spans="1:7" ht="25.5" x14ac:dyDescent="0.25">
      <c r="A132" s="6"/>
      <c r="B132" s="7"/>
      <c r="C132" s="29" t="s">
        <v>128</v>
      </c>
      <c r="D132" s="7"/>
      <c r="E132" s="46"/>
      <c r="F132" s="56">
        <v>577.04325486000016</v>
      </c>
      <c r="G132" s="27">
        <v>1.0596278494133934E-3</v>
      </c>
    </row>
    <row r="133" spans="1:7" ht="15" x14ac:dyDescent="0.25">
      <c r="A133" s="6"/>
      <c r="B133" s="7"/>
      <c r="C133" s="30" t="s">
        <v>129</v>
      </c>
      <c r="D133" s="12"/>
      <c r="E133" s="48"/>
      <c r="F133" s="82">
        <v>544571.62029051001</v>
      </c>
      <c r="G133" s="13">
        <v>1.0000000039999999</v>
      </c>
    </row>
    <row r="134" spans="1:7" ht="15.95" customHeight="1" x14ac:dyDescent="0.25">
      <c r="F134" s="139"/>
    </row>
    <row r="135" spans="1:7" ht="15" x14ac:dyDescent="0.25">
      <c r="B135" s="280" t="s">
        <v>848</v>
      </c>
      <c r="C135" s="279"/>
      <c r="D135" s="279"/>
      <c r="E135" s="279"/>
      <c r="F135" s="279"/>
    </row>
    <row r="136" spans="1:7" ht="15" x14ac:dyDescent="0.25">
      <c r="B136" s="279"/>
      <c r="C136" s="279"/>
      <c r="D136" s="279"/>
      <c r="E136" s="279"/>
      <c r="F136" s="279"/>
    </row>
    <row r="138" spans="1:7" ht="15" x14ac:dyDescent="0.25">
      <c r="B138" s="36" t="s">
        <v>131</v>
      </c>
      <c r="C138" s="37"/>
      <c r="D138" s="38"/>
    </row>
    <row r="139" spans="1:7" ht="15" x14ac:dyDescent="0.25">
      <c r="B139" s="39" t="s">
        <v>132</v>
      </c>
      <c r="C139" s="40"/>
      <c r="D139" s="62" t="s">
        <v>133</v>
      </c>
    </row>
    <row r="140" spans="1:7" ht="15" x14ac:dyDescent="0.25">
      <c r="B140" s="39" t="s">
        <v>134</v>
      </c>
      <c r="C140" s="40"/>
      <c r="D140" s="62" t="s">
        <v>133</v>
      </c>
    </row>
    <row r="141" spans="1:7" ht="15" x14ac:dyDescent="0.25">
      <c r="B141" s="41" t="s">
        <v>135</v>
      </c>
      <c r="C141" s="40"/>
      <c r="D141" s="42"/>
    </row>
    <row r="142" spans="1:7" ht="25.5" customHeight="1" x14ac:dyDescent="0.25">
      <c r="B142" s="42"/>
      <c r="C142" s="32" t="s">
        <v>136</v>
      </c>
      <c r="D142" s="33" t="s">
        <v>137</v>
      </c>
    </row>
    <row r="143" spans="1:7" ht="12.75" customHeight="1" x14ac:dyDescent="0.25">
      <c r="B143" s="57" t="s">
        <v>138</v>
      </c>
      <c r="C143" s="58" t="s">
        <v>139</v>
      </c>
      <c r="D143" s="58" t="s">
        <v>140</v>
      </c>
    </row>
    <row r="144" spans="1:7" ht="15" x14ac:dyDescent="0.25">
      <c r="B144" s="42" t="s">
        <v>141</v>
      </c>
      <c r="C144" s="43">
        <v>481.02080000000001</v>
      </c>
      <c r="D144" s="43">
        <v>439.53660000000002</v>
      </c>
    </row>
    <row r="145" spans="2:244" ht="15" x14ac:dyDescent="0.25">
      <c r="B145" s="42" t="s">
        <v>142</v>
      </c>
      <c r="C145" s="43">
        <v>34.0886</v>
      </c>
      <c r="D145" s="43">
        <v>30.950600000000001</v>
      </c>
    </row>
    <row r="146" spans="2:244" ht="15" x14ac:dyDescent="0.25">
      <c r="B146" s="42" t="s">
        <v>384</v>
      </c>
      <c r="C146" s="43">
        <v>490.9794</v>
      </c>
      <c r="D146" s="43">
        <v>448.6361</v>
      </c>
    </row>
    <row r="147" spans="2:244" ht="15" x14ac:dyDescent="0.25">
      <c r="B147" s="42" t="s">
        <v>385</v>
      </c>
      <c r="C147" s="43">
        <v>29.621400000000001</v>
      </c>
      <c r="D147" s="43">
        <v>26.868400000000001</v>
      </c>
    </row>
    <row r="148" spans="2:244" ht="15" x14ac:dyDescent="0.25">
      <c r="B148" s="42" t="s">
        <v>143</v>
      </c>
      <c r="C148" s="43">
        <v>463.35829999999999</v>
      </c>
      <c r="D148" s="43">
        <v>423.11200000000002</v>
      </c>
    </row>
    <row r="149" spans="2:244" ht="15" x14ac:dyDescent="0.25">
      <c r="B149" s="42" t="s">
        <v>144</v>
      </c>
      <c r="C149" s="43">
        <v>32.469200000000001</v>
      </c>
      <c r="D149" s="43">
        <v>29.451000000000001</v>
      </c>
    </row>
    <row r="151" spans="2:244" ht="15" x14ac:dyDescent="0.25">
      <c r="B151" s="126" t="s">
        <v>145</v>
      </c>
      <c r="C151" s="127"/>
      <c r="IJ151"/>
    </row>
    <row r="152" spans="2:244" ht="24.75" customHeight="1" x14ac:dyDescent="0.25">
      <c r="B152" s="128" t="s">
        <v>138</v>
      </c>
      <c r="C152" s="128" t="s">
        <v>386</v>
      </c>
    </row>
    <row r="153" spans="2:244" ht="15" x14ac:dyDescent="0.25">
      <c r="B153" s="42" t="s">
        <v>142</v>
      </c>
      <c r="C153" s="133">
        <v>0.17708199999999999</v>
      </c>
    </row>
    <row r="154" spans="2:244" ht="15" x14ac:dyDescent="0.25">
      <c r="B154" s="42" t="s">
        <v>385</v>
      </c>
      <c r="C154" s="133">
        <v>0.17708199999999999</v>
      </c>
    </row>
    <row r="155" spans="2:244" ht="15" x14ac:dyDescent="0.25">
      <c r="B155" s="42" t="s">
        <v>144</v>
      </c>
      <c r="C155" s="133">
        <v>0.17708199999999999</v>
      </c>
      <c r="D155"/>
    </row>
    <row r="157" spans="2:244" ht="15" x14ac:dyDescent="0.25">
      <c r="B157" s="41" t="s">
        <v>146</v>
      </c>
      <c r="C157" s="40"/>
      <c r="D157" s="72" t="s">
        <v>722</v>
      </c>
    </row>
    <row r="158" spans="2:244" ht="15" x14ac:dyDescent="0.25">
      <c r="B158" s="41" t="s">
        <v>147</v>
      </c>
      <c r="C158" s="40"/>
      <c r="D158" s="64" t="s">
        <v>133</v>
      </c>
    </row>
    <row r="159" spans="2:244" ht="15" x14ac:dyDescent="0.25">
      <c r="B159" s="41" t="s">
        <v>148</v>
      </c>
      <c r="C159" s="40"/>
      <c r="D159" s="45">
        <v>3.4280150500132167E-2</v>
      </c>
    </row>
    <row r="160" spans="2:244" ht="15" x14ac:dyDescent="0.25">
      <c r="B160" s="41" t="s">
        <v>149</v>
      </c>
      <c r="C160" s="40"/>
      <c r="D160" s="45" t="s">
        <v>133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130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387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116358</v>
      </c>
      <c r="F7" s="51">
        <v>494.05606799999998</v>
      </c>
      <c r="G7" s="5">
        <v>6.0631741000000003E-2</v>
      </c>
    </row>
    <row r="8" spans="1:7" ht="15" x14ac:dyDescent="0.25">
      <c r="A8" s="6">
        <v>2</v>
      </c>
      <c r="B8" s="7" t="s">
        <v>33</v>
      </c>
      <c r="C8" s="11" t="s">
        <v>34</v>
      </c>
      <c r="D8" s="2" t="s">
        <v>13</v>
      </c>
      <c r="E8" s="46">
        <v>17800</v>
      </c>
      <c r="F8" s="51">
        <v>400.7937</v>
      </c>
      <c r="G8" s="5">
        <v>4.9186359999999998E-2</v>
      </c>
    </row>
    <row r="9" spans="1:7" ht="25.5" x14ac:dyDescent="0.25">
      <c r="A9" s="6">
        <v>3</v>
      </c>
      <c r="B9" s="7" t="s">
        <v>40</v>
      </c>
      <c r="C9" s="11" t="s">
        <v>41</v>
      </c>
      <c r="D9" s="2" t="s">
        <v>42</v>
      </c>
      <c r="E9" s="46">
        <v>30787</v>
      </c>
      <c r="F9" s="51">
        <v>359.05338749999999</v>
      </c>
      <c r="G9" s="5">
        <v>4.4063889000000002E-2</v>
      </c>
    </row>
    <row r="10" spans="1:7" ht="15" x14ac:dyDescent="0.25">
      <c r="A10" s="6">
        <v>4</v>
      </c>
      <c r="B10" s="7" t="s">
        <v>291</v>
      </c>
      <c r="C10" s="11" t="s">
        <v>292</v>
      </c>
      <c r="D10" s="2" t="s">
        <v>238</v>
      </c>
      <c r="E10" s="46">
        <v>73000</v>
      </c>
      <c r="F10" s="51">
        <v>290.28449999999998</v>
      </c>
      <c r="G10" s="5">
        <v>3.5624406999999997E-2</v>
      </c>
    </row>
    <row r="11" spans="1:7" ht="25.5" x14ac:dyDescent="0.25">
      <c r="A11" s="6">
        <v>5</v>
      </c>
      <c r="B11" s="7" t="s">
        <v>388</v>
      </c>
      <c r="C11" s="11" t="s">
        <v>389</v>
      </c>
      <c r="D11" s="2" t="s">
        <v>59</v>
      </c>
      <c r="E11" s="46">
        <v>117642</v>
      </c>
      <c r="F11" s="51">
        <v>270.51777900000002</v>
      </c>
      <c r="G11" s="5">
        <v>3.3198588000000001E-2</v>
      </c>
    </row>
    <row r="12" spans="1:7" ht="25.5" x14ac:dyDescent="0.25">
      <c r="A12" s="6">
        <v>6</v>
      </c>
      <c r="B12" s="7" t="s">
        <v>390</v>
      </c>
      <c r="C12" s="11" t="s">
        <v>391</v>
      </c>
      <c r="D12" s="2" t="s">
        <v>162</v>
      </c>
      <c r="E12" s="46">
        <v>32724</v>
      </c>
      <c r="F12" s="51">
        <v>260.99026199999997</v>
      </c>
      <c r="G12" s="5">
        <v>3.2029347999999999E-2</v>
      </c>
    </row>
    <row r="13" spans="1:7" ht="25.5" x14ac:dyDescent="0.25">
      <c r="A13" s="6">
        <v>7</v>
      </c>
      <c r="B13" s="7" t="s">
        <v>310</v>
      </c>
      <c r="C13" s="11" t="s">
        <v>311</v>
      </c>
      <c r="D13" s="2" t="s">
        <v>37</v>
      </c>
      <c r="E13" s="46">
        <v>38646</v>
      </c>
      <c r="F13" s="51">
        <v>246.90929399999999</v>
      </c>
      <c r="G13" s="5">
        <v>3.0301298000000001E-2</v>
      </c>
    </row>
    <row r="14" spans="1:7" ht="25.5" x14ac:dyDescent="0.25">
      <c r="A14" s="6">
        <v>8</v>
      </c>
      <c r="B14" s="7" t="s">
        <v>392</v>
      </c>
      <c r="C14" s="11" t="s">
        <v>393</v>
      </c>
      <c r="D14" s="2" t="s">
        <v>37</v>
      </c>
      <c r="E14" s="46">
        <v>20264</v>
      </c>
      <c r="F14" s="51">
        <v>243.4213</v>
      </c>
      <c r="G14" s="5">
        <v>2.9873243000000001E-2</v>
      </c>
    </row>
    <row r="15" spans="1:7" ht="15" x14ac:dyDescent="0.25">
      <c r="A15" s="6">
        <v>9</v>
      </c>
      <c r="B15" s="7" t="s">
        <v>394</v>
      </c>
      <c r="C15" s="11" t="s">
        <v>395</v>
      </c>
      <c r="D15" s="2" t="s">
        <v>13</v>
      </c>
      <c r="E15" s="46">
        <v>35531</v>
      </c>
      <c r="F15" s="51">
        <v>239.51447099999999</v>
      </c>
      <c r="G15" s="5">
        <v>2.9393788000000001E-2</v>
      </c>
    </row>
    <row r="16" spans="1:7" ht="25.5" x14ac:dyDescent="0.25">
      <c r="A16" s="6">
        <v>10</v>
      </c>
      <c r="B16" s="7" t="s">
        <v>396</v>
      </c>
      <c r="C16" s="11" t="s">
        <v>397</v>
      </c>
      <c r="D16" s="2" t="s">
        <v>37</v>
      </c>
      <c r="E16" s="46">
        <v>83182</v>
      </c>
      <c r="F16" s="51">
        <v>224.75776400000001</v>
      </c>
      <c r="G16" s="5">
        <v>2.7582809999999999E-2</v>
      </c>
    </row>
    <row r="17" spans="1:7" ht="25.5" x14ac:dyDescent="0.25">
      <c r="A17" s="6">
        <v>11</v>
      </c>
      <c r="B17" s="7" t="s">
        <v>171</v>
      </c>
      <c r="C17" s="11" t="s">
        <v>172</v>
      </c>
      <c r="D17" s="2" t="s">
        <v>173</v>
      </c>
      <c r="E17" s="46">
        <v>70408</v>
      </c>
      <c r="F17" s="51">
        <v>206.964316</v>
      </c>
      <c r="G17" s="5">
        <v>2.5399155E-2</v>
      </c>
    </row>
    <row r="18" spans="1:7" ht="25.5" x14ac:dyDescent="0.25">
      <c r="A18" s="6">
        <v>12</v>
      </c>
      <c r="B18" s="7" t="s">
        <v>17</v>
      </c>
      <c r="C18" s="11" t="s">
        <v>18</v>
      </c>
      <c r="D18" s="2" t="s">
        <v>19</v>
      </c>
      <c r="E18" s="46">
        <v>14631</v>
      </c>
      <c r="F18" s="51">
        <v>202.975863</v>
      </c>
      <c r="G18" s="5">
        <v>2.4909682999999998E-2</v>
      </c>
    </row>
    <row r="19" spans="1:7" ht="15" x14ac:dyDescent="0.25">
      <c r="A19" s="6">
        <v>13</v>
      </c>
      <c r="B19" s="7" t="s">
        <v>398</v>
      </c>
      <c r="C19" s="11" t="s">
        <v>399</v>
      </c>
      <c r="D19" s="2" t="s">
        <v>226</v>
      </c>
      <c r="E19" s="46">
        <v>8310</v>
      </c>
      <c r="F19" s="51">
        <v>195.79191</v>
      </c>
      <c r="G19" s="5">
        <v>2.4028051000000002E-2</v>
      </c>
    </row>
    <row r="20" spans="1:7" ht="25.5" x14ac:dyDescent="0.25">
      <c r="A20" s="6">
        <v>14</v>
      </c>
      <c r="B20" s="7" t="s">
        <v>400</v>
      </c>
      <c r="C20" s="11" t="s">
        <v>401</v>
      </c>
      <c r="D20" s="2" t="s">
        <v>37</v>
      </c>
      <c r="E20" s="46">
        <v>12643</v>
      </c>
      <c r="F20" s="51">
        <v>192.31267299999999</v>
      </c>
      <c r="G20" s="5">
        <v>2.3601071000000001E-2</v>
      </c>
    </row>
    <row r="21" spans="1:7" ht="25.5" x14ac:dyDescent="0.25">
      <c r="A21" s="6">
        <v>15</v>
      </c>
      <c r="B21" s="7" t="s">
        <v>402</v>
      </c>
      <c r="C21" s="11" t="s">
        <v>403</v>
      </c>
      <c r="D21" s="2" t="s">
        <v>37</v>
      </c>
      <c r="E21" s="46">
        <v>31829</v>
      </c>
      <c r="F21" s="51">
        <v>189.0801745</v>
      </c>
      <c r="G21" s="5">
        <v>2.3204371000000001E-2</v>
      </c>
    </row>
    <row r="22" spans="1:7" ht="25.5" x14ac:dyDescent="0.25">
      <c r="A22" s="6">
        <v>16</v>
      </c>
      <c r="B22" s="7" t="s">
        <v>306</v>
      </c>
      <c r="C22" s="11" t="s">
        <v>307</v>
      </c>
      <c r="D22" s="2" t="s">
        <v>59</v>
      </c>
      <c r="E22" s="46">
        <v>12149</v>
      </c>
      <c r="F22" s="51">
        <v>188.85013050000001</v>
      </c>
      <c r="G22" s="5">
        <v>2.3176138999999998E-2</v>
      </c>
    </row>
    <row r="23" spans="1:7" ht="15" x14ac:dyDescent="0.25">
      <c r="A23" s="6">
        <v>17</v>
      </c>
      <c r="B23" s="7" t="s">
        <v>322</v>
      </c>
      <c r="C23" s="11" t="s">
        <v>323</v>
      </c>
      <c r="D23" s="2" t="s">
        <v>162</v>
      </c>
      <c r="E23" s="46">
        <v>35715</v>
      </c>
      <c r="F23" s="51">
        <v>185.14655999999999</v>
      </c>
      <c r="G23" s="5">
        <v>2.2721628000000001E-2</v>
      </c>
    </row>
    <row r="24" spans="1:7" ht="25.5" x14ac:dyDescent="0.25">
      <c r="A24" s="6">
        <v>18</v>
      </c>
      <c r="B24" s="7" t="s">
        <v>404</v>
      </c>
      <c r="C24" s="11" t="s">
        <v>405</v>
      </c>
      <c r="D24" s="2" t="s">
        <v>162</v>
      </c>
      <c r="E24" s="46">
        <v>8546</v>
      </c>
      <c r="F24" s="51">
        <v>183.67063200000001</v>
      </c>
      <c r="G24" s="5">
        <v>2.2540498999999999E-2</v>
      </c>
    </row>
    <row r="25" spans="1:7" ht="25.5" x14ac:dyDescent="0.25">
      <c r="A25" s="6">
        <v>19</v>
      </c>
      <c r="B25" s="7" t="s">
        <v>406</v>
      </c>
      <c r="C25" s="11" t="s">
        <v>407</v>
      </c>
      <c r="D25" s="2" t="s">
        <v>162</v>
      </c>
      <c r="E25" s="46">
        <v>15118</v>
      </c>
      <c r="F25" s="51">
        <v>182.527173</v>
      </c>
      <c r="G25" s="5">
        <v>2.2400171E-2</v>
      </c>
    </row>
    <row r="26" spans="1:7" ht="25.5" x14ac:dyDescent="0.25">
      <c r="A26" s="6">
        <v>20</v>
      </c>
      <c r="B26" s="7" t="s">
        <v>35</v>
      </c>
      <c r="C26" s="11" t="s">
        <v>36</v>
      </c>
      <c r="D26" s="2" t="s">
        <v>37</v>
      </c>
      <c r="E26" s="46">
        <v>42033</v>
      </c>
      <c r="F26" s="51">
        <v>179.5439595</v>
      </c>
      <c r="G26" s="5">
        <v>2.2034063E-2</v>
      </c>
    </row>
    <row r="27" spans="1:7" ht="25.5" x14ac:dyDescent="0.25">
      <c r="A27" s="6">
        <v>21</v>
      </c>
      <c r="B27" s="7" t="s">
        <v>23</v>
      </c>
      <c r="C27" s="11" t="s">
        <v>24</v>
      </c>
      <c r="D27" s="2" t="s">
        <v>22</v>
      </c>
      <c r="E27" s="46">
        <v>32394</v>
      </c>
      <c r="F27" s="51">
        <v>178.11840900000001</v>
      </c>
      <c r="G27" s="5">
        <v>2.1859117000000001E-2</v>
      </c>
    </row>
    <row r="28" spans="1:7" ht="25.5" x14ac:dyDescent="0.25">
      <c r="A28" s="6">
        <v>22</v>
      </c>
      <c r="B28" s="7" t="s">
        <v>301</v>
      </c>
      <c r="C28" s="11" t="s">
        <v>302</v>
      </c>
      <c r="D28" s="2" t="s">
        <v>22</v>
      </c>
      <c r="E28" s="46">
        <v>24335</v>
      </c>
      <c r="F28" s="51">
        <v>172.53514999999999</v>
      </c>
      <c r="G28" s="5">
        <v>2.1173925999999999E-2</v>
      </c>
    </row>
    <row r="29" spans="1:7" ht="25.5" x14ac:dyDescent="0.25">
      <c r="A29" s="6">
        <v>23</v>
      </c>
      <c r="B29" s="7" t="s">
        <v>408</v>
      </c>
      <c r="C29" s="11" t="s">
        <v>409</v>
      </c>
      <c r="D29" s="2" t="s">
        <v>162</v>
      </c>
      <c r="E29" s="46">
        <v>34549</v>
      </c>
      <c r="F29" s="51">
        <v>170.499315</v>
      </c>
      <c r="G29" s="5">
        <v>2.0924083E-2</v>
      </c>
    </row>
    <row r="30" spans="1:7" ht="15" x14ac:dyDescent="0.25">
      <c r="A30" s="6">
        <v>24</v>
      </c>
      <c r="B30" s="7" t="s">
        <v>338</v>
      </c>
      <c r="C30" s="11" t="s">
        <v>339</v>
      </c>
      <c r="D30" s="2" t="s">
        <v>162</v>
      </c>
      <c r="E30" s="46">
        <v>40640</v>
      </c>
      <c r="F30" s="51">
        <v>169.55008000000001</v>
      </c>
      <c r="G30" s="5">
        <v>2.0807591E-2</v>
      </c>
    </row>
    <row r="31" spans="1:7" ht="15" x14ac:dyDescent="0.25">
      <c r="A31" s="6">
        <v>25</v>
      </c>
      <c r="B31" s="7" t="s">
        <v>410</v>
      </c>
      <c r="C31" s="11" t="s">
        <v>411</v>
      </c>
      <c r="D31" s="2" t="s">
        <v>226</v>
      </c>
      <c r="E31" s="46">
        <v>45347</v>
      </c>
      <c r="F31" s="51">
        <v>166.89963349999999</v>
      </c>
      <c r="G31" s="5">
        <v>2.0482322000000001E-2</v>
      </c>
    </row>
    <row r="32" spans="1:7" ht="15" x14ac:dyDescent="0.25">
      <c r="A32" s="6">
        <v>26</v>
      </c>
      <c r="B32" s="7" t="s">
        <v>328</v>
      </c>
      <c r="C32" s="11" t="s">
        <v>329</v>
      </c>
      <c r="D32" s="2" t="s">
        <v>241</v>
      </c>
      <c r="E32" s="46">
        <v>9972</v>
      </c>
      <c r="F32" s="51">
        <v>166.61716200000001</v>
      </c>
      <c r="G32" s="5">
        <v>2.0447656000000002E-2</v>
      </c>
    </row>
    <row r="33" spans="1:7" ht="15" x14ac:dyDescent="0.25">
      <c r="A33" s="6">
        <v>27</v>
      </c>
      <c r="B33" s="7" t="s">
        <v>412</v>
      </c>
      <c r="C33" s="11" t="s">
        <v>413</v>
      </c>
      <c r="D33" s="2" t="s">
        <v>162</v>
      </c>
      <c r="E33" s="46">
        <v>5000</v>
      </c>
      <c r="F33" s="51">
        <v>162.60249999999999</v>
      </c>
      <c r="G33" s="5">
        <v>1.9954967000000001E-2</v>
      </c>
    </row>
    <row r="34" spans="1:7" ht="25.5" x14ac:dyDescent="0.25">
      <c r="A34" s="6">
        <v>28</v>
      </c>
      <c r="B34" s="7" t="s">
        <v>153</v>
      </c>
      <c r="C34" s="11" t="s">
        <v>154</v>
      </c>
      <c r="D34" s="2" t="s">
        <v>155</v>
      </c>
      <c r="E34" s="46">
        <v>25159</v>
      </c>
      <c r="F34" s="51">
        <v>156.69025199999999</v>
      </c>
      <c r="G34" s="5">
        <v>1.9229402E-2</v>
      </c>
    </row>
    <row r="35" spans="1:7" ht="15" x14ac:dyDescent="0.25">
      <c r="A35" s="6">
        <v>29</v>
      </c>
      <c r="B35" s="7" t="s">
        <v>414</v>
      </c>
      <c r="C35" s="11" t="s">
        <v>415</v>
      </c>
      <c r="D35" s="2" t="s">
        <v>215</v>
      </c>
      <c r="E35" s="46">
        <v>27042</v>
      </c>
      <c r="F35" s="51">
        <v>140.76713100000001</v>
      </c>
      <c r="G35" s="5">
        <v>1.7275278000000002E-2</v>
      </c>
    </row>
    <row r="36" spans="1:7" ht="25.5" x14ac:dyDescent="0.25">
      <c r="A36" s="6">
        <v>30</v>
      </c>
      <c r="B36" s="7" t="s">
        <v>57</v>
      </c>
      <c r="C36" s="11" t="s">
        <v>58</v>
      </c>
      <c r="D36" s="2" t="s">
        <v>59</v>
      </c>
      <c r="E36" s="46">
        <v>19431</v>
      </c>
      <c r="F36" s="51">
        <v>131.50900799999999</v>
      </c>
      <c r="G36" s="5">
        <v>1.61391E-2</v>
      </c>
    </row>
    <row r="37" spans="1:7" ht="15" x14ac:dyDescent="0.25">
      <c r="A37" s="6">
        <v>31</v>
      </c>
      <c r="B37" s="7" t="s">
        <v>416</v>
      </c>
      <c r="C37" s="11" t="s">
        <v>417</v>
      </c>
      <c r="D37" s="2" t="s">
        <v>170</v>
      </c>
      <c r="E37" s="46">
        <v>235</v>
      </c>
      <c r="F37" s="51">
        <v>125.8395625</v>
      </c>
      <c r="G37" s="5">
        <v>1.5443332000000001E-2</v>
      </c>
    </row>
    <row r="38" spans="1:7" ht="25.5" x14ac:dyDescent="0.25">
      <c r="A38" s="6">
        <v>32</v>
      </c>
      <c r="B38" s="7" t="s">
        <v>418</v>
      </c>
      <c r="C38" s="11" t="s">
        <v>419</v>
      </c>
      <c r="D38" s="2" t="s">
        <v>37</v>
      </c>
      <c r="E38" s="46">
        <v>36124</v>
      </c>
      <c r="F38" s="51">
        <v>119.498192</v>
      </c>
      <c r="G38" s="5">
        <v>1.4665104E-2</v>
      </c>
    </row>
    <row r="39" spans="1:7" ht="15" x14ac:dyDescent="0.25">
      <c r="A39" s="6">
        <v>33</v>
      </c>
      <c r="B39" s="7" t="s">
        <v>420</v>
      </c>
      <c r="C39" s="11" t="s">
        <v>421</v>
      </c>
      <c r="D39" s="2" t="s">
        <v>226</v>
      </c>
      <c r="E39" s="46">
        <v>20470</v>
      </c>
      <c r="F39" s="51">
        <v>112.58499999999999</v>
      </c>
      <c r="G39" s="5">
        <v>1.3816699999999999E-2</v>
      </c>
    </row>
    <row r="40" spans="1:7" ht="15" x14ac:dyDescent="0.25">
      <c r="A40" s="6">
        <v>34</v>
      </c>
      <c r="B40" s="7" t="s">
        <v>361</v>
      </c>
      <c r="C40" s="11" t="s">
        <v>362</v>
      </c>
      <c r="D40" s="2" t="s">
        <v>162</v>
      </c>
      <c r="E40" s="46">
        <v>47081</v>
      </c>
      <c r="F40" s="51">
        <v>102.683661</v>
      </c>
      <c r="G40" s="5">
        <v>1.2601584000000001E-2</v>
      </c>
    </row>
    <row r="41" spans="1:7" ht="25.5" x14ac:dyDescent="0.25">
      <c r="A41" s="6">
        <v>35</v>
      </c>
      <c r="B41" s="7" t="s">
        <v>194</v>
      </c>
      <c r="C41" s="11" t="s">
        <v>195</v>
      </c>
      <c r="D41" s="2" t="s">
        <v>37</v>
      </c>
      <c r="E41" s="46">
        <v>29130</v>
      </c>
      <c r="F41" s="51">
        <v>98.590485000000001</v>
      </c>
      <c r="G41" s="5">
        <v>1.2099260000000001E-2</v>
      </c>
    </row>
    <row r="42" spans="1:7" ht="25.5" x14ac:dyDescent="0.25">
      <c r="A42" s="6">
        <v>36</v>
      </c>
      <c r="B42" s="7" t="s">
        <v>422</v>
      </c>
      <c r="C42" s="11" t="s">
        <v>423</v>
      </c>
      <c r="D42" s="2" t="s">
        <v>22</v>
      </c>
      <c r="E42" s="46">
        <v>33529</v>
      </c>
      <c r="F42" s="51">
        <v>83.319564999999997</v>
      </c>
      <c r="G42" s="5">
        <v>1.0225176000000001E-2</v>
      </c>
    </row>
    <row r="43" spans="1:7" ht="15" x14ac:dyDescent="0.25">
      <c r="A43" s="6">
        <v>37</v>
      </c>
      <c r="B43" s="7" t="s">
        <v>336</v>
      </c>
      <c r="C43" s="11" t="s">
        <v>337</v>
      </c>
      <c r="D43" s="2" t="s">
        <v>184</v>
      </c>
      <c r="E43" s="46">
        <v>18509</v>
      </c>
      <c r="F43" s="51">
        <v>81.208237499999996</v>
      </c>
      <c r="G43" s="5">
        <v>9.9660689999999993E-3</v>
      </c>
    </row>
    <row r="44" spans="1:7" ht="15" x14ac:dyDescent="0.25">
      <c r="A44" s="6">
        <v>38</v>
      </c>
      <c r="B44" s="7" t="s">
        <v>424</v>
      </c>
      <c r="C44" s="11" t="s">
        <v>425</v>
      </c>
      <c r="D44" s="2" t="s">
        <v>241</v>
      </c>
      <c r="E44" s="46">
        <v>12714</v>
      </c>
      <c r="F44" s="51">
        <v>72.628725000000003</v>
      </c>
      <c r="G44" s="5">
        <v>8.9131709999999992E-3</v>
      </c>
    </row>
    <row r="45" spans="1:7" ht="15" x14ac:dyDescent="0.25">
      <c r="A45" s="1"/>
      <c r="B45" s="2"/>
      <c r="C45" s="8" t="s">
        <v>104</v>
      </c>
      <c r="D45" s="12"/>
      <c r="E45" s="48"/>
      <c r="F45" s="53">
        <v>7349.3039854999988</v>
      </c>
      <c r="G45" s="13">
        <v>0.90192414099999973</v>
      </c>
    </row>
    <row r="46" spans="1:7" ht="15" x14ac:dyDescent="0.25">
      <c r="A46" s="6"/>
      <c r="B46" s="7"/>
      <c r="C46" s="14"/>
      <c r="D46" s="15"/>
      <c r="E46" s="46"/>
      <c r="F46" s="51"/>
      <c r="G46" s="5"/>
    </row>
    <row r="47" spans="1:7" ht="15" x14ac:dyDescent="0.25">
      <c r="A47" s="1"/>
      <c r="B47" s="2"/>
      <c r="C47" s="8" t="s">
        <v>105</v>
      </c>
      <c r="D47" s="9"/>
      <c r="E47" s="47"/>
      <c r="F47" s="52"/>
      <c r="G47" s="10"/>
    </row>
    <row r="48" spans="1:7" ht="15" x14ac:dyDescent="0.25">
      <c r="A48" s="1"/>
      <c r="B48" s="2"/>
      <c r="C48" s="8" t="s">
        <v>104</v>
      </c>
      <c r="D48" s="12"/>
      <c r="E48" s="48"/>
      <c r="F48" s="53">
        <v>0</v>
      </c>
      <c r="G48" s="13">
        <v>0</v>
      </c>
    </row>
    <row r="49" spans="1:7" ht="15" x14ac:dyDescent="0.25">
      <c r="A49" s="6"/>
      <c r="B49" s="7"/>
      <c r="C49" s="14"/>
      <c r="D49" s="15"/>
      <c r="E49" s="46"/>
      <c r="F49" s="51"/>
      <c r="G49" s="5"/>
    </row>
    <row r="50" spans="1:7" ht="15" x14ac:dyDescent="0.25">
      <c r="A50" s="16"/>
      <c r="B50" s="17"/>
      <c r="C50" s="8" t="s">
        <v>106</v>
      </c>
      <c r="D50" s="9"/>
      <c r="E50" s="47"/>
      <c r="F50" s="52"/>
      <c r="G50" s="10"/>
    </row>
    <row r="51" spans="1:7" ht="15" x14ac:dyDescent="0.25">
      <c r="A51" s="18"/>
      <c r="B51" s="19"/>
      <c r="C51" s="8" t="s">
        <v>104</v>
      </c>
      <c r="D51" s="20"/>
      <c r="E51" s="49"/>
      <c r="F51" s="54">
        <v>0</v>
      </c>
      <c r="G51" s="21">
        <v>0</v>
      </c>
    </row>
    <row r="52" spans="1:7" ht="15" x14ac:dyDescent="0.25">
      <c r="A52" s="18"/>
      <c r="B52" s="19"/>
      <c r="C52" s="14"/>
      <c r="D52" s="22"/>
      <c r="E52" s="50"/>
      <c r="F52" s="55"/>
      <c r="G52" s="23"/>
    </row>
    <row r="53" spans="1:7" ht="15" x14ac:dyDescent="0.25">
      <c r="A53" s="1"/>
      <c r="B53" s="2"/>
      <c r="C53" s="8" t="s">
        <v>108</v>
      </c>
      <c r="D53" s="9"/>
      <c r="E53" s="47"/>
      <c r="F53" s="52"/>
      <c r="G53" s="10"/>
    </row>
    <row r="54" spans="1:7" ht="15" x14ac:dyDescent="0.25">
      <c r="A54" s="1"/>
      <c r="B54" s="2"/>
      <c r="C54" s="8" t="s">
        <v>104</v>
      </c>
      <c r="D54" s="12"/>
      <c r="E54" s="48"/>
      <c r="F54" s="53">
        <v>0</v>
      </c>
      <c r="G54" s="13">
        <v>0</v>
      </c>
    </row>
    <row r="55" spans="1:7" ht="15" x14ac:dyDescent="0.25">
      <c r="A55" s="1"/>
      <c r="B55" s="2"/>
      <c r="C55" s="14"/>
      <c r="D55" s="4"/>
      <c r="E55" s="46"/>
      <c r="F55" s="51"/>
      <c r="G55" s="5"/>
    </row>
    <row r="56" spans="1:7" ht="15" x14ac:dyDescent="0.25">
      <c r="A56" s="1"/>
      <c r="B56" s="2"/>
      <c r="C56" s="8" t="s">
        <v>109</v>
      </c>
      <c r="D56" s="9"/>
      <c r="E56" s="47"/>
      <c r="F56" s="52"/>
      <c r="G56" s="10"/>
    </row>
    <row r="57" spans="1:7" ht="15" x14ac:dyDescent="0.25">
      <c r="A57" s="1"/>
      <c r="B57" s="2"/>
      <c r="C57" s="8" t="s">
        <v>104</v>
      </c>
      <c r="D57" s="12"/>
      <c r="E57" s="48"/>
      <c r="F57" s="53">
        <v>0</v>
      </c>
      <c r="G57" s="13">
        <v>0</v>
      </c>
    </row>
    <row r="58" spans="1:7" ht="15" x14ac:dyDescent="0.25">
      <c r="A58" s="1"/>
      <c r="B58" s="2"/>
      <c r="C58" s="14"/>
      <c r="D58" s="4"/>
      <c r="E58" s="46"/>
      <c r="F58" s="51"/>
      <c r="G58" s="5"/>
    </row>
    <row r="59" spans="1:7" ht="15" x14ac:dyDescent="0.25">
      <c r="A59" s="1"/>
      <c r="B59" s="2"/>
      <c r="C59" s="8" t="s">
        <v>110</v>
      </c>
      <c r="D59" s="9"/>
      <c r="E59" s="47"/>
      <c r="F59" s="52"/>
      <c r="G59" s="10"/>
    </row>
    <row r="60" spans="1:7" ht="15" x14ac:dyDescent="0.25">
      <c r="A60" s="1"/>
      <c r="B60" s="2"/>
      <c r="C60" s="8" t="s">
        <v>104</v>
      </c>
      <c r="D60" s="12"/>
      <c r="E60" s="48"/>
      <c r="F60" s="53">
        <v>0</v>
      </c>
      <c r="G60" s="13">
        <v>0</v>
      </c>
    </row>
    <row r="61" spans="1:7" ht="15" x14ac:dyDescent="0.25">
      <c r="A61" s="1"/>
      <c r="B61" s="2"/>
      <c r="C61" s="14"/>
      <c r="D61" s="4"/>
      <c r="E61" s="46"/>
      <c r="F61" s="51"/>
      <c r="G61" s="5"/>
    </row>
    <row r="62" spans="1:7" ht="25.5" x14ac:dyDescent="0.25">
      <c r="A62" s="6"/>
      <c r="B62" s="7"/>
      <c r="C62" s="24" t="s">
        <v>111</v>
      </c>
      <c r="D62" s="25"/>
      <c r="E62" s="48"/>
      <c r="F62" s="53">
        <v>7349.3039854999988</v>
      </c>
      <c r="G62" s="13">
        <v>0.90192414099999973</v>
      </c>
    </row>
    <row r="63" spans="1:7" ht="15" x14ac:dyDescent="0.25">
      <c r="A63" s="1"/>
      <c r="B63" s="2"/>
      <c r="C63" s="11"/>
      <c r="D63" s="4"/>
      <c r="E63" s="46"/>
      <c r="F63" s="51"/>
      <c r="G63" s="5"/>
    </row>
    <row r="64" spans="1:7" ht="15" x14ac:dyDescent="0.25">
      <c r="A64" s="1"/>
      <c r="B64" s="2"/>
      <c r="C64" s="3" t="s">
        <v>112</v>
      </c>
      <c r="D64" s="4"/>
      <c r="E64" s="46"/>
      <c r="F64" s="51"/>
      <c r="G64" s="5"/>
    </row>
    <row r="65" spans="1:7" ht="25.5" x14ac:dyDescent="0.25">
      <c r="A65" s="1"/>
      <c r="B65" s="2"/>
      <c r="C65" s="8" t="s">
        <v>10</v>
      </c>
      <c r="D65" s="9"/>
      <c r="E65" s="47"/>
      <c r="F65" s="52"/>
      <c r="G65" s="10"/>
    </row>
    <row r="66" spans="1:7" ht="15" x14ac:dyDescent="0.25">
      <c r="A66" s="6"/>
      <c r="B66" s="7"/>
      <c r="C66" s="8" t="s">
        <v>104</v>
      </c>
      <c r="D66" s="12"/>
      <c r="E66" s="48"/>
      <c r="F66" s="53">
        <v>0</v>
      </c>
      <c r="G66" s="13">
        <v>0</v>
      </c>
    </row>
    <row r="67" spans="1:7" ht="15" x14ac:dyDescent="0.25">
      <c r="A67" s="6"/>
      <c r="B67" s="7"/>
      <c r="C67" s="14"/>
      <c r="D67" s="4"/>
      <c r="E67" s="46"/>
      <c r="F67" s="51"/>
      <c r="G67" s="5"/>
    </row>
    <row r="68" spans="1:7" ht="15" x14ac:dyDescent="0.25">
      <c r="A68" s="1"/>
      <c r="B68" s="26"/>
      <c r="C68" s="8" t="s">
        <v>113</v>
      </c>
      <c r="D68" s="9"/>
      <c r="E68" s="47"/>
      <c r="F68" s="52"/>
      <c r="G68" s="10"/>
    </row>
    <row r="69" spans="1:7" ht="15" x14ac:dyDescent="0.25">
      <c r="A69" s="6"/>
      <c r="B69" s="7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6"/>
      <c r="B70" s="7"/>
      <c r="C70" s="14"/>
      <c r="D70" s="4"/>
      <c r="E70" s="46"/>
      <c r="F70" s="56"/>
      <c r="G70" s="27"/>
    </row>
    <row r="71" spans="1:7" ht="15" x14ac:dyDescent="0.25">
      <c r="A71" s="1"/>
      <c r="B71" s="2"/>
      <c r="C71" s="8" t="s">
        <v>114</v>
      </c>
      <c r="D71" s="9"/>
      <c r="E71" s="47"/>
      <c r="F71" s="52"/>
      <c r="G71" s="10"/>
    </row>
    <row r="72" spans="1:7" ht="15" x14ac:dyDescent="0.25">
      <c r="A72" s="6"/>
      <c r="B72" s="7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1"/>
      <c r="B73" s="2"/>
      <c r="C73" s="14"/>
      <c r="D73" s="4"/>
      <c r="E73" s="46"/>
      <c r="F73" s="51"/>
      <c r="G73" s="5"/>
    </row>
    <row r="74" spans="1:7" ht="25.5" x14ac:dyDescent="0.25">
      <c r="A74" s="1"/>
      <c r="B74" s="26"/>
      <c r="C74" s="8" t="s">
        <v>115</v>
      </c>
      <c r="D74" s="9"/>
      <c r="E74" s="47"/>
      <c r="F74" s="52"/>
      <c r="G74" s="10"/>
    </row>
    <row r="75" spans="1:7" ht="15" x14ac:dyDescent="0.25">
      <c r="A75" s="6"/>
      <c r="B75" s="7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6"/>
      <c r="B76" s="7"/>
      <c r="C76" s="14"/>
      <c r="D76" s="4"/>
      <c r="E76" s="46"/>
      <c r="F76" s="51"/>
      <c r="G76" s="5"/>
    </row>
    <row r="77" spans="1:7" ht="15" x14ac:dyDescent="0.25">
      <c r="A77" s="6"/>
      <c r="B77" s="7"/>
      <c r="C77" s="28" t="s">
        <v>116</v>
      </c>
      <c r="D77" s="25"/>
      <c r="E77" s="48"/>
      <c r="F77" s="53">
        <v>0</v>
      </c>
      <c r="G77" s="13">
        <v>0</v>
      </c>
    </row>
    <row r="78" spans="1:7" ht="15" x14ac:dyDescent="0.25">
      <c r="A78" s="6"/>
      <c r="B78" s="7"/>
      <c r="C78" s="11"/>
      <c r="D78" s="4"/>
      <c r="E78" s="46"/>
      <c r="F78" s="51"/>
      <c r="G78" s="5"/>
    </row>
    <row r="79" spans="1:7" ht="15" x14ac:dyDescent="0.25">
      <c r="A79" s="1"/>
      <c r="B79" s="2"/>
      <c r="C79" s="3" t="s">
        <v>117</v>
      </c>
      <c r="D79" s="4"/>
      <c r="E79" s="46"/>
      <c r="F79" s="51"/>
      <c r="G79" s="5"/>
    </row>
    <row r="80" spans="1:7" ht="15" x14ac:dyDescent="0.25">
      <c r="A80" s="6"/>
      <c r="B80" s="7"/>
      <c r="C80" s="8" t="s">
        <v>118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7"/>
      <c r="E82" s="46"/>
      <c r="F82" s="51"/>
      <c r="G82" s="5"/>
    </row>
    <row r="83" spans="1:7" ht="15" x14ac:dyDescent="0.25">
      <c r="A83" s="6"/>
      <c r="B83" s="7"/>
      <c r="C83" s="8" t="s">
        <v>119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25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7"/>
      <c r="E85" s="46"/>
      <c r="F85" s="51"/>
      <c r="G85" s="5"/>
    </row>
    <row r="86" spans="1:7" ht="15" x14ac:dyDescent="0.25">
      <c r="A86" s="6"/>
      <c r="B86" s="7"/>
      <c r="C86" s="8" t="s">
        <v>120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25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7"/>
      <c r="E88" s="46"/>
      <c r="F88" s="51"/>
      <c r="G88" s="5"/>
    </row>
    <row r="89" spans="1:7" ht="15" x14ac:dyDescent="0.25">
      <c r="A89" s="6"/>
      <c r="B89" s="7"/>
      <c r="C89" s="8" t="s">
        <v>121</v>
      </c>
      <c r="D89" s="9"/>
      <c r="E89" s="47"/>
      <c r="F89" s="52"/>
      <c r="G89" s="10"/>
    </row>
    <row r="90" spans="1:7" ht="15" x14ac:dyDescent="0.25">
      <c r="A90" s="6">
        <v>1</v>
      </c>
      <c r="B90" s="7"/>
      <c r="C90" s="11" t="s">
        <v>730</v>
      </c>
      <c r="D90" s="15"/>
      <c r="E90" s="46"/>
      <c r="F90" s="51">
        <v>80.987596699999997</v>
      </c>
      <c r="G90" s="5">
        <v>9.9389909999999995E-3</v>
      </c>
    </row>
    <row r="91" spans="1:7" ht="15" x14ac:dyDescent="0.25">
      <c r="A91" s="6"/>
      <c r="B91" s="7"/>
      <c r="C91" s="8" t="s">
        <v>104</v>
      </c>
      <c r="D91" s="25"/>
      <c r="E91" s="48"/>
      <c r="F91" s="53">
        <v>80.987596699999997</v>
      </c>
      <c r="G91" s="13">
        <v>9.9389909999999995E-3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25.5" x14ac:dyDescent="0.25">
      <c r="A93" s="6"/>
      <c r="B93" s="7"/>
      <c r="C93" s="24" t="s">
        <v>122</v>
      </c>
      <c r="D93" s="25"/>
      <c r="E93" s="48"/>
      <c r="F93" s="53">
        <v>80.987596699999997</v>
      </c>
      <c r="G93" s="13">
        <v>9.9389909999999995E-3</v>
      </c>
    </row>
    <row r="94" spans="1:7" ht="15" x14ac:dyDescent="0.25">
      <c r="A94" s="6"/>
      <c r="B94" s="7"/>
      <c r="C94" s="29"/>
      <c r="D94" s="7"/>
      <c r="E94" s="46"/>
      <c r="F94" s="51"/>
      <c r="G94" s="5"/>
    </row>
    <row r="95" spans="1:7" ht="15" x14ac:dyDescent="0.25">
      <c r="A95" s="1"/>
      <c r="B95" s="2"/>
      <c r="C95" s="3" t="s">
        <v>123</v>
      </c>
      <c r="D95" s="4"/>
      <c r="E95" s="46"/>
      <c r="F95" s="51"/>
      <c r="G95" s="5"/>
    </row>
    <row r="96" spans="1:7" ht="25.5" x14ac:dyDescent="0.25">
      <c r="A96" s="6"/>
      <c r="B96" s="7"/>
      <c r="C96" s="8" t="s">
        <v>124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25"/>
      <c r="E97" s="48"/>
      <c r="F97" s="53">
        <v>0</v>
      </c>
      <c r="G97" s="13">
        <v>0</v>
      </c>
    </row>
    <row r="98" spans="1:7" ht="15" x14ac:dyDescent="0.25">
      <c r="A98" s="6"/>
      <c r="B98" s="7"/>
      <c r="C98" s="14"/>
      <c r="D98" s="7"/>
      <c r="E98" s="46"/>
      <c r="F98" s="51"/>
      <c r="G98" s="5"/>
    </row>
    <row r="99" spans="1:7" ht="15" x14ac:dyDescent="0.25">
      <c r="A99" s="1"/>
      <c r="B99" s="2"/>
      <c r="C99" s="3" t="s">
        <v>125</v>
      </c>
      <c r="D99" s="4"/>
      <c r="E99" s="46"/>
      <c r="F99" s="51"/>
      <c r="G99" s="5"/>
    </row>
    <row r="100" spans="1:7" ht="25.5" x14ac:dyDescent="0.25">
      <c r="A100" s="6"/>
      <c r="B100" s="7"/>
      <c r="C100" s="8" t="s">
        <v>126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25.5" x14ac:dyDescent="0.25">
      <c r="A103" s="6"/>
      <c r="B103" s="7"/>
      <c r="C103" s="8" t="s">
        <v>127</v>
      </c>
      <c r="D103" s="9"/>
      <c r="E103" s="47"/>
      <c r="F103" s="51">
        <v>192.21</v>
      </c>
      <c r="G103" s="5">
        <v>2.358847E-2</v>
      </c>
    </row>
    <row r="104" spans="1:7" ht="15" x14ac:dyDescent="0.25">
      <c r="A104" s="6"/>
      <c r="B104" s="7"/>
      <c r="C104" s="8" t="s">
        <v>810</v>
      </c>
      <c r="D104" s="25"/>
      <c r="E104" s="48"/>
      <c r="F104" s="53">
        <v>192.21</v>
      </c>
      <c r="G104" s="13">
        <v>2.358847E-2</v>
      </c>
    </row>
    <row r="105" spans="1:7" ht="15" x14ac:dyDescent="0.25">
      <c r="A105" s="6"/>
      <c r="B105" s="7"/>
      <c r="C105" s="14"/>
      <c r="D105" s="7"/>
      <c r="E105" s="46"/>
      <c r="F105" s="56"/>
      <c r="G105" s="27"/>
    </row>
    <row r="106" spans="1:7" ht="25.5" x14ac:dyDescent="0.25">
      <c r="A106" s="6"/>
      <c r="B106" s="7"/>
      <c r="C106" s="29" t="s">
        <v>128</v>
      </c>
      <c r="D106" s="7"/>
      <c r="E106" s="46"/>
      <c r="F106" s="56">
        <v>525.97087472999999</v>
      </c>
      <c r="G106" s="27">
        <v>6.4548402000000005E-2</v>
      </c>
    </row>
    <row r="107" spans="1:7" ht="15" x14ac:dyDescent="0.25">
      <c r="A107" s="6"/>
      <c r="B107" s="7"/>
      <c r="C107" s="30" t="s">
        <v>129</v>
      </c>
      <c r="D107" s="12"/>
      <c r="E107" s="48"/>
      <c r="F107" s="53">
        <v>8148.4724569299997</v>
      </c>
      <c r="G107" s="13">
        <v>1.0000000039999997</v>
      </c>
    </row>
    <row r="109" spans="1:7" ht="15" x14ac:dyDescent="0.25">
      <c r="B109" s="279"/>
      <c r="C109" s="279"/>
      <c r="D109" s="279"/>
      <c r="E109" s="279"/>
      <c r="F109" s="279"/>
    </row>
    <row r="110" spans="1:7" ht="15" x14ac:dyDescent="0.25">
      <c r="B110" s="279"/>
      <c r="C110" s="279"/>
      <c r="D110" s="279"/>
      <c r="E110" s="279"/>
      <c r="F110" s="279"/>
    </row>
    <row r="112" spans="1:7" ht="15" x14ac:dyDescent="0.25">
      <c r="B112" s="36" t="s">
        <v>131</v>
      </c>
      <c r="C112" s="37"/>
      <c r="D112" s="38"/>
    </row>
    <row r="113" spans="2:4" ht="15" x14ac:dyDescent="0.25">
      <c r="B113" s="39" t="s">
        <v>132</v>
      </c>
      <c r="C113" s="40"/>
      <c r="D113" s="62" t="s">
        <v>133</v>
      </c>
    </row>
    <row r="114" spans="2:4" ht="15" x14ac:dyDescent="0.25">
      <c r="B114" s="39" t="s">
        <v>134</v>
      </c>
      <c r="C114" s="40"/>
      <c r="D114" s="62" t="s">
        <v>133</v>
      </c>
    </row>
    <row r="115" spans="2:4" ht="15" x14ac:dyDescent="0.25">
      <c r="B115" s="41" t="s">
        <v>135</v>
      </c>
      <c r="C115" s="40"/>
      <c r="D115" s="42"/>
    </row>
    <row r="116" spans="2:4" ht="25.5" customHeight="1" x14ac:dyDescent="0.25">
      <c r="B116" s="42"/>
      <c r="C116" s="32" t="s">
        <v>136</v>
      </c>
      <c r="D116" s="33" t="s">
        <v>137</v>
      </c>
    </row>
    <row r="117" spans="2:4" ht="12.75" customHeight="1" x14ac:dyDescent="0.25">
      <c r="B117" s="57" t="s">
        <v>138</v>
      </c>
      <c r="C117" s="58" t="s">
        <v>139</v>
      </c>
      <c r="D117" s="58" t="s">
        <v>140</v>
      </c>
    </row>
    <row r="118" spans="2:4" ht="15" x14ac:dyDescent="0.25">
      <c r="B118" s="42" t="s">
        <v>141</v>
      </c>
      <c r="C118" s="43">
        <v>10.158899999999999</v>
      </c>
      <c r="D118" s="43">
        <v>9.5924999999999994</v>
      </c>
    </row>
    <row r="119" spans="2:4" ht="15" x14ac:dyDescent="0.25">
      <c r="B119" s="42" t="s">
        <v>142</v>
      </c>
      <c r="C119" s="43">
        <v>10.158899999999999</v>
      </c>
      <c r="D119" s="43">
        <v>9.5924999999999994</v>
      </c>
    </row>
    <row r="120" spans="2:4" ht="15" x14ac:dyDescent="0.25">
      <c r="B120" s="42" t="s">
        <v>143</v>
      </c>
      <c r="C120" s="43">
        <v>10.0966</v>
      </c>
      <c r="D120" s="43">
        <v>9.5290999999999997</v>
      </c>
    </row>
    <row r="121" spans="2:4" ht="15" x14ac:dyDescent="0.25">
      <c r="B121" s="42" t="s">
        <v>144</v>
      </c>
      <c r="C121" s="43">
        <v>10.0966</v>
      </c>
      <c r="D121" s="43">
        <v>9.5290999999999997</v>
      </c>
    </row>
    <row r="123" spans="2:4" ht="15" x14ac:dyDescent="0.25">
      <c r="B123" s="59" t="s">
        <v>145</v>
      </c>
      <c r="C123" s="44"/>
      <c r="D123" s="60" t="s">
        <v>133</v>
      </c>
    </row>
    <row r="124" spans="2:4" ht="24.75" customHeight="1" x14ac:dyDescent="0.25">
      <c r="B124" s="61"/>
      <c r="C124" s="61"/>
    </row>
    <row r="125" spans="2:4" ht="15" x14ac:dyDescent="0.25">
      <c r="B125" s="63"/>
      <c r="C125" s="65"/>
      <c r="D125"/>
    </row>
    <row r="127" spans="2:4" ht="15" x14ac:dyDescent="0.25">
      <c r="B127" s="41" t="s">
        <v>146</v>
      </c>
      <c r="C127" s="40"/>
      <c r="D127" s="64" t="s">
        <v>133</v>
      </c>
    </row>
    <row r="128" spans="2:4" ht="15" x14ac:dyDescent="0.25">
      <c r="B128" s="41" t="s">
        <v>147</v>
      </c>
      <c r="C128" s="40"/>
      <c r="D128" s="64" t="s">
        <v>133</v>
      </c>
    </row>
    <row r="129" spans="2:4" ht="15" x14ac:dyDescent="0.25">
      <c r="B129" s="41" t="s">
        <v>148</v>
      </c>
      <c r="C129" s="40"/>
      <c r="D129" s="45">
        <v>4.9934648173474559E-2</v>
      </c>
    </row>
    <row r="130" spans="2:4" ht="15" x14ac:dyDescent="0.25">
      <c r="B130" s="41" t="s">
        <v>149</v>
      </c>
      <c r="C130" s="40"/>
      <c r="D130" s="45" t="s">
        <v>133</v>
      </c>
    </row>
  </sheetData>
  <mergeCells count="5">
    <mergeCell ref="A1:G1"/>
    <mergeCell ref="A2:G2"/>
    <mergeCell ref="A3:G3"/>
    <mergeCell ref="B109:F109"/>
    <mergeCell ref="B110:F1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13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813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68225</v>
      </c>
      <c r="F7" s="51">
        <v>289.68335000000002</v>
      </c>
      <c r="G7" s="5">
        <v>6.0244495000000002E-2</v>
      </c>
    </row>
    <row r="8" spans="1:7" ht="15" x14ac:dyDescent="0.25">
      <c r="A8" s="6">
        <v>2</v>
      </c>
      <c r="B8" s="7" t="s">
        <v>33</v>
      </c>
      <c r="C8" s="11" t="s">
        <v>34</v>
      </c>
      <c r="D8" s="2" t="s">
        <v>13</v>
      </c>
      <c r="E8" s="46">
        <v>10486</v>
      </c>
      <c r="F8" s="51">
        <v>236.10801900000001</v>
      </c>
      <c r="G8" s="5">
        <v>4.9102609999999998E-2</v>
      </c>
    </row>
    <row r="9" spans="1:7" ht="25.5" x14ac:dyDescent="0.25">
      <c r="A9" s="6">
        <v>3</v>
      </c>
      <c r="B9" s="7" t="s">
        <v>40</v>
      </c>
      <c r="C9" s="11" t="s">
        <v>41</v>
      </c>
      <c r="D9" s="2" t="s">
        <v>42</v>
      </c>
      <c r="E9" s="46">
        <v>18482</v>
      </c>
      <c r="F9" s="51">
        <v>215.546325</v>
      </c>
      <c r="G9" s="5">
        <v>4.4826461999999997E-2</v>
      </c>
    </row>
    <row r="10" spans="1:7" ht="15" x14ac:dyDescent="0.25">
      <c r="A10" s="6">
        <v>4</v>
      </c>
      <c r="B10" s="7" t="s">
        <v>291</v>
      </c>
      <c r="C10" s="11" t="s">
        <v>292</v>
      </c>
      <c r="D10" s="2" t="s">
        <v>238</v>
      </c>
      <c r="E10" s="46">
        <v>42825</v>
      </c>
      <c r="F10" s="51">
        <v>170.29361249999999</v>
      </c>
      <c r="G10" s="5">
        <v>3.5415403999999998E-2</v>
      </c>
    </row>
    <row r="11" spans="1:7" ht="25.5" x14ac:dyDescent="0.25">
      <c r="A11" s="6">
        <v>5</v>
      </c>
      <c r="B11" s="7" t="s">
        <v>388</v>
      </c>
      <c r="C11" s="11" t="s">
        <v>389</v>
      </c>
      <c r="D11" s="2" t="s">
        <v>59</v>
      </c>
      <c r="E11" s="46">
        <v>68887</v>
      </c>
      <c r="F11" s="51">
        <v>158.40565649999999</v>
      </c>
      <c r="G11" s="5">
        <v>3.2943104000000001E-2</v>
      </c>
    </row>
    <row r="12" spans="1:7" ht="25.5" x14ac:dyDescent="0.25">
      <c r="A12" s="6">
        <v>6</v>
      </c>
      <c r="B12" s="7" t="s">
        <v>390</v>
      </c>
      <c r="C12" s="11" t="s">
        <v>391</v>
      </c>
      <c r="D12" s="2" t="s">
        <v>162</v>
      </c>
      <c r="E12" s="46">
        <v>19149</v>
      </c>
      <c r="F12" s="51">
        <v>152.7228495</v>
      </c>
      <c r="G12" s="5">
        <v>3.1761270000000001E-2</v>
      </c>
    </row>
    <row r="13" spans="1:7" ht="25.5" x14ac:dyDescent="0.25">
      <c r="A13" s="6">
        <v>7</v>
      </c>
      <c r="B13" s="7" t="s">
        <v>310</v>
      </c>
      <c r="C13" s="11" t="s">
        <v>311</v>
      </c>
      <c r="D13" s="2" t="s">
        <v>37</v>
      </c>
      <c r="E13" s="46">
        <v>22823</v>
      </c>
      <c r="F13" s="51">
        <v>145.816147</v>
      </c>
      <c r="G13" s="5">
        <v>3.0324904999999999E-2</v>
      </c>
    </row>
    <row r="14" spans="1:7" ht="25.5" x14ac:dyDescent="0.25">
      <c r="A14" s="6">
        <v>8</v>
      </c>
      <c r="B14" s="7" t="s">
        <v>392</v>
      </c>
      <c r="C14" s="11" t="s">
        <v>393</v>
      </c>
      <c r="D14" s="2" t="s">
        <v>37</v>
      </c>
      <c r="E14" s="46">
        <v>11906</v>
      </c>
      <c r="F14" s="51">
        <v>143.020825</v>
      </c>
      <c r="G14" s="5">
        <v>2.9743571999999999E-2</v>
      </c>
    </row>
    <row r="15" spans="1:7" ht="15" x14ac:dyDescent="0.25">
      <c r="A15" s="6">
        <v>9</v>
      </c>
      <c r="B15" s="7" t="s">
        <v>394</v>
      </c>
      <c r="C15" s="11" t="s">
        <v>395</v>
      </c>
      <c r="D15" s="2" t="s">
        <v>13</v>
      </c>
      <c r="E15" s="46">
        <v>20777</v>
      </c>
      <c r="F15" s="51">
        <v>140.05775700000001</v>
      </c>
      <c r="G15" s="5">
        <v>2.9127351999999999E-2</v>
      </c>
    </row>
    <row r="16" spans="1:7" ht="25.5" x14ac:dyDescent="0.25">
      <c r="A16" s="6">
        <v>10</v>
      </c>
      <c r="B16" s="7" t="s">
        <v>396</v>
      </c>
      <c r="C16" s="11" t="s">
        <v>397</v>
      </c>
      <c r="D16" s="2" t="s">
        <v>37</v>
      </c>
      <c r="E16" s="46">
        <v>48753</v>
      </c>
      <c r="F16" s="51">
        <v>131.73060599999999</v>
      </c>
      <c r="G16" s="5">
        <v>2.7395582000000002E-2</v>
      </c>
    </row>
    <row r="17" spans="1:7" ht="25.5" x14ac:dyDescent="0.25">
      <c r="A17" s="6">
        <v>11</v>
      </c>
      <c r="B17" s="7" t="s">
        <v>171</v>
      </c>
      <c r="C17" s="11" t="s">
        <v>172</v>
      </c>
      <c r="D17" s="2" t="s">
        <v>173</v>
      </c>
      <c r="E17" s="46">
        <v>41574</v>
      </c>
      <c r="F17" s="51">
        <v>122.206773</v>
      </c>
      <c r="G17" s="5">
        <v>2.5414941E-2</v>
      </c>
    </row>
    <row r="18" spans="1:7" ht="25.5" x14ac:dyDescent="0.25">
      <c r="A18" s="6">
        <v>12</v>
      </c>
      <c r="B18" s="7" t="s">
        <v>17</v>
      </c>
      <c r="C18" s="11" t="s">
        <v>18</v>
      </c>
      <c r="D18" s="2" t="s">
        <v>19</v>
      </c>
      <c r="E18" s="46">
        <v>8589</v>
      </c>
      <c r="F18" s="51">
        <v>119.155197</v>
      </c>
      <c r="G18" s="5">
        <v>2.4780315000000001E-2</v>
      </c>
    </row>
    <row r="19" spans="1:7" ht="15" x14ac:dyDescent="0.25">
      <c r="A19" s="6">
        <v>13</v>
      </c>
      <c r="B19" s="7" t="s">
        <v>398</v>
      </c>
      <c r="C19" s="11" t="s">
        <v>399</v>
      </c>
      <c r="D19" s="2" t="s">
        <v>226</v>
      </c>
      <c r="E19" s="46">
        <v>4901</v>
      </c>
      <c r="F19" s="51">
        <v>115.472461</v>
      </c>
      <c r="G19" s="5">
        <v>2.4014429E-2</v>
      </c>
    </row>
    <row r="20" spans="1:7" ht="25.5" x14ac:dyDescent="0.25">
      <c r="A20" s="6">
        <v>14</v>
      </c>
      <c r="B20" s="7" t="s">
        <v>404</v>
      </c>
      <c r="C20" s="11" t="s">
        <v>405</v>
      </c>
      <c r="D20" s="2" t="s">
        <v>162</v>
      </c>
      <c r="E20" s="46">
        <v>5256</v>
      </c>
      <c r="F20" s="51">
        <v>112.961952</v>
      </c>
      <c r="G20" s="5">
        <v>2.3492326000000001E-2</v>
      </c>
    </row>
    <row r="21" spans="1:7" ht="25.5" x14ac:dyDescent="0.25">
      <c r="A21" s="6">
        <v>15</v>
      </c>
      <c r="B21" s="7" t="s">
        <v>400</v>
      </c>
      <c r="C21" s="11" t="s">
        <v>401</v>
      </c>
      <c r="D21" s="2" t="s">
        <v>37</v>
      </c>
      <c r="E21" s="46">
        <v>7331</v>
      </c>
      <c r="F21" s="51">
        <v>111.511841</v>
      </c>
      <c r="G21" s="5">
        <v>2.3190751999999999E-2</v>
      </c>
    </row>
    <row r="22" spans="1:7" ht="25.5" x14ac:dyDescent="0.25">
      <c r="A22" s="6">
        <v>16</v>
      </c>
      <c r="B22" s="7" t="s">
        <v>402</v>
      </c>
      <c r="C22" s="11" t="s">
        <v>403</v>
      </c>
      <c r="D22" s="2" t="s">
        <v>37</v>
      </c>
      <c r="E22" s="46">
        <v>18736</v>
      </c>
      <c r="F22" s="51">
        <v>111.301208</v>
      </c>
      <c r="G22" s="5">
        <v>2.3146947000000001E-2</v>
      </c>
    </row>
    <row r="23" spans="1:7" ht="25.5" x14ac:dyDescent="0.25">
      <c r="A23" s="6">
        <v>17</v>
      </c>
      <c r="B23" s="7" t="s">
        <v>306</v>
      </c>
      <c r="C23" s="11" t="s">
        <v>307</v>
      </c>
      <c r="D23" s="2" t="s">
        <v>59</v>
      </c>
      <c r="E23" s="46">
        <v>7151</v>
      </c>
      <c r="F23" s="51">
        <v>111.1587195</v>
      </c>
      <c r="G23" s="5">
        <v>2.3117314E-2</v>
      </c>
    </row>
    <row r="24" spans="1:7" ht="15" x14ac:dyDescent="0.25">
      <c r="A24" s="6">
        <v>18</v>
      </c>
      <c r="B24" s="7" t="s">
        <v>322</v>
      </c>
      <c r="C24" s="11" t="s">
        <v>323</v>
      </c>
      <c r="D24" s="2" t="s">
        <v>162</v>
      </c>
      <c r="E24" s="46">
        <v>21270</v>
      </c>
      <c r="F24" s="51">
        <v>110.26367999999999</v>
      </c>
      <c r="G24" s="5">
        <v>2.2931176000000001E-2</v>
      </c>
    </row>
    <row r="25" spans="1:7" ht="25.5" x14ac:dyDescent="0.25">
      <c r="A25" s="6">
        <v>19</v>
      </c>
      <c r="B25" s="7" t="s">
        <v>23</v>
      </c>
      <c r="C25" s="11" t="s">
        <v>24</v>
      </c>
      <c r="D25" s="2" t="s">
        <v>22</v>
      </c>
      <c r="E25" s="46">
        <v>19534</v>
      </c>
      <c r="F25" s="51">
        <v>107.40769899999999</v>
      </c>
      <c r="G25" s="5">
        <v>2.2337227000000001E-2</v>
      </c>
    </row>
    <row r="26" spans="1:7" ht="25.5" x14ac:dyDescent="0.25">
      <c r="A26" s="6">
        <v>20</v>
      </c>
      <c r="B26" s="7" t="s">
        <v>406</v>
      </c>
      <c r="C26" s="11" t="s">
        <v>407</v>
      </c>
      <c r="D26" s="2" t="s">
        <v>162</v>
      </c>
      <c r="E26" s="46">
        <v>8891</v>
      </c>
      <c r="F26" s="51">
        <v>107.3454885</v>
      </c>
      <c r="G26" s="5">
        <v>2.2324289000000001E-2</v>
      </c>
    </row>
    <row r="27" spans="1:7" ht="25.5" x14ac:dyDescent="0.25">
      <c r="A27" s="6">
        <v>21</v>
      </c>
      <c r="B27" s="7" t="s">
        <v>35</v>
      </c>
      <c r="C27" s="11" t="s">
        <v>36</v>
      </c>
      <c r="D27" s="2" t="s">
        <v>37</v>
      </c>
      <c r="E27" s="46">
        <v>24850</v>
      </c>
      <c r="F27" s="51">
        <v>106.14677500000001</v>
      </c>
      <c r="G27" s="5">
        <v>2.2074996E-2</v>
      </c>
    </row>
    <row r="28" spans="1:7" ht="25.5" x14ac:dyDescent="0.25">
      <c r="A28" s="6">
        <v>22</v>
      </c>
      <c r="B28" s="7" t="s">
        <v>408</v>
      </c>
      <c r="C28" s="11" t="s">
        <v>409</v>
      </c>
      <c r="D28" s="2" t="s">
        <v>162</v>
      </c>
      <c r="E28" s="46">
        <v>21049</v>
      </c>
      <c r="F28" s="51">
        <v>103.87681499999999</v>
      </c>
      <c r="G28" s="5">
        <v>2.1602920000000001E-2</v>
      </c>
    </row>
    <row r="29" spans="1:7" ht="25.5" x14ac:dyDescent="0.25">
      <c r="A29" s="6">
        <v>23</v>
      </c>
      <c r="B29" s="7" t="s">
        <v>301</v>
      </c>
      <c r="C29" s="11" t="s">
        <v>302</v>
      </c>
      <c r="D29" s="2" t="s">
        <v>22</v>
      </c>
      <c r="E29" s="46">
        <v>14105</v>
      </c>
      <c r="F29" s="51">
        <v>100.00445000000001</v>
      </c>
      <c r="G29" s="5">
        <v>2.0797597000000001E-2</v>
      </c>
    </row>
    <row r="30" spans="1:7" ht="15" x14ac:dyDescent="0.25">
      <c r="A30" s="6">
        <v>24</v>
      </c>
      <c r="B30" s="7" t="s">
        <v>338</v>
      </c>
      <c r="C30" s="11" t="s">
        <v>339</v>
      </c>
      <c r="D30" s="2" t="s">
        <v>162</v>
      </c>
      <c r="E30" s="46">
        <v>23855</v>
      </c>
      <c r="F30" s="51">
        <v>99.523060000000001</v>
      </c>
      <c r="G30" s="5">
        <v>2.0697483999999999E-2</v>
      </c>
    </row>
    <row r="31" spans="1:7" ht="15" x14ac:dyDescent="0.25">
      <c r="A31" s="6">
        <v>25</v>
      </c>
      <c r="B31" s="7" t="s">
        <v>328</v>
      </c>
      <c r="C31" s="11" t="s">
        <v>329</v>
      </c>
      <c r="D31" s="2" t="s">
        <v>241</v>
      </c>
      <c r="E31" s="46">
        <v>5895</v>
      </c>
      <c r="F31" s="51">
        <v>98.496607499999996</v>
      </c>
      <c r="G31" s="5">
        <v>2.0484016000000001E-2</v>
      </c>
    </row>
    <row r="32" spans="1:7" ht="15" x14ac:dyDescent="0.25">
      <c r="A32" s="6">
        <v>26</v>
      </c>
      <c r="B32" s="7" t="s">
        <v>412</v>
      </c>
      <c r="C32" s="11" t="s">
        <v>413</v>
      </c>
      <c r="D32" s="2" t="s">
        <v>162</v>
      </c>
      <c r="E32" s="46">
        <v>3000</v>
      </c>
      <c r="F32" s="51">
        <v>97.561499999999995</v>
      </c>
      <c r="G32" s="5">
        <v>2.0289544999999999E-2</v>
      </c>
    </row>
    <row r="33" spans="1:7" ht="15" x14ac:dyDescent="0.25">
      <c r="A33" s="6">
        <v>27</v>
      </c>
      <c r="B33" s="7" t="s">
        <v>410</v>
      </c>
      <c r="C33" s="11" t="s">
        <v>411</v>
      </c>
      <c r="D33" s="2" t="s">
        <v>226</v>
      </c>
      <c r="E33" s="46">
        <v>25058</v>
      </c>
      <c r="F33" s="51">
        <v>92.225969000000006</v>
      </c>
      <c r="G33" s="5">
        <v>1.9179932E-2</v>
      </c>
    </row>
    <row r="34" spans="1:7" ht="25.5" x14ac:dyDescent="0.25">
      <c r="A34" s="6">
        <v>28</v>
      </c>
      <c r="B34" s="7" t="s">
        <v>153</v>
      </c>
      <c r="C34" s="11" t="s">
        <v>154</v>
      </c>
      <c r="D34" s="2" t="s">
        <v>155</v>
      </c>
      <c r="E34" s="46">
        <v>14571</v>
      </c>
      <c r="F34" s="51">
        <v>90.748187999999999</v>
      </c>
      <c r="G34" s="5">
        <v>1.8872603000000002E-2</v>
      </c>
    </row>
    <row r="35" spans="1:7" ht="15" x14ac:dyDescent="0.25">
      <c r="A35" s="6">
        <v>29</v>
      </c>
      <c r="B35" s="7" t="s">
        <v>414</v>
      </c>
      <c r="C35" s="11" t="s">
        <v>415</v>
      </c>
      <c r="D35" s="2" t="s">
        <v>215</v>
      </c>
      <c r="E35" s="46">
        <v>15855</v>
      </c>
      <c r="F35" s="51">
        <v>82.533202500000002</v>
      </c>
      <c r="G35" s="5">
        <v>1.7164158999999998E-2</v>
      </c>
    </row>
    <row r="36" spans="1:7" ht="25.5" x14ac:dyDescent="0.25">
      <c r="A36" s="6">
        <v>30</v>
      </c>
      <c r="B36" s="7" t="s">
        <v>57</v>
      </c>
      <c r="C36" s="11" t="s">
        <v>58</v>
      </c>
      <c r="D36" s="2" t="s">
        <v>59</v>
      </c>
      <c r="E36" s="46">
        <v>11253</v>
      </c>
      <c r="F36" s="51">
        <v>76.160303999999996</v>
      </c>
      <c r="G36" s="5">
        <v>1.5838807999999999E-2</v>
      </c>
    </row>
    <row r="37" spans="1:7" ht="15" x14ac:dyDescent="0.25">
      <c r="A37" s="6">
        <v>31</v>
      </c>
      <c r="B37" s="7" t="s">
        <v>416</v>
      </c>
      <c r="C37" s="11" t="s">
        <v>417</v>
      </c>
      <c r="D37" s="2" t="s">
        <v>170</v>
      </c>
      <c r="E37" s="46">
        <v>138</v>
      </c>
      <c r="F37" s="51">
        <v>73.897274999999993</v>
      </c>
      <c r="G37" s="5">
        <v>1.5368174E-2</v>
      </c>
    </row>
    <row r="38" spans="1:7" ht="25.5" x14ac:dyDescent="0.25">
      <c r="A38" s="6">
        <v>32</v>
      </c>
      <c r="B38" s="7" t="s">
        <v>418</v>
      </c>
      <c r="C38" s="11" t="s">
        <v>419</v>
      </c>
      <c r="D38" s="2" t="s">
        <v>37</v>
      </c>
      <c r="E38" s="46">
        <v>21273</v>
      </c>
      <c r="F38" s="51">
        <v>70.371083999999996</v>
      </c>
      <c r="G38" s="5">
        <v>1.4634843E-2</v>
      </c>
    </row>
    <row r="39" spans="1:7" ht="15" x14ac:dyDescent="0.25">
      <c r="A39" s="6">
        <v>33</v>
      </c>
      <c r="B39" s="7" t="s">
        <v>420</v>
      </c>
      <c r="C39" s="11" t="s">
        <v>421</v>
      </c>
      <c r="D39" s="2" t="s">
        <v>226</v>
      </c>
      <c r="E39" s="46">
        <v>11979</v>
      </c>
      <c r="F39" s="51">
        <v>65.884500000000003</v>
      </c>
      <c r="G39" s="5">
        <v>1.3701783E-2</v>
      </c>
    </row>
    <row r="40" spans="1:7" ht="15" x14ac:dyDescent="0.25">
      <c r="A40" s="6">
        <v>34</v>
      </c>
      <c r="B40" s="7" t="s">
        <v>426</v>
      </c>
      <c r="C40" s="11" t="s">
        <v>427</v>
      </c>
      <c r="D40" s="2" t="s">
        <v>13</v>
      </c>
      <c r="E40" s="46">
        <v>4331</v>
      </c>
      <c r="F40" s="51">
        <v>61.190533500000001</v>
      </c>
      <c r="G40" s="5">
        <v>1.2725594E-2</v>
      </c>
    </row>
    <row r="41" spans="1:7" ht="15" x14ac:dyDescent="0.25">
      <c r="A41" s="6">
        <v>35</v>
      </c>
      <c r="B41" s="7" t="s">
        <v>361</v>
      </c>
      <c r="C41" s="11" t="s">
        <v>362</v>
      </c>
      <c r="D41" s="2" t="s">
        <v>162</v>
      </c>
      <c r="E41" s="46">
        <v>28016</v>
      </c>
      <c r="F41" s="51">
        <v>61.102896000000001</v>
      </c>
      <c r="G41" s="5">
        <v>1.2707369E-2</v>
      </c>
    </row>
    <row r="42" spans="1:7" ht="25.5" x14ac:dyDescent="0.25">
      <c r="A42" s="6">
        <v>36</v>
      </c>
      <c r="B42" s="7" t="s">
        <v>194</v>
      </c>
      <c r="C42" s="11" t="s">
        <v>195</v>
      </c>
      <c r="D42" s="2" t="s">
        <v>37</v>
      </c>
      <c r="E42" s="46">
        <v>17147</v>
      </c>
      <c r="F42" s="51">
        <v>58.034021500000001</v>
      </c>
      <c r="G42" s="5">
        <v>1.2069145E-2</v>
      </c>
    </row>
    <row r="43" spans="1:7" ht="25.5" x14ac:dyDescent="0.25">
      <c r="A43" s="6">
        <v>37</v>
      </c>
      <c r="B43" s="7" t="s">
        <v>422</v>
      </c>
      <c r="C43" s="11" t="s">
        <v>423</v>
      </c>
      <c r="D43" s="2" t="s">
        <v>22</v>
      </c>
      <c r="E43" s="46">
        <v>19648</v>
      </c>
      <c r="F43" s="51">
        <v>48.825279999999999</v>
      </c>
      <c r="G43" s="5">
        <v>1.0154033E-2</v>
      </c>
    </row>
    <row r="44" spans="1:7" ht="15" x14ac:dyDescent="0.25">
      <c r="A44" s="6">
        <v>38</v>
      </c>
      <c r="B44" s="7" t="s">
        <v>336</v>
      </c>
      <c r="C44" s="11" t="s">
        <v>337</v>
      </c>
      <c r="D44" s="2" t="s">
        <v>184</v>
      </c>
      <c r="E44" s="46">
        <v>10861</v>
      </c>
      <c r="F44" s="51">
        <v>47.652637499999997</v>
      </c>
      <c r="G44" s="5">
        <v>9.9101629999999996E-3</v>
      </c>
    </row>
    <row r="45" spans="1:7" ht="15" x14ac:dyDescent="0.25">
      <c r="A45" s="6">
        <v>39</v>
      </c>
      <c r="B45" s="7" t="s">
        <v>424</v>
      </c>
      <c r="C45" s="11" t="s">
        <v>425</v>
      </c>
      <c r="D45" s="2" t="s">
        <v>241</v>
      </c>
      <c r="E45" s="46">
        <v>7495</v>
      </c>
      <c r="F45" s="51">
        <v>42.8151875</v>
      </c>
      <c r="G45" s="5">
        <v>8.9041339999999993E-3</v>
      </c>
    </row>
    <row r="46" spans="1:7" ht="15" x14ac:dyDescent="0.25">
      <c r="A46" s="1"/>
      <c r="B46" s="2"/>
      <c r="C46" s="8" t="s">
        <v>104</v>
      </c>
      <c r="D46" s="12"/>
      <c r="E46" s="48"/>
      <c r="F46" s="53">
        <v>4389.2204525000006</v>
      </c>
      <c r="G46" s="13">
        <v>0.91281177000000024</v>
      </c>
    </row>
    <row r="47" spans="1:7" ht="15" x14ac:dyDescent="0.25">
      <c r="A47" s="6"/>
      <c r="B47" s="7"/>
      <c r="C47" s="14"/>
      <c r="D47" s="15"/>
      <c r="E47" s="46"/>
      <c r="F47" s="51"/>
      <c r="G47" s="5"/>
    </row>
    <row r="48" spans="1:7" ht="15" x14ac:dyDescent="0.25">
      <c r="A48" s="1"/>
      <c r="B48" s="2"/>
      <c r="C48" s="8" t="s">
        <v>105</v>
      </c>
      <c r="D48" s="9"/>
      <c r="E48" s="47"/>
      <c r="F48" s="52"/>
      <c r="G48" s="10"/>
    </row>
    <row r="49" spans="1:7" ht="15" x14ac:dyDescent="0.25">
      <c r="A49" s="1"/>
      <c r="B49" s="2"/>
      <c r="C49" s="8" t="s">
        <v>104</v>
      </c>
      <c r="D49" s="12"/>
      <c r="E49" s="48"/>
      <c r="F49" s="53">
        <v>0</v>
      </c>
      <c r="G49" s="13">
        <v>0</v>
      </c>
    </row>
    <row r="50" spans="1:7" ht="15" x14ac:dyDescent="0.25">
      <c r="A50" s="6"/>
      <c r="B50" s="7"/>
      <c r="C50" s="14"/>
      <c r="D50" s="15"/>
      <c r="E50" s="46"/>
      <c r="F50" s="51"/>
      <c r="G50" s="5"/>
    </row>
    <row r="51" spans="1:7" ht="15" x14ac:dyDescent="0.25">
      <c r="A51" s="16"/>
      <c r="B51" s="17"/>
      <c r="C51" s="8" t="s">
        <v>106</v>
      </c>
      <c r="D51" s="9"/>
      <c r="E51" s="47"/>
      <c r="F51" s="52"/>
      <c r="G51" s="10"/>
    </row>
    <row r="52" spans="1:7" ht="15" x14ac:dyDescent="0.25">
      <c r="A52" s="18"/>
      <c r="B52" s="19"/>
      <c r="C52" s="8" t="s">
        <v>104</v>
      </c>
      <c r="D52" s="20"/>
      <c r="E52" s="49"/>
      <c r="F52" s="54">
        <v>0</v>
      </c>
      <c r="G52" s="21">
        <v>0</v>
      </c>
    </row>
    <row r="53" spans="1:7" ht="15" x14ac:dyDescent="0.25">
      <c r="A53" s="18"/>
      <c r="B53" s="19"/>
      <c r="C53" s="14"/>
      <c r="D53" s="22"/>
      <c r="E53" s="50"/>
      <c r="F53" s="55"/>
      <c r="G53" s="23"/>
    </row>
    <row r="54" spans="1:7" ht="15" x14ac:dyDescent="0.25">
      <c r="A54" s="1"/>
      <c r="B54" s="2"/>
      <c r="C54" s="8" t="s">
        <v>108</v>
      </c>
      <c r="D54" s="9"/>
      <c r="E54" s="47"/>
      <c r="F54" s="52"/>
      <c r="G54" s="10"/>
    </row>
    <row r="55" spans="1:7" ht="15" x14ac:dyDescent="0.25">
      <c r="A55" s="1"/>
      <c r="B55" s="2"/>
      <c r="C55" s="8" t="s">
        <v>104</v>
      </c>
      <c r="D55" s="12"/>
      <c r="E55" s="48"/>
      <c r="F55" s="53">
        <v>0</v>
      </c>
      <c r="G55" s="13">
        <v>0</v>
      </c>
    </row>
    <row r="56" spans="1:7" ht="15" x14ac:dyDescent="0.25">
      <c r="A56" s="1"/>
      <c r="B56" s="2"/>
      <c r="C56" s="14"/>
      <c r="D56" s="4"/>
      <c r="E56" s="46"/>
      <c r="F56" s="51"/>
      <c r="G56" s="5"/>
    </row>
    <row r="57" spans="1:7" ht="15" x14ac:dyDescent="0.25">
      <c r="A57" s="1"/>
      <c r="B57" s="2"/>
      <c r="C57" s="8" t="s">
        <v>109</v>
      </c>
      <c r="D57" s="9"/>
      <c r="E57" s="47"/>
      <c r="F57" s="52"/>
      <c r="G57" s="10"/>
    </row>
    <row r="58" spans="1:7" ht="15" x14ac:dyDescent="0.25">
      <c r="A58" s="1"/>
      <c r="B58" s="2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1"/>
      <c r="B59" s="2"/>
      <c r="C59" s="14"/>
      <c r="D59" s="4"/>
      <c r="E59" s="46"/>
      <c r="F59" s="51"/>
      <c r="G59" s="5"/>
    </row>
    <row r="60" spans="1:7" ht="15" x14ac:dyDescent="0.25">
      <c r="A60" s="1"/>
      <c r="B60" s="2"/>
      <c r="C60" s="8" t="s">
        <v>110</v>
      </c>
      <c r="D60" s="9"/>
      <c r="E60" s="47"/>
      <c r="F60" s="52"/>
      <c r="G60" s="10"/>
    </row>
    <row r="61" spans="1:7" ht="15" x14ac:dyDescent="0.25">
      <c r="A61" s="1"/>
      <c r="B61" s="2"/>
      <c r="C61" s="8" t="s">
        <v>104</v>
      </c>
      <c r="D61" s="12"/>
      <c r="E61" s="48"/>
      <c r="F61" s="53">
        <v>0</v>
      </c>
      <c r="G61" s="13">
        <v>0</v>
      </c>
    </row>
    <row r="62" spans="1:7" ht="15" x14ac:dyDescent="0.25">
      <c r="A62" s="1"/>
      <c r="B62" s="2"/>
      <c r="C62" s="14"/>
      <c r="D62" s="4"/>
      <c r="E62" s="46"/>
      <c r="F62" s="51"/>
      <c r="G62" s="5"/>
    </row>
    <row r="63" spans="1:7" ht="25.5" x14ac:dyDescent="0.25">
      <c r="A63" s="6"/>
      <c r="B63" s="7"/>
      <c r="C63" s="24" t="s">
        <v>111</v>
      </c>
      <c r="D63" s="25"/>
      <c r="E63" s="48"/>
      <c r="F63" s="53">
        <v>4389.2204525000006</v>
      </c>
      <c r="G63" s="13">
        <v>0.91281177000000024</v>
      </c>
    </row>
    <row r="64" spans="1:7" ht="15" x14ac:dyDescent="0.25">
      <c r="A64" s="1"/>
      <c r="B64" s="2"/>
      <c r="C64" s="11"/>
      <c r="D64" s="4"/>
      <c r="E64" s="46"/>
      <c r="F64" s="51"/>
      <c r="G64" s="5"/>
    </row>
    <row r="65" spans="1:7" ht="15" x14ac:dyDescent="0.25">
      <c r="A65" s="1"/>
      <c r="B65" s="2"/>
      <c r="C65" s="3" t="s">
        <v>112</v>
      </c>
      <c r="D65" s="4"/>
      <c r="E65" s="46"/>
      <c r="F65" s="51"/>
      <c r="G65" s="5"/>
    </row>
    <row r="66" spans="1:7" ht="25.5" x14ac:dyDescent="0.25">
      <c r="A66" s="1"/>
      <c r="B66" s="2"/>
      <c r="C66" s="8" t="s">
        <v>10</v>
      </c>
      <c r="D66" s="9"/>
      <c r="E66" s="47"/>
      <c r="F66" s="52"/>
      <c r="G66" s="10"/>
    </row>
    <row r="67" spans="1:7" ht="15" x14ac:dyDescent="0.25">
      <c r="A67" s="6"/>
      <c r="B67" s="7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6"/>
      <c r="B68" s="7"/>
      <c r="C68" s="14"/>
      <c r="D68" s="4"/>
      <c r="E68" s="46"/>
      <c r="F68" s="51"/>
      <c r="G68" s="5"/>
    </row>
    <row r="69" spans="1:7" ht="15" x14ac:dyDescent="0.25">
      <c r="A69" s="1"/>
      <c r="B69" s="26"/>
      <c r="C69" s="8" t="s">
        <v>113</v>
      </c>
      <c r="D69" s="9"/>
      <c r="E69" s="47"/>
      <c r="F69" s="52"/>
      <c r="G69" s="10"/>
    </row>
    <row r="70" spans="1:7" ht="15" x14ac:dyDescent="0.25">
      <c r="A70" s="6"/>
      <c r="B70" s="7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6"/>
      <c r="B71" s="7"/>
      <c r="C71" s="14"/>
      <c r="D71" s="4"/>
      <c r="E71" s="46"/>
      <c r="F71" s="56"/>
      <c r="G71" s="27"/>
    </row>
    <row r="72" spans="1:7" ht="15" x14ac:dyDescent="0.25">
      <c r="A72" s="1"/>
      <c r="B72" s="2"/>
      <c r="C72" s="8" t="s">
        <v>114</v>
      </c>
      <c r="D72" s="9"/>
      <c r="E72" s="47"/>
      <c r="F72" s="52"/>
      <c r="G72" s="10"/>
    </row>
    <row r="73" spans="1:7" ht="15" x14ac:dyDescent="0.25">
      <c r="A73" s="6"/>
      <c r="B73" s="7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1"/>
      <c r="B74" s="2"/>
      <c r="C74" s="14"/>
      <c r="D74" s="4"/>
      <c r="E74" s="46"/>
      <c r="F74" s="51"/>
      <c r="G74" s="5"/>
    </row>
    <row r="75" spans="1:7" ht="25.5" x14ac:dyDescent="0.25">
      <c r="A75" s="1"/>
      <c r="B75" s="26"/>
      <c r="C75" s="8" t="s">
        <v>115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6"/>
      <c r="B77" s="7"/>
      <c r="C77" s="14"/>
      <c r="D77" s="4"/>
      <c r="E77" s="46"/>
      <c r="F77" s="51"/>
      <c r="G77" s="5"/>
    </row>
    <row r="78" spans="1:7" ht="15" x14ac:dyDescent="0.25">
      <c r="A78" s="6"/>
      <c r="B78" s="7"/>
      <c r="C78" s="28" t="s">
        <v>116</v>
      </c>
      <c r="D78" s="25"/>
      <c r="E78" s="48"/>
      <c r="F78" s="53">
        <v>0</v>
      </c>
      <c r="G78" s="13">
        <v>0</v>
      </c>
    </row>
    <row r="79" spans="1:7" ht="15" x14ac:dyDescent="0.25">
      <c r="A79" s="6"/>
      <c r="B79" s="7"/>
      <c r="C79" s="11"/>
      <c r="D79" s="4"/>
      <c r="E79" s="46"/>
      <c r="F79" s="51"/>
      <c r="G79" s="5"/>
    </row>
    <row r="80" spans="1:7" ht="15" x14ac:dyDescent="0.25">
      <c r="A80" s="1"/>
      <c r="B80" s="2"/>
      <c r="C80" s="3" t="s">
        <v>117</v>
      </c>
      <c r="D80" s="4"/>
      <c r="E80" s="46"/>
      <c r="F80" s="51"/>
      <c r="G80" s="5"/>
    </row>
    <row r="81" spans="1:7" ht="15" x14ac:dyDescent="0.25">
      <c r="A81" s="6"/>
      <c r="B81" s="7"/>
      <c r="C81" s="8" t="s">
        <v>118</v>
      </c>
      <c r="D81" s="9"/>
      <c r="E81" s="47"/>
      <c r="F81" s="52"/>
      <c r="G81" s="10"/>
    </row>
    <row r="82" spans="1:7" ht="15" x14ac:dyDescent="0.25">
      <c r="A82" s="6"/>
      <c r="B82" s="7"/>
      <c r="C82" s="8" t="s">
        <v>104</v>
      </c>
      <c r="D82" s="25"/>
      <c r="E82" s="48"/>
      <c r="F82" s="53">
        <v>0</v>
      </c>
      <c r="G82" s="13">
        <v>0</v>
      </c>
    </row>
    <row r="83" spans="1:7" ht="15" x14ac:dyDescent="0.25">
      <c r="A83" s="6"/>
      <c r="B83" s="7"/>
      <c r="C83" s="14"/>
      <c r="D83" s="7"/>
      <c r="E83" s="46"/>
      <c r="F83" s="51"/>
      <c r="G83" s="5"/>
    </row>
    <row r="84" spans="1:7" ht="15" x14ac:dyDescent="0.25">
      <c r="A84" s="6"/>
      <c r="B84" s="7"/>
      <c r="C84" s="8" t="s">
        <v>119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25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7"/>
      <c r="E86" s="46"/>
      <c r="F86" s="51"/>
      <c r="G86" s="5"/>
    </row>
    <row r="87" spans="1:7" ht="15" x14ac:dyDescent="0.25">
      <c r="A87" s="6"/>
      <c r="B87" s="7"/>
      <c r="C87" s="8" t="s">
        <v>120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7"/>
      <c r="E89" s="46"/>
      <c r="F89" s="51"/>
      <c r="G89" s="5"/>
    </row>
    <row r="90" spans="1:7" ht="15" x14ac:dyDescent="0.25">
      <c r="A90" s="6"/>
      <c r="B90" s="7"/>
      <c r="C90" s="8" t="s">
        <v>121</v>
      </c>
      <c r="D90" s="9"/>
      <c r="E90" s="47"/>
      <c r="F90" s="52"/>
      <c r="G90" s="10"/>
    </row>
    <row r="91" spans="1:7" ht="15" x14ac:dyDescent="0.25">
      <c r="A91" s="6">
        <v>1</v>
      </c>
      <c r="B91" s="7"/>
      <c r="C91" s="11" t="s">
        <v>730</v>
      </c>
      <c r="D91" s="15"/>
      <c r="E91" s="46"/>
      <c r="F91" s="51">
        <v>47.992649900000004</v>
      </c>
      <c r="G91" s="5">
        <v>9.9808740000000007E-3</v>
      </c>
    </row>
    <row r="92" spans="1:7" ht="15" x14ac:dyDescent="0.25">
      <c r="A92" s="6"/>
      <c r="B92" s="7"/>
      <c r="C92" s="8" t="s">
        <v>104</v>
      </c>
      <c r="D92" s="25"/>
      <c r="E92" s="48"/>
      <c r="F92" s="53">
        <v>47.992649900000004</v>
      </c>
      <c r="G92" s="13">
        <v>9.9808740000000007E-3</v>
      </c>
    </row>
    <row r="93" spans="1:7" ht="15" x14ac:dyDescent="0.25">
      <c r="A93" s="6"/>
      <c r="B93" s="7"/>
      <c r="C93" s="14"/>
      <c r="D93" s="7"/>
      <c r="E93" s="46"/>
      <c r="F93" s="51"/>
      <c r="G93" s="5"/>
    </row>
    <row r="94" spans="1:7" ht="25.5" x14ac:dyDescent="0.25">
      <c r="A94" s="6"/>
      <c r="B94" s="7"/>
      <c r="C94" s="24" t="s">
        <v>122</v>
      </c>
      <c r="D94" s="25"/>
      <c r="E94" s="48"/>
      <c r="F94" s="53">
        <v>47.992649900000004</v>
      </c>
      <c r="G94" s="13">
        <v>9.9808740000000007E-3</v>
      </c>
    </row>
    <row r="95" spans="1:7" ht="15" x14ac:dyDescent="0.25">
      <c r="A95" s="6"/>
      <c r="B95" s="7"/>
      <c r="C95" s="29"/>
      <c r="D95" s="7"/>
      <c r="E95" s="46"/>
      <c r="F95" s="51"/>
      <c r="G95" s="5"/>
    </row>
    <row r="96" spans="1:7" ht="15" x14ac:dyDescent="0.25">
      <c r="A96" s="1"/>
      <c r="B96" s="2"/>
      <c r="C96" s="3" t="s">
        <v>123</v>
      </c>
      <c r="D96" s="4"/>
      <c r="E96" s="46"/>
      <c r="F96" s="51"/>
      <c r="G96" s="5"/>
    </row>
    <row r="97" spans="1:7" ht="25.5" x14ac:dyDescent="0.25">
      <c r="A97" s="6"/>
      <c r="B97" s="7"/>
      <c r="C97" s="8" t="s">
        <v>124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4"/>
      <c r="D99" s="7"/>
      <c r="E99" s="46"/>
      <c r="F99" s="51"/>
      <c r="G99" s="5"/>
    </row>
    <row r="100" spans="1:7" ht="15" x14ac:dyDescent="0.25">
      <c r="A100" s="1"/>
      <c r="B100" s="2"/>
      <c r="C100" s="3" t="s">
        <v>125</v>
      </c>
      <c r="D100" s="4"/>
      <c r="E100" s="46"/>
      <c r="F100" s="51"/>
      <c r="G100" s="5"/>
    </row>
    <row r="101" spans="1:7" ht="25.5" x14ac:dyDescent="0.25">
      <c r="A101" s="6"/>
      <c r="B101" s="7"/>
      <c r="C101" s="8" t="s">
        <v>126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25.5" x14ac:dyDescent="0.25">
      <c r="A104" s="6"/>
      <c r="B104" s="7"/>
      <c r="C104" s="8" t="s">
        <v>127</v>
      </c>
      <c r="D104" s="9"/>
      <c r="E104" s="47"/>
      <c r="F104" s="51">
        <v>62.133000000000003</v>
      </c>
      <c r="G104" s="5">
        <v>1.2921596E-2</v>
      </c>
    </row>
    <row r="105" spans="1:7" ht="15" x14ac:dyDescent="0.25">
      <c r="A105" s="6"/>
      <c r="B105" s="7"/>
      <c r="C105" s="8" t="s">
        <v>810</v>
      </c>
      <c r="D105" s="25"/>
      <c r="E105" s="48"/>
      <c r="F105" s="53">
        <v>62.133000000000003</v>
      </c>
      <c r="G105" s="13">
        <v>1.2921596E-2</v>
      </c>
    </row>
    <row r="106" spans="1:7" ht="15" x14ac:dyDescent="0.25">
      <c r="A106" s="6"/>
      <c r="B106" s="7"/>
      <c r="C106" s="14"/>
      <c r="D106" s="7"/>
      <c r="E106" s="46"/>
      <c r="F106" s="56"/>
      <c r="G106" s="27"/>
    </row>
    <row r="107" spans="1:7" ht="25.5" x14ac:dyDescent="0.25">
      <c r="A107" s="6"/>
      <c r="B107" s="7"/>
      <c r="C107" s="29" t="s">
        <v>128</v>
      </c>
      <c r="D107" s="7"/>
      <c r="E107" s="46"/>
      <c r="F107" s="56">
        <v>309.11561786999999</v>
      </c>
      <c r="G107" s="27">
        <v>6.4285759999999997E-2</v>
      </c>
    </row>
    <row r="108" spans="1:7" ht="15" x14ac:dyDescent="0.25">
      <c r="A108" s="6"/>
      <c r="B108" s="7"/>
      <c r="C108" s="30" t="s">
        <v>129</v>
      </c>
      <c r="D108" s="12"/>
      <c r="E108" s="48"/>
      <c r="F108" s="53">
        <v>4808.4617202700019</v>
      </c>
      <c r="G108" s="13">
        <v>1</v>
      </c>
    </row>
    <row r="110" spans="1:7" ht="15" x14ac:dyDescent="0.25">
      <c r="B110" s="279"/>
      <c r="C110" s="279"/>
      <c r="D110" s="279"/>
      <c r="E110" s="279"/>
      <c r="F110" s="279"/>
    </row>
    <row r="111" spans="1:7" ht="15" x14ac:dyDescent="0.25">
      <c r="B111" s="279"/>
      <c r="C111" s="279"/>
      <c r="D111" s="279"/>
      <c r="E111" s="279"/>
      <c r="F111" s="279"/>
    </row>
    <row r="113" spans="2:4" ht="15" x14ac:dyDescent="0.25">
      <c r="B113" s="36" t="s">
        <v>131</v>
      </c>
      <c r="C113" s="37"/>
      <c r="D113" s="38"/>
    </row>
    <row r="114" spans="2:4" ht="15" x14ac:dyDescent="0.25">
      <c r="B114" s="39" t="s">
        <v>132</v>
      </c>
      <c r="C114" s="40"/>
      <c r="D114" s="62" t="s">
        <v>133</v>
      </c>
    </row>
    <row r="115" spans="2:4" ht="15" x14ac:dyDescent="0.25">
      <c r="B115" s="39" t="s">
        <v>134</v>
      </c>
      <c r="C115" s="40"/>
      <c r="D115" s="62" t="s">
        <v>133</v>
      </c>
    </row>
    <row r="116" spans="2:4" ht="15" x14ac:dyDescent="0.25">
      <c r="B116" s="41" t="s">
        <v>135</v>
      </c>
      <c r="C116" s="40"/>
      <c r="D116" s="42"/>
    </row>
    <row r="117" spans="2:4" ht="25.5" customHeight="1" x14ac:dyDescent="0.25">
      <c r="B117" s="42"/>
      <c r="C117" s="32" t="s">
        <v>136</v>
      </c>
      <c r="D117" s="33" t="s">
        <v>137</v>
      </c>
    </row>
    <row r="118" spans="2:4" ht="12.75" customHeight="1" x14ac:dyDescent="0.25">
      <c r="B118" s="57" t="s">
        <v>138</v>
      </c>
      <c r="C118" s="58" t="s">
        <v>139</v>
      </c>
      <c r="D118" s="58" t="s">
        <v>140</v>
      </c>
    </row>
    <row r="119" spans="2:4" ht="15" x14ac:dyDescent="0.25">
      <c r="B119" s="42" t="s">
        <v>141</v>
      </c>
      <c r="C119" s="43">
        <v>10.149800000000001</v>
      </c>
      <c r="D119" s="43">
        <v>9.5893999999999995</v>
      </c>
    </row>
    <row r="120" spans="2:4" ht="15" x14ac:dyDescent="0.25">
      <c r="B120" s="42" t="s">
        <v>142</v>
      </c>
      <c r="C120" s="43">
        <v>10.149800000000001</v>
      </c>
      <c r="D120" s="43">
        <v>9.5894999999999992</v>
      </c>
    </row>
    <row r="121" spans="2:4" ht="15" x14ac:dyDescent="0.25">
      <c r="B121" s="42" t="s">
        <v>143</v>
      </c>
      <c r="C121" s="43">
        <v>10.079499999999999</v>
      </c>
      <c r="D121" s="43">
        <v>9.5185999999999993</v>
      </c>
    </row>
    <row r="122" spans="2:4" ht="15" x14ac:dyDescent="0.25">
      <c r="B122" s="42" t="s">
        <v>144</v>
      </c>
      <c r="C122" s="43">
        <v>10.079599999999999</v>
      </c>
      <c r="D122" s="43">
        <v>9.5185999999999993</v>
      </c>
    </row>
    <row r="124" spans="2:4" ht="15" x14ac:dyDescent="0.25">
      <c r="B124" s="59" t="s">
        <v>145</v>
      </c>
      <c r="C124" s="44"/>
      <c r="D124" s="60" t="s">
        <v>133</v>
      </c>
    </row>
    <row r="125" spans="2:4" ht="24.75" customHeight="1" x14ac:dyDescent="0.25">
      <c r="B125" s="61"/>
      <c r="C125" s="61"/>
    </row>
    <row r="126" spans="2:4" ht="15" x14ac:dyDescent="0.25">
      <c r="B126" s="63"/>
      <c r="C126" s="65"/>
      <c r="D126"/>
    </row>
    <row r="128" spans="2:4" ht="15" x14ac:dyDescent="0.25">
      <c r="B128" s="41" t="s">
        <v>146</v>
      </c>
      <c r="C128" s="40"/>
      <c r="D128" s="64" t="s">
        <v>133</v>
      </c>
    </row>
    <row r="129" spans="2:4" ht="15" x14ac:dyDescent="0.25">
      <c r="B129" s="41" t="s">
        <v>147</v>
      </c>
      <c r="C129" s="40"/>
      <c r="D129" s="64" t="s">
        <v>133</v>
      </c>
    </row>
    <row r="130" spans="2:4" ht="15" x14ac:dyDescent="0.25">
      <c r="B130" s="41" t="s">
        <v>148</v>
      </c>
      <c r="C130" s="40"/>
      <c r="D130" s="45">
        <v>3.9176370596704993E-2</v>
      </c>
    </row>
    <row r="131" spans="2:4" ht="15" x14ac:dyDescent="0.25">
      <c r="B131" s="41" t="s">
        <v>149</v>
      </c>
      <c r="C131" s="40"/>
      <c r="D131" s="45" t="s">
        <v>133</v>
      </c>
    </row>
  </sheetData>
  <mergeCells count="5">
    <mergeCell ref="A1:G1"/>
    <mergeCell ref="A2:G2"/>
    <mergeCell ref="A3:G3"/>
    <mergeCell ref="B110:F110"/>
    <mergeCell ref="B111:F11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13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428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17</v>
      </c>
      <c r="C7" s="11" t="s">
        <v>18</v>
      </c>
      <c r="D7" s="2" t="s">
        <v>19</v>
      </c>
      <c r="E7" s="46">
        <v>246456</v>
      </c>
      <c r="F7" s="51">
        <v>3419.0840880000001</v>
      </c>
      <c r="G7" s="5">
        <v>4.9205351000000001E-2</v>
      </c>
    </row>
    <row r="8" spans="1:7" ht="15" x14ac:dyDescent="0.25">
      <c r="A8" s="6">
        <v>2</v>
      </c>
      <c r="B8" s="7" t="s">
        <v>11</v>
      </c>
      <c r="C8" s="11" t="s">
        <v>12</v>
      </c>
      <c r="D8" s="2" t="s">
        <v>13</v>
      </c>
      <c r="E8" s="46">
        <v>797150</v>
      </c>
      <c r="F8" s="51">
        <v>3384.6988999999999</v>
      </c>
      <c r="G8" s="5">
        <v>4.8710499999999997E-2</v>
      </c>
    </row>
    <row r="9" spans="1:7" ht="25.5" x14ac:dyDescent="0.25">
      <c r="A9" s="6">
        <v>3</v>
      </c>
      <c r="B9" s="7" t="s">
        <v>310</v>
      </c>
      <c r="C9" s="11" t="s">
        <v>311</v>
      </c>
      <c r="D9" s="2" t="s">
        <v>37</v>
      </c>
      <c r="E9" s="46">
        <v>430196</v>
      </c>
      <c r="F9" s="51">
        <v>2748.5222439999998</v>
      </c>
      <c r="G9" s="5">
        <v>3.9555038000000001E-2</v>
      </c>
    </row>
    <row r="10" spans="1:7" ht="15" x14ac:dyDescent="0.25">
      <c r="A10" s="6">
        <v>4</v>
      </c>
      <c r="B10" s="7" t="s">
        <v>412</v>
      </c>
      <c r="C10" s="11" t="s">
        <v>413</v>
      </c>
      <c r="D10" s="2" t="s">
        <v>162</v>
      </c>
      <c r="E10" s="46">
        <v>78934</v>
      </c>
      <c r="F10" s="51">
        <v>2566.9731470000002</v>
      </c>
      <c r="G10" s="5">
        <v>3.6942295E-2</v>
      </c>
    </row>
    <row r="11" spans="1:7" ht="25.5" x14ac:dyDescent="0.25">
      <c r="A11" s="6">
        <v>5</v>
      </c>
      <c r="B11" s="7" t="s">
        <v>40</v>
      </c>
      <c r="C11" s="11" t="s">
        <v>41</v>
      </c>
      <c r="D11" s="2" t="s">
        <v>42</v>
      </c>
      <c r="E11" s="46">
        <v>217494</v>
      </c>
      <c r="F11" s="51">
        <v>2536.5237750000001</v>
      </c>
      <c r="G11" s="5">
        <v>3.6504086999999998E-2</v>
      </c>
    </row>
    <row r="12" spans="1:7" ht="25.5" x14ac:dyDescent="0.25">
      <c r="A12" s="6">
        <v>6</v>
      </c>
      <c r="B12" s="7" t="s">
        <v>429</v>
      </c>
      <c r="C12" s="11" t="s">
        <v>430</v>
      </c>
      <c r="D12" s="2" t="s">
        <v>30</v>
      </c>
      <c r="E12" s="46">
        <v>213966</v>
      </c>
      <c r="F12" s="51">
        <v>2449.3757850000002</v>
      </c>
      <c r="G12" s="5">
        <v>3.5249906999999997E-2</v>
      </c>
    </row>
    <row r="13" spans="1:7" ht="15" x14ac:dyDescent="0.25">
      <c r="A13" s="6">
        <v>7</v>
      </c>
      <c r="B13" s="7" t="s">
        <v>33</v>
      </c>
      <c r="C13" s="11" t="s">
        <v>34</v>
      </c>
      <c r="D13" s="2" t="s">
        <v>13</v>
      </c>
      <c r="E13" s="46">
        <v>108464</v>
      </c>
      <c r="F13" s="51">
        <v>2442.229656</v>
      </c>
      <c r="G13" s="5">
        <v>3.5147063999999999E-2</v>
      </c>
    </row>
    <row r="14" spans="1:7" ht="15" x14ac:dyDescent="0.25">
      <c r="A14" s="6">
        <v>8</v>
      </c>
      <c r="B14" s="7" t="s">
        <v>431</v>
      </c>
      <c r="C14" s="11" t="s">
        <v>432</v>
      </c>
      <c r="D14" s="2" t="s">
        <v>16</v>
      </c>
      <c r="E14" s="46">
        <v>54229</v>
      </c>
      <c r="F14" s="51">
        <v>2357.280401</v>
      </c>
      <c r="G14" s="5">
        <v>3.3924527000000003E-2</v>
      </c>
    </row>
    <row r="15" spans="1:7" ht="25.5" x14ac:dyDescent="0.25">
      <c r="A15" s="6">
        <v>9</v>
      </c>
      <c r="B15" s="7" t="s">
        <v>390</v>
      </c>
      <c r="C15" s="11" t="s">
        <v>391</v>
      </c>
      <c r="D15" s="2" t="s">
        <v>162</v>
      </c>
      <c r="E15" s="46">
        <v>287568</v>
      </c>
      <c r="F15" s="51">
        <v>2293.4985839999999</v>
      </c>
      <c r="G15" s="5">
        <v>3.3006618000000001E-2</v>
      </c>
    </row>
    <row r="16" spans="1:7" ht="25.5" x14ac:dyDescent="0.25">
      <c r="A16" s="6">
        <v>10</v>
      </c>
      <c r="B16" s="7" t="s">
        <v>293</v>
      </c>
      <c r="C16" s="11" t="s">
        <v>294</v>
      </c>
      <c r="D16" s="2" t="s">
        <v>167</v>
      </c>
      <c r="E16" s="46">
        <v>164622</v>
      </c>
      <c r="F16" s="51">
        <v>2225.0309520000001</v>
      </c>
      <c r="G16" s="5">
        <v>3.2021274000000002E-2</v>
      </c>
    </row>
    <row r="17" spans="1:7" ht="25.5" x14ac:dyDescent="0.25">
      <c r="A17" s="6">
        <v>11</v>
      </c>
      <c r="B17" s="7" t="s">
        <v>418</v>
      </c>
      <c r="C17" s="11" t="s">
        <v>419</v>
      </c>
      <c r="D17" s="2" t="s">
        <v>37</v>
      </c>
      <c r="E17" s="46">
        <v>663774</v>
      </c>
      <c r="F17" s="51">
        <v>2195.764392</v>
      </c>
      <c r="G17" s="5">
        <v>3.1600087999999998E-2</v>
      </c>
    </row>
    <row r="18" spans="1:7" ht="25.5" x14ac:dyDescent="0.25">
      <c r="A18" s="6">
        <v>12</v>
      </c>
      <c r="B18" s="7" t="s">
        <v>402</v>
      </c>
      <c r="C18" s="11" t="s">
        <v>403</v>
      </c>
      <c r="D18" s="2" t="s">
        <v>37</v>
      </c>
      <c r="E18" s="46">
        <v>362495</v>
      </c>
      <c r="F18" s="51">
        <v>2153.4015475000001</v>
      </c>
      <c r="G18" s="5">
        <v>3.0990428E-2</v>
      </c>
    </row>
    <row r="19" spans="1:7" ht="15" x14ac:dyDescent="0.25">
      <c r="A19" s="6">
        <v>13</v>
      </c>
      <c r="B19" s="7" t="s">
        <v>410</v>
      </c>
      <c r="C19" s="11" t="s">
        <v>411</v>
      </c>
      <c r="D19" s="2" t="s">
        <v>226</v>
      </c>
      <c r="E19" s="46">
        <v>555857</v>
      </c>
      <c r="F19" s="51">
        <v>2045.8316884999999</v>
      </c>
      <c r="G19" s="5">
        <v>2.9442349E-2</v>
      </c>
    </row>
    <row r="20" spans="1:7" ht="15" x14ac:dyDescent="0.25">
      <c r="A20" s="6">
        <v>14</v>
      </c>
      <c r="B20" s="7" t="s">
        <v>14</v>
      </c>
      <c r="C20" s="11" t="s">
        <v>15</v>
      </c>
      <c r="D20" s="2" t="s">
        <v>16</v>
      </c>
      <c r="E20" s="46">
        <v>273955</v>
      </c>
      <c r="F20" s="51">
        <v>2017.40462</v>
      </c>
      <c r="G20" s="5">
        <v>2.9033244E-2</v>
      </c>
    </row>
    <row r="21" spans="1:7" ht="25.5" x14ac:dyDescent="0.25">
      <c r="A21" s="6">
        <v>15</v>
      </c>
      <c r="B21" s="7" t="s">
        <v>433</v>
      </c>
      <c r="C21" s="11" t="s">
        <v>434</v>
      </c>
      <c r="D21" s="2" t="s">
        <v>59</v>
      </c>
      <c r="E21" s="46">
        <v>333156</v>
      </c>
      <c r="F21" s="51">
        <v>1942.2994799999999</v>
      </c>
      <c r="G21" s="5">
        <v>2.7952377E-2</v>
      </c>
    </row>
    <row r="22" spans="1:7" ht="25.5" x14ac:dyDescent="0.25">
      <c r="A22" s="6">
        <v>16</v>
      </c>
      <c r="B22" s="7" t="s">
        <v>406</v>
      </c>
      <c r="C22" s="11" t="s">
        <v>407</v>
      </c>
      <c r="D22" s="2" t="s">
        <v>162</v>
      </c>
      <c r="E22" s="46">
        <v>159608</v>
      </c>
      <c r="F22" s="51">
        <v>1927.027188</v>
      </c>
      <c r="G22" s="5">
        <v>2.7732587999999999E-2</v>
      </c>
    </row>
    <row r="23" spans="1:7" ht="51" x14ac:dyDescent="0.25">
      <c r="A23" s="6">
        <v>17</v>
      </c>
      <c r="B23" s="7" t="s">
        <v>320</v>
      </c>
      <c r="C23" s="11" t="s">
        <v>321</v>
      </c>
      <c r="D23" s="2" t="s">
        <v>235</v>
      </c>
      <c r="E23" s="46">
        <v>1149555</v>
      </c>
      <c r="F23" s="51">
        <v>1904.2378575</v>
      </c>
      <c r="G23" s="5">
        <v>2.7404617999999999E-2</v>
      </c>
    </row>
    <row r="24" spans="1:7" ht="25.5" x14ac:dyDescent="0.25">
      <c r="A24" s="6">
        <v>18</v>
      </c>
      <c r="B24" s="7" t="s">
        <v>388</v>
      </c>
      <c r="C24" s="11" t="s">
        <v>389</v>
      </c>
      <c r="D24" s="2" t="s">
        <v>59</v>
      </c>
      <c r="E24" s="46">
        <v>827836</v>
      </c>
      <c r="F24" s="51">
        <v>1903.608882</v>
      </c>
      <c r="G24" s="5">
        <v>2.7395566E-2</v>
      </c>
    </row>
    <row r="25" spans="1:7" ht="25.5" x14ac:dyDescent="0.25">
      <c r="A25" s="6">
        <v>19</v>
      </c>
      <c r="B25" s="7" t="s">
        <v>301</v>
      </c>
      <c r="C25" s="11" t="s">
        <v>302</v>
      </c>
      <c r="D25" s="2" t="s">
        <v>22</v>
      </c>
      <c r="E25" s="46">
        <v>248449</v>
      </c>
      <c r="F25" s="51">
        <v>1761.50341</v>
      </c>
      <c r="G25" s="5">
        <v>2.5350470999999999E-2</v>
      </c>
    </row>
    <row r="26" spans="1:7" ht="15" x14ac:dyDescent="0.25">
      <c r="A26" s="6">
        <v>20</v>
      </c>
      <c r="B26" s="7" t="s">
        <v>394</v>
      </c>
      <c r="C26" s="11" t="s">
        <v>395</v>
      </c>
      <c r="D26" s="2" t="s">
        <v>13</v>
      </c>
      <c r="E26" s="46">
        <v>254724</v>
      </c>
      <c r="F26" s="51">
        <v>1717.094484</v>
      </c>
      <c r="G26" s="5">
        <v>2.4711364999999999E-2</v>
      </c>
    </row>
    <row r="27" spans="1:7" ht="15" x14ac:dyDescent="0.25">
      <c r="A27" s="6">
        <v>21</v>
      </c>
      <c r="B27" s="7" t="s">
        <v>344</v>
      </c>
      <c r="C27" s="11" t="s">
        <v>345</v>
      </c>
      <c r="D27" s="2" t="s">
        <v>241</v>
      </c>
      <c r="E27" s="46">
        <v>26020</v>
      </c>
      <c r="F27" s="51">
        <v>1595.2211500000001</v>
      </c>
      <c r="G27" s="5">
        <v>2.2957439999999999E-2</v>
      </c>
    </row>
    <row r="28" spans="1:7" ht="25.5" x14ac:dyDescent="0.25">
      <c r="A28" s="6">
        <v>22</v>
      </c>
      <c r="B28" s="7" t="s">
        <v>324</v>
      </c>
      <c r="C28" s="11" t="s">
        <v>325</v>
      </c>
      <c r="D28" s="2" t="s">
        <v>37</v>
      </c>
      <c r="E28" s="46">
        <v>13861</v>
      </c>
      <c r="F28" s="51">
        <v>1511.1747335</v>
      </c>
      <c r="G28" s="5">
        <v>2.1747895E-2</v>
      </c>
    </row>
    <row r="29" spans="1:7" ht="25.5" x14ac:dyDescent="0.25">
      <c r="A29" s="6">
        <v>23</v>
      </c>
      <c r="B29" s="7" t="s">
        <v>297</v>
      </c>
      <c r="C29" s="11" t="s">
        <v>298</v>
      </c>
      <c r="D29" s="2" t="s">
        <v>238</v>
      </c>
      <c r="E29" s="46">
        <v>789714</v>
      </c>
      <c r="F29" s="51">
        <v>1486.6366049999999</v>
      </c>
      <c r="G29" s="5">
        <v>2.1394758E-2</v>
      </c>
    </row>
    <row r="30" spans="1:7" ht="25.5" x14ac:dyDescent="0.25">
      <c r="A30" s="6">
        <v>24</v>
      </c>
      <c r="B30" s="7" t="s">
        <v>306</v>
      </c>
      <c r="C30" s="11" t="s">
        <v>307</v>
      </c>
      <c r="D30" s="2" t="s">
        <v>59</v>
      </c>
      <c r="E30" s="46">
        <v>94644</v>
      </c>
      <c r="F30" s="51">
        <v>1471.1936579999999</v>
      </c>
      <c r="G30" s="5">
        <v>2.1172512000000001E-2</v>
      </c>
    </row>
    <row r="31" spans="1:7" ht="15" x14ac:dyDescent="0.25">
      <c r="A31" s="6">
        <v>25</v>
      </c>
      <c r="B31" s="7" t="s">
        <v>435</v>
      </c>
      <c r="C31" s="11" t="s">
        <v>436</v>
      </c>
      <c r="D31" s="2" t="s">
        <v>215</v>
      </c>
      <c r="E31" s="46">
        <v>65522</v>
      </c>
      <c r="F31" s="51">
        <v>1445.218754</v>
      </c>
      <c r="G31" s="5">
        <v>2.0798698000000001E-2</v>
      </c>
    </row>
    <row r="32" spans="1:7" ht="15" x14ac:dyDescent="0.25">
      <c r="A32" s="6">
        <v>26</v>
      </c>
      <c r="B32" s="7" t="s">
        <v>291</v>
      </c>
      <c r="C32" s="11" t="s">
        <v>292</v>
      </c>
      <c r="D32" s="2" t="s">
        <v>238</v>
      </c>
      <c r="E32" s="46">
        <v>351054</v>
      </c>
      <c r="F32" s="51">
        <v>1395.9662310000001</v>
      </c>
      <c r="G32" s="5">
        <v>2.0089886000000001E-2</v>
      </c>
    </row>
    <row r="33" spans="1:7" ht="25.5" x14ac:dyDescent="0.25">
      <c r="A33" s="6">
        <v>27</v>
      </c>
      <c r="B33" s="7" t="s">
        <v>35</v>
      </c>
      <c r="C33" s="11" t="s">
        <v>36</v>
      </c>
      <c r="D33" s="2" t="s">
        <v>37</v>
      </c>
      <c r="E33" s="46">
        <v>300000</v>
      </c>
      <c r="F33" s="51">
        <v>1281.45</v>
      </c>
      <c r="G33" s="5">
        <v>1.8441839000000002E-2</v>
      </c>
    </row>
    <row r="34" spans="1:7" ht="15" x14ac:dyDescent="0.25">
      <c r="A34" s="6">
        <v>28</v>
      </c>
      <c r="B34" s="7" t="s">
        <v>336</v>
      </c>
      <c r="C34" s="11" t="s">
        <v>337</v>
      </c>
      <c r="D34" s="2" t="s">
        <v>184</v>
      </c>
      <c r="E34" s="46">
        <v>284424</v>
      </c>
      <c r="F34" s="51">
        <v>1247.9103</v>
      </c>
      <c r="G34" s="5">
        <v>1.7959156E-2</v>
      </c>
    </row>
    <row r="35" spans="1:7" ht="15" x14ac:dyDescent="0.25">
      <c r="A35" s="6">
        <v>29</v>
      </c>
      <c r="B35" s="7" t="s">
        <v>299</v>
      </c>
      <c r="C35" s="11" t="s">
        <v>300</v>
      </c>
      <c r="D35" s="2" t="s">
        <v>13</v>
      </c>
      <c r="E35" s="46">
        <v>1319914</v>
      </c>
      <c r="F35" s="51">
        <v>1219.6005359999999</v>
      </c>
      <c r="G35" s="5">
        <v>1.7551739E-2</v>
      </c>
    </row>
    <row r="36" spans="1:7" ht="15" x14ac:dyDescent="0.25">
      <c r="A36" s="6">
        <v>30</v>
      </c>
      <c r="B36" s="7" t="s">
        <v>332</v>
      </c>
      <c r="C36" s="11" t="s">
        <v>333</v>
      </c>
      <c r="D36" s="2" t="s">
        <v>155</v>
      </c>
      <c r="E36" s="46">
        <v>206903</v>
      </c>
      <c r="F36" s="51">
        <v>1193.3130524999999</v>
      </c>
      <c r="G36" s="5">
        <v>1.7173425999999999E-2</v>
      </c>
    </row>
    <row r="37" spans="1:7" ht="15" x14ac:dyDescent="0.25">
      <c r="A37" s="6">
        <v>31</v>
      </c>
      <c r="B37" s="7" t="s">
        <v>54</v>
      </c>
      <c r="C37" s="11" t="s">
        <v>55</v>
      </c>
      <c r="D37" s="2" t="s">
        <v>56</v>
      </c>
      <c r="E37" s="46">
        <v>868000</v>
      </c>
      <c r="F37" s="51">
        <v>1172.6679999999999</v>
      </c>
      <c r="G37" s="5">
        <v>1.6876314999999999E-2</v>
      </c>
    </row>
    <row r="38" spans="1:7" ht="15" x14ac:dyDescent="0.25">
      <c r="A38" s="6">
        <v>32</v>
      </c>
      <c r="B38" s="7" t="s">
        <v>426</v>
      </c>
      <c r="C38" s="11" t="s">
        <v>427</v>
      </c>
      <c r="D38" s="2" t="s">
        <v>13</v>
      </c>
      <c r="E38" s="46">
        <v>68719</v>
      </c>
      <c r="F38" s="51">
        <v>970.89639150000005</v>
      </c>
      <c r="G38" s="5">
        <v>1.3972541999999999E-2</v>
      </c>
    </row>
    <row r="39" spans="1:7" ht="15" x14ac:dyDescent="0.25">
      <c r="A39" s="6">
        <v>33</v>
      </c>
      <c r="B39" s="7" t="s">
        <v>375</v>
      </c>
      <c r="C39" s="11" t="s">
        <v>376</v>
      </c>
      <c r="D39" s="2" t="s">
        <v>162</v>
      </c>
      <c r="E39" s="46">
        <v>64792</v>
      </c>
      <c r="F39" s="51">
        <v>691.94940359999998</v>
      </c>
      <c r="G39" s="5">
        <v>9.9581089999999997E-3</v>
      </c>
    </row>
    <row r="40" spans="1:7" ht="25.5" x14ac:dyDescent="0.25">
      <c r="A40" s="6">
        <v>34</v>
      </c>
      <c r="B40" s="7" t="s">
        <v>437</v>
      </c>
      <c r="C40" s="11" t="s">
        <v>438</v>
      </c>
      <c r="D40" s="2" t="s">
        <v>59</v>
      </c>
      <c r="E40" s="46">
        <v>41250</v>
      </c>
      <c r="F40" s="51">
        <v>435.74437499999999</v>
      </c>
      <c r="G40" s="5">
        <v>6.2709640000000004E-3</v>
      </c>
    </row>
    <row r="41" spans="1:7" ht="15" x14ac:dyDescent="0.25">
      <c r="A41" s="6">
        <v>35</v>
      </c>
      <c r="B41" s="7" t="s">
        <v>340</v>
      </c>
      <c r="C41" s="11" t="s">
        <v>341</v>
      </c>
      <c r="D41" s="2" t="s">
        <v>13</v>
      </c>
      <c r="E41" s="46">
        <v>60000</v>
      </c>
      <c r="F41" s="51">
        <v>242.34</v>
      </c>
      <c r="G41" s="5">
        <v>3.4876080000000001E-3</v>
      </c>
    </row>
    <row r="42" spans="1:7" ht="15" x14ac:dyDescent="0.25">
      <c r="A42" s="6">
        <v>36</v>
      </c>
      <c r="B42" s="7" t="s">
        <v>379</v>
      </c>
      <c r="C42" s="11" t="s">
        <v>380</v>
      </c>
      <c r="D42" s="2" t="s">
        <v>162</v>
      </c>
      <c r="E42" s="46">
        <v>453543</v>
      </c>
      <c r="F42" s="51">
        <v>98.849696850000001</v>
      </c>
      <c r="G42" s="5">
        <v>1.422584E-3</v>
      </c>
    </row>
    <row r="43" spans="1:7" ht="15" x14ac:dyDescent="0.25">
      <c r="A43" s="1"/>
      <c r="B43" s="2"/>
      <c r="C43" s="8" t="s">
        <v>104</v>
      </c>
      <c r="D43" s="12"/>
      <c r="E43" s="48"/>
      <c r="F43" s="53">
        <v>63451.523968449997</v>
      </c>
      <c r="G43" s="13">
        <v>0.91315522599999999</v>
      </c>
    </row>
    <row r="44" spans="1:7" ht="15" x14ac:dyDescent="0.25">
      <c r="A44" s="6"/>
      <c r="B44" s="7"/>
      <c r="C44" s="14"/>
      <c r="D44" s="15"/>
      <c r="E44" s="46"/>
      <c r="F44" s="51"/>
      <c r="G44" s="5"/>
    </row>
    <row r="45" spans="1:7" ht="15" x14ac:dyDescent="0.25">
      <c r="A45" s="1"/>
      <c r="B45" s="2"/>
      <c r="C45" s="8" t="s">
        <v>105</v>
      </c>
      <c r="D45" s="9"/>
      <c r="E45" s="47"/>
      <c r="F45" s="52"/>
      <c r="G45" s="10"/>
    </row>
    <row r="46" spans="1:7" ht="15" x14ac:dyDescent="0.25">
      <c r="A46" s="1"/>
      <c r="B46" s="2"/>
      <c r="C46" s="8" t="s">
        <v>104</v>
      </c>
      <c r="D46" s="12"/>
      <c r="E46" s="48"/>
      <c r="F46" s="53">
        <v>0</v>
      </c>
      <c r="G46" s="13">
        <v>0</v>
      </c>
    </row>
    <row r="47" spans="1:7" ht="15" x14ac:dyDescent="0.25">
      <c r="A47" s="6"/>
      <c r="B47" s="7"/>
      <c r="C47" s="14"/>
      <c r="D47" s="15"/>
      <c r="E47" s="46"/>
      <c r="F47" s="51"/>
      <c r="G47" s="5"/>
    </row>
    <row r="48" spans="1:7" ht="15" x14ac:dyDescent="0.25">
      <c r="A48" s="16"/>
      <c r="B48" s="17"/>
      <c r="C48" s="8" t="s">
        <v>106</v>
      </c>
      <c r="D48" s="9"/>
      <c r="E48" s="47"/>
      <c r="F48" s="52"/>
      <c r="G48" s="10"/>
    </row>
    <row r="49" spans="1:7" ht="15" x14ac:dyDescent="0.25">
      <c r="A49" s="18"/>
      <c r="B49" s="19"/>
      <c r="C49" s="8" t="s">
        <v>104</v>
      </c>
      <c r="D49" s="20"/>
      <c r="E49" s="49"/>
      <c r="F49" s="54">
        <v>0</v>
      </c>
      <c r="G49" s="21">
        <v>0</v>
      </c>
    </row>
    <row r="50" spans="1:7" ht="15" x14ac:dyDescent="0.25">
      <c r="A50" s="18"/>
      <c r="B50" s="19"/>
      <c r="C50" s="14"/>
      <c r="D50" s="22"/>
      <c r="E50" s="50"/>
      <c r="F50" s="55"/>
      <c r="G50" s="23"/>
    </row>
    <row r="51" spans="1:7" ht="15" x14ac:dyDescent="0.25">
      <c r="A51" s="1"/>
      <c r="B51" s="2"/>
      <c r="C51" s="8" t="s">
        <v>108</v>
      </c>
      <c r="D51" s="9"/>
      <c r="E51" s="47"/>
      <c r="F51" s="52"/>
      <c r="G51" s="10"/>
    </row>
    <row r="52" spans="1:7" ht="15" x14ac:dyDescent="0.25">
      <c r="A52" s="1"/>
      <c r="B52" s="2"/>
      <c r="C52" s="8" t="s">
        <v>104</v>
      </c>
      <c r="D52" s="12"/>
      <c r="E52" s="48"/>
      <c r="F52" s="53">
        <v>0</v>
      </c>
      <c r="G52" s="13">
        <v>0</v>
      </c>
    </row>
    <row r="53" spans="1:7" ht="15" x14ac:dyDescent="0.25">
      <c r="A53" s="1"/>
      <c r="B53" s="2"/>
      <c r="C53" s="14"/>
      <c r="D53" s="4"/>
      <c r="E53" s="46"/>
      <c r="F53" s="51"/>
      <c r="G53" s="5"/>
    </row>
    <row r="54" spans="1:7" ht="15" x14ac:dyDescent="0.25">
      <c r="A54" s="1"/>
      <c r="B54" s="2"/>
      <c r="C54" s="8" t="s">
        <v>109</v>
      </c>
      <c r="D54" s="9"/>
      <c r="E54" s="47"/>
      <c r="F54" s="52"/>
      <c r="G54" s="10"/>
    </row>
    <row r="55" spans="1:7" ht="15" x14ac:dyDescent="0.25">
      <c r="A55" s="1"/>
      <c r="B55" s="2"/>
      <c r="C55" s="8" t="s">
        <v>104</v>
      </c>
      <c r="D55" s="12"/>
      <c r="E55" s="48"/>
      <c r="F55" s="53">
        <v>0</v>
      </c>
      <c r="G55" s="13">
        <v>0</v>
      </c>
    </row>
    <row r="56" spans="1:7" ht="15" x14ac:dyDescent="0.25">
      <c r="A56" s="1"/>
      <c r="B56" s="2"/>
      <c r="C56" s="14"/>
      <c r="D56" s="4"/>
      <c r="E56" s="46"/>
      <c r="F56" s="51"/>
      <c r="G56" s="5"/>
    </row>
    <row r="57" spans="1:7" ht="15" x14ac:dyDescent="0.25">
      <c r="A57" s="1"/>
      <c r="B57" s="2"/>
      <c r="C57" s="8" t="s">
        <v>110</v>
      </c>
      <c r="D57" s="9"/>
      <c r="E57" s="47"/>
      <c r="F57" s="52"/>
      <c r="G57" s="10"/>
    </row>
    <row r="58" spans="1:7" ht="15" x14ac:dyDescent="0.25">
      <c r="A58" s="6">
        <v>1</v>
      </c>
      <c r="B58" s="7"/>
      <c r="C58" s="11" t="s">
        <v>812</v>
      </c>
      <c r="D58" s="15" t="s">
        <v>382</v>
      </c>
      <c r="E58" s="134">
        <v>-60000</v>
      </c>
      <c r="F58" s="135">
        <v>-243.51</v>
      </c>
      <c r="G58" s="136">
        <v>-3.504446E-3</v>
      </c>
    </row>
    <row r="59" spans="1:7" ht="15" x14ac:dyDescent="0.25">
      <c r="A59" s="1"/>
      <c r="B59" s="2"/>
      <c r="C59" s="8" t="s">
        <v>104</v>
      </c>
      <c r="D59" s="12"/>
      <c r="E59" s="48"/>
      <c r="F59" s="137">
        <v>-243.51</v>
      </c>
      <c r="G59" s="138">
        <v>-3.504446E-3</v>
      </c>
    </row>
    <row r="60" spans="1:7" ht="15" x14ac:dyDescent="0.25">
      <c r="A60" s="1"/>
      <c r="B60" s="2"/>
      <c r="C60" s="14"/>
      <c r="D60" s="4"/>
      <c r="E60" s="46"/>
      <c r="F60" s="51"/>
      <c r="G60" s="5"/>
    </row>
    <row r="61" spans="1:7" ht="25.5" x14ac:dyDescent="0.25">
      <c r="A61" s="6"/>
      <c r="B61" s="7"/>
      <c r="C61" s="24" t="s">
        <v>111</v>
      </c>
      <c r="D61" s="25"/>
      <c r="E61" s="48"/>
      <c r="F61" s="53">
        <v>63451.523968449997</v>
      </c>
      <c r="G61" s="13">
        <v>0.91315522599999999</v>
      </c>
    </row>
    <row r="62" spans="1:7" ht="15" x14ac:dyDescent="0.25">
      <c r="A62" s="1"/>
      <c r="B62" s="2"/>
      <c r="C62" s="11"/>
      <c r="D62" s="4"/>
      <c r="E62" s="46"/>
      <c r="F62" s="51"/>
      <c r="G62" s="5"/>
    </row>
    <row r="63" spans="1:7" ht="15" x14ac:dyDescent="0.25">
      <c r="A63" s="1"/>
      <c r="B63" s="2"/>
      <c r="C63" s="3" t="s">
        <v>112</v>
      </c>
      <c r="D63" s="4"/>
      <c r="E63" s="46"/>
      <c r="F63" s="51"/>
      <c r="G63" s="5"/>
    </row>
    <row r="64" spans="1:7" ht="25.5" x14ac:dyDescent="0.25">
      <c r="A64" s="1"/>
      <c r="B64" s="2"/>
      <c r="C64" s="8" t="s">
        <v>10</v>
      </c>
      <c r="D64" s="9"/>
      <c r="E64" s="47"/>
      <c r="F64" s="52"/>
      <c r="G64" s="10"/>
    </row>
    <row r="65" spans="1:7" ht="15" x14ac:dyDescent="0.25">
      <c r="A65" s="6"/>
      <c r="B65" s="7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6"/>
      <c r="B66" s="7"/>
      <c r="C66" s="14"/>
      <c r="D66" s="4"/>
      <c r="E66" s="46"/>
      <c r="F66" s="51"/>
      <c r="G66" s="5"/>
    </row>
    <row r="67" spans="1:7" ht="15" x14ac:dyDescent="0.25">
      <c r="A67" s="1"/>
      <c r="B67" s="26"/>
      <c r="C67" s="8" t="s">
        <v>113</v>
      </c>
      <c r="D67" s="9"/>
      <c r="E67" s="47"/>
      <c r="F67" s="52"/>
      <c r="G67" s="10"/>
    </row>
    <row r="68" spans="1:7" ht="15" x14ac:dyDescent="0.25">
      <c r="A68" s="6"/>
      <c r="B68" s="7"/>
      <c r="C68" s="8" t="s">
        <v>104</v>
      </c>
      <c r="D68" s="12"/>
      <c r="E68" s="48"/>
      <c r="F68" s="53">
        <v>0</v>
      </c>
      <c r="G68" s="13">
        <v>0</v>
      </c>
    </row>
    <row r="69" spans="1:7" ht="15" x14ac:dyDescent="0.25">
      <c r="A69" s="6"/>
      <c r="B69" s="7"/>
      <c r="C69" s="14"/>
      <c r="D69" s="4"/>
      <c r="E69" s="46"/>
      <c r="F69" s="56"/>
      <c r="G69" s="27"/>
    </row>
    <row r="70" spans="1:7" ht="15" x14ac:dyDescent="0.25">
      <c r="A70" s="1"/>
      <c r="B70" s="2"/>
      <c r="C70" s="8" t="s">
        <v>114</v>
      </c>
      <c r="D70" s="9"/>
      <c r="E70" s="47"/>
      <c r="F70" s="52"/>
      <c r="G70" s="10"/>
    </row>
    <row r="71" spans="1:7" ht="15" x14ac:dyDescent="0.25">
      <c r="A71" s="6"/>
      <c r="B71" s="7"/>
      <c r="C71" s="8" t="s">
        <v>104</v>
      </c>
      <c r="D71" s="12"/>
      <c r="E71" s="48"/>
      <c r="F71" s="53">
        <v>0</v>
      </c>
      <c r="G71" s="13">
        <v>0</v>
      </c>
    </row>
    <row r="72" spans="1:7" ht="15" x14ac:dyDescent="0.25">
      <c r="A72" s="1"/>
      <c r="B72" s="2"/>
      <c r="C72" s="14"/>
      <c r="D72" s="4"/>
      <c r="E72" s="46"/>
      <c r="F72" s="51"/>
      <c r="G72" s="5"/>
    </row>
    <row r="73" spans="1:7" ht="25.5" x14ac:dyDescent="0.25">
      <c r="A73" s="1"/>
      <c r="B73" s="26"/>
      <c r="C73" s="8" t="s">
        <v>115</v>
      </c>
      <c r="D73" s="9"/>
      <c r="E73" s="47"/>
      <c r="F73" s="52"/>
      <c r="G73" s="10"/>
    </row>
    <row r="74" spans="1:7" ht="15" x14ac:dyDescent="0.25">
      <c r="A74" s="6"/>
      <c r="B74" s="7"/>
      <c r="C74" s="8" t="s">
        <v>104</v>
      </c>
      <c r="D74" s="12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4"/>
      <c r="E75" s="46"/>
      <c r="F75" s="51"/>
      <c r="G75" s="5"/>
    </row>
    <row r="76" spans="1:7" ht="15" x14ac:dyDescent="0.25">
      <c r="A76" s="6"/>
      <c r="B76" s="7"/>
      <c r="C76" s="28" t="s">
        <v>116</v>
      </c>
      <c r="D76" s="25"/>
      <c r="E76" s="48"/>
      <c r="F76" s="53">
        <v>0</v>
      </c>
      <c r="G76" s="13">
        <v>0</v>
      </c>
    </row>
    <row r="77" spans="1:7" ht="15" x14ac:dyDescent="0.25">
      <c r="A77" s="6"/>
      <c r="B77" s="7"/>
      <c r="C77" s="11"/>
      <c r="D77" s="4"/>
      <c r="E77" s="46"/>
      <c r="F77" s="51"/>
      <c r="G77" s="5"/>
    </row>
    <row r="78" spans="1:7" ht="15" x14ac:dyDescent="0.25">
      <c r="A78" s="1"/>
      <c r="B78" s="2"/>
      <c r="C78" s="3" t="s">
        <v>117</v>
      </c>
      <c r="D78" s="4"/>
      <c r="E78" s="46"/>
      <c r="F78" s="51"/>
      <c r="G78" s="5"/>
    </row>
    <row r="79" spans="1:7" ht="15" x14ac:dyDescent="0.25">
      <c r="A79" s="6"/>
      <c r="B79" s="7"/>
      <c r="C79" s="8" t="s">
        <v>118</v>
      </c>
      <c r="D79" s="9"/>
      <c r="E79" s="47"/>
      <c r="F79" s="52"/>
      <c r="G79" s="10"/>
    </row>
    <row r="80" spans="1:7" ht="15" x14ac:dyDescent="0.25">
      <c r="A80" s="6"/>
      <c r="B80" s="7"/>
      <c r="C80" s="8" t="s">
        <v>104</v>
      </c>
      <c r="D80" s="25"/>
      <c r="E80" s="48"/>
      <c r="F80" s="53">
        <v>0</v>
      </c>
      <c r="G80" s="13">
        <v>0</v>
      </c>
    </row>
    <row r="81" spans="1:7" ht="15" x14ac:dyDescent="0.25">
      <c r="A81" s="6"/>
      <c r="B81" s="7"/>
      <c r="C81" s="14"/>
      <c r="D81" s="7"/>
      <c r="E81" s="46"/>
      <c r="F81" s="51"/>
      <c r="G81" s="5"/>
    </row>
    <row r="82" spans="1:7" ht="15" x14ac:dyDescent="0.25">
      <c r="A82" s="6"/>
      <c r="B82" s="7"/>
      <c r="C82" s="8" t="s">
        <v>119</v>
      </c>
      <c r="D82" s="9"/>
      <c r="E82" s="47"/>
      <c r="F82" s="52"/>
      <c r="G82" s="10"/>
    </row>
    <row r="83" spans="1:7" ht="15" x14ac:dyDescent="0.25">
      <c r="A83" s="6"/>
      <c r="B83" s="7"/>
      <c r="C83" s="8" t="s">
        <v>104</v>
      </c>
      <c r="D83" s="25"/>
      <c r="E83" s="48"/>
      <c r="F83" s="53">
        <v>0</v>
      </c>
      <c r="G83" s="13">
        <v>0</v>
      </c>
    </row>
    <row r="84" spans="1:7" ht="15" x14ac:dyDescent="0.25">
      <c r="A84" s="6"/>
      <c r="B84" s="7"/>
      <c r="C84" s="14"/>
      <c r="D84" s="7"/>
      <c r="E84" s="46"/>
      <c r="F84" s="51"/>
      <c r="G84" s="5"/>
    </row>
    <row r="85" spans="1:7" ht="15" x14ac:dyDescent="0.25">
      <c r="A85" s="6"/>
      <c r="B85" s="7"/>
      <c r="C85" s="8" t="s">
        <v>120</v>
      </c>
      <c r="D85" s="9"/>
      <c r="E85" s="47"/>
      <c r="F85" s="52"/>
      <c r="G85" s="10"/>
    </row>
    <row r="86" spans="1:7" ht="15" x14ac:dyDescent="0.25">
      <c r="A86" s="6"/>
      <c r="B86" s="7"/>
      <c r="C86" s="8" t="s">
        <v>104</v>
      </c>
      <c r="D86" s="25"/>
      <c r="E86" s="48"/>
      <c r="F86" s="53">
        <v>0</v>
      </c>
      <c r="G86" s="13">
        <v>0</v>
      </c>
    </row>
    <row r="87" spans="1:7" ht="15" x14ac:dyDescent="0.25">
      <c r="A87" s="6"/>
      <c r="B87" s="7"/>
      <c r="C87" s="14"/>
      <c r="D87" s="7"/>
      <c r="E87" s="46"/>
      <c r="F87" s="51"/>
      <c r="G87" s="5"/>
    </row>
    <row r="88" spans="1:7" ht="15" x14ac:dyDescent="0.25">
      <c r="A88" s="6"/>
      <c r="B88" s="7"/>
      <c r="C88" s="8" t="s">
        <v>121</v>
      </c>
      <c r="D88" s="9"/>
      <c r="E88" s="47"/>
      <c r="F88" s="52"/>
      <c r="G88" s="10"/>
    </row>
    <row r="89" spans="1:7" ht="15" x14ac:dyDescent="0.25">
      <c r="A89" s="6">
        <v>1</v>
      </c>
      <c r="B89" s="7"/>
      <c r="C89" s="11" t="s">
        <v>730</v>
      </c>
      <c r="D89" s="15"/>
      <c r="E89" s="46"/>
      <c r="F89" s="51">
        <v>1678.7428998</v>
      </c>
      <c r="G89" s="5">
        <v>2.4159433000000001E-2</v>
      </c>
    </row>
    <row r="90" spans="1:7" ht="15" x14ac:dyDescent="0.25">
      <c r="A90" s="6"/>
      <c r="B90" s="7"/>
      <c r="C90" s="8" t="s">
        <v>104</v>
      </c>
      <c r="D90" s="25"/>
      <c r="E90" s="48"/>
      <c r="F90" s="53">
        <v>1678.7428998</v>
      </c>
      <c r="G90" s="13">
        <v>2.4159433000000001E-2</v>
      </c>
    </row>
    <row r="91" spans="1:7" ht="15" x14ac:dyDescent="0.25">
      <c r="A91" s="6"/>
      <c r="B91" s="7"/>
      <c r="C91" s="14"/>
      <c r="D91" s="7"/>
      <c r="E91" s="46"/>
      <c r="F91" s="51"/>
      <c r="G91" s="5"/>
    </row>
    <row r="92" spans="1:7" ht="25.5" x14ac:dyDescent="0.25">
      <c r="A92" s="6"/>
      <c r="B92" s="7"/>
      <c r="C92" s="24" t="s">
        <v>122</v>
      </c>
      <c r="D92" s="25"/>
      <c r="E92" s="48"/>
      <c r="F92" s="53">
        <v>1678.7428998</v>
      </c>
      <c r="G92" s="13">
        <v>2.4159433000000001E-2</v>
      </c>
    </row>
    <row r="93" spans="1:7" ht="15" x14ac:dyDescent="0.25">
      <c r="A93" s="6"/>
      <c r="B93" s="7"/>
      <c r="C93" s="29"/>
      <c r="D93" s="7"/>
      <c r="E93" s="46"/>
      <c r="F93" s="51"/>
      <c r="G93" s="5"/>
    </row>
    <row r="94" spans="1:7" ht="15" x14ac:dyDescent="0.25">
      <c r="A94" s="1"/>
      <c r="B94" s="2"/>
      <c r="C94" s="3" t="s">
        <v>123</v>
      </c>
      <c r="D94" s="4"/>
      <c r="E94" s="46"/>
      <c r="F94" s="51"/>
      <c r="G94" s="5"/>
    </row>
    <row r="95" spans="1:7" ht="25.5" x14ac:dyDescent="0.25">
      <c r="A95" s="6"/>
      <c r="B95" s="7"/>
      <c r="C95" s="8" t="s">
        <v>124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7"/>
      <c r="E97" s="46"/>
      <c r="F97" s="51"/>
      <c r="G97" s="5"/>
    </row>
    <row r="98" spans="1:7" ht="15" x14ac:dyDescent="0.25">
      <c r="A98" s="1"/>
      <c r="B98" s="2"/>
      <c r="C98" s="3" t="s">
        <v>125</v>
      </c>
      <c r="D98" s="4"/>
      <c r="E98" s="46"/>
      <c r="F98" s="51"/>
      <c r="G98" s="5"/>
    </row>
    <row r="99" spans="1:7" ht="25.5" x14ac:dyDescent="0.25">
      <c r="A99" s="6"/>
      <c r="B99" s="7"/>
      <c r="C99" s="8" t="s">
        <v>126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7"/>
      <c r="E101" s="46"/>
      <c r="F101" s="51"/>
      <c r="G101" s="5"/>
    </row>
    <row r="102" spans="1:7" ht="25.5" x14ac:dyDescent="0.25">
      <c r="A102" s="6"/>
      <c r="B102" s="7"/>
      <c r="C102" s="8" t="s">
        <v>127</v>
      </c>
      <c r="D102" s="9"/>
      <c r="E102" s="47"/>
      <c r="F102" s="52"/>
      <c r="G102" s="10"/>
    </row>
    <row r="103" spans="1:7" ht="15" x14ac:dyDescent="0.25">
      <c r="A103" s="6"/>
      <c r="B103" s="7"/>
      <c r="C103" s="8" t="s">
        <v>104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4"/>
      <c r="D104" s="7"/>
      <c r="E104" s="46"/>
      <c r="F104" s="56"/>
      <c r="G104" s="27"/>
    </row>
    <row r="105" spans="1:7" ht="15" x14ac:dyDescent="0.25">
      <c r="A105" s="6"/>
      <c r="B105" s="7"/>
      <c r="C105" s="14" t="s">
        <v>383</v>
      </c>
      <c r="D105" s="7"/>
      <c r="E105" s="46"/>
      <c r="F105" s="56">
        <v>296.58050989999998</v>
      </c>
      <c r="G105" s="27">
        <v>4.2682040000000003E-3</v>
      </c>
    </row>
    <row r="106" spans="1:7" ht="25.5" x14ac:dyDescent="0.25">
      <c r="A106" s="6"/>
      <c r="B106" s="7"/>
      <c r="C106" s="29" t="s">
        <v>128</v>
      </c>
      <c r="D106" s="7"/>
      <c r="E106" s="46"/>
      <c r="F106" s="56">
        <v>4059.17454378</v>
      </c>
      <c r="G106" s="27">
        <v>5.8417138174072285E-2</v>
      </c>
    </row>
    <row r="107" spans="1:7" ht="15" x14ac:dyDescent="0.25">
      <c r="A107" s="6"/>
      <c r="B107" s="7"/>
      <c r="C107" s="30" t="s">
        <v>129</v>
      </c>
      <c r="D107" s="12"/>
      <c r="E107" s="48"/>
      <c r="F107" s="53">
        <v>69486.021921929991</v>
      </c>
      <c r="G107" s="13">
        <v>1.0000000010000001</v>
      </c>
    </row>
    <row r="108" spans="1:7" ht="15.95" customHeight="1" x14ac:dyDescent="0.25">
      <c r="F108" s="139"/>
    </row>
    <row r="109" spans="1:7" ht="15" x14ac:dyDescent="0.25">
      <c r="B109" s="279"/>
      <c r="C109" s="279"/>
      <c r="D109" s="279"/>
      <c r="E109" s="279"/>
      <c r="F109" s="279"/>
    </row>
    <row r="110" spans="1:7" ht="15" x14ac:dyDescent="0.25">
      <c r="B110" s="279"/>
      <c r="C110" s="279"/>
      <c r="D110" s="279"/>
      <c r="E110" s="279"/>
      <c r="F110" s="279"/>
    </row>
    <row r="112" spans="1:7" ht="15" x14ac:dyDescent="0.25">
      <c r="B112" s="36" t="s">
        <v>131</v>
      </c>
      <c r="C112" s="37"/>
      <c r="D112" s="38"/>
    </row>
    <row r="113" spans="2:256" ht="15" x14ac:dyDescent="0.25">
      <c r="B113" s="39" t="s">
        <v>132</v>
      </c>
      <c r="C113" s="40"/>
      <c r="D113" s="62" t="s">
        <v>133</v>
      </c>
    </row>
    <row r="114" spans="2:256" ht="15" x14ac:dyDescent="0.25">
      <c r="B114" s="39" t="s">
        <v>134</v>
      </c>
      <c r="C114" s="40"/>
      <c r="D114" s="62" t="s">
        <v>133</v>
      </c>
    </row>
    <row r="115" spans="2:256" ht="15" x14ac:dyDescent="0.25">
      <c r="B115" s="41" t="s">
        <v>135</v>
      </c>
      <c r="C115" s="40"/>
      <c r="D115" s="42"/>
    </row>
    <row r="116" spans="2:256" ht="25.5" customHeight="1" x14ac:dyDescent="0.25">
      <c r="B116" s="42"/>
      <c r="C116" s="32" t="s">
        <v>136</v>
      </c>
      <c r="D116" s="33" t="s">
        <v>137</v>
      </c>
    </row>
    <row r="117" spans="2:256" ht="12.75" customHeight="1" x14ac:dyDescent="0.25">
      <c r="B117" s="57" t="s">
        <v>138</v>
      </c>
      <c r="C117" s="58" t="s">
        <v>139</v>
      </c>
      <c r="D117" s="58" t="s">
        <v>140</v>
      </c>
    </row>
    <row r="118" spans="2:256" ht="15" x14ac:dyDescent="0.25">
      <c r="B118" s="42" t="s">
        <v>141</v>
      </c>
      <c r="C118" s="43">
        <v>36.796500000000002</v>
      </c>
      <c r="D118" s="43">
        <v>34.355499999999999</v>
      </c>
    </row>
    <row r="119" spans="2:256" ht="15" x14ac:dyDescent="0.25">
      <c r="B119" s="42" t="s">
        <v>142</v>
      </c>
      <c r="C119" s="43">
        <v>19.398900000000001</v>
      </c>
      <c r="D119" s="43">
        <v>17.619599999999998</v>
      </c>
    </row>
    <row r="120" spans="2:256" ht="15" x14ac:dyDescent="0.25">
      <c r="B120" s="42" t="s">
        <v>143</v>
      </c>
      <c r="C120" s="43">
        <v>35.098500000000001</v>
      </c>
      <c r="D120" s="43">
        <v>32.745100000000001</v>
      </c>
    </row>
    <row r="121" spans="2:256" ht="15" x14ac:dyDescent="0.25">
      <c r="B121" s="42" t="s">
        <v>144</v>
      </c>
      <c r="C121" s="43">
        <v>18.191500000000001</v>
      </c>
      <c r="D121" s="43">
        <v>16.479500000000002</v>
      </c>
    </row>
    <row r="123" spans="2:256" ht="15" x14ac:dyDescent="0.25">
      <c r="B123" s="126" t="s">
        <v>145</v>
      </c>
      <c r="C123" s="127"/>
      <c r="IV123"/>
    </row>
    <row r="124" spans="2:256" ht="24.75" customHeight="1" x14ac:dyDescent="0.25">
      <c r="B124" s="128" t="s">
        <v>138</v>
      </c>
      <c r="C124" s="128" t="s">
        <v>386</v>
      </c>
    </row>
    <row r="125" spans="2:256" ht="15" x14ac:dyDescent="0.25">
      <c r="B125" s="42" t="s">
        <v>142</v>
      </c>
      <c r="C125" s="133">
        <v>0.44270399999999999</v>
      </c>
    </row>
    <row r="126" spans="2:256" ht="15" x14ac:dyDescent="0.25">
      <c r="B126" s="42" t="s">
        <v>144</v>
      </c>
      <c r="C126" s="133">
        <v>0.44270399999999999</v>
      </c>
      <c r="D126"/>
    </row>
    <row r="128" spans="2:256" ht="15" x14ac:dyDescent="0.25">
      <c r="B128" s="41" t="s">
        <v>146</v>
      </c>
      <c r="C128" s="40"/>
      <c r="D128" s="64" t="s">
        <v>133</v>
      </c>
    </row>
    <row r="129" spans="2:4" ht="15" x14ac:dyDescent="0.25">
      <c r="B129" s="41" t="s">
        <v>147</v>
      </c>
      <c r="C129" s="40"/>
      <c r="D129" s="64" t="s">
        <v>133</v>
      </c>
    </row>
    <row r="130" spans="2:4" ht="15" x14ac:dyDescent="0.25">
      <c r="B130" s="41" t="s">
        <v>148</v>
      </c>
      <c r="C130" s="40"/>
      <c r="D130" s="45">
        <v>5.6470535538113646E-2</v>
      </c>
    </row>
    <row r="131" spans="2:4" ht="15" x14ac:dyDescent="0.25">
      <c r="B131" s="41" t="s">
        <v>149</v>
      </c>
      <c r="C131" s="40"/>
      <c r="D131" s="45" t="s">
        <v>133</v>
      </c>
    </row>
  </sheetData>
  <mergeCells count="5">
    <mergeCell ref="A1:G1"/>
    <mergeCell ref="A2:G2"/>
    <mergeCell ref="A3:G3"/>
    <mergeCell ref="B109:F109"/>
    <mergeCell ref="B110:F11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15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439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60</v>
      </c>
      <c r="C7" s="11" t="s">
        <v>61</v>
      </c>
      <c r="D7" s="2" t="s">
        <v>16</v>
      </c>
      <c r="E7" s="46">
        <v>62753</v>
      </c>
      <c r="F7" s="51">
        <v>606.19398000000001</v>
      </c>
      <c r="G7" s="5">
        <v>4.41842E-2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100000</v>
      </c>
      <c r="F8" s="51">
        <v>549.85</v>
      </c>
      <c r="G8" s="5">
        <v>4.0077406000000003E-2</v>
      </c>
    </row>
    <row r="9" spans="1:7" ht="15" x14ac:dyDescent="0.25">
      <c r="A9" s="6">
        <v>3</v>
      </c>
      <c r="B9" s="7" t="s">
        <v>163</v>
      </c>
      <c r="C9" s="11" t="s">
        <v>164</v>
      </c>
      <c r="D9" s="2" t="s">
        <v>13</v>
      </c>
      <c r="E9" s="46">
        <v>271808</v>
      </c>
      <c r="F9" s="51">
        <v>531.38463999999999</v>
      </c>
      <c r="G9" s="5">
        <v>3.8731504999999999E-2</v>
      </c>
    </row>
    <row r="10" spans="1:7" ht="25.5" x14ac:dyDescent="0.25">
      <c r="A10" s="6">
        <v>4</v>
      </c>
      <c r="B10" s="7" t="s">
        <v>20</v>
      </c>
      <c r="C10" s="11" t="s">
        <v>21</v>
      </c>
      <c r="D10" s="2" t="s">
        <v>22</v>
      </c>
      <c r="E10" s="46">
        <v>66104</v>
      </c>
      <c r="F10" s="51">
        <v>448.71395200000001</v>
      </c>
      <c r="G10" s="5">
        <v>3.2705813E-2</v>
      </c>
    </row>
    <row r="11" spans="1:7" ht="25.5" x14ac:dyDescent="0.25">
      <c r="A11" s="6">
        <v>5</v>
      </c>
      <c r="B11" s="7" t="s">
        <v>189</v>
      </c>
      <c r="C11" s="11" t="s">
        <v>190</v>
      </c>
      <c r="D11" s="2" t="s">
        <v>167</v>
      </c>
      <c r="E11" s="46">
        <v>94926</v>
      </c>
      <c r="F11" s="51">
        <v>419.00336399999998</v>
      </c>
      <c r="G11" s="5">
        <v>3.0540271000000001E-2</v>
      </c>
    </row>
    <row r="12" spans="1:7" ht="25.5" x14ac:dyDescent="0.25">
      <c r="A12" s="6">
        <v>6</v>
      </c>
      <c r="B12" s="7" t="s">
        <v>68</v>
      </c>
      <c r="C12" s="11" t="s">
        <v>69</v>
      </c>
      <c r="D12" s="2" t="s">
        <v>19</v>
      </c>
      <c r="E12" s="46">
        <v>326826</v>
      </c>
      <c r="F12" s="51">
        <v>395.132634</v>
      </c>
      <c r="G12" s="5">
        <v>2.8800383999999998E-2</v>
      </c>
    </row>
    <row r="13" spans="1:7" ht="25.5" x14ac:dyDescent="0.25">
      <c r="A13" s="6">
        <v>7</v>
      </c>
      <c r="B13" s="7" t="s">
        <v>440</v>
      </c>
      <c r="C13" s="11" t="s">
        <v>441</v>
      </c>
      <c r="D13" s="2" t="s">
        <v>59</v>
      </c>
      <c r="E13" s="46">
        <v>246500</v>
      </c>
      <c r="F13" s="51">
        <v>377.51474999999999</v>
      </c>
      <c r="G13" s="5">
        <v>2.7516253000000001E-2</v>
      </c>
    </row>
    <row r="14" spans="1:7" ht="25.5" x14ac:dyDescent="0.25">
      <c r="A14" s="6">
        <v>8</v>
      </c>
      <c r="B14" s="7" t="s">
        <v>25</v>
      </c>
      <c r="C14" s="11" t="s">
        <v>26</v>
      </c>
      <c r="D14" s="2" t="s">
        <v>27</v>
      </c>
      <c r="E14" s="46">
        <v>76571</v>
      </c>
      <c r="F14" s="51">
        <v>367.27280150000001</v>
      </c>
      <c r="G14" s="5">
        <v>2.6769739000000001E-2</v>
      </c>
    </row>
    <row r="15" spans="1:7" ht="25.5" x14ac:dyDescent="0.25">
      <c r="A15" s="6">
        <v>9</v>
      </c>
      <c r="B15" s="7" t="s">
        <v>196</v>
      </c>
      <c r="C15" s="11" t="s">
        <v>846</v>
      </c>
      <c r="D15" s="2" t="s">
        <v>59</v>
      </c>
      <c r="E15" s="46">
        <v>20924</v>
      </c>
      <c r="F15" s="51">
        <v>343.425612</v>
      </c>
      <c r="G15" s="5">
        <v>2.5031568000000001E-2</v>
      </c>
    </row>
    <row r="16" spans="1:7" ht="25.5" x14ac:dyDescent="0.25">
      <c r="A16" s="6">
        <v>10</v>
      </c>
      <c r="B16" s="7" t="s">
        <v>57</v>
      </c>
      <c r="C16" s="11" t="s">
        <v>58</v>
      </c>
      <c r="D16" s="2" t="s">
        <v>59</v>
      </c>
      <c r="E16" s="46">
        <v>49957</v>
      </c>
      <c r="F16" s="51">
        <v>338.10897599999998</v>
      </c>
      <c r="G16" s="5">
        <v>2.4644050000000001E-2</v>
      </c>
    </row>
    <row r="17" spans="1:7" ht="15" x14ac:dyDescent="0.25">
      <c r="A17" s="6">
        <v>11</v>
      </c>
      <c r="B17" s="7" t="s">
        <v>442</v>
      </c>
      <c r="C17" s="11" t="s">
        <v>443</v>
      </c>
      <c r="D17" s="2" t="s">
        <v>162</v>
      </c>
      <c r="E17" s="46">
        <v>64096</v>
      </c>
      <c r="F17" s="51">
        <v>336.34375999999997</v>
      </c>
      <c r="G17" s="5">
        <v>2.4515387E-2</v>
      </c>
    </row>
    <row r="18" spans="1:7" ht="15" x14ac:dyDescent="0.25">
      <c r="A18" s="6">
        <v>12</v>
      </c>
      <c r="B18" s="7" t="s">
        <v>444</v>
      </c>
      <c r="C18" s="11" t="s">
        <v>445</v>
      </c>
      <c r="D18" s="2" t="s">
        <v>193</v>
      </c>
      <c r="E18" s="46">
        <v>45800</v>
      </c>
      <c r="F18" s="51">
        <v>335.46210000000002</v>
      </c>
      <c r="G18" s="5">
        <v>2.4451124000000001E-2</v>
      </c>
    </row>
    <row r="19" spans="1:7" ht="25.5" x14ac:dyDescent="0.25">
      <c r="A19" s="6">
        <v>13</v>
      </c>
      <c r="B19" s="7" t="s">
        <v>174</v>
      </c>
      <c r="C19" s="11" t="s">
        <v>175</v>
      </c>
      <c r="D19" s="2" t="s">
        <v>22</v>
      </c>
      <c r="E19" s="46">
        <v>109488</v>
      </c>
      <c r="F19" s="51">
        <v>322.880112</v>
      </c>
      <c r="G19" s="5">
        <v>2.3534050000000001E-2</v>
      </c>
    </row>
    <row r="20" spans="1:7" ht="15" x14ac:dyDescent="0.25">
      <c r="A20" s="6">
        <v>14</v>
      </c>
      <c r="B20" s="7" t="s">
        <v>49</v>
      </c>
      <c r="C20" s="11" t="s">
        <v>50</v>
      </c>
      <c r="D20" s="2" t="s">
        <v>51</v>
      </c>
      <c r="E20" s="46">
        <v>120420</v>
      </c>
      <c r="F20" s="51">
        <v>315.01871999999997</v>
      </c>
      <c r="G20" s="5">
        <v>2.2961049000000001E-2</v>
      </c>
    </row>
    <row r="21" spans="1:7" ht="25.5" x14ac:dyDescent="0.25">
      <c r="A21" s="6">
        <v>15</v>
      </c>
      <c r="B21" s="7" t="s">
        <v>45</v>
      </c>
      <c r="C21" s="11" t="s">
        <v>46</v>
      </c>
      <c r="D21" s="2" t="s">
        <v>22</v>
      </c>
      <c r="E21" s="46">
        <v>51448</v>
      </c>
      <c r="F21" s="51">
        <v>314.81031200000001</v>
      </c>
      <c r="G21" s="5">
        <v>2.2945858999999999E-2</v>
      </c>
    </row>
    <row r="22" spans="1:7" ht="25.5" x14ac:dyDescent="0.25">
      <c r="A22" s="6">
        <v>16</v>
      </c>
      <c r="B22" s="7" t="s">
        <v>153</v>
      </c>
      <c r="C22" s="11" t="s">
        <v>154</v>
      </c>
      <c r="D22" s="2" t="s">
        <v>155</v>
      </c>
      <c r="E22" s="46">
        <v>47349</v>
      </c>
      <c r="F22" s="51">
        <v>294.88957199999999</v>
      </c>
      <c r="G22" s="5">
        <v>2.1493878000000001E-2</v>
      </c>
    </row>
    <row r="23" spans="1:7" ht="25.5" x14ac:dyDescent="0.25">
      <c r="A23" s="6">
        <v>17</v>
      </c>
      <c r="B23" s="7" t="s">
        <v>176</v>
      </c>
      <c r="C23" s="11" t="s">
        <v>177</v>
      </c>
      <c r="D23" s="2" t="s">
        <v>30</v>
      </c>
      <c r="E23" s="46">
        <v>30064</v>
      </c>
      <c r="F23" s="51">
        <v>292.58284800000001</v>
      </c>
      <c r="G23" s="5">
        <v>2.1325746E-2</v>
      </c>
    </row>
    <row r="24" spans="1:7" ht="15" x14ac:dyDescent="0.25">
      <c r="A24" s="6">
        <v>18</v>
      </c>
      <c r="B24" s="7" t="s">
        <v>197</v>
      </c>
      <c r="C24" s="11" t="s">
        <v>198</v>
      </c>
      <c r="D24" s="2" t="s">
        <v>162</v>
      </c>
      <c r="E24" s="46">
        <v>92049</v>
      </c>
      <c r="F24" s="51">
        <v>270.94623150000001</v>
      </c>
      <c r="G24" s="5">
        <v>1.9748699000000002E-2</v>
      </c>
    </row>
    <row r="25" spans="1:7" ht="25.5" x14ac:dyDescent="0.25">
      <c r="A25" s="6">
        <v>19</v>
      </c>
      <c r="B25" s="7" t="s">
        <v>90</v>
      </c>
      <c r="C25" s="11" t="s">
        <v>91</v>
      </c>
      <c r="D25" s="2" t="s">
        <v>22</v>
      </c>
      <c r="E25" s="46">
        <v>27059</v>
      </c>
      <c r="F25" s="51">
        <v>270.57647050000003</v>
      </c>
      <c r="G25" s="5">
        <v>1.9721748000000001E-2</v>
      </c>
    </row>
    <row r="26" spans="1:7" ht="51" x14ac:dyDescent="0.25">
      <c r="A26" s="6">
        <v>20</v>
      </c>
      <c r="B26" s="7" t="s">
        <v>248</v>
      </c>
      <c r="C26" s="11" t="s">
        <v>249</v>
      </c>
      <c r="D26" s="2" t="s">
        <v>235</v>
      </c>
      <c r="E26" s="46">
        <v>163724</v>
      </c>
      <c r="F26" s="51">
        <v>270.39018600000003</v>
      </c>
      <c r="G26" s="5">
        <v>1.9708170000000001E-2</v>
      </c>
    </row>
    <row r="27" spans="1:7" ht="25.5" x14ac:dyDescent="0.25">
      <c r="A27" s="6">
        <v>21</v>
      </c>
      <c r="B27" s="7" t="s">
        <v>178</v>
      </c>
      <c r="C27" s="11" t="s">
        <v>179</v>
      </c>
      <c r="D27" s="2" t="s">
        <v>22</v>
      </c>
      <c r="E27" s="46">
        <v>77404</v>
      </c>
      <c r="F27" s="51">
        <v>269.59813200000002</v>
      </c>
      <c r="G27" s="5">
        <v>1.9650438999999999E-2</v>
      </c>
    </row>
    <row r="28" spans="1:7" ht="15" x14ac:dyDescent="0.25">
      <c r="A28" s="6">
        <v>22</v>
      </c>
      <c r="B28" s="7" t="s">
        <v>160</v>
      </c>
      <c r="C28" s="11" t="s">
        <v>161</v>
      </c>
      <c r="D28" s="2" t="s">
        <v>162</v>
      </c>
      <c r="E28" s="46">
        <v>101134</v>
      </c>
      <c r="F28" s="51">
        <v>266.589224</v>
      </c>
      <c r="G28" s="5">
        <v>1.9431126E-2</v>
      </c>
    </row>
    <row r="29" spans="1:7" ht="15" x14ac:dyDescent="0.25">
      <c r="A29" s="6">
        <v>23</v>
      </c>
      <c r="B29" s="7" t="s">
        <v>151</v>
      </c>
      <c r="C29" s="11" t="s">
        <v>152</v>
      </c>
      <c r="D29" s="2" t="s">
        <v>16</v>
      </c>
      <c r="E29" s="46">
        <v>133209</v>
      </c>
      <c r="F29" s="51">
        <v>257.89262400000001</v>
      </c>
      <c r="G29" s="5">
        <v>1.8797248999999999E-2</v>
      </c>
    </row>
    <row r="30" spans="1:7" ht="15" x14ac:dyDescent="0.25">
      <c r="A30" s="6">
        <v>24</v>
      </c>
      <c r="B30" s="7" t="s">
        <v>446</v>
      </c>
      <c r="C30" s="11" t="s">
        <v>447</v>
      </c>
      <c r="D30" s="2" t="s">
        <v>162</v>
      </c>
      <c r="E30" s="46">
        <v>224739</v>
      </c>
      <c r="F30" s="51">
        <v>252.83137500000001</v>
      </c>
      <c r="G30" s="5">
        <v>1.8428344999999999E-2</v>
      </c>
    </row>
    <row r="31" spans="1:7" ht="15" x14ac:dyDescent="0.25">
      <c r="A31" s="6">
        <v>25</v>
      </c>
      <c r="B31" s="7" t="s">
        <v>295</v>
      </c>
      <c r="C31" s="11" t="s">
        <v>296</v>
      </c>
      <c r="D31" s="2" t="s">
        <v>170</v>
      </c>
      <c r="E31" s="46">
        <v>11524</v>
      </c>
      <c r="F31" s="51">
        <v>244.470136</v>
      </c>
      <c r="G31" s="5">
        <v>1.7818911999999999E-2</v>
      </c>
    </row>
    <row r="32" spans="1:7" ht="15" x14ac:dyDescent="0.25">
      <c r="A32" s="6">
        <v>26</v>
      </c>
      <c r="B32" s="7" t="s">
        <v>182</v>
      </c>
      <c r="C32" s="11" t="s">
        <v>183</v>
      </c>
      <c r="D32" s="2" t="s">
        <v>184</v>
      </c>
      <c r="E32" s="46">
        <v>129791</v>
      </c>
      <c r="F32" s="51">
        <v>242.57937899999999</v>
      </c>
      <c r="G32" s="5">
        <v>1.7681098999999999E-2</v>
      </c>
    </row>
    <row r="33" spans="1:7" ht="15" x14ac:dyDescent="0.25">
      <c r="A33" s="6">
        <v>27</v>
      </c>
      <c r="B33" s="7" t="s">
        <v>187</v>
      </c>
      <c r="C33" s="11" t="s">
        <v>188</v>
      </c>
      <c r="D33" s="2" t="s">
        <v>162</v>
      </c>
      <c r="E33" s="46">
        <v>26290</v>
      </c>
      <c r="F33" s="51">
        <v>241.223895</v>
      </c>
      <c r="G33" s="5">
        <v>1.7582299999999999E-2</v>
      </c>
    </row>
    <row r="34" spans="1:7" ht="25.5" x14ac:dyDescent="0.25">
      <c r="A34" s="6">
        <v>28</v>
      </c>
      <c r="B34" s="7" t="s">
        <v>92</v>
      </c>
      <c r="C34" s="11" t="s">
        <v>93</v>
      </c>
      <c r="D34" s="2" t="s">
        <v>22</v>
      </c>
      <c r="E34" s="46">
        <v>54803</v>
      </c>
      <c r="F34" s="51">
        <v>240.33855650000001</v>
      </c>
      <c r="G34" s="5">
        <v>1.7517769999999998E-2</v>
      </c>
    </row>
    <row r="35" spans="1:7" ht="25.5" x14ac:dyDescent="0.25">
      <c r="A35" s="6">
        <v>29</v>
      </c>
      <c r="B35" s="7" t="s">
        <v>205</v>
      </c>
      <c r="C35" s="11" t="s">
        <v>206</v>
      </c>
      <c r="D35" s="2" t="s">
        <v>173</v>
      </c>
      <c r="E35" s="46">
        <v>233182</v>
      </c>
      <c r="F35" s="51">
        <v>236.09677500000001</v>
      </c>
      <c r="G35" s="5">
        <v>1.7208596E-2</v>
      </c>
    </row>
    <row r="36" spans="1:7" ht="25.5" x14ac:dyDescent="0.25">
      <c r="A36" s="6">
        <v>30</v>
      </c>
      <c r="B36" s="7" t="s">
        <v>94</v>
      </c>
      <c r="C36" s="11" t="s">
        <v>95</v>
      </c>
      <c r="D36" s="2" t="s">
        <v>22</v>
      </c>
      <c r="E36" s="46">
        <v>220000</v>
      </c>
      <c r="F36" s="51">
        <v>225.39</v>
      </c>
      <c r="G36" s="5">
        <v>1.6428201E-2</v>
      </c>
    </row>
    <row r="37" spans="1:7" ht="25.5" x14ac:dyDescent="0.25">
      <c r="A37" s="6">
        <v>31</v>
      </c>
      <c r="B37" s="7" t="s">
        <v>171</v>
      </c>
      <c r="C37" s="11" t="s">
        <v>172</v>
      </c>
      <c r="D37" s="2" t="s">
        <v>173</v>
      </c>
      <c r="E37" s="46">
        <v>73070</v>
      </c>
      <c r="F37" s="51">
        <v>214.789265</v>
      </c>
      <c r="G37" s="5">
        <v>1.5655536000000001E-2</v>
      </c>
    </row>
    <row r="38" spans="1:7" ht="15" x14ac:dyDescent="0.25">
      <c r="A38" s="6">
        <v>32</v>
      </c>
      <c r="B38" s="7" t="s">
        <v>158</v>
      </c>
      <c r="C38" s="11" t="s">
        <v>159</v>
      </c>
      <c r="D38" s="2" t="s">
        <v>16</v>
      </c>
      <c r="E38" s="46">
        <v>240000</v>
      </c>
      <c r="F38" s="51">
        <v>210.72</v>
      </c>
      <c r="G38" s="5">
        <v>1.5358936E-2</v>
      </c>
    </row>
    <row r="39" spans="1:7" ht="25.5" x14ac:dyDescent="0.25">
      <c r="A39" s="6">
        <v>33</v>
      </c>
      <c r="B39" s="7" t="s">
        <v>70</v>
      </c>
      <c r="C39" s="11" t="s">
        <v>71</v>
      </c>
      <c r="D39" s="2" t="s">
        <v>22</v>
      </c>
      <c r="E39" s="46">
        <v>17798</v>
      </c>
      <c r="F39" s="51">
        <v>195.27965599999999</v>
      </c>
      <c r="G39" s="5">
        <v>1.4233522E-2</v>
      </c>
    </row>
    <row r="40" spans="1:7" ht="25.5" x14ac:dyDescent="0.25">
      <c r="A40" s="6">
        <v>34</v>
      </c>
      <c r="B40" s="7" t="s">
        <v>355</v>
      </c>
      <c r="C40" s="11" t="s">
        <v>356</v>
      </c>
      <c r="D40" s="2" t="s">
        <v>22</v>
      </c>
      <c r="E40" s="46">
        <v>58572</v>
      </c>
      <c r="F40" s="51">
        <v>193.14116999999999</v>
      </c>
      <c r="G40" s="5">
        <v>1.4077652E-2</v>
      </c>
    </row>
    <row r="41" spans="1:7" ht="15" x14ac:dyDescent="0.25">
      <c r="A41" s="6">
        <v>35</v>
      </c>
      <c r="B41" s="7" t="s">
        <v>220</v>
      </c>
      <c r="C41" s="11" t="s">
        <v>221</v>
      </c>
      <c r="D41" s="2" t="s">
        <v>193</v>
      </c>
      <c r="E41" s="46">
        <v>100362</v>
      </c>
      <c r="F41" s="51">
        <v>192.59467799999999</v>
      </c>
      <c r="G41" s="5">
        <v>1.4037819999999999E-2</v>
      </c>
    </row>
    <row r="42" spans="1:7" ht="15" x14ac:dyDescent="0.25">
      <c r="A42" s="6">
        <v>36</v>
      </c>
      <c r="B42" s="7" t="s">
        <v>211</v>
      </c>
      <c r="C42" s="11" t="s">
        <v>212</v>
      </c>
      <c r="D42" s="2" t="s">
        <v>162</v>
      </c>
      <c r="E42" s="46">
        <v>220000</v>
      </c>
      <c r="F42" s="51">
        <v>174.9</v>
      </c>
      <c r="G42" s="5">
        <v>1.2748092000000001E-2</v>
      </c>
    </row>
    <row r="43" spans="1:7" ht="25.5" x14ac:dyDescent="0.25">
      <c r="A43" s="6">
        <v>37</v>
      </c>
      <c r="B43" s="7" t="s">
        <v>448</v>
      </c>
      <c r="C43" s="11" t="s">
        <v>449</v>
      </c>
      <c r="D43" s="2" t="s">
        <v>81</v>
      </c>
      <c r="E43" s="46">
        <v>65492</v>
      </c>
      <c r="F43" s="51">
        <v>171.75277</v>
      </c>
      <c r="G43" s="5">
        <v>1.2518697000000001E-2</v>
      </c>
    </row>
    <row r="44" spans="1:7" ht="15" x14ac:dyDescent="0.25">
      <c r="A44" s="6">
        <v>38</v>
      </c>
      <c r="B44" s="7" t="s">
        <v>267</v>
      </c>
      <c r="C44" s="11" t="s">
        <v>268</v>
      </c>
      <c r="D44" s="2" t="s">
        <v>269</v>
      </c>
      <c r="E44" s="46">
        <v>23044</v>
      </c>
      <c r="F44" s="51">
        <v>171.585624</v>
      </c>
      <c r="G44" s="5">
        <v>1.2506514E-2</v>
      </c>
    </row>
    <row r="45" spans="1:7" ht="25.5" x14ac:dyDescent="0.25">
      <c r="A45" s="6">
        <v>39</v>
      </c>
      <c r="B45" s="7" t="s">
        <v>64</v>
      </c>
      <c r="C45" s="11" t="s">
        <v>65</v>
      </c>
      <c r="D45" s="2" t="s">
        <v>19</v>
      </c>
      <c r="E45" s="46">
        <v>231336</v>
      </c>
      <c r="F45" s="51">
        <v>169.222284</v>
      </c>
      <c r="G45" s="5">
        <v>1.2334255000000001E-2</v>
      </c>
    </row>
    <row r="46" spans="1:7" ht="25.5" x14ac:dyDescent="0.25">
      <c r="A46" s="6">
        <v>40</v>
      </c>
      <c r="B46" s="7" t="s">
        <v>207</v>
      </c>
      <c r="C46" s="11" t="s">
        <v>208</v>
      </c>
      <c r="D46" s="2" t="s">
        <v>30</v>
      </c>
      <c r="E46" s="46">
        <v>150910</v>
      </c>
      <c r="F46" s="51">
        <v>165.77463499999999</v>
      </c>
      <c r="G46" s="5">
        <v>1.2082963E-2</v>
      </c>
    </row>
    <row r="47" spans="1:7" ht="15" x14ac:dyDescent="0.25">
      <c r="A47" s="6">
        <v>41</v>
      </c>
      <c r="B47" s="7" t="s">
        <v>203</v>
      </c>
      <c r="C47" s="11" t="s">
        <v>204</v>
      </c>
      <c r="D47" s="2" t="s">
        <v>81</v>
      </c>
      <c r="E47" s="46">
        <v>142440</v>
      </c>
      <c r="F47" s="51">
        <v>153.40788000000001</v>
      </c>
      <c r="G47" s="5">
        <v>1.1181577E-2</v>
      </c>
    </row>
    <row r="48" spans="1:7" ht="25.5" x14ac:dyDescent="0.25">
      <c r="A48" s="6">
        <v>42</v>
      </c>
      <c r="B48" s="7" t="s">
        <v>194</v>
      </c>
      <c r="C48" s="11" t="s">
        <v>195</v>
      </c>
      <c r="D48" s="2" t="s">
        <v>37</v>
      </c>
      <c r="E48" s="46">
        <v>41662</v>
      </c>
      <c r="F48" s="51">
        <v>141.00503900000001</v>
      </c>
      <c r="G48" s="5">
        <v>1.027756E-2</v>
      </c>
    </row>
    <row r="49" spans="1:7" ht="25.5" x14ac:dyDescent="0.25">
      <c r="A49" s="6">
        <v>43</v>
      </c>
      <c r="B49" s="7" t="s">
        <v>185</v>
      </c>
      <c r="C49" s="11" t="s">
        <v>186</v>
      </c>
      <c r="D49" s="2" t="s">
        <v>59</v>
      </c>
      <c r="E49" s="46">
        <v>100000</v>
      </c>
      <c r="F49" s="51">
        <v>126.25</v>
      </c>
      <c r="G49" s="5">
        <v>9.2020959999999999E-3</v>
      </c>
    </row>
    <row r="50" spans="1:7" ht="15" x14ac:dyDescent="0.25">
      <c r="A50" s="6">
        <v>44</v>
      </c>
      <c r="B50" s="7" t="s">
        <v>191</v>
      </c>
      <c r="C50" s="11" t="s">
        <v>192</v>
      </c>
      <c r="D50" s="2" t="s">
        <v>193</v>
      </c>
      <c r="E50" s="46">
        <v>92102</v>
      </c>
      <c r="F50" s="51">
        <v>122.587762</v>
      </c>
      <c r="G50" s="5">
        <v>8.9351629999999994E-3</v>
      </c>
    </row>
    <row r="51" spans="1:7" ht="51" x14ac:dyDescent="0.25">
      <c r="A51" s="6">
        <v>45</v>
      </c>
      <c r="B51" s="7" t="s">
        <v>286</v>
      </c>
      <c r="C51" s="11" t="s">
        <v>287</v>
      </c>
      <c r="D51" s="2" t="s">
        <v>235</v>
      </c>
      <c r="E51" s="46">
        <v>379760</v>
      </c>
      <c r="F51" s="51">
        <v>122.28272</v>
      </c>
      <c r="G51" s="5">
        <v>8.912929E-3</v>
      </c>
    </row>
    <row r="52" spans="1:7" ht="15" x14ac:dyDescent="0.25">
      <c r="A52" s="6">
        <v>46</v>
      </c>
      <c r="B52" s="7" t="s">
        <v>450</v>
      </c>
      <c r="C52" s="11" t="s">
        <v>451</v>
      </c>
      <c r="D52" s="2" t="s">
        <v>193</v>
      </c>
      <c r="E52" s="46">
        <v>17978</v>
      </c>
      <c r="F52" s="51">
        <v>118.28625099999999</v>
      </c>
      <c r="G52" s="5">
        <v>8.6216350000000008E-3</v>
      </c>
    </row>
    <row r="53" spans="1:7" ht="15" x14ac:dyDescent="0.25">
      <c r="A53" s="6">
        <v>47</v>
      </c>
      <c r="B53" s="7" t="s">
        <v>256</v>
      </c>
      <c r="C53" s="11" t="s">
        <v>257</v>
      </c>
      <c r="D53" s="2" t="s">
        <v>215</v>
      </c>
      <c r="E53" s="46">
        <v>15500</v>
      </c>
      <c r="F53" s="51">
        <v>115.47499999999999</v>
      </c>
      <c r="G53" s="5">
        <v>8.4167289999999995E-3</v>
      </c>
    </row>
    <row r="54" spans="1:7" ht="15" x14ac:dyDescent="0.25">
      <c r="A54" s="6">
        <v>48</v>
      </c>
      <c r="B54" s="7" t="s">
        <v>75</v>
      </c>
      <c r="C54" s="11" t="s">
        <v>76</v>
      </c>
      <c r="D54" s="2" t="s">
        <v>51</v>
      </c>
      <c r="E54" s="46">
        <v>49333</v>
      </c>
      <c r="F54" s="51">
        <v>109.2479285</v>
      </c>
      <c r="G54" s="5">
        <v>7.962851E-3</v>
      </c>
    </row>
    <row r="55" spans="1:7" ht="15" x14ac:dyDescent="0.25">
      <c r="A55" s="6">
        <v>49</v>
      </c>
      <c r="B55" s="7" t="s">
        <v>272</v>
      </c>
      <c r="C55" s="11" t="s">
        <v>273</v>
      </c>
      <c r="D55" s="2" t="s">
        <v>170</v>
      </c>
      <c r="E55" s="46">
        <v>47432</v>
      </c>
      <c r="F55" s="51">
        <v>107.71807200000001</v>
      </c>
      <c r="G55" s="5">
        <v>7.8513430000000002E-3</v>
      </c>
    </row>
    <row r="56" spans="1:7" ht="15" x14ac:dyDescent="0.25">
      <c r="A56" s="6">
        <v>50</v>
      </c>
      <c r="B56" s="7" t="s">
        <v>452</v>
      </c>
      <c r="C56" s="11" t="s">
        <v>453</v>
      </c>
      <c r="D56" s="2" t="s">
        <v>170</v>
      </c>
      <c r="E56" s="46">
        <v>88736</v>
      </c>
      <c r="F56" s="51">
        <v>90.865663999999995</v>
      </c>
      <c r="G56" s="5">
        <v>6.6230059999999999E-3</v>
      </c>
    </row>
    <row r="57" spans="1:7" ht="25.5" x14ac:dyDescent="0.25">
      <c r="A57" s="6">
        <v>51</v>
      </c>
      <c r="B57" s="7" t="s">
        <v>216</v>
      </c>
      <c r="C57" s="11" t="s">
        <v>217</v>
      </c>
      <c r="D57" s="2" t="s">
        <v>59</v>
      </c>
      <c r="E57" s="46">
        <v>40000</v>
      </c>
      <c r="F57" s="51">
        <v>90.54</v>
      </c>
      <c r="G57" s="5">
        <v>6.5992689999999996E-3</v>
      </c>
    </row>
    <row r="58" spans="1:7" ht="25.5" x14ac:dyDescent="0.25">
      <c r="A58" s="6">
        <v>52</v>
      </c>
      <c r="B58" s="7" t="s">
        <v>454</v>
      </c>
      <c r="C58" s="11" t="s">
        <v>455</v>
      </c>
      <c r="D58" s="2" t="s">
        <v>173</v>
      </c>
      <c r="E58" s="46">
        <v>159059</v>
      </c>
      <c r="F58" s="51">
        <v>86.766684499999997</v>
      </c>
      <c r="G58" s="5">
        <v>6.3242400000000001E-3</v>
      </c>
    </row>
    <row r="59" spans="1:7" ht="15" x14ac:dyDescent="0.25">
      <c r="A59" s="6">
        <v>53</v>
      </c>
      <c r="B59" s="7" t="s">
        <v>246</v>
      </c>
      <c r="C59" s="11" t="s">
        <v>247</v>
      </c>
      <c r="D59" s="2" t="s">
        <v>170</v>
      </c>
      <c r="E59" s="46">
        <v>32954</v>
      </c>
      <c r="F59" s="51">
        <v>73.372080999999994</v>
      </c>
      <c r="G59" s="5">
        <v>5.3479360000000002E-3</v>
      </c>
    </row>
    <row r="60" spans="1:7" ht="15" x14ac:dyDescent="0.25">
      <c r="A60" s="6">
        <v>54</v>
      </c>
      <c r="B60" s="7" t="s">
        <v>414</v>
      </c>
      <c r="C60" s="11" t="s">
        <v>415</v>
      </c>
      <c r="D60" s="2" t="s">
        <v>215</v>
      </c>
      <c r="E60" s="46">
        <v>12373</v>
      </c>
      <c r="F60" s="51">
        <v>64.4076515</v>
      </c>
      <c r="G60" s="5">
        <v>4.6945379999999998E-3</v>
      </c>
    </row>
    <row r="61" spans="1:7" ht="25.5" x14ac:dyDescent="0.25">
      <c r="A61" s="6">
        <v>55</v>
      </c>
      <c r="B61" s="7" t="s">
        <v>274</v>
      </c>
      <c r="C61" s="11" t="s">
        <v>275</v>
      </c>
      <c r="D61" s="2" t="s">
        <v>22</v>
      </c>
      <c r="E61" s="46">
        <v>16237</v>
      </c>
      <c r="F61" s="51">
        <v>63.965661500000003</v>
      </c>
      <c r="G61" s="5">
        <v>4.662322E-3</v>
      </c>
    </row>
    <row r="62" spans="1:7" ht="15" x14ac:dyDescent="0.25">
      <c r="A62" s="6">
        <v>56</v>
      </c>
      <c r="B62" s="7" t="s">
        <v>224</v>
      </c>
      <c r="C62" s="11" t="s">
        <v>225</v>
      </c>
      <c r="D62" s="2" t="s">
        <v>226</v>
      </c>
      <c r="E62" s="46">
        <v>5623</v>
      </c>
      <c r="F62" s="51">
        <v>60.866163499999999</v>
      </c>
      <c r="G62" s="5">
        <v>4.4364060000000004E-3</v>
      </c>
    </row>
    <row r="63" spans="1:7" ht="15" x14ac:dyDescent="0.25">
      <c r="A63" s="6">
        <v>57</v>
      </c>
      <c r="B63" s="7" t="s">
        <v>236</v>
      </c>
      <c r="C63" s="11" t="s">
        <v>237</v>
      </c>
      <c r="D63" s="2" t="s">
        <v>238</v>
      </c>
      <c r="E63" s="46">
        <v>6665</v>
      </c>
      <c r="F63" s="51">
        <v>40.0999725</v>
      </c>
      <c r="G63" s="5">
        <v>2.922802E-3</v>
      </c>
    </row>
    <row r="64" spans="1:7" ht="15" x14ac:dyDescent="0.25">
      <c r="A64" s="6">
        <v>58</v>
      </c>
      <c r="B64" s="7" t="s">
        <v>252</v>
      </c>
      <c r="C64" s="11" t="s">
        <v>253</v>
      </c>
      <c r="D64" s="2" t="s">
        <v>215</v>
      </c>
      <c r="E64" s="46">
        <v>5000</v>
      </c>
      <c r="F64" s="51">
        <v>38.932499999999997</v>
      </c>
      <c r="G64" s="5">
        <v>2.837708E-3</v>
      </c>
    </row>
    <row r="65" spans="1:7" ht="25.5" x14ac:dyDescent="0.25">
      <c r="A65" s="6">
        <v>59</v>
      </c>
      <c r="B65" s="7" t="s">
        <v>227</v>
      </c>
      <c r="C65" s="11" t="s">
        <v>228</v>
      </c>
      <c r="D65" s="2" t="s">
        <v>173</v>
      </c>
      <c r="E65" s="46">
        <v>52851</v>
      </c>
      <c r="F65" s="51">
        <v>33.507534</v>
      </c>
      <c r="G65" s="5">
        <v>2.4422929999999999E-3</v>
      </c>
    </row>
    <row r="66" spans="1:7" ht="15" x14ac:dyDescent="0.25">
      <c r="A66" s="1"/>
      <c r="B66" s="2"/>
      <c r="C66" s="8" t="s">
        <v>104</v>
      </c>
      <c r="D66" s="12"/>
      <c r="E66" s="48"/>
      <c r="F66" s="53">
        <v>13496.855764999998</v>
      </c>
      <c r="G66" s="13">
        <v>0.98375732600000021</v>
      </c>
    </row>
    <row r="67" spans="1:7" ht="15" x14ac:dyDescent="0.25">
      <c r="A67" s="6"/>
      <c r="B67" s="7"/>
      <c r="C67" s="14"/>
      <c r="D67" s="15"/>
      <c r="E67" s="46"/>
      <c r="F67" s="51"/>
      <c r="G67" s="5"/>
    </row>
    <row r="68" spans="1:7" ht="15" x14ac:dyDescent="0.25">
      <c r="A68" s="1"/>
      <c r="B68" s="2"/>
      <c r="C68" s="8" t="s">
        <v>105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6"/>
      <c r="B71" s="17"/>
      <c r="C71" s="8" t="s">
        <v>106</v>
      </c>
      <c r="D71" s="9"/>
      <c r="E71" s="47"/>
      <c r="F71" s="52"/>
      <c r="G71" s="10"/>
    </row>
    <row r="72" spans="1:7" ht="15" x14ac:dyDescent="0.25">
      <c r="A72" s="18"/>
      <c r="B72" s="19"/>
      <c r="C72" s="8" t="s">
        <v>104</v>
      </c>
      <c r="D72" s="20"/>
      <c r="E72" s="49"/>
      <c r="F72" s="54">
        <v>0</v>
      </c>
      <c r="G72" s="21">
        <v>0</v>
      </c>
    </row>
    <row r="73" spans="1:7" ht="15" x14ac:dyDescent="0.25">
      <c r="A73" s="18"/>
      <c r="B73" s="19"/>
      <c r="C73" s="14"/>
      <c r="D73" s="22"/>
      <c r="E73" s="50"/>
      <c r="F73" s="55"/>
      <c r="G73" s="23"/>
    </row>
    <row r="74" spans="1:7" ht="15" x14ac:dyDescent="0.25">
      <c r="A74" s="1"/>
      <c r="B74" s="2"/>
      <c r="C74" s="8" t="s">
        <v>108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15" x14ac:dyDescent="0.25">
      <c r="A77" s="1"/>
      <c r="B77" s="2"/>
      <c r="C77" s="8" t="s">
        <v>109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110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25.5" x14ac:dyDescent="0.25">
      <c r="A83" s="6"/>
      <c r="B83" s="7"/>
      <c r="C83" s="24" t="s">
        <v>111</v>
      </c>
      <c r="D83" s="25"/>
      <c r="E83" s="48"/>
      <c r="F83" s="53">
        <v>13496.855764999998</v>
      </c>
      <c r="G83" s="13">
        <v>0.98375732600000021</v>
      </c>
    </row>
    <row r="84" spans="1:7" ht="15" x14ac:dyDescent="0.25">
      <c r="A84" s="1"/>
      <c r="B84" s="2"/>
      <c r="C84" s="11"/>
      <c r="D84" s="4"/>
      <c r="E84" s="46"/>
      <c r="F84" s="51"/>
      <c r="G84" s="5"/>
    </row>
    <row r="85" spans="1:7" ht="15" x14ac:dyDescent="0.25">
      <c r="A85" s="1"/>
      <c r="B85" s="2"/>
      <c r="C85" s="3" t="s">
        <v>112</v>
      </c>
      <c r="D85" s="4"/>
      <c r="E85" s="46"/>
      <c r="F85" s="51"/>
      <c r="G85" s="5"/>
    </row>
    <row r="86" spans="1:7" ht="25.5" x14ac:dyDescent="0.25">
      <c r="A86" s="1"/>
      <c r="B86" s="2"/>
      <c r="C86" s="8" t="s">
        <v>10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4"/>
      <c r="E88" s="46"/>
      <c r="F88" s="51"/>
      <c r="G88" s="5"/>
    </row>
    <row r="89" spans="1:7" ht="15" x14ac:dyDescent="0.25">
      <c r="A89" s="1"/>
      <c r="B89" s="26"/>
      <c r="C89" s="8" t="s">
        <v>113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6"/>
      <c r="G91" s="27"/>
    </row>
    <row r="92" spans="1:7" ht="15" x14ac:dyDescent="0.25">
      <c r="A92" s="1"/>
      <c r="B92" s="2"/>
      <c r="C92" s="8" t="s">
        <v>114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1"/>
      <c r="B94" s="2"/>
      <c r="C94" s="14"/>
      <c r="D94" s="4"/>
      <c r="E94" s="46"/>
      <c r="F94" s="51"/>
      <c r="G94" s="5"/>
    </row>
    <row r="95" spans="1:7" ht="25.5" x14ac:dyDescent="0.25">
      <c r="A95" s="1"/>
      <c r="B95" s="26"/>
      <c r="C95" s="8" t="s">
        <v>115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12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4"/>
      <c r="E97" s="46"/>
      <c r="F97" s="51"/>
      <c r="G97" s="5"/>
    </row>
    <row r="98" spans="1:7" ht="15" x14ac:dyDescent="0.25">
      <c r="A98" s="6"/>
      <c r="B98" s="7"/>
      <c r="C98" s="28" t="s">
        <v>116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1"/>
      <c r="D99" s="4"/>
      <c r="E99" s="46"/>
      <c r="F99" s="51"/>
      <c r="G99" s="5"/>
    </row>
    <row r="100" spans="1:7" ht="15" x14ac:dyDescent="0.25">
      <c r="A100" s="1"/>
      <c r="B100" s="2"/>
      <c r="C100" s="3" t="s">
        <v>117</v>
      </c>
      <c r="D100" s="4"/>
      <c r="E100" s="46"/>
      <c r="F100" s="51"/>
      <c r="G100" s="5"/>
    </row>
    <row r="101" spans="1:7" ht="15" x14ac:dyDescent="0.25">
      <c r="A101" s="6"/>
      <c r="B101" s="7"/>
      <c r="C101" s="8" t="s">
        <v>118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119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120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6"/>
      <c r="B110" s="7"/>
      <c r="C110" s="8" t="s">
        <v>121</v>
      </c>
      <c r="D110" s="9"/>
      <c r="E110" s="47"/>
      <c r="F110" s="52"/>
      <c r="G110" s="10"/>
    </row>
    <row r="111" spans="1:7" ht="15" x14ac:dyDescent="0.25">
      <c r="A111" s="6">
        <v>1</v>
      </c>
      <c r="B111" s="7"/>
      <c r="C111" s="11" t="s">
        <v>730</v>
      </c>
      <c r="D111" s="15"/>
      <c r="E111" s="46"/>
      <c r="F111" s="51">
        <v>217.96661829999999</v>
      </c>
      <c r="G111" s="5">
        <v>1.5887127000000001E-2</v>
      </c>
    </row>
    <row r="112" spans="1:7" ht="15" x14ac:dyDescent="0.25">
      <c r="A112" s="6"/>
      <c r="B112" s="7"/>
      <c r="C112" s="8" t="s">
        <v>104</v>
      </c>
      <c r="D112" s="25"/>
      <c r="E112" s="48"/>
      <c r="F112" s="53">
        <v>217.96661829999999</v>
      </c>
      <c r="G112" s="13">
        <v>1.5887127000000001E-2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25.5" x14ac:dyDescent="0.25">
      <c r="A114" s="6"/>
      <c r="B114" s="7"/>
      <c r="C114" s="24" t="s">
        <v>122</v>
      </c>
      <c r="D114" s="25"/>
      <c r="E114" s="48"/>
      <c r="F114" s="53">
        <v>217.96661829999999</v>
      </c>
      <c r="G114" s="13">
        <v>1.5887127000000001E-2</v>
      </c>
    </row>
    <row r="115" spans="1:7" ht="15" x14ac:dyDescent="0.25">
      <c r="A115" s="6"/>
      <c r="B115" s="7"/>
      <c r="C115" s="29"/>
      <c r="D115" s="7"/>
      <c r="E115" s="46"/>
      <c r="F115" s="51"/>
      <c r="G115" s="5"/>
    </row>
    <row r="116" spans="1:7" ht="15" x14ac:dyDescent="0.25">
      <c r="A116" s="1"/>
      <c r="B116" s="2"/>
      <c r="C116" s="3" t="s">
        <v>123</v>
      </c>
      <c r="D116" s="4"/>
      <c r="E116" s="46"/>
      <c r="F116" s="51"/>
      <c r="G116" s="5"/>
    </row>
    <row r="117" spans="1:7" ht="25.5" x14ac:dyDescent="0.25">
      <c r="A117" s="6"/>
      <c r="B117" s="7"/>
      <c r="C117" s="8" t="s">
        <v>124</v>
      </c>
      <c r="D117" s="9"/>
      <c r="E117" s="47"/>
      <c r="F117" s="52"/>
      <c r="G117" s="10"/>
    </row>
    <row r="118" spans="1:7" ht="15" x14ac:dyDescent="0.25">
      <c r="A118" s="6"/>
      <c r="B118" s="7"/>
      <c r="C118" s="8" t="s">
        <v>104</v>
      </c>
      <c r="D118" s="25"/>
      <c r="E118" s="48"/>
      <c r="F118" s="53">
        <v>0</v>
      </c>
      <c r="G118" s="13">
        <v>0</v>
      </c>
    </row>
    <row r="119" spans="1:7" ht="15" x14ac:dyDescent="0.25">
      <c r="A119" s="6"/>
      <c r="B119" s="7"/>
      <c r="C119" s="14"/>
      <c r="D119" s="7"/>
      <c r="E119" s="46"/>
      <c r="F119" s="51"/>
      <c r="G119" s="5"/>
    </row>
    <row r="120" spans="1:7" ht="15" x14ac:dyDescent="0.25">
      <c r="A120" s="1"/>
      <c r="B120" s="2"/>
      <c r="C120" s="3" t="s">
        <v>125</v>
      </c>
      <c r="D120" s="4"/>
      <c r="E120" s="46"/>
      <c r="F120" s="51"/>
      <c r="G120" s="5"/>
    </row>
    <row r="121" spans="1:7" ht="25.5" x14ac:dyDescent="0.25">
      <c r="A121" s="6"/>
      <c r="B121" s="7"/>
      <c r="C121" s="8" t="s">
        <v>126</v>
      </c>
      <c r="D121" s="9"/>
      <c r="E121" s="47"/>
      <c r="F121" s="52"/>
      <c r="G121" s="10"/>
    </row>
    <row r="122" spans="1:7" ht="15" x14ac:dyDescent="0.25">
      <c r="A122" s="6"/>
      <c r="B122" s="7"/>
      <c r="C122" s="8" t="s">
        <v>104</v>
      </c>
      <c r="D122" s="25"/>
      <c r="E122" s="48"/>
      <c r="F122" s="53">
        <v>0</v>
      </c>
      <c r="G122" s="13">
        <v>0</v>
      </c>
    </row>
    <row r="123" spans="1:7" ht="15" x14ac:dyDescent="0.25">
      <c r="A123" s="6"/>
      <c r="B123" s="7"/>
      <c r="C123" s="14"/>
      <c r="D123" s="7"/>
      <c r="E123" s="46"/>
      <c r="F123" s="51"/>
      <c r="G123" s="5"/>
    </row>
    <row r="124" spans="1:7" ht="25.5" x14ac:dyDescent="0.25">
      <c r="A124" s="6"/>
      <c r="B124" s="7"/>
      <c r="C124" s="8" t="s">
        <v>127</v>
      </c>
      <c r="D124" s="9"/>
      <c r="E124" s="47"/>
      <c r="F124" s="52"/>
      <c r="G124" s="10"/>
    </row>
    <row r="125" spans="1:7" ht="15" x14ac:dyDescent="0.25">
      <c r="A125" s="6"/>
      <c r="B125" s="7"/>
      <c r="C125" s="8" t="s">
        <v>104</v>
      </c>
      <c r="D125" s="25"/>
      <c r="E125" s="48"/>
      <c r="F125" s="53">
        <v>0</v>
      </c>
      <c r="G125" s="13">
        <v>0</v>
      </c>
    </row>
    <row r="126" spans="1:7" ht="15" x14ac:dyDescent="0.25">
      <c r="A126" s="6"/>
      <c r="B126" s="7"/>
      <c r="C126" s="14"/>
      <c r="D126" s="7"/>
      <c r="E126" s="46"/>
      <c r="F126" s="56"/>
      <c r="G126" s="27"/>
    </row>
    <row r="127" spans="1:7" ht="25.5" x14ac:dyDescent="0.25">
      <c r="A127" s="6"/>
      <c r="B127" s="7"/>
      <c r="C127" s="29" t="s">
        <v>128</v>
      </c>
      <c r="D127" s="7"/>
      <c r="E127" s="46"/>
      <c r="F127" s="56">
        <v>4.8780165999999996</v>
      </c>
      <c r="G127" s="27">
        <v>3.5554800000000002E-4</v>
      </c>
    </row>
    <row r="128" spans="1:7" ht="15" x14ac:dyDescent="0.25">
      <c r="A128" s="6"/>
      <c r="B128" s="7"/>
      <c r="C128" s="30" t="s">
        <v>129</v>
      </c>
      <c r="D128" s="12"/>
      <c r="E128" s="48"/>
      <c r="F128" s="53">
        <v>13719.700399899999</v>
      </c>
      <c r="G128" s="13">
        <v>1.0000000010000001</v>
      </c>
    </row>
    <row r="130" spans="2:6" ht="15" x14ac:dyDescent="0.25">
      <c r="B130" s="279"/>
      <c r="C130" s="279"/>
      <c r="D130" s="279"/>
      <c r="E130" s="279"/>
      <c r="F130" s="279"/>
    </row>
    <row r="131" spans="2:6" ht="15" x14ac:dyDescent="0.25">
      <c r="B131" s="279"/>
      <c r="C131" s="279"/>
      <c r="D131" s="279"/>
      <c r="E131" s="279"/>
      <c r="F131" s="279"/>
    </row>
    <row r="133" spans="2:6" ht="15" x14ac:dyDescent="0.25">
      <c r="B133" s="36" t="s">
        <v>131</v>
      </c>
      <c r="C133" s="37"/>
      <c r="D133" s="38"/>
    </row>
    <row r="134" spans="2:6" ht="15" x14ac:dyDescent="0.25">
      <c r="B134" s="39" t="s">
        <v>132</v>
      </c>
      <c r="C134" s="40"/>
      <c r="D134" s="62" t="s">
        <v>133</v>
      </c>
    </row>
    <row r="135" spans="2:6" ht="15" x14ac:dyDescent="0.25">
      <c r="B135" s="39" t="s">
        <v>134</v>
      </c>
      <c r="C135" s="40"/>
      <c r="D135" s="62" t="s">
        <v>133</v>
      </c>
    </row>
    <row r="136" spans="2:6" ht="15" x14ac:dyDescent="0.25">
      <c r="B136" s="41" t="s">
        <v>135</v>
      </c>
      <c r="C136" s="40"/>
      <c r="D136" s="42"/>
    </row>
    <row r="137" spans="2:6" ht="25.5" customHeight="1" x14ac:dyDescent="0.25">
      <c r="B137" s="42"/>
      <c r="C137" s="32" t="s">
        <v>136</v>
      </c>
      <c r="D137" s="33" t="s">
        <v>137</v>
      </c>
    </row>
    <row r="138" spans="2:6" ht="12.75" customHeight="1" x14ac:dyDescent="0.25">
      <c r="B138" s="57" t="s">
        <v>138</v>
      </c>
      <c r="C138" s="58" t="s">
        <v>139</v>
      </c>
      <c r="D138" s="58" t="s">
        <v>140</v>
      </c>
    </row>
    <row r="139" spans="2:6" ht="15" x14ac:dyDescent="0.25">
      <c r="B139" s="42" t="s">
        <v>141</v>
      </c>
      <c r="C139" s="43">
        <v>8.5701000000000001</v>
      </c>
      <c r="D139" s="43">
        <v>7.5134999999999996</v>
      </c>
    </row>
    <row r="140" spans="2:6" ht="15" x14ac:dyDescent="0.25">
      <c r="B140" s="42" t="s">
        <v>142</v>
      </c>
      <c r="C140" s="43">
        <v>8.5701000000000001</v>
      </c>
      <c r="D140" s="43">
        <v>7.5134999999999996</v>
      </c>
    </row>
    <row r="141" spans="2:6" ht="15" x14ac:dyDescent="0.25">
      <c r="B141" s="42" t="s">
        <v>143</v>
      </c>
      <c r="C141" s="43">
        <v>8.4393999999999991</v>
      </c>
      <c r="D141" s="43">
        <v>7.3960999999999997</v>
      </c>
    </row>
    <row r="142" spans="2:6" ht="15" x14ac:dyDescent="0.25">
      <c r="B142" s="42" t="s">
        <v>144</v>
      </c>
      <c r="C142" s="43">
        <v>8.4393999999999991</v>
      </c>
      <c r="D142" s="43">
        <v>7.3960999999999997</v>
      </c>
    </row>
    <row r="144" spans="2:6" ht="15" x14ac:dyDescent="0.25">
      <c r="B144" s="59" t="s">
        <v>145</v>
      </c>
      <c r="C144" s="44"/>
      <c r="D144" s="60" t="s">
        <v>133</v>
      </c>
    </row>
    <row r="145" spans="2:4" ht="24.75" customHeight="1" x14ac:dyDescent="0.25">
      <c r="B145" s="61"/>
      <c r="C145" s="61"/>
    </row>
    <row r="146" spans="2:4" ht="15" x14ac:dyDescent="0.25">
      <c r="B146" s="63"/>
      <c r="C146" s="65"/>
      <c r="D146"/>
    </row>
    <row r="148" spans="2:4" ht="15" x14ac:dyDescent="0.25">
      <c r="B148" s="41" t="s">
        <v>146</v>
      </c>
      <c r="C148" s="40"/>
      <c r="D148" s="64" t="s">
        <v>133</v>
      </c>
    </row>
    <row r="149" spans="2:4" ht="15" x14ac:dyDescent="0.25">
      <c r="B149" s="41" t="s">
        <v>147</v>
      </c>
      <c r="C149" s="40"/>
      <c r="D149" s="64" t="s">
        <v>133</v>
      </c>
    </row>
    <row r="150" spans="2:4" ht="15" x14ac:dyDescent="0.25">
      <c r="B150" s="41" t="s">
        <v>148</v>
      </c>
      <c r="C150" s="40"/>
      <c r="D150" s="45">
        <v>5.9300724279500814E-3</v>
      </c>
    </row>
    <row r="151" spans="2:4" ht="15" x14ac:dyDescent="0.25">
      <c r="B151" s="41" t="s">
        <v>149</v>
      </c>
      <c r="C151" s="40"/>
      <c r="D151" s="45" t="s">
        <v>133</v>
      </c>
    </row>
  </sheetData>
  <mergeCells count="5">
    <mergeCell ref="A1:G1"/>
    <mergeCell ref="A2:G2"/>
    <mergeCell ref="A3:G3"/>
    <mergeCell ref="B130:F130"/>
    <mergeCell ref="B131:F13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154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456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60</v>
      </c>
      <c r="C7" s="11" t="s">
        <v>61</v>
      </c>
      <c r="D7" s="2" t="s">
        <v>16</v>
      </c>
      <c r="E7" s="46">
        <v>56690</v>
      </c>
      <c r="F7" s="51">
        <v>547.62540000000001</v>
      </c>
      <c r="G7" s="5">
        <v>3.6888899000000003E-2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97885</v>
      </c>
      <c r="F8" s="51">
        <v>538.22067249999998</v>
      </c>
      <c r="G8" s="5">
        <v>3.6255382000000003E-2</v>
      </c>
    </row>
    <row r="9" spans="1:7" ht="15" x14ac:dyDescent="0.25">
      <c r="A9" s="6">
        <v>3</v>
      </c>
      <c r="B9" s="7" t="s">
        <v>444</v>
      </c>
      <c r="C9" s="11" t="s">
        <v>445</v>
      </c>
      <c r="D9" s="2" t="s">
        <v>193</v>
      </c>
      <c r="E9" s="46">
        <v>70313</v>
      </c>
      <c r="F9" s="51">
        <v>515.00756850000005</v>
      </c>
      <c r="G9" s="5">
        <v>3.4691711E-2</v>
      </c>
    </row>
    <row r="10" spans="1:7" ht="25.5" x14ac:dyDescent="0.25">
      <c r="A10" s="6">
        <v>4</v>
      </c>
      <c r="B10" s="7" t="s">
        <v>440</v>
      </c>
      <c r="C10" s="11" t="s">
        <v>441</v>
      </c>
      <c r="D10" s="2" t="s">
        <v>59</v>
      </c>
      <c r="E10" s="46">
        <v>297081</v>
      </c>
      <c r="F10" s="51">
        <v>454.97955150000001</v>
      </c>
      <c r="G10" s="5">
        <v>3.0648130999999999E-2</v>
      </c>
    </row>
    <row r="11" spans="1:7" ht="25.5" x14ac:dyDescent="0.25">
      <c r="A11" s="6">
        <v>5</v>
      </c>
      <c r="B11" s="7" t="s">
        <v>189</v>
      </c>
      <c r="C11" s="11" t="s">
        <v>190</v>
      </c>
      <c r="D11" s="2" t="s">
        <v>167</v>
      </c>
      <c r="E11" s="46">
        <v>100138</v>
      </c>
      <c r="F11" s="51">
        <v>442.00913200000002</v>
      </c>
      <c r="G11" s="5">
        <v>2.9774423000000001E-2</v>
      </c>
    </row>
    <row r="12" spans="1:7" ht="25.5" x14ac:dyDescent="0.25">
      <c r="A12" s="6">
        <v>6</v>
      </c>
      <c r="B12" s="7" t="s">
        <v>57</v>
      </c>
      <c r="C12" s="11" t="s">
        <v>58</v>
      </c>
      <c r="D12" s="2" t="s">
        <v>59</v>
      </c>
      <c r="E12" s="46">
        <v>63000</v>
      </c>
      <c r="F12" s="51">
        <v>426.38400000000001</v>
      </c>
      <c r="G12" s="5">
        <v>2.872189E-2</v>
      </c>
    </row>
    <row r="13" spans="1:7" ht="15" x14ac:dyDescent="0.25">
      <c r="A13" s="6">
        <v>7</v>
      </c>
      <c r="B13" s="7" t="s">
        <v>442</v>
      </c>
      <c r="C13" s="11" t="s">
        <v>443</v>
      </c>
      <c r="D13" s="2" t="s">
        <v>162</v>
      </c>
      <c r="E13" s="46">
        <v>80696</v>
      </c>
      <c r="F13" s="51">
        <v>423.45226000000002</v>
      </c>
      <c r="G13" s="5">
        <v>2.8524403E-2</v>
      </c>
    </row>
    <row r="14" spans="1:7" ht="25.5" x14ac:dyDescent="0.25">
      <c r="A14" s="6">
        <v>8</v>
      </c>
      <c r="B14" s="7" t="s">
        <v>20</v>
      </c>
      <c r="C14" s="11" t="s">
        <v>21</v>
      </c>
      <c r="D14" s="2" t="s">
        <v>22</v>
      </c>
      <c r="E14" s="46">
        <v>62382</v>
      </c>
      <c r="F14" s="51">
        <v>423.44901599999997</v>
      </c>
      <c r="G14" s="5">
        <v>2.8524185000000001E-2</v>
      </c>
    </row>
    <row r="15" spans="1:7" ht="25.5" x14ac:dyDescent="0.25">
      <c r="A15" s="6">
        <v>9</v>
      </c>
      <c r="B15" s="7" t="s">
        <v>68</v>
      </c>
      <c r="C15" s="11" t="s">
        <v>69</v>
      </c>
      <c r="D15" s="2" t="s">
        <v>19</v>
      </c>
      <c r="E15" s="46">
        <v>347322</v>
      </c>
      <c r="F15" s="51">
        <v>419.91229800000002</v>
      </c>
      <c r="G15" s="5">
        <v>2.8285945999999999E-2</v>
      </c>
    </row>
    <row r="16" spans="1:7" ht="25.5" x14ac:dyDescent="0.25">
      <c r="A16" s="6">
        <v>10</v>
      </c>
      <c r="B16" s="7" t="s">
        <v>25</v>
      </c>
      <c r="C16" s="11" t="s">
        <v>26</v>
      </c>
      <c r="D16" s="2" t="s">
        <v>27</v>
      </c>
      <c r="E16" s="46">
        <v>81532</v>
      </c>
      <c r="F16" s="51">
        <v>391.06823800000001</v>
      </c>
      <c r="G16" s="5">
        <v>2.6342964999999999E-2</v>
      </c>
    </row>
    <row r="17" spans="1:7" ht="25.5" x14ac:dyDescent="0.25">
      <c r="A17" s="6">
        <v>11</v>
      </c>
      <c r="B17" s="7" t="s">
        <v>153</v>
      </c>
      <c r="C17" s="11" t="s">
        <v>154</v>
      </c>
      <c r="D17" s="2" t="s">
        <v>155</v>
      </c>
      <c r="E17" s="46">
        <v>56329</v>
      </c>
      <c r="F17" s="51">
        <v>350.81701199999998</v>
      </c>
      <c r="G17" s="5">
        <v>2.3631579999999999E-2</v>
      </c>
    </row>
    <row r="18" spans="1:7" ht="25.5" x14ac:dyDescent="0.25">
      <c r="A18" s="6">
        <v>12</v>
      </c>
      <c r="B18" s="7" t="s">
        <v>45</v>
      </c>
      <c r="C18" s="11" t="s">
        <v>46</v>
      </c>
      <c r="D18" s="2" t="s">
        <v>22</v>
      </c>
      <c r="E18" s="46">
        <v>55216</v>
      </c>
      <c r="F18" s="51">
        <v>337.86670400000003</v>
      </c>
      <c r="G18" s="5">
        <v>2.2759227E-2</v>
      </c>
    </row>
    <row r="19" spans="1:7" ht="15" x14ac:dyDescent="0.25">
      <c r="A19" s="6">
        <v>13</v>
      </c>
      <c r="B19" s="7" t="s">
        <v>49</v>
      </c>
      <c r="C19" s="11" t="s">
        <v>50</v>
      </c>
      <c r="D19" s="2" t="s">
        <v>51</v>
      </c>
      <c r="E19" s="46">
        <v>128977</v>
      </c>
      <c r="F19" s="51">
        <v>337.40383200000002</v>
      </c>
      <c r="G19" s="5">
        <v>2.2728047000000001E-2</v>
      </c>
    </row>
    <row r="20" spans="1:7" ht="25.5" x14ac:dyDescent="0.25">
      <c r="A20" s="6">
        <v>14</v>
      </c>
      <c r="B20" s="7" t="s">
        <v>174</v>
      </c>
      <c r="C20" s="11" t="s">
        <v>175</v>
      </c>
      <c r="D20" s="2" t="s">
        <v>22</v>
      </c>
      <c r="E20" s="46">
        <v>111692</v>
      </c>
      <c r="F20" s="51">
        <v>329.37970799999999</v>
      </c>
      <c r="G20" s="5">
        <v>2.218753E-2</v>
      </c>
    </row>
    <row r="21" spans="1:7" ht="15" x14ac:dyDescent="0.25">
      <c r="A21" s="6">
        <v>15</v>
      </c>
      <c r="B21" s="7" t="s">
        <v>151</v>
      </c>
      <c r="C21" s="11" t="s">
        <v>152</v>
      </c>
      <c r="D21" s="2" t="s">
        <v>16</v>
      </c>
      <c r="E21" s="46">
        <v>166903</v>
      </c>
      <c r="F21" s="51">
        <v>323.12420800000001</v>
      </c>
      <c r="G21" s="5">
        <v>2.1766148999999999E-2</v>
      </c>
    </row>
    <row r="22" spans="1:7" ht="25.5" x14ac:dyDescent="0.25">
      <c r="A22" s="6">
        <v>16</v>
      </c>
      <c r="B22" s="7" t="s">
        <v>178</v>
      </c>
      <c r="C22" s="11" t="s">
        <v>179</v>
      </c>
      <c r="D22" s="2" t="s">
        <v>22</v>
      </c>
      <c r="E22" s="46">
        <v>90886</v>
      </c>
      <c r="F22" s="51">
        <v>316.55593800000003</v>
      </c>
      <c r="G22" s="5">
        <v>2.1323701E-2</v>
      </c>
    </row>
    <row r="23" spans="1:7" ht="15" x14ac:dyDescent="0.25">
      <c r="A23" s="6">
        <v>17</v>
      </c>
      <c r="B23" s="7" t="s">
        <v>457</v>
      </c>
      <c r="C23" s="11" t="s">
        <v>458</v>
      </c>
      <c r="D23" s="2" t="s">
        <v>162</v>
      </c>
      <c r="E23" s="46">
        <v>20658</v>
      </c>
      <c r="F23" s="51">
        <v>308.05209600000001</v>
      </c>
      <c r="G23" s="5">
        <v>2.0750869000000002E-2</v>
      </c>
    </row>
    <row r="24" spans="1:7" ht="15" x14ac:dyDescent="0.25">
      <c r="A24" s="6">
        <v>18</v>
      </c>
      <c r="B24" s="7" t="s">
        <v>160</v>
      </c>
      <c r="C24" s="11" t="s">
        <v>161</v>
      </c>
      <c r="D24" s="2" t="s">
        <v>162</v>
      </c>
      <c r="E24" s="46">
        <v>116513</v>
      </c>
      <c r="F24" s="51">
        <v>307.12826799999999</v>
      </c>
      <c r="G24" s="5">
        <v>2.0688637999999999E-2</v>
      </c>
    </row>
    <row r="25" spans="1:7" ht="15" x14ac:dyDescent="0.25">
      <c r="A25" s="6">
        <v>19</v>
      </c>
      <c r="B25" s="7" t="s">
        <v>446</v>
      </c>
      <c r="C25" s="11" t="s">
        <v>447</v>
      </c>
      <c r="D25" s="2" t="s">
        <v>162</v>
      </c>
      <c r="E25" s="46">
        <v>269101</v>
      </c>
      <c r="F25" s="51">
        <v>302.73862500000001</v>
      </c>
      <c r="G25" s="5">
        <v>2.0392944999999999E-2</v>
      </c>
    </row>
    <row r="26" spans="1:7" ht="25.5" x14ac:dyDescent="0.25">
      <c r="A26" s="6">
        <v>20</v>
      </c>
      <c r="B26" s="7" t="s">
        <v>90</v>
      </c>
      <c r="C26" s="11" t="s">
        <v>91</v>
      </c>
      <c r="D26" s="2" t="s">
        <v>22</v>
      </c>
      <c r="E26" s="46">
        <v>28906</v>
      </c>
      <c r="F26" s="51">
        <v>289.045547</v>
      </c>
      <c r="G26" s="5">
        <v>1.9470557999999999E-2</v>
      </c>
    </row>
    <row r="27" spans="1:7" ht="51" x14ac:dyDescent="0.25">
      <c r="A27" s="6">
        <v>21</v>
      </c>
      <c r="B27" s="7" t="s">
        <v>248</v>
      </c>
      <c r="C27" s="11" t="s">
        <v>249</v>
      </c>
      <c r="D27" s="2" t="s">
        <v>235</v>
      </c>
      <c r="E27" s="46">
        <v>171750</v>
      </c>
      <c r="F27" s="51">
        <v>283.64512500000001</v>
      </c>
      <c r="G27" s="5">
        <v>1.9106776999999998E-2</v>
      </c>
    </row>
    <row r="28" spans="1:7" ht="15" x14ac:dyDescent="0.25">
      <c r="A28" s="6">
        <v>22</v>
      </c>
      <c r="B28" s="7" t="s">
        <v>197</v>
      </c>
      <c r="C28" s="11" t="s">
        <v>198</v>
      </c>
      <c r="D28" s="2" t="s">
        <v>162</v>
      </c>
      <c r="E28" s="46">
        <v>95977</v>
      </c>
      <c r="F28" s="51">
        <v>282.50829950000002</v>
      </c>
      <c r="G28" s="5">
        <v>1.9030199000000001E-2</v>
      </c>
    </row>
    <row r="29" spans="1:7" ht="15" x14ac:dyDescent="0.25">
      <c r="A29" s="6">
        <v>23</v>
      </c>
      <c r="B29" s="7" t="s">
        <v>187</v>
      </c>
      <c r="C29" s="11" t="s">
        <v>188</v>
      </c>
      <c r="D29" s="2" t="s">
        <v>162</v>
      </c>
      <c r="E29" s="46">
        <v>29040</v>
      </c>
      <c r="F29" s="51">
        <v>266.45652000000001</v>
      </c>
      <c r="G29" s="5">
        <v>1.7948926E-2</v>
      </c>
    </row>
    <row r="30" spans="1:7" ht="25.5" x14ac:dyDescent="0.25">
      <c r="A30" s="6">
        <v>24</v>
      </c>
      <c r="B30" s="7" t="s">
        <v>92</v>
      </c>
      <c r="C30" s="11" t="s">
        <v>93</v>
      </c>
      <c r="D30" s="2" t="s">
        <v>22</v>
      </c>
      <c r="E30" s="46">
        <v>60634</v>
      </c>
      <c r="F30" s="51">
        <v>265.91040700000002</v>
      </c>
      <c r="G30" s="5">
        <v>1.7912139000000001E-2</v>
      </c>
    </row>
    <row r="31" spans="1:7" ht="15" x14ac:dyDescent="0.25">
      <c r="A31" s="6">
        <v>25</v>
      </c>
      <c r="B31" s="7" t="s">
        <v>295</v>
      </c>
      <c r="C31" s="11" t="s">
        <v>296</v>
      </c>
      <c r="D31" s="2" t="s">
        <v>170</v>
      </c>
      <c r="E31" s="46">
        <v>12356</v>
      </c>
      <c r="F31" s="51">
        <v>262.12018399999999</v>
      </c>
      <c r="G31" s="5">
        <v>1.7656822999999999E-2</v>
      </c>
    </row>
    <row r="32" spans="1:7" ht="15" x14ac:dyDescent="0.25">
      <c r="A32" s="6">
        <v>26</v>
      </c>
      <c r="B32" s="7" t="s">
        <v>182</v>
      </c>
      <c r="C32" s="11" t="s">
        <v>183</v>
      </c>
      <c r="D32" s="2" t="s">
        <v>184</v>
      </c>
      <c r="E32" s="46">
        <v>139031</v>
      </c>
      <c r="F32" s="51">
        <v>259.84893899999997</v>
      </c>
      <c r="G32" s="5">
        <v>1.7503828999999999E-2</v>
      </c>
    </row>
    <row r="33" spans="1:7" ht="15" x14ac:dyDescent="0.25">
      <c r="A33" s="6">
        <v>27</v>
      </c>
      <c r="B33" s="7" t="s">
        <v>158</v>
      </c>
      <c r="C33" s="11" t="s">
        <v>159</v>
      </c>
      <c r="D33" s="2" t="s">
        <v>16</v>
      </c>
      <c r="E33" s="46">
        <v>293868</v>
      </c>
      <c r="F33" s="51">
        <v>258.01610399999998</v>
      </c>
      <c r="G33" s="5">
        <v>1.7380366000000001E-2</v>
      </c>
    </row>
    <row r="34" spans="1:7" ht="25.5" x14ac:dyDescent="0.25">
      <c r="A34" s="6">
        <v>28</v>
      </c>
      <c r="B34" s="7" t="s">
        <v>176</v>
      </c>
      <c r="C34" s="11" t="s">
        <v>177</v>
      </c>
      <c r="D34" s="2" t="s">
        <v>30</v>
      </c>
      <c r="E34" s="46">
        <v>25571</v>
      </c>
      <c r="F34" s="51">
        <v>248.85697200000001</v>
      </c>
      <c r="G34" s="5">
        <v>1.6763393000000001E-2</v>
      </c>
    </row>
    <row r="35" spans="1:7" ht="25.5" x14ac:dyDescent="0.25">
      <c r="A35" s="6">
        <v>29</v>
      </c>
      <c r="B35" s="7" t="s">
        <v>94</v>
      </c>
      <c r="C35" s="11" t="s">
        <v>95</v>
      </c>
      <c r="D35" s="2" t="s">
        <v>22</v>
      </c>
      <c r="E35" s="46">
        <v>241289</v>
      </c>
      <c r="F35" s="51">
        <v>247.2005805</v>
      </c>
      <c r="G35" s="5">
        <v>1.6651816E-2</v>
      </c>
    </row>
    <row r="36" spans="1:7" ht="25.5" x14ac:dyDescent="0.25">
      <c r="A36" s="6">
        <v>30</v>
      </c>
      <c r="B36" s="7" t="s">
        <v>171</v>
      </c>
      <c r="C36" s="11" t="s">
        <v>172</v>
      </c>
      <c r="D36" s="2" t="s">
        <v>173</v>
      </c>
      <c r="E36" s="46">
        <v>76508</v>
      </c>
      <c r="F36" s="51">
        <v>224.89526599999999</v>
      </c>
      <c r="G36" s="5">
        <v>1.5149295E-2</v>
      </c>
    </row>
    <row r="37" spans="1:7" ht="25.5" x14ac:dyDescent="0.25">
      <c r="A37" s="6">
        <v>31</v>
      </c>
      <c r="B37" s="7" t="s">
        <v>355</v>
      </c>
      <c r="C37" s="11" t="s">
        <v>356</v>
      </c>
      <c r="D37" s="2" t="s">
        <v>22</v>
      </c>
      <c r="E37" s="46">
        <v>65156</v>
      </c>
      <c r="F37" s="51">
        <v>214.85191</v>
      </c>
      <c r="G37" s="5">
        <v>1.4472759E-2</v>
      </c>
    </row>
    <row r="38" spans="1:7" ht="25.5" x14ac:dyDescent="0.25">
      <c r="A38" s="6">
        <v>32</v>
      </c>
      <c r="B38" s="7" t="s">
        <v>70</v>
      </c>
      <c r="C38" s="11" t="s">
        <v>71</v>
      </c>
      <c r="D38" s="2" t="s">
        <v>22</v>
      </c>
      <c r="E38" s="46">
        <v>19065</v>
      </c>
      <c r="F38" s="51">
        <v>209.18118000000001</v>
      </c>
      <c r="G38" s="5">
        <v>1.4090770000000001E-2</v>
      </c>
    </row>
    <row r="39" spans="1:7" ht="25.5" x14ac:dyDescent="0.25">
      <c r="A39" s="6">
        <v>33</v>
      </c>
      <c r="B39" s="7" t="s">
        <v>448</v>
      </c>
      <c r="C39" s="11" t="s">
        <v>449</v>
      </c>
      <c r="D39" s="2" t="s">
        <v>81</v>
      </c>
      <c r="E39" s="46">
        <v>73155</v>
      </c>
      <c r="F39" s="51">
        <v>191.84898749999999</v>
      </c>
      <c r="G39" s="5">
        <v>1.2923245999999999E-2</v>
      </c>
    </row>
    <row r="40" spans="1:7" ht="15" x14ac:dyDescent="0.25">
      <c r="A40" s="6">
        <v>34</v>
      </c>
      <c r="B40" s="7" t="s">
        <v>211</v>
      </c>
      <c r="C40" s="11" t="s">
        <v>212</v>
      </c>
      <c r="D40" s="2" t="s">
        <v>162</v>
      </c>
      <c r="E40" s="46">
        <v>228623</v>
      </c>
      <c r="F40" s="51">
        <v>181.75528499999999</v>
      </c>
      <c r="G40" s="5">
        <v>1.2243319000000001E-2</v>
      </c>
    </row>
    <row r="41" spans="1:7" ht="25.5" x14ac:dyDescent="0.25">
      <c r="A41" s="6">
        <v>35</v>
      </c>
      <c r="B41" s="7" t="s">
        <v>207</v>
      </c>
      <c r="C41" s="11" t="s">
        <v>208</v>
      </c>
      <c r="D41" s="2" t="s">
        <v>30</v>
      </c>
      <c r="E41" s="46">
        <v>160860</v>
      </c>
      <c r="F41" s="51">
        <v>176.70471000000001</v>
      </c>
      <c r="G41" s="5">
        <v>1.1903103999999999E-2</v>
      </c>
    </row>
    <row r="42" spans="1:7" ht="25.5" x14ac:dyDescent="0.25">
      <c r="A42" s="6">
        <v>36</v>
      </c>
      <c r="B42" s="7" t="s">
        <v>64</v>
      </c>
      <c r="C42" s="11" t="s">
        <v>65</v>
      </c>
      <c r="D42" s="2" t="s">
        <v>19</v>
      </c>
      <c r="E42" s="46">
        <v>223886</v>
      </c>
      <c r="F42" s="51">
        <v>163.77260899999999</v>
      </c>
      <c r="G42" s="5">
        <v>1.1031978E-2</v>
      </c>
    </row>
    <row r="43" spans="1:7" ht="15" x14ac:dyDescent="0.25">
      <c r="A43" s="6">
        <v>37</v>
      </c>
      <c r="B43" s="7" t="s">
        <v>203</v>
      </c>
      <c r="C43" s="11" t="s">
        <v>204</v>
      </c>
      <c r="D43" s="2" t="s">
        <v>81</v>
      </c>
      <c r="E43" s="46">
        <v>151788</v>
      </c>
      <c r="F43" s="51">
        <v>163.47567599999999</v>
      </c>
      <c r="G43" s="5">
        <v>1.1011976E-2</v>
      </c>
    </row>
    <row r="44" spans="1:7" ht="15" x14ac:dyDescent="0.25">
      <c r="A44" s="6">
        <v>38</v>
      </c>
      <c r="B44" s="7" t="s">
        <v>452</v>
      </c>
      <c r="C44" s="11" t="s">
        <v>453</v>
      </c>
      <c r="D44" s="2" t="s">
        <v>170</v>
      </c>
      <c r="E44" s="46">
        <v>158085</v>
      </c>
      <c r="F44" s="51">
        <v>161.87904</v>
      </c>
      <c r="G44" s="5">
        <v>1.0904423999999999E-2</v>
      </c>
    </row>
    <row r="45" spans="1:7" ht="25.5" x14ac:dyDescent="0.25">
      <c r="A45" s="6">
        <v>39</v>
      </c>
      <c r="B45" s="7" t="s">
        <v>196</v>
      </c>
      <c r="C45" s="11" t="s">
        <v>846</v>
      </c>
      <c r="D45" s="2" t="s">
        <v>59</v>
      </c>
      <c r="E45" s="46">
        <v>9707</v>
      </c>
      <c r="F45" s="51">
        <v>159.32099099999999</v>
      </c>
      <c r="G45" s="5">
        <v>1.073211E-2</v>
      </c>
    </row>
    <row r="46" spans="1:7" ht="15" x14ac:dyDescent="0.25">
      <c r="A46" s="6">
        <v>40</v>
      </c>
      <c r="B46" s="7" t="s">
        <v>414</v>
      </c>
      <c r="C46" s="11" t="s">
        <v>415</v>
      </c>
      <c r="D46" s="2" t="s">
        <v>215</v>
      </c>
      <c r="E46" s="46">
        <v>29670</v>
      </c>
      <c r="F46" s="51">
        <v>154.44718499999999</v>
      </c>
      <c r="G46" s="5">
        <v>1.0403803E-2</v>
      </c>
    </row>
    <row r="47" spans="1:7" ht="25.5" x14ac:dyDescent="0.25">
      <c r="A47" s="6">
        <v>41</v>
      </c>
      <c r="B47" s="7" t="s">
        <v>194</v>
      </c>
      <c r="C47" s="11" t="s">
        <v>195</v>
      </c>
      <c r="D47" s="2" t="s">
        <v>37</v>
      </c>
      <c r="E47" s="46">
        <v>44630</v>
      </c>
      <c r="F47" s="51">
        <v>151.05023499999999</v>
      </c>
      <c r="G47" s="5">
        <v>1.0174979000000001E-2</v>
      </c>
    </row>
    <row r="48" spans="1:7" ht="15" x14ac:dyDescent="0.25">
      <c r="A48" s="6">
        <v>42</v>
      </c>
      <c r="B48" s="7" t="s">
        <v>75</v>
      </c>
      <c r="C48" s="11" t="s">
        <v>76</v>
      </c>
      <c r="D48" s="2" t="s">
        <v>51</v>
      </c>
      <c r="E48" s="46">
        <v>62000</v>
      </c>
      <c r="F48" s="51">
        <v>137.29900000000001</v>
      </c>
      <c r="G48" s="5">
        <v>9.2486740000000001E-3</v>
      </c>
    </row>
    <row r="49" spans="1:7" ht="25.5" x14ac:dyDescent="0.25">
      <c r="A49" s="6">
        <v>43</v>
      </c>
      <c r="B49" s="7" t="s">
        <v>185</v>
      </c>
      <c r="C49" s="11" t="s">
        <v>186</v>
      </c>
      <c r="D49" s="2" t="s">
        <v>59</v>
      </c>
      <c r="E49" s="46">
        <v>104606</v>
      </c>
      <c r="F49" s="51">
        <v>132.06507500000001</v>
      </c>
      <c r="G49" s="5">
        <v>8.8961089999999993E-3</v>
      </c>
    </row>
    <row r="50" spans="1:7" ht="15" x14ac:dyDescent="0.25">
      <c r="A50" s="6">
        <v>44</v>
      </c>
      <c r="B50" s="7" t="s">
        <v>191</v>
      </c>
      <c r="C50" s="11" t="s">
        <v>192</v>
      </c>
      <c r="D50" s="2" t="s">
        <v>193</v>
      </c>
      <c r="E50" s="46">
        <v>99011</v>
      </c>
      <c r="F50" s="51">
        <v>131.78364099999999</v>
      </c>
      <c r="G50" s="5">
        <v>8.8771509999999998E-3</v>
      </c>
    </row>
    <row r="51" spans="1:7" ht="51" x14ac:dyDescent="0.25">
      <c r="A51" s="6">
        <v>45</v>
      </c>
      <c r="B51" s="7" t="s">
        <v>286</v>
      </c>
      <c r="C51" s="11" t="s">
        <v>287</v>
      </c>
      <c r="D51" s="2" t="s">
        <v>235</v>
      </c>
      <c r="E51" s="46">
        <v>402399</v>
      </c>
      <c r="F51" s="51">
        <v>129.57247799999999</v>
      </c>
      <c r="G51" s="5">
        <v>8.7282039999999998E-3</v>
      </c>
    </row>
    <row r="52" spans="1:7" ht="15" x14ac:dyDescent="0.25">
      <c r="A52" s="6">
        <v>46</v>
      </c>
      <c r="B52" s="7" t="s">
        <v>267</v>
      </c>
      <c r="C52" s="11" t="s">
        <v>268</v>
      </c>
      <c r="D52" s="2" t="s">
        <v>269</v>
      </c>
      <c r="E52" s="46">
        <v>17224</v>
      </c>
      <c r="F52" s="51">
        <v>128.24990399999999</v>
      </c>
      <c r="G52" s="5">
        <v>8.6391130000000003E-3</v>
      </c>
    </row>
    <row r="53" spans="1:7" ht="15" x14ac:dyDescent="0.25">
      <c r="A53" s="6">
        <v>47</v>
      </c>
      <c r="B53" s="7" t="s">
        <v>163</v>
      </c>
      <c r="C53" s="11" t="s">
        <v>164</v>
      </c>
      <c r="D53" s="2" t="s">
        <v>13</v>
      </c>
      <c r="E53" s="46">
        <v>65000</v>
      </c>
      <c r="F53" s="51">
        <v>127.075</v>
      </c>
      <c r="G53" s="5">
        <v>8.5599700000000001E-3</v>
      </c>
    </row>
    <row r="54" spans="1:7" ht="15" x14ac:dyDescent="0.25">
      <c r="A54" s="6">
        <v>48</v>
      </c>
      <c r="B54" s="7" t="s">
        <v>450</v>
      </c>
      <c r="C54" s="11" t="s">
        <v>451</v>
      </c>
      <c r="D54" s="2" t="s">
        <v>193</v>
      </c>
      <c r="E54" s="46">
        <v>19258</v>
      </c>
      <c r="F54" s="51">
        <v>126.708011</v>
      </c>
      <c r="G54" s="5">
        <v>8.535249E-3</v>
      </c>
    </row>
    <row r="55" spans="1:7" ht="15" x14ac:dyDescent="0.25">
      <c r="A55" s="6">
        <v>49</v>
      </c>
      <c r="B55" s="7" t="s">
        <v>256</v>
      </c>
      <c r="C55" s="11" t="s">
        <v>257</v>
      </c>
      <c r="D55" s="2" t="s">
        <v>215</v>
      </c>
      <c r="E55" s="46">
        <v>16500</v>
      </c>
      <c r="F55" s="51">
        <v>122.925</v>
      </c>
      <c r="G55" s="5">
        <v>8.2804190000000007E-3</v>
      </c>
    </row>
    <row r="56" spans="1:7" ht="25.5" x14ac:dyDescent="0.25">
      <c r="A56" s="6">
        <v>50</v>
      </c>
      <c r="B56" s="7" t="s">
        <v>216</v>
      </c>
      <c r="C56" s="11" t="s">
        <v>217</v>
      </c>
      <c r="D56" s="2" t="s">
        <v>59</v>
      </c>
      <c r="E56" s="46">
        <v>53945</v>
      </c>
      <c r="F56" s="51">
        <v>122.1045075</v>
      </c>
      <c r="G56" s="5">
        <v>8.2251500000000005E-3</v>
      </c>
    </row>
    <row r="57" spans="1:7" ht="15" x14ac:dyDescent="0.25">
      <c r="A57" s="6">
        <v>51</v>
      </c>
      <c r="B57" s="7" t="s">
        <v>246</v>
      </c>
      <c r="C57" s="11" t="s">
        <v>247</v>
      </c>
      <c r="D57" s="2" t="s">
        <v>170</v>
      </c>
      <c r="E57" s="46">
        <v>54815</v>
      </c>
      <c r="F57" s="51">
        <v>122.0455975</v>
      </c>
      <c r="G57" s="5">
        <v>8.2211809999999993E-3</v>
      </c>
    </row>
    <row r="58" spans="1:7" ht="15" x14ac:dyDescent="0.25">
      <c r="A58" s="6">
        <v>52</v>
      </c>
      <c r="B58" s="7" t="s">
        <v>459</v>
      </c>
      <c r="C58" s="11" t="s">
        <v>460</v>
      </c>
      <c r="D58" s="2" t="s">
        <v>170</v>
      </c>
      <c r="E58" s="46">
        <v>38058</v>
      </c>
      <c r="F58" s="51">
        <v>113.260608</v>
      </c>
      <c r="G58" s="5">
        <v>7.629411E-3</v>
      </c>
    </row>
    <row r="59" spans="1:7" ht="15" x14ac:dyDescent="0.25">
      <c r="A59" s="6">
        <v>53</v>
      </c>
      <c r="B59" s="7" t="s">
        <v>272</v>
      </c>
      <c r="C59" s="11" t="s">
        <v>273</v>
      </c>
      <c r="D59" s="2" t="s">
        <v>170</v>
      </c>
      <c r="E59" s="46">
        <v>49282</v>
      </c>
      <c r="F59" s="51">
        <v>111.919422</v>
      </c>
      <c r="G59" s="5">
        <v>7.5390659999999996E-3</v>
      </c>
    </row>
    <row r="60" spans="1:7" ht="15" x14ac:dyDescent="0.25">
      <c r="A60" s="6">
        <v>54</v>
      </c>
      <c r="B60" s="7" t="s">
        <v>168</v>
      </c>
      <c r="C60" s="11" t="s">
        <v>169</v>
      </c>
      <c r="D60" s="2" t="s">
        <v>170</v>
      </c>
      <c r="E60" s="46">
        <v>55487</v>
      </c>
      <c r="F60" s="51">
        <v>105.702735</v>
      </c>
      <c r="G60" s="5">
        <v>7.1203009999999999E-3</v>
      </c>
    </row>
    <row r="61" spans="1:7" ht="25.5" x14ac:dyDescent="0.25">
      <c r="A61" s="6">
        <v>55</v>
      </c>
      <c r="B61" s="7" t="s">
        <v>454</v>
      </c>
      <c r="C61" s="11" t="s">
        <v>455</v>
      </c>
      <c r="D61" s="2" t="s">
        <v>173</v>
      </c>
      <c r="E61" s="46">
        <v>188977</v>
      </c>
      <c r="F61" s="51">
        <v>103.08695350000001</v>
      </c>
      <c r="G61" s="5">
        <v>6.9440980000000001E-3</v>
      </c>
    </row>
    <row r="62" spans="1:7" ht="25.5" x14ac:dyDescent="0.25">
      <c r="A62" s="6">
        <v>56</v>
      </c>
      <c r="B62" s="7" t="s">
        <v>199</v>
      </c>
      <c r="C62" s="11" t="s">
        <v>200</v>
      </c>
      <c r="D62" s="2" t="s">
        <v>22</v>
      </c>
      <c r="E62" s="46">
        <v>14000</v>
      </c>
      <c r="F62" s="51">
        <v>102.84399999999999</v>
      </c>
      <c r="G62" s="5">
        <v>6.9277319999999998E-3</v>
      </c>
    </row>
    <row r="63" spans="1:7" ht="15" x14ac:dyDescent="0.25">
      <c r="A63" s="6">
        <v>57</v>
      </c>
      <c r="B63" s="7" t="s">
        <v>220</v>
      </c>
      <c r="C63" s="11" t="s">
        <v>221</v>
      </c>
      <c r="D63" s="2" t="s">
        <v>193</v>
      </c>
      <c r="E63" s="46">
        <v>47702</v>
      </c>
      <c r="F63" s="51">
        <v>91.540137999999999</v>
      </c>
      <c r="G63" s="5">
        <v>6.166286E-3</v>
      </c>
    </row>
    <row r="64" spans="1:7" ht="15" x14ac:dyDescent="0.25">
      <c r="A64" s="6">
        <v>58</v>
      </c>
      <c r="B64" s="7" t="s">
        <v>244</v>
      </c>
      <c r="C64" s="11" t="s">
        <v>245</v>
      </c>
      <c r="D64" s="2" t="s">
        <v>162</v>
      </c>
      <c r="E64" s="46">
        <v>16000</v>
      </c>
      <c r="F64" s="51">
        <v>82.84</v>
      </c>
      <c r="G64" s="5">
        <v>5.5802309999999997E-3</v>
      </c>
    </row>
    <row r="65" spans="1:7" ht="15" x14ac:dyDescent="0.25">
      <c r="A65" s="6">
        <v>59</v>
      </c>
      <c r="B65" s="7" t="s">
        <v>224</v>
      </c>
      <c r="C65" s="11" t="s">
        <v>225</v>
      </c>
      <c r="D65" s="2" t="s">
        <v>226</v>
      </c>
      <c r="E65" s="46">
        <v>6786</v>
      </c>
      <c r="F65" s="51">
        <v>73.455056999999996</v>
      </c>
      <c r="G65" s="5">
        <v>4.9480469999999997E-3</v>
      </c>
    </row>
    <row r="66" spans="1:7" ht="25.5" x14ac:dyDescent="0.25">
      <c r="A66" s="6">
        <v>60</v>
      </c>
      <c r="B66" s="7" t="s">
        <v>274</v>
      </c>
      <c r="C66" s="11" t="s">
        <v>275</v>
      </c>
      <c r="D66" s="2" t="s">
        <v>22</v>
      </c>
      <c r="E66" s="46">
        <v>17108</v>
      </c>
      <c r="F66" s="51">
        <v>67.396966000000006</v>
      </c>
      <c r="G66" s="5">
        <v>4.539965E-3</v>
      </c>
    </row>
    <row r="67" spans="1:7" ht="15" x14ac:dyDescent="0.25">
      <c r="A67" s="6">
        <v>61</v>
      </c>
      <c r="B67" s="7" t="s">
        <v>236</v>
      </c>
      <c r="C67" s="11" t="s">
        <v>237</v>
      </c>
      <c r="D67" s="2" t="s">
        <v>238</v>
      </c>
      <c r="E67" s="46">
        <v>7223</v>
      </c>
      <c r="F67" s="51">
        <v>43.457179500000002</v>
      </c>
      <c r="G67" s="5">
        <v>2.9273429999999998E-3</v>
      </c>
    </row>
    <row r="68" spans="1:7" ht="25.5" x14ac:dyDescent="0.25">
      <c r="A68" s="6">
        <v>62</v>
      </c>
      <c r="B68" s="7" t="s">
        <v>227</v>
      </c>
      <c r="C68" s="11" t="s">
        <v>228</v>
      </c>
      <c r="D68" s="2" t="s">
        <v>173</v>
      </c>
      <c r="E68" s="46">
        <v>58331</v>
      </c>
      <c r="F68" s="51">
        <v>36.981853999999998</v>
      </c>
      <c r="G68" s="5">
        <v>2.4911550000000001E-3</v>
      </c>
    </row>
    <row r="69" spans="1:7" ht="15" x14ac:dyDescent="0.25">
      <c r="A69" s="1"/>
      <c r="B69" s="2"/>
      <c r="C69" s="8" t="s">
        <v>104</v>
      </c>
      <c r="D69" s="12"/>
      <c r="E69" s="48"/>
      <c r="F69" s="53">
        <v>14524.279407000002</v>
      </c>
      <c r="G69" s="13">
        <v>0.9783780649999998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"/>
      <c r="B71" s="2"/>
      <c r="C71" s="8" t="s">
        <v>105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6"/>
      <c r="B73" s="7"/>
      <c r="C73" s="14"/>
      <c r="D73" s="15"/>
      <c r="E73" s="46"/>
      <c r="F73" s="51"/>
      <c r="G73" s="5"/>
    </row>
    <row r="74" spans="1:7" ht="15" x14ac:dyDescent="0.25">
      <c r="A74" s="16"/>
      <c r="B74" s="17"/>
      <c r="C74" s="8" t="s">
        <v>106</v>
      </c>
      <c r="D74" s="9"/>
      <c r="E74" s="47"/>
      <c r="F74" s="52"/>
      <c r="G74" s="10"/>
    </row>
    <row r="75" spans="1:7" ht="15" x14ac:dyDescent="0.25">
      <c r="A75" s="18"/>
      <c r="B75" s="19"/>
      <c r="C75" s="8" t="s">
        <v>104</v>
      </c>
      <c r="D75" s="20"/>
      <c r="E75" s="49"/>
      <c r="F75" s="54">
        <v>0</v>
      </c>
      <c r="G75" s="21">
        <v>0</v>
      </c>
    </row>
    <row r="76" spans="1:7" ht="15" x14ac:dyDescent="0.25">
      <c r="A76" s="18"/>
      <c r="B76" s="19"/>
      <c r="C76" s="14"/>
      <c r="D76" s="22"/>
      <c r="E76" s="50"/>
      <c r="F76" s="55"/>
      <c r="G76" s="23"/>
    </row>
    <row r="77" spans="1:7" ht="15" x14ac:dyDescent="0.25">
      <c r="A77" s="1"/>
      <c r="B77" s="2"/>
      <c r="C77" s="8" t="s">
        <v>108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109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15" x14ac:dyDescent="0.25">
      <c r="A83" s="1"/>
      <c r="B83" s="2"/>
      <c r="C83" s="8" t="s">
        <v>110</v>
      </c>
      <c r="D83" s="9"/>
      <c r="E83" s="47"/>
      <c r="F83" s="52"/>
      <c r="G83" s="10"/>
    </row>
    <row r="84" spans="1:7" ht="15" x14ac:dyDescent="0.25">
      <c r="A84" s="1"/>
      <c r="B84" s="2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1"/>
      <c r="B85" s="2"/>
      <c r="C85" s="14"/>
      <c r="D85" s="4"/>
      <c r="E85" s="46"/>
      <c r="F85" s="51"/>
      <c r="G85" s="5"/>
    </row>
    <row r="86" spans="1:7" ht="25.5" x14ac:dyDescent="0.25">
      <c r="A86" s="6"/>
      <c r="B86" s="7"/>
      <c r="C86" s="24" t="s">
        <v>111</v>
      </c>
      <c r="D86" s="25"/>
      <c r="E86" s="48"/>
      <c r="F86" s="53">
        <v>14524.279407000002</v>
      </c>
      <c r="G86" s="13">
        <v>0.9783780649999998</v>
      </c>
    </row>
    <row r="87" spans="1:7" ht="15" x14ac:dyDescent="0.25">
      <c r="A87" s="1"/>
      <c r="B87" s="2"/>
      <c r="C87" s="11"/>
      <c r="D87" s="4"/>
      <c r="E87" s="46"/>
      <c r="F87" s="51"/>
      <c r="G87" s="5"/>
    </row>
    <row r="88" spans="1:7" ht="15" x14ac:dyDescent="0.25">
      <c r="A88" s="1"/>
      <c r="B88" s="2"/>
      <c r="C88" s="3" t="s">
        <v>112</v>
      </c>
      <c r="D88" s="4"/>
      <c r="E88" s="46"/>
      <c r="F88" s="51"/>
      <c r="G88" s="5"/>
    </row>
    <row r="89" spans="1:7" ht="25.5" x14ac:dyDescent="0.25">
      <c r="A89" s="1"/>
      <c r="B89" s="2"/>
      <c r="C89" s="8" t="s">
        <v>10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1"/>
      <c r="G91" s="5"/>
    </row>
    <row r="92" spans="1:7" ht="15" x14ac:dyDescent="0.25">
      <c r="A92" s="1"/>
      <c r="B92" s="26"/>
      <c r="C92" s="8" t="s">
        <v>113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6"/>
      <c r="B94" s="7"/>
      <c r="C94" s="14"/>
      <c r="D94" s="4"/>
      <c r="E94" s="46"/>
      <c r="F94" s="56"/>
      <c r="G94" s="27"/>
    </row>
    <row r="95" spans="1:7" ht="15" x14ac:dyDescent="0.25">
      <c r="A95" s="1"/>
      <c r="B95" s="2"/>
      <c r="C95" s="8" t="s">
        <v>114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12"/>
      <c r="E96" s="48"/>
      <c r="F96" s="53">
        <v>0</v>
      </c>
      <c r="G96" s="13">
        <v>0</v>
      </c>
    </row>
    <row r="97" spans="1:7" ht="15" x14ac:dyDescent="0.25">
      <c r="A97" s="1"/>
      <c r="B97" s="2"/>
      <c r="C97" s="14"/>
      <c r="D97" s="4"/>
      <c r="E97" s="46"/>
      <c r="F97" s="51"/>
      <c r="G97" s="5"/>
    </row>
    <row r="98" spans="1:7" ht="25.5" x14ac:dyDescent="0.25">
      <c r="A98" s="1"/>
      <c r="B98" s="26"/>
      <c r="C98" s="8" t="s">
        <v>115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12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4"/>
      <c r="E100" s="46"/>
      <c r="F100" s="51"/>
      <c r="G100" s="5"/>
    </row>
    <row r="101" spans="1:7" ht="15" x14ac:dyDescent="0.25">
      <c r="A101" s="6"/>
      <c r="B101" s="7"/>
      <c r="C101" s="28" t="s">
        <v>116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1"/>
      <c r="D102" s="4"/>
      <c r="E102" s="46"/>
      <c r="F102" s="51"/>
      <c r="G102" s="5"/>
    </row>
    <row r="103" spans="1:7" ht="15" x14ac:dyDescent="0.25">
      <c r="A103" s="1"/>
      <c r="B103" s="2"/>
      <c r="C103" s="3" t="s">
        <v>117</v>
      </c>
      <c r="D103" s="4"/>
      <c r="E103" s="46"/>
      <c r="F103" s="51"/>
      <c r="G103" s="5"/>
    </row>
    <row r="104" spans="1:7" ht="15" x14ac:dyDescent="0.25">
      <c r="A104" s="6"/>
      <c r="B104" s="7"/>
      <c r="C104" s="8" t="s">
        <v>118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119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6"/>
      <c r="B110" s="7"/>
      <c r="C110" s="8" t="s">
        <v>120</v>
      </c>
      <c r="D110" s="9"/>
      <c r="E110" s="47"/>
      <c r="F110" s="52"/>
      <c r="G110" s="10"/>
    </row>
    <row r="111" spans="1:7" ht="15" x14ac:dyDescent="0.25">
      <c r="A111" s="6"/>
      <c r="B111" s="7"/>
      <c r="C111" s="8" t="s">
        <v>104</v>
      </c>
      <c r="D111" s="25"/>
      <c r="E111" s="48"/>
      <c r="F111" s="53">
        <v>0</v>
      </c>
      <c r="G111" s="13">
        <v>0</v>
      </c>
    </row>
    <row r="112" spans="1:7" ht="15" x14ac:dyDescent="0.25">
      <c r="A112" s="6"/>
      <c r="B112" s="7"/>
      <c r="C112" s="14"/>
      <c r="D112" s="7"/>
      <c r="E112" s="46"/>
      <c r="F112" s="51"/>
      <c r="G112" s="5"/>
    </row>
    <row r="113" spans="1:7" ht="15" x14ac:dyDescent="0.25">
      <c r="A113" s="6"/>
      <c r="B113" s="7"/>
      <c r="C113" s="8" t="s">
        <v>121</v>
      </c>
      <c r="D113" s="9"/>
      <c r="E113" s="47"/>
      <c r="F113" s="52"/>
      <c r="G113" s="10"/>
    </row>
    <row r="114" spans="1:7" ht="15" x14ac:dyDescent="0.25">
      <c r="A114" s="6">
        <v>1</v>
      </c>
      <c r="B114" s="7"/>
      <c r="C114" s="11" t="s">
        <v>730</v>
      </c>
      <c r="D114" s="15"/>
      <c r="E114" s="46"/>
      <c r="F114" s="51">
        <v>194.9701402</v>
      </c>
      <c r="G114" s="5">
        <v>1.3133492E-2</v>
      </c>
    </row>
    <row r="115" spans="1:7" ht="15" x14ac:dyDescent="0.25">
      <c r="A115" s="6"/>
      <c r="B115" s="7"/>
      <c r="C115" s="8" t="s">
        <v>104</v>
      </c>
      <c r="D115" s="25"/>
      <c r="E115" s="48"/>
      <c r="F115" s="53">
        <v>194.9701402</v>
      </c>
      <c r="G115" s="13">
        <v>1.3133492E-2</v>
      </c>
    </row>
    <row r="116" spans="1:7" ht="15" x14ac:dyDescent="0.25">
      <c r="A116" s="6"/>
      <c r="B116" s="7"/>
      <c r="C116" s="14"/>
      <c r="D116" s="7"/>
      <c r="E116" s="46"/>
      <c r="F116" s="51"/>
      <c r="G116" s="5"/>
    </row>
    <row r="117" spans="1:7" ht="25.5" x14ac:dyDescent="0.25">
      <c r="A117" s="6"/>
      <c r="B117" s="7"/>
      <c r="C117" s="24" t="s">
        <v>122</v>
      </c>
      <c r="D117" s="25"/>
      <c r="E117" s="48"/>
      <c r="F117" s="53">
        <v>194.9701402</v>
      </c>
      <c r="G117" s="13">
        <v>1.3133492E-2</v>
      </c>
    </row>
    <row r="118" spans="1:7" ht="15" x14ac:dyDescent="0.25">
      <c r="A118" s="6"/>
      <c r="B118" s="7"/>
      <c r="C118" s="29"/>
      <c r="D118" s="7"/>
      <c r="E118" s="46"/>
      <c r="F118" s="51"/>
      <c r="G118" s="5"/>
    </row>
    <row r="119" spans="1:7" ht="15" x14ac:dyDescent="0.25">
      <c r="A119" s="1"/>
      <c r="B119" s="2"/>
      <c r="C119" s="3" t="s">
        <v>123</v>
      </c>
      <c r="D119" s="4"/>
      <c r="E119" s="46"/>
      <c r="F119" s="51"/>
      <c r="G119" s="5"/>
    </row>
    <row r="120" spans="1:7" ht="25.5" x14ac:dyDescent="0.25">
      <c r="A120" s="6"/>
      <c r="B120" s="7"/>
      <c r="C120" s="8" t="s">
        <v>124</v>
      </c>
      <c r="D120" s="9"/>
      <c r="E120" s="47"/>
      <c r="F120" s="52"/>
      <c r="G120" s="10"/>
    </row>
    <row r="121" spans="1:7" ht="15" x14ac:dyDescent="0.25">
      <c r="A121" s="6"/>
      <c r="B121" s="7"/>
      <c r="C121" s="8" t="s">
        <v>104</v>
      </c>
      <c r="D121" s="25"/>
      <c r="E121" s="48"/>
      <c r="F121" s="53">
        <v>0</v>
      </c>
      <c r="G121" s="13">
        <v>0</v>
      </c>
    </row>
    <row r="122" spans="1:7" ht="15" x14ac:dyDescent="0.25">
      <c r="A122" s="6"/>
      <c r="B122" s="7"/>
      <c r="C122" s="14"/>
      <c r="D122" s="7"/>
      <c r="E122" s="46"/>
      <c r="F122" s="51"/>
      <c r="G122" s="5"/>
    </row>
    <row r="123" spans="1:7" ht="15" x14ac:dyDescent="0.25">
      <c r="A123" s="1"/>
      <c r="B123" s="2"/>
      <c r="C123" s="3" t="s">
        <v>125</v>
      </c>
      <c r="D123" s="4"/>
      <c r="E123" s="46"/>
      <c r="F123" s="51"/>
      <c r="G123" s="5"/>
    </row>
    <row r="124" spans="1:7" ht="25.5" x14ac:dyDescent="0.25">
      <c r="A124" s="6"/>
      <c r="B124" s="7"/>
      <c r="C124" s="8" t="s">
        <v>126</v>
      </c>
      <c r="D124" s="9"/>
      <c r="E124" s="47"/>
      <c r="F124" s="52"/>
      <c r="G124" s="10"/>
    </row>
    <row r="125" spans="1:7" ht="15" x14ac:dyDescent="0.25">
      <c r="A125" s="6"/>
      <c r="B125" s="7"/>
      <c r="C125" s="8" t="s">
        <v>104</v>
      </c>
      <c r="D125" s="25"/>
      <c r="E125" s="48"/>
      <c r="F125" s="53">
        <v>0</v>
      </c>
      <c r="G125" s="13">
        <v>0</v>
      </c>
    </row>
    <row r="126" spans="1:7" ht="15" x14ac:dyDescent="0.25">
      <c r="A126" s="6"/>
      <c r="B126" s="7"/>
      <c r="C126" s="14"/>
      <c r="D126" s="7"/>
      <c r="E126" s="46"/>
      <c r="F126" s="51"/>
      <c r="G126" s="5"/>
    </row>
    <row r="127" spans="1:7" ht="25.5" x14ac:dyDescent="0.25">
      <c r="A127" s="6"/>
      <c r="B127" s="7"/>
      <c r="C127" s="8" t="s">
        <v>127</v>
      </c>
      <c r="D127" s="9"/>
      <c r="E127" s="47"/>
      <c r="F127" s="52"/>
      <c r="G127" s="10"/>
    </row>
    <row r="128" spans="1:7" ht="15" x14ac:dyDescent="0.25">
      <c r="A128" s="6"/>
      <c r="B128" s="7"/>
      <c r="C128" s="8" t="s">
        <v>104</v>
      </c>
      <c r="D128" s="25"/>
      <c r="E128" s="48"/>
      <c r="F128" s="53">
        <v>0</v>
      </c>
      <c r="G128" s="13">
        <v>0</v>
      </c>
    </row>
    <row r="129" spans="1:7" ht="15" x14ac:dyDescent="0.25">
      <c r="A129" s="6"/>
      <c r="B129" s="7"/>
      <c r="C129" s="14"/>
      <c r="D129" s="7"/>
      <c r="E129" s="46"/>
      <c r="F129" s="56"/>
      <c r="G129" s="27"/>
    </row>
    <row r="130" spans="1:7" ht="25.5" x14ac:dyDescent="0.25">
      <c r="A130" s="6"/>
      <c r="B130" s="7"/>
      <c r="C130" s="29" t="s">
        <v>128</v>
      </c>
      <c r="D130" s="7"/>
      <c r="E130" s="46"/>
      <c r="F130" s="56">
        <v>126.01322129</v>
      </c>
      <c r="G130" s="27">
        <v>8.4884469999999997E-3</v>
      </c>
    </row>
    <row r="131" spans="1:7" ht="15" x14ac:dyDescent="0.25">
      <c r="A131" s="6"/>
      <c r="B131" s="7"/>
      <c r="C131" s="30" t="s">
        <v>129</v>
      </c>
      <c r="D131" s="12"/>
      <c r="E131" s="48"/>
      <c r="F131" s="53">
        <v>14845.26276849</v>
      </c>
      <c r="G131" s="13">
        <v>1.0000000039999997</v>
      </c>
    </row>
    <row r="133" spans="1:7" ht="15" x14ac:dyDescent="0.25">
      <c r="B133" s="279"/>
      <c r="C133" s="279"/>
      <c r="D133" s="279"/>
      <c r="E133" s="279"/>
      <c r="F133" s="279"/>
    </row>
    <row r="134" spans="1:7" ht="15" x14ac:dyDescent="0.25">
      <c r="B134" s="279"/>
      <c r="C134" s="279"/>
      <c r="D134" s="279"/>
      <c r="E134" s="279"/>
      <c r="F134" s="279"/>
    </row>
    <row r="136" spans="1:7" ht="15" x14ac:dyDescent="0.25">
      <c r="B136" s="36" t="s">
        <v>131</v>
      </c>
      <c r="C136" s="37"/>
      <c r="D136" s="38"/>
    </row>
    <row r="137" spans="1:7" ht="15" x14ac:dyDescent="0.25">
      <c r="B137" s="39" t="s">
        <v>132</v>
      </c>
      <c r="C137" s="40"/>
      <c r="D137" s="62" t="s">
        <v>133</v>
      </c>
    </row>
    <row r="138" spans="1:7" ht="15" x14ac:dyDescent="0.25">
      <c r="B138" s="39" t="s">
        <v>134</v>
      </c>
      <c r="C138" s="40"/>
      <c r="D138" s="62" t="s">
        <v>133</v>
      </c>
    </row>
    <row r="139" spans="1:7" ht="15" x14ac:dyDescent="0.25">
      <c r="B139" s="41" t="s">
        <v>135</v>
      </c>
      <c r="C139" s="40"/>
      <c r="D139" s="42"/>
    </row>
    <row r="140" spans="1:7" ht="25.5" customHeight="1" x14ac:dyDescent="0.25">
      <c r="B140" s="42"/>
      <c r="C140" s="32" t="s">
        <v>136</v>
      </c>
      <c r="D140" s="33" t="s">
        <v>137</v>
      </c>
    </row>
    <row r="141" spans="1:7" ht="12.75" customHeight="1" x14ac:dyDescent="0.25">
      <c r="B141" s="57" t="s">
        <v>138</v>
      </c>
      <c r="C141" s="58" t="s">
        <v>139</v>
      </c>
      <c r="D141" s="58" t="s">
        <v>140</v>
      </c>
    </row>
    <row r="142" spans="1:7" ht="15" x14ac:dyDescent="0.25">
      <c r="B142" s="42" t="s">
        <v>141</v>
      </c>
      <c r="C142" s="43">
        <v>8.8034999999999997</v>
      </c>
      <c r="D142" s="43">
        <v>7.7186000000000003</v>
      </c>
    </row>
    <row r="143" spans="1:7" ht="15" x14ac:dyDescent="0.25">
      <c r="B143" s="42" t="s">
        <v>142</v>
      </c>
      <c r="C143" s="43">
        <v>8.8034999999999997</v>
      </c>
      <c r="D143" s="43">
        <v>7.7186000000000003</v>
      </c>
    </row>
    <row r="144" spans="1:7" ht="15" x14ac:dyDescent="0.25">
      <c r="B144" s="42" t="s">
        <v>143</v>
      </c>
      <c r="C144" s="43">
        <v>8.6488999999999994</v>
      </c>
      <c r="D144" s="43">
        <v>7.5781000000000001</v>
      </c>
    </row>
    <row r="145" spans="2:4" ht="15" x14ac:dyDescent="0.25">
      <c r="B145" s="42" t="s">
        <v>144</v>
      </c>
      <c r="C145" s="43">
        <v>8.6488999999999994</v>
      </c>
      <c r="D145" s="43">
        <v>7.5781000000000001</v>
      </c>
    </row>
    <row r="147" spans="2:4" ht="15" x14ac:dyDescent="0.25">
      <c r="B147" s="59" t="s">
        <v>145</v>
      </c>
      <c r="C147" s="44"/>
      <c r="D147" s="60" t="s">
        <v>133</v>
      </c>
    </row>
    <row r="148" spans="2:4" ht="24.75" customHeight="1" x14ac:dyDescent="0.25">
      <c r="B148" s="61"/>
      <c r="C148" s="61"/>
    </row>
    <row r="149" spans="2:4" ht="15" x14ac:dyDescent="0.25">
      <c r="B149" s="63"/>
      <c r="C149" s="65"/>
      <c r="D149"/>
    </row>
    <row r="151" spans="2:4" ht="15" x14ac:dyDescent="0.25">
      <c r="B151" s="41" t="s">
        <v>146</v>
      </c>
      <c r="C151" s="40"/>
      <c r="D151" s="64" t="s">
        <v>133</v>
      </c>
    </row>
    <row r="152" spans="2:4" ht="15" x14ac:dyDescent="0.25">
      <c r="B152" s="41" t="s">
        <v>147</v>
      </c>
      <c r="C152" s="40"/>
      <c r="D152" s="64" t="s">
        <v>133</v>
      </c>
    </row>
    <row r="153" spans="2:4" ht="15" x14ac:dyDescent="0.25">
      <c r="B153" s="41" t="s">
        <v>148</v>
      </c>
      <c r="C153" s="40"/>
      <c r="D153" s="45">
        <v>5.7940296778554029E-3</v>
      </c>
    </row>
    <row r="154" spans="2:4" ht="15" x14ac:dyDescent="0.25">
      <c r="B154" s="41" t="s">
        <v>149</v>
      </c>
      <c r="C154" s="40"/>
      <c r="D154" s="45" t="s">
        <v>133</v>
      </c>
    </row>
  </sheetData>
  <mergeCells count="5">
    <mergeCell ref="A1:G1"/>
    <mergeCell ref="A2:G2"/>
    <mergeCell ref="A3:G3"/>
    <mergeCell ref="B133:F133"/>
    <mergeCell ref="B134:F13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V156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461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60</v>
      </c>
      <c r="C7" s="11" t="s">
        <v>61</v>
      </c>
      <c r="D7" s="2" t="s">
        <v>16</v>
      </c>
      <c r="E7" s="46">
        <v>48172</v>
      </c>
      <c r="F7" s="51">
        <v>465.34152</v>
      </c>
      <c r="G7" s="5">
        <v>3.6092533000000003E-2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80709</v>
      </c>
      <c r="F8" s="51">
        <v>443.7784365</v>
      </c>
      <c r="G8" s="5">
        <v>3.4420069999999997E-2</v>
      </c>
    </row>
    <row r="9" spans="1:7" ht="15" x14ac:dyDescent="0.25">
      <c r="A9" s="6">
        <v>3</v>
      </c>
      <c r="B9" s="7" t="s">
        <v>444</v>
      </c>
      <c r="C9" s="11" t="s">
        <v>445</v>
      </c>
      <c r="D9" s="2" t="s">
        <v>193</v>
      </c>
      <c r="E9" s="46">
        <v>60085</v>
      </c>
      <c r="F9" s="51">
        <v>440.09258249999999</v>
      </c>
      <c r="G9" s="5">
        <v>3.4134190000000002E-2</v>
      </c>
    </row>
    <row r="10" spans="1:7" ht="15" x14ac:dyDescent="0.25">
      <c r="A10" s="6">
        <v>4</v>
      </c>
      <c r="B10" s="7" t="s">
        <v>442</v>
      </c>
      <c r="C10" s="11" t="s">
        <v>443</v>
      </c>
      <c r="D10" s="2" t="s">
        <v>162</v>
      </c>
      <c r="E10" s="46">
        <v>76989</v>
      </c>
      <c r="F10" s="51">
        <v>403.99977749999999</v>
      </c>
      <c r="G10" s="5">
        <v>3.1334781999999999E-2</v>
      </c>
    </row>
    <row r="11" spans="1:7" ht="25.5" x14ac:dyDescent="0.25">
      <c r="A11" s="6">
        <v>5</v>
      </c>
      <c r="B11" s="7" t="s">
        <v>440</v>
      </c>
      <c r="C11" s="11" t="s">
        <v>441</v>
      </c>
      <c r="D11" s="2" t="s">
        <v>59</v>
      </c>
      <c r="E11" s="46">
        <v>249268</v>
      </c>
      <c r="F11" s="51">
        <v>381.753942</v>
      </c>
      <c r="G11" s="5">
        <v>2.9609364999999999E-2</v>
      </c>
    </row>
    <row r="12" spans="1:7" ht="25.5" x14ac:dyDescent="0.25">
      <c r="A12" s="6">
        <v>6</v>
      </c>
      <c r="B12" s="7" t="s">
        <v>68</v>
      </c>
      <c r="C12" s="11" t="s">
        <v>69</v>
      </c>
      <c r="D12" s="2" t="s">
        <v>19</v>
      </c>
      <c r="E12" s="46">
        <v>288303</v>
      </c>
      <c r="F12" s="51">
        <v>348.55832700000002</v>
      </c>
      <c r="G12" s="5">
        <v>2.7034666999999998E-2</v>
      </c>
    </row>
    <row r="13" spans="1:7" ht="25.5" x14ac:dyDescent="0.25">
      <c r="A13" s="6">
        <v>7</v>
      </c>
      <c r="B13" s="7" t="s">
        <v>189</v>
      </c>
      <c r="C13" s="11" t="s">
        <v>190</v>
      </c>
      <c r="D13" s="2" t="s">
        <v>167</v>
      </c>
      <c r="E13" s="46">
        <v>77860</v>
      </c>
      <c r="F13" s="51">
        <v>343.67403999999999</v>
      </c>
      <c r="G13" s="5">
        <v>2.6655834999999999E-2</v>
      </c>
    </row>
    <row r="14" spans="1:7" ht="15" x14ac:dyDescent="0.25">
      <c r="A14" s="6">
        <v>8</v>
      </c>
      <c r="B14" s="7" t="s">
        <v>231</v>
      </c>
      <c r="C14" s="11" t="s">
        <v>232</v>
      </c>
      <c r="D14" s="2" t="s">
        <v>170</v>
      </c>
      <c r="E14" s="46">
        <v>98077</v>
      </c>
      <c r="F14" s="51">
        <v>339.68968949999999</v>
      </c>
      <c r="G14" s="5">
        <v>2.6346802999999999E-2</v>
      </c>
    </row>
    <row r="15" spans="1:7" ht="25.5" x14ac:dyDescent="0.25">
      <c r="A15" s="6">
        <v>9</v>
      </c>
      <c r="B15" s="7" t="s">
        <v>153</v>
      </c>
      <c r="C15" s="11" t="s">
        <v>154</v>
      </c>
      <c r="D15" s="2" t="s">
        <v>155</v>
      </c>
      <c r="E15" s="46">
        <v>53697</v>
      </c>
      <c r="F15" s="51">
        <v>334.424916</v>
      </c>
      <c r="G15" s="5">
        <v>2.593846E-2</v>
      </c>
    </row>
    <row r="16" spans="1:7" ht="25.5" x14ac:dyDescent="0.25">
      <c r="A16" s="6">
        <v>10</v>
      </c>
      <c r="B16" s="7" t="s">
        <v>20</v>
      </c>
      <c r="C16" s="11" t="s">
        <v>21</v>
      </c>
      <c r="D16" s="2" t="s">
        <v>22</v>
      </c>
      <c r="E16" s="46">
        <v>45956</v>
      </c>
      <c r="F16" s="51">
        <v>311.94932799999998</v>
      </c>
      <c r="G16" s="5">
        <v>2.4195221999999999E-2</v>
      </c>
    </row>
    <row r="17" spans="1:7" ht="25.5" x14ac:dyDescent="0.25">
      <c r="A17" s="6">
        <v>11</v>
      </c>
      <c r="B17" s="7" t="s">
        <v>174</v>
      </c>
      <c r="C17" s="11" t="s">
        <v>175</v>
      </c>
      <c r="D17" s="2" t="s">
        <v>22</v>
      </c>
      <c r="E17" s="46">
        <v>97000</v>
      </c>
      <c r="F17" s="51">
        <v>286.053</v>
      </c>
      <c r="G17" s="5">
        <v>2.2186667E-2</v>
      </c>
    </row>
    <row r="18" spans="1:7" ht="15" x14ac:dyDescent="0.25">
      <c r="A18" s="6">
        <v>12</v>
      </c>
      <c r="B18" s="7" t="s">
        <v>151</v>
      </c>
      <c r="C18" s="11" t="s">
        <v>152</v>
      </c>
      <c r="D18" s="2" t="s">
        <v>16</v>
      </c>
      <c r="E18" s="46">
        <v>144764</v>
      </c>
      <c r="F18" s="51">
        <v>280.263104</v>
      </c>
      <c r="G18" s="5">
        <v>2.1737594999999998E-2</v>
      </c>
    </row>
    <row r="19" spans="1:7" ht="15" x14ac:dyDescent="0.25">
      <c r="A19" s="6">
        <v>13</v>
      </c>
      <c r="B19" s="7" t="s">
        <v>49</v>
      </c>
      <c r="C19" s="11" t="s">
        <v>50</v>
      </c>
      <c r="D19" s="2" t="s">
        <v>51</v>
      </c>
      <c r="E19" s="46">
        <v>106139</v>
      </c>
      <c r="F19" s="51">
        <v>277.65962400000001</v>
      </c>
      <c r="G19" s="5">
        <v>2.1535664999999999E-2</v>
      </c>
    </row>
    <row r="20" spans="1:7" ht="25.5" x14ac:dyDescent="0.25">
      <c r="A20" s="6">
        <v>14</v>
      </c>
      <c r="B20" s="7" t="s">
        <v>45</v>
      </c>
      <c r="C20" s="11" t="s">
        <v>46</v>
      </c>
      <c r="D20" s="2" t="s">
        <v>22</v>
      </c>
      <c r="E20" s="46">
        <v>45136</v>
      </c>
      <c r="F20" s="51">
        <v>276.187184</v>
      </c>
      <c r="G20" s="5">
        <v>2.1421460999999999E-2</v>
      </c>
    </row>
    <row r="21" spans="1:7" ht="15" x14ac:dyDescent="0.25">
      <c r="A21" s="6">
        <v>15</v>
      </c>
      <c r="B21" s="7" t="s">
        <v>457</v>
      </c>
      <c r="C21" s="11" t="s">
        <v>458</v>
      </c>
      <c r="D21" s="2" t="s">
        <v>162</v>
      </c>
      <c r="E21" s="46">
        <v>17896</v>
      </c>
      <c r="F21" s="51">
        <v>266.86515200000002</v>
      </c>
      <c r="G21" s="5">
        <v>2.0698431E-2</v>
      </c>
    </row>
    <row r="22" spans="1:7" ht="15" x14ac:dyDescent="0.25">
      <c r="A22" s="6">
        <v>16</v>
      </c>
      <c r="B22" s="7" t="s">
        <v>446</v>
      </c>
      <c r="C22" s="11" t="s">
        <v>447</v>
      </c>
      <c r="D22" s="2" t="s">
        <v>162</v>
      </c>
      <c r="E22" s="46">
        <v>233907</v>
      </c>
      <c r="F22" s="51">
        <v>263.145375</v>
      </c>
      <c r="G22" s="5">
        <v>2.0409920000000002E-2</v>
      </c>
    </row>
    <row r="23" spans="1:7" ht="25.5" x14ac:dyDescent="0.25">
      <c r="A23" s="6">
        <v>17</v>
      </c>
      <c r="B23" s="7" t="s">
        <v>178</v>
      </c>
      <c r="C23" s="11" t="s">
        <v>179</v>
      </c>
      <c r="D23" s="2" t="s">
        <v>22</v>
      </c>
      <c r="E23" s="46">
        <v>74492</v>
      </c>
      <c r="F23" s="51">
        <v>259.45563600000003</v>
      </c>
      <c r="G23" s="5">
        <v>2.0123739000000002E-2</v>
      </c>
    </row>
    <row r="24" spans="1:7" ht="25.5" x14ac:dyDescent="0.25">
      <c r="A24" s="6">
        <v>18</v>
      </c>
      <c r="B24" s="7" t="s">
        <v>171</v>
      </c>
      <c r="C24" s="11" t="s">
        <v>172</v>
      </c>
      <c r="D24" s="2" t="s">
        <v>173</v>
      </c>
      <c r="E24" s="46">
        <v>86692</v>
      </c>
      <c r="F24" s="51">
        <v>254.83113399999999</v>
      </c>
      <c r="G24" s="5">
        <v>1.9765056E-2</v>
      </c>
    </row>
    <row r="25" spans="1:7" ht="25.5" x14ac:dyDescent="0.25">
      <c r="A25" s="6">
        <v>19</v>
      </c>
      <c r="B25" s="7" t="s">
        <v>25</v>
      </c>
      <c r="C25" s="11" t="s">
        <v>26</v>
      </c>
      <c r="D25" s="2" t="s">
        <v>27</v>
      </c>
      <c r="E25" s="46">
        <v>51798</v>
      </c>
      <c r="F25" s="51">
        <v>248.449107</v>
      </c>
      <c r="G25" s="5">
        <v>1.9270057E-2</v>
      </c>
    </row>
    <row r="26" spans="1:7" ht="25.5" x14ac:dyDescent="0.25">
      <c r="A26" s="6">
        <v>20</v>
      </c>
      <c r="B26" s="7" t="s">
        <v>90</v>
      </c>
      <c r="C26" s="11" t="s">
        <v>91</v>
      </c>
      <c r="D26" s="2" t="s">
        <v>22</v>
      </c>
      <c r="E26" s="46">
        <v>24417</v>
      </c>
      <c r="F26" s="51">
        <v>244.1577915</v>
      </c>
      <c r="G26" s="5">
        <v>1.8937216999999999E-2</v>
      </c>
    </row>
    <row r="27" spans="1:7" ht="25.5" x14ac:dyDescent="0.25">
      <c r="A27" s="6">
        <v>21</v>
      </c>
      <c r="B27" s="7" t="s">
        <v>92</v>
      </c>
      <c r="C27" s="11" t="s">
        <v>93</v>
      </c>
      <c r="D27" s="2" t="s">
        <v>22</v>
      </c>
      <c r="E27" s="46">
        <v>52665</v>
      </c>
      <c r="F27" s="51">
        <v>230.9623575</v>
      </c>
      <c r="G27" s="5">
        <v>1.7913760000000001E-2</v>
      </c>
    </row>
    <row r="28" spans="1:7" ht="25.5" x14ac:dyDescent="0.25">
      <c r="A28" s="6">
        <v>22</v>
      </c>
      <c r="B28" s="7" t="s">
        <v>57</v>
      </c>
      <c r="C28" s="11" t="s">
        <v>58</v>
      </c>
      <c r="D28" s="2" t="s">
        <v>59</v>
      </c>
      <c r="E28" s="46">
        <v>34087</v>
      </c>
      <c r="F28" s="51">
        <v>230.700816</v>
      </c>
      <c r="G28" s="5">
        <v>1.7893474999999999E-2</v>
      </c>
    </row>
    <row r="29" spans="1:7" ht="25.5" x14ac:dyDescent="0.25">
      <c r="A29" s="6">
        <v>23</v>
      </c>
      <c r="B29" s="7" t="s">
        <v>176</v>
      </c>
      <c r="C29" s="11" t="s">
        <v>177</v>
      </c>
      <c r="D29" s="2" t="s">
        <v>30</v>
      </c>
      <c r="E29" s="46">
        <v>23056</v>
      </c>
      <c r="F29" s="51">
        <v>224.38099199999999</v>
      </c>
      <c r="G29" s="5">
        <v>1.7403300999999999E-2</v>
      </c>
    </row>
    <row r="30" spans="1:7" ht="15" x14ac:dyDescent="0.25">
      <c r="A30" s="6">
        <v>24</v>
      </c>
      <c r="B30" s="7" t="s">
        <v>295</v>
      </c>
      <c r="C30" s="11" t="s">
        <v>296</v>
      </c>
      <c r="D30" s="2" t="s">
        <v>170</v>
      </c>
      <c r="E30" s="46">
        <v>10312</v>
      </c>
      <c r="F30" s="51">
        <v>218.758768</v>
      </c>
      <c r="G30" s="5">
        <v>1.6967233000000002E-2</v>
      </c>
    </row>
    <row r="31" spans="1:7" ht="15" x14ac:dyDescent="0.25">
      <c r="A31" s="6">
        <v>25</v>
      </c>
      <c r="B31" s="7" t="s">
        <v>187</v>
      </c>
      <c r="C31" s="11" t="s">
        <v>188</v>
      </c>
      <c r="D31" s="2" t="s">
        <v>162</v>
      </c>
      <c r="E31" s="46">
        <v>23595</v>
      </c>
      <c r="F31" s="51">
        <v>216.49592250000001</v>
      </c>
      <c r="G31" s="5">
        <v>1.6791724000000001E-2</v>
      </c>
    </row>
    <row r="32" spans="1:7" ht="15" x14ac:dyDescent="0.25">
      <c r="A32" s="6">
        <v>26</v>
      </c>
      <c r="B32" s="7" t="s">
        <v>182</v>
      </c>
      <c r="C32" s="11" t="s">
        <v>183</v>
      </c>
      <c r="D32" s="2" t="s">
        <v>184</v>
      </c>
      <c r="E32" s="46">
        <v>114409</v>
      </c>
      <c r="F32" s="51">
        <v>213.830421</v>
      </c>
      <c r="G32" s="5">
        <v>1.6584984000000001E-2</v>
      </c>
    </row>
    <row r="33" spans="1:7" ht="25.5" x14ac:dyDescent="0.25">
      <c r="A33" s="6">
        <v>27</v>
      </c>
      <c r="B33" s="7" t="s">
        <v>94</v>
      </c>
      <c r="C33" s="11" t="s">
        <v>95</v>
      </c>
      <c r="D33" s="2" t="s">
        <v>22</v>
      </c>
      <c r="E33" s="46">
        <v>203473</v>
      </c>
      <c r="F33" s="51">
        <v>208.4580885</v>
      </c>
      <c r="G33" s="5">
        <v>1.6168298000000001E-2</v>
      </c>
    </row>
    <row r="34" spans="1:7" ht="15" x14ac:dyDescent="0.25">
      <c r="A34" s="6">
        <v>28</v>
      </c>
      <c r="B34" s="7" t="s">
        <v>252</v>
      </c>
      <c r="C34" s="11" t="s">
        <v>253</v>
      </c>
      <c r="D34" s="2" t="s">
        <v>215</v>
      </c>
      <c r="E34" s="46">
        <v>25500</v>
      </c>
      <c r="F34" s="51">
        <v>198.55574999999999</v>
      </c>
      <c r="G34" s="5">
        <v>1.5400258999999999E-2</v>
      </c>
    </row>
    <row r="35" spans="1:7" ht="25.5" x14ac:dyDescent="0.25">
      <c r="A35" s="6">
        <v>29</v>
      </c>
      <c r="B35" s="7" t="s">
        <v>355</v>
      </c>
      <c r="C35" s="11" t="s">
        <v>356</v>
      </c>
      <c r="D35" s="2" t="s">
        <v>22</v>
      </c>
      <c r="E35" s="46">
        <v>56509</v>
      </c>
      <c r="F35" s="51">
        <v>186.33842749999999</v>
      </c>
      <c r="G35" s="5">
        <v>1.4452667000000001E-2</v>
      </c>
    </row>
    <row r="36" spans="1:7" ht="15" x14ac:dyDescent="0.25">
      <c r="A36" s="6">
        <v>30</v>
      </c>
      <c r="B36" s="7" t="s">
        <v>452</v>
      </c>
      <c r="C36" s="11" t="s">
        <v>453</v>
      </c>
      <c r="D36" s="2" t="s">
        <v>170</v>
      </c>
      <c r="E36" s="46">
        <v>168384</v>
      </c>
      <c r="F36" s="51">
        <v>172.42521600000001</v>
      </c>
      <c r="G36" s="5">
        <v>1.3373539E-2</v>
      </c>
    </row>
    <row r="37" spans="1:7" ht="25.5" x14ac:dyDescent="0.25">
      <c r="A37" s="6">
        <v>31</v>
      </c>
      <c r="B37" s="7" t="s">
        <v>70</v>
      </c>
      <c r="C37" s="11" t="s">
        <v>71</v>
      </c>
      <c r="D37" s="2" t="s">
        <v>22</v>
      </c>
      <c r="E37" s="46">
        <v>15689</v>
      </c>
      <c r="F37" s="51">
        <v>172.13970800000001</v>
      </c>
      <c r="G37" s="5">
        <v>1.3351394000000001E-2</v>
      </c>
    </row>
    <row r="38" spans="1:7" ht="15" x14ac:dyDescent="0.25">
      <c r="A38" s="6">
        <v>32</v>
      </c>
      <c r="B38" s="7" t="s">
        <v>211</v>
      </c>
      <c r="C38" s="11" t="s">
        <v>212</v>
      </c>
      <c r="D38" s="2" t="s">
        <v>162</v>
      </c>
      <c r="E38" s="46">
        <v>215412</v>
      </c>
      <c r="F38" s="51">
        <v>171.25254000000001</v>
      </c>
      <c r="G38" s="5">
        <v>1.3282584E-2</v>
      </c>
    </row>
    <row r="39" spans="1:7" ht="15" x14ac:dyDescent="0.25">
      <c r="A39" s="6">
        <v>33</v>
      </c>
      <c r="B39" s="7" t="s">
        <v>414</v>
      </c>
      <c r="C39" s="11" t="s">
        <v>415</v>
      </c>
      <c r="D39" s="2" t="s">
        <v>215</v>
      </c>
      <c r="E39" s="46">
        <v>30422</v>
      </c>
      <c r="F39" s="51">
        <v>158.36172099999999</v>
      </c>
      <c r="G39" s="5">
        <v>1.2282754E-2</v>
      </c>
    </row>
    <row r="40" spans="1:7" ht="25.5" x14ac:dyDescent="0.25">
      <c r="A40" s="6">
        <v>34</v>
      </c>
      <c r="B40" s="7" t="s">
        <v>448</v>
      </c>
      <c r="C40" s="11" t="s">
        <v>449</v>
      </c>
      <c r="D40" s="2" t="s">
        <v>81</v>
      </c>
      <c r="E40" s="46">
        <v>60044</v>
      </c>
      <c r="F40" s="51">
        <v>157.46539000000001</v>
      </c>
      <c r="G40" s="5">
        <v>1.2213234E-2</v>
      </c>
    </row>
    <row r="41" spans="1:7" ht="15" x14ac:dyDescent="0.25">
      <c r="A41" s="6">
        <v>35</v>
      </c>
      <c r="B41" s="7" t="s">
        <v>197</v>
      </c>
      <c r="C41" s="11" t="s">
        <v>198</v>
      </c>
      <c r="D41" s="2" t="s">
        <v>162</v>
      </c>
      <c r="E41" s="46">
        <v>53184</v>
      </c>
      <c r="F41" s="51">
        <v>156.54710399999999</v>
      </c>
      <c r="G41" s="5">
        <v>1.214201E-2</v>
      </c>
    </row>
    <row r="42" spans="1:7" ht="25.5" x14ac:dyDescent="0.25">
      <c r="A42" s="6">
        <v>36</v>
      </c>
      <c r="B42" s="7" t="s">
        <v>207</v>
      </c>
      <c r="C42" s="11" t="s">
        <v>208</v>
      </c>
      <c r="D42" s="2" t="s">
        <v>30</v>
      </c>
      <c r="E42" s="46">
        <v>140071</v>
      </c>
      <c r="F42" s="51">
        <v>153.86799350000001</v>
      </c>
      <c r="G42" s="5">
        <v>1.1934215E-2</v>
      </c>
    </row>
    <row r="43" spans="1:7" ht="25.5" x14ac:dyDescent="0.25">
      <c r="A43" s="6">
        <v>37</v>
      </c>
      <c r="B43" s="7" t="s">
        <v>199</v>
      </c>
      <c r="C43" s="11" t="s">
        <v>200</v>
      </c>
      <c r="D43" s="2" t="s">
        <v>22</v>
      </c>
      <c r="E43" s="46">
        <v>20000</v>
      </c>
      <c r="F43" s="51">
        <v>146.91999999999999</v>
      </c>
      <c r="G43" s="5">
        <v>1.1395318999999999E-2</v>
      </c>
    </row>
    <row r="44" spans="1:7" ht="15" x14ac:dyDescent="0.25">
      <c r="A44" s="6">
        <v>38</v>
      </c>
      <c r="B44" s="7" t="s">
        <v>160</v>
      </c>
      <c r="C44" s="11" t="s">
        <v>161</v>
      </c>
      <c r="D44" s="2" t="s">
        <v>162</v>
      </c>
      <c r="E44" s="46">
        <v>52931</v>
      </c>
      <c r="F44" s="51">
        <v>139.526116</v>
      </c>
      <c r="G44" s="5">
        <v>1.0821839E-2</v>
      </c>
    </row>
    <row r="45" spans="1:7" ht="25.5" x14ac:dyDescent="0.25">
      <c r="A45" s="6">
        <v>39</v>
      </c>
      <c r="B45" s="7" t="s">
        <v>196</v>
      </c>
      <c r="C45" s="11" t="s">
        <v>846</v>
      </c>
      <c r="D45" s="2" t="s">
        <v>59</v>
      </c>
      <c r="E45" s="46">
        <v>8392</v>
      </c>
      <c r="F45" s="51">
        <v>137.73789600000001</v>
      </c>
      <c r="G45" s="5">
        <v>1.0683142E-2</v>
      </c>
    </row>
    <row r="46" spans="1:7" ht="25.5" x14ac:dyDescent="0.25">
      <c r="A46" s="6">
        <v>40</v>
      </c>
      <c r="B46" s="7" t="s">
        <v>462</v>
      </c>
      <c r="C46" s="11" t="s">
        <v>463</v>
      </c>
      <c r="D46" s="2" t="s">
        <v>37</v>
      </c>
      <c r="E46" s="46">
        <v>26570</v>
      </c>
      <c r="F46" s="51">
        <v>135.56013999999999</v>
      </c>
      <c r="G46" s="5">
        <v>1.0514232E-2</v>
      </c>
    </row>
    <row r="47" spans="1:7" ht="15" x14ac:dyDescent="0.25">
      <c r="A47" s="6">
        <v>41</v>
      </c>
      <c r="B47" s="7" t="s">
        <v>75</v>
      </c>
      <c r="C47" s="11" t="s">
        <v>76</v>
      </c>
      <c r="D47" s="2" t="s">
        <v>51</v>
      </c>
      <c r="E47" s="46">
        <v>61177</v>
      </c>
      <c r="F47" s="51">
        <v>135.47646649999999</v>
      </c>
      <c r="G47" s="5">
        <v>1.0507742E-2</v>
      </c>
    </row>
    <row r="48" spans="1:7" ht="15" x14ac:dyDescent="0.25">
      <c r="A48" s="6">
        <v>42</v>
      </c>
      <c r="B48" s="7" t="s">
        <v>203</v>
      </c>
      <c r="C48" s="11" t="s">
        <v>204</v>
      </c>
      <c r="D48" s="2" t="s">
        <v>81</v>
      </c>
      <c r="E48" s="46">
        <v>123902</v>
      </c>
      <c r="F48" s="51">
        <v>133.442454</v>
      </c>
      <c r="G48" s="5">
        <v>1.0349982000000001E-2</v>
      </c>
    </row>
    <row r="49" spans="1:7" ht="25.5" x14ac:dyDescent="0.25">
      <c r="A49" s="6">
        <v>43</v>
      </c>
      <c r="B49" s="7" t="s">
        <v>194</v>
      </c>
      <c r="C49" s="11" t="s">
        <v>195</v>
      </c>
      <c r="D49" s="2" t="s">
        <v>37</v>
      </c>
      <c r="E49" s="46">
        <v>38898</v>
      </c>
      <c r="F49" s="51">
        <v>131.65028100000001</v>
      </c>
      <c r="G49" s="5">
        <v>1.0210978000000001E-2</v>
      </c>
    </row>
    <row r="50" spans="1:7" ht="25.5" x14ac:dyDescent="0.25">
      <c r="A50" s="6">
        <v>44</v>
      </c>
      <c r="B50" s="7" t="s">
        <v>64</v>
      </c>
      <c r="C50" s="11" t="s">
        <v>65</v>
      </c>
      <c r="D50" s="2" t="s">
        <v>19</v>
      </c>
      <c r="E50" s="46">
        <v>179251</v>
      </c>
      <c r="F50" s="51">
        <v>131.1221065</v>
      </c>
      <c r="G50" s="5">
        <v>1.0170012000000001E-2</v>
      </c>
    </row>
    <row r="51" spans="1:7" ht="15" x14ac:dyDescent="0.25">
      <c r="A51" s="6">
        <v>45</v>
      </c>
      <c r="B51" s="7" t="s">
        <v>450</v>
      </c>
      <c r="C51" s="11" t="s">
        <v>451</v>
      </c>
      <c r="D51" s="2" t="s">
        <v>193</v>
      </c>
      <c r="E51" s="46">
        <v>18014</v>
      </c>
      <c r="F51" s="51">
        <v>118.523113</v>
      </c>
      <c r="G51" s="5">
        <v>9.1928170000000007E-3</v>
      </c>
    </row>
    <row r="52" spans="1:7" ht="15" x14ac:dyDescent="0.25">
      <c r="A52" s="6">
        <v>46</v>
      </c>
      <c r="B52" s="7" t="s">
        <v>191</v>
      </c>
      <c r="C52" s="11" t="s">
        <v>192</v>
      </c>
      <c r="D52" s="2" t="s">
        <v>193</v>
      </c>
      <c r="E52" s="46">
        <v>87193</v>
      </c>
      <c r="F52" s="51">
        <v>116.053883</v>
      </c>
      <c r="G52" s="5">
        <v>9.0013000000000003E-3</v>
      </c>
    </row>
    <row r="53" spans="1:7" ht="15" x14ac:dyDescent="0.25">
      <c r="A53" s="6">
        <v>47</v>
      </c>
      <c r="B53" s="7" t="s">
        <v>236</v>
      </c>
      <c r="C53" s="11" t="s">
        <v>237</v>
      </c>
      <c r="D53" s="2" t="s">
        <v>238</v>
      </c>
      <c r="E53" s="46">
        <v>18758</v>
      </c>
      <c r="F53" s="51">
        <v>112.857507</v>
      </c>
      <c r="G53" s="5">
        <v>8.7533850000000007E-3</v>
      </c>
    </row>
    <row r="54" spans="1:7" ht="25.5" x14ac:dyDescent="0.25">
      <c r="A54" s="6">
        <v>48</v>
      </c>
      <c r="B54" s="7" t="s">
        <v>185</v>
      </c>
      <c r="C54" s="11" t="s">
        <v>186</v>
      </c>
      <c r="D54" s="2" t="s">
        <v>59</v>
      </c>
      <c r="E54" s="46">
        <v>85634</v>
      </c>
      <c r="F54" s="51">
        <v>108.112925</v>
      </c>
      <c r="G54" s="5">
        <v>8.3853880000000006E-3</v>
      </c>
    </row>
    <row r="55" spans="1:7" ht="15" x14ac:dyDescent="0.25">
      <c r="A55" s="6">
        <v>49</v>
      </c>
      <c r="B55" s="7" t="s">
        <v>256</v>
      </c>
      <c r="C55" s="11" t="s">
        <v>257</v>
      </c>
      <c r="D55" s="2" t="s">
        <v>215</v>
      </c>
      <c r="E55" s="46">
        <v>14500</v>
      </c>
      <c r="F55" s="51">
        <v>108.02500000000001</v>
      </c>
      <c r="G55" s="5">
        <v>8.3785690000000006E-3</v>
      </c>
    </row>
    <row r="56" spans="1:7" ht="15" x14ac:dyDescent="0.25">
      <c r="A56" s="6">
        <v>50</v>
      </c>
      <c r="B56" s="7" t="s">
        <v>163</v>
      </c>
      <c r="C56" s="11" t="s">
        <v>164</v>
      </c>
      <c r="D56" s="2" t="s">
        <v>13</v>
      </c>
      <c r="E56" s="46">
        <v>54686</v>
      </c>
      <c r="F56" s="51">
        <v>106.91113</v>
      </c>
      <c r="G56" s="5">
        <v>8.2921750000000006E-3</v>
      </c>
    </row>
    <row r="57" spans="1:7" ht="15" x14ac:dyDescent="0.25">
      <c r="A57" s="6">
        <v>51</v>
      </c>
      <c r="B57" s="7" t="s">
        <v>244</v>
      </c>
      <c r="C57" s="11" t="s">
        <v>245</v>
      </c>
      <c r="D57" s="2" t="s">
        <v>162</v>
      </c>
      <c r="E57" s="46">
        <v>20031</v>
      </c>
      <c r="F57" s="51">
        <v>103.7105025</v>
      </c>
      <c r="G57" s="5">
        <v>8.0439299999999995E-3</v>
      </c>
    </row>
    <row r="58" spans="1:7" ht="15" x14ac:dyDescent="0.25">
      <c r="A58" s="6">
        <v>52</v>
      </c>
      <c r="B58" s="7" t="s">
        <v>246</v>
      </c>
      <c r="C58" s="11" t="s">
        <v>247</v>
      </c>
      <c r="D58" s="2" t="s">
        <v>170</v>
      </c>
      <c r="E58" s="46">
        <v>46515</v>
      </c>
      <c r="F58" s="51">
        <v>103.5656475</v>
      </c>
      <c r="G58" s="5">
        <v>8.0326949999999994E-3</v>
      </c>
    </row>
    <row r="59" spans="1:7" ht="51" x14ac:dyDescent="0.25">
      <c r="A59" s="6">
        <v>53</v>
      </c>
      <c r="B59" s="7" t="s">
        <v>286</v>
      </c>
      <c r="C59" s="11" t="s">
        <v>287</v>
      </c>
      <c r="D59" s="2" t="s">
        <v>235</v>
      </c>
      <c r="E59" s="46">
        <v>319686</v>
      </c>
      <c r="F59" s="51">
        <v>102.938892</v>
      </c>
      <c r="G59" s="5">
        <v>7.9840829999999995E-3</v>
      </c>
    </row>
    <row r="60" spans="1:7" ht="15" x14ac:dyDescent="0.25">
      <c r="A60" s="6">
        <v>54</v>
      </c>
      <c r="B60" s="7" t="s">
        <v>459</v>
      </c>
      <c r="C60" s="11" t="s">
        <v>460</v>
      </c>
      <c r="D60" s="2" t="s">
        <v>170</v>
      </c>
      <c r="E60" s="46">
        <v>33714</v>
      </c>
      <c r="F60" s="51">
        <v>100.332864</v>
      </c>
      <c r="G60" s="5">
        <v>7.7819559999999996E-3</v>
      </c>
    </row>
    <row r="61" spans="1:7" ht="25.5" x14ac:dyDescent="0.25">
      <c r="A61" s="6">
        <v>55</v>
      </c>
      <c r="B61" s="7" t="s">
        <v>216</v>
      </c>
      <c r="C61" s="11" t="s">
        <v>217</v>
      </c>
      <c r="D61" s="2" t="s">
        <v>59</v>
      </c>
      <c r="E61" s="46">
        <v>43738</v>
      </c>
      <c r="F61" s="51">
        <v>99.000962999999999</v>
      </c>
      <c r="G61" s="5">
        <v>7.6786520000000002E-3</v>
      </c>
    </row>
    <row r="62" spans="1:7" ht="25.5" x14ac:dyDescent="0.25">
      <c r="A62" s="6">
        <v>56</v>
      </c>
      <c r="B62" s="7" t="s">
        <v>464</v>
      </c>
      <c r="C62" s="11" t="s">
        <v>465</v>
      </c>
      <c r="D62" s="2" t="s">
        <v>59</v>
      </c>
      <c r="E62" s="46">
        <v>13250</v>
      </c>
      <c r="F62" s="51">
        <v>92.405500000000004</v>
      </c>
      <c r="G62" s="5">
        <v>7.1670989999999997E-3</v>
      </c>
    </row>
    <row r="63" spans="1:7" ht="15" x14ac:dyDescent="0.25">
      <c r="A63" s="6">
        <v>57</v>
      </c>
      <c r="B63" s="7" t="s">
        <v>168</v>
      </c>
      <c r="C63" s="11" t="s">
        <v>169</v>
      </c>
      <c r="D63" s="2" t="s">
        <v>170</v>
      </c>
      <c r="E63" s="46">
        <v>47441</v>
      </c>
      <c r="F63" s="51">
        <v>90.375105000000005</v>
      </c>
      <c r="G63" s="5">
        <v>7.0096179999999996E-3</v>
      </c>
    </row>
    <row r="64" spans="1:7" ht="15" x14ac:dyDescent="0.25">
      <c r="A64" s="6">
        <v>58</v>
      </c>
      <c r="B64" s="7" t="s">
        <v>220</v>
      </c>
      <c r="C64" s="11" t="s">
        <v>221</v>
      </c>
      <c r="D64" s="2" t="s">
        <v>193</v>
      </c>
      <c r="E64" s="46">
        <v>41000</v>
      </c>
      <c r="F64" s="51">
        <v>78.679000000000002</v>
      </c>
      <c r="G64" s="5">
        <v>6.1024520000000004E-3</v>
      </c>
    </row>
    <row r="65" spans="1:7" ht="25.5" x14ac:dyDescent="0.25">
      <c r="A65" s="6">
        <v>59</v>
      </c>
      <c r="B65" s="7" t="s">
        <v>454</v>
      </c>
      <c r="C65" s="11" t="s">
        <v>455</v>
      </c>
      <c r="D65" s="2" t="s">
        <v>173</v>
      </c>
      <c r="E65" s="46">
        <v>125751</v>
      </c>
      <c r="F65" s="51">
        <v>68.597170500000004</v>
      </c>
      <c r="G65" s="5">
        <v>5.3204919999999996E-3</v>
      </c>
    </row>
    <row r="66" spans="1:7" ht="15" x14ac:dyDescent="0.25">
      <c r="A66" s="6">
        <v>60</v>
      </c>
      <c r="B66" s="7" t="s">
        <v>267</v>
      </c>
      <c r="C66" s="11" t="s">
        <v>268</v>
      </c>
      <c r="D66" s="2" t="s">
        <v>269</v>
      </c>
      <c r="E66" s="46">
        <v>8910</v>
      </c>
      <c r="F66" s="51">
        <v>66.343860000000006</v>
      </c>
      <c r="G66" s="5">
        <v>5.1457220000000001E-3</v>
      </c>
    </row>
    <row r="67" spans="1:7" ht="15" x14ac:dyDescent="0.25">
      <c r="A67" s="6">
        <v>61</v>
      </c>
      <c r="B67" s="7" t="s">
        <v>254</v>
      </c>
      <c r="C67" s="11" t="s">
        <v>255</v>
      </c>
      <c r="D67" s="2" t="s">
        <v>215</v>
      </c>
      <c r="E67" s="46">
        <v>81081</v>
      </c>
      <c r="F67" s="51">
        <v>64.418854499999995</v>
      </c>
      <c r="G67" s="5">
        <v>4.9964160000000001E-3</v>
      </c>
    </row>
    <row r="68" spans="1:7" ht="15" x14ac:dyDescent="0.25">
      <c r="A68" s="6">
        <v>62</v>
      </c>
      <c r="B68" s="7" t="s">
        <v>224</v>
      </c>
      <c r="C68" s="11" t="s">
        <v>225</v>
      </c>
      <c r="D68" s="2" t="s">
        <v>226</v>
      </c>
      <c r="E68" s="46">
        <v>5429</v>
      </c>
      <c r="F68" s="51">
        <v>58.7662105</v>
      </c>
      <c r="G68" s="5">
        <v>4.5579890000000001E-3</v>
      </c>
    </row>
    <row r="69" spans="1:7" ht="25.5" x14ac:dyDescent="0.25">
      <c r="A69" s="6">
        <v>63</v>
      </c>
      <c r="B69" s="7" t="s">
        <v>274</v>
      </c>
      <c r="C69" s="11" t="s">
        <v>275</v>
      </c>
      <c r="D69" s="2" t="s">
        <v>22</v>
      </c>
      <c r="E69" s="46">
        <v>14549</v>
      </c>
      <c r="F69" s="51">
        <v>57.315785499999997</v>
      </c>
      <c r="G69" s="5">
        <v>4.4454919999999997E-3</v>
      </c>
    </row>
    <row r="70" spans="1:7" ht="25.5" x14ac:dyDescent="0.25">
      <c r="A70" s="6">
        <v>64</v>
      </c>
      <c r="B70" s="7" t="s">
        <v>227</v>
      </c>
      <c r="C70" s="11" t="s">
        <v>228</v>
      </c>
      <c r="D70" s="2" t="s">
        <v>173</v>
      </c>
      <c r="E70" s="46">
        <v>48044</v>
      </c>
      <c r="F70" s="51">
        <v>30.459896000000001</v>
      </c>
      <c r="G70" s="5">
        <v>2.3625120000000002E-3</v>
      </c>
    </row>
    <row r="71" spans="1:7" ht="15" x14ac:dyDescent="0.25">
      <c r="A71" s="1"/>
      <c r="B71" s="2"/>
      <c r="C71" s="8" t="s">
        <v>104</v>
      </c>
      <c r="D71" s="12"/>
      <c r="E71" s="48"/>
      <c r="F71" s="53">
        <v>12419.700151000001</v>
      </c>
      <c r="G71" s="13">
        <v>0.96328915400000015</v>
      </c>
    </row>
    <row r="72" spans="1:7" ht="15" x14ac:dyDescent="0.25">
      <c r="A72" s="6"/>
      <c r="B72" s="7"/>
      <c r="C72" s="14"/>
      <c r="D72" s="15"/>
      <c r="E72" s="46"/>
      <c r="F72" s="51"/>
      <c r="G72" s="5"/>
    </row>
    <row r="73" spans="1:7" ht="15" x14ac:dyDescent="0.25">
      <c r="A73" s="1"/>
      <c r="B73" s="2"/>
      <c r="C73" s="8" t="s">
        <v>105</v>
      </c>
      <c r="D73" s="9"/>
      <c r="E73" s="47"/>
      <c r="F73" s="52"/>
      <c r="G73" s="10"/>
    </row>
    <row r="74" spans="1:7" ht="15" x14ac:dyDescent="0.25">
      <c r="A74" s="1"/>
      <c r="B74" s="2"/>
      <c r="C74" s="8" t="s">
        <v>104</v>
      </c>
      <c r="D74" s="12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15"/>
      <c r="E75" s="46"/>
      <c r="F75" s="51"/>
      <c r="G75" s="5"/>
    </row>
    <row r="76" spans="1:7" ht="15" x14ac:dyDescent="0.25">
      <c r="A76" s="16"/>
      <c r="B76" s="17"/>
      <c r="C76" s="8" t="s">
        <v>106</v>
      </c>
      <c r="D76" s="9"/>
      <c r="E76" s="47"/>
      <c r="F76" s="52"/>
      <c r="G76" s="10"/>
    </row>
    <row r="77" spans="1:7" ht="15" x14ac:dyDescent="0.25">
      <c r="A77" s="18"/>
      <c r="B77" s="19"/>
      <c r="C77" s="8" t="s">
        <v>104</v>
      </c>
      <c r="D77" s="20"/>
      <c r="E77" s="49"/>
      <c r="F77" s="54">
        <v>0</v>
      </c>
      <c r="G77" s="21">
        <v>0</v>
      </c>
    </row>
    <row r="78" spans="1:7" ht="15" x14ac:dyDescent="0.25">
      <c r="A78" s="18"/>
      <c r="B78" s="19"/>
      <c r="C78" s="14"/>
      <c r="D78" s="22"/>
      <c r="E78" s="50"/>
      <c r="F78" s="55"/>
      <c r="G78" s="23"/>
    </row>
    <row r="79" spans="1:7" ht="15" x14ac:dyDescent="0.25">
      <c r="A79" s="1"/>
      <c r="B79" s="2"/>
      <c r="C79" s="8" t="s">
        <v>108</v>
      </c>
      <c r="D79" s="9"/>
      <c r="E79" s="47"/>
      <c r="F79" s="52"/>
      <c r="G79" s="10"/>
    </row>
    <row r="80" spans="1:7" ht="15" x14ac:dyDescent="0.25">
      <c r="A80" s="1"/>
      <c r="B80" s="2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1"/>
      <c r="B81" s="2"/>
      <c r="C81" s="14"/>
      <c r="D81" s="4"/>
      <c r="E81" s="46"/>
      <c r="F81" s="51"/>
      <c r="G81" s="5"/>
    </row>
    <row r="82" spans="1:7" ht="15" x14ac:dyDescent="0.25">
      <c r="A82" s="1"/>
      <c r="B82" s="2"/>
      <c r="C82" s="8" t="s">
        <v>109</v>
      </c>
      <c r="D82" s="9"/>
      <c r="E82" s="47"/>
      <c r="F82" s="52"/>
      <c r="G82" s="10"/>
    </row>
    <row r="83" spans="1:7" ht="15" x14ac:dyDescent="0.25">
      <c r="A83" s="1"/>
      <c r="B83" s="2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15" x14ac:dyDescent="0.25">
      <c r="A85" s="1"/>
      <c r="B85" s="2"/>
      <c r="C85" s="8" t="s">
        <v>110</v>
      </c>
      <c r="D85" s="9"/>
      <c r="E85" s="47"/>
      <c r="F85" s="52"/>
      <c r="G85" s="10"/>
    </row>
    <row r="86" spans="1:7" ht="15" x14ac:dyDescent="0.25">
      <c r="A86" s="1"/>
      <c r="B86" s="2"/>
      <c r="C86" s="8" t="s">
        <v>104</v>
      </c>
      <c r="D86" s="12"/>
      <c r="E86" s="48"/>
      <c r="F86" s="53">
        <v>0</v>
      </c>
      <c r="G86" s="13">
        <v>0</v>
      </c>
    </row>
    <row r="87" spans="1:7" ht="15" x14ac:dyDescent="0.25">
      <c r="A87" s="1"/>
      <c r="B87" s="2"/>
      <c r="C87" s="14"/>
      <c r="D87" s="4"/>
      <c r="E87" s="46"/>
      <c r="F87" s="51"/>
      <c r="G87" s="5"/>
    </row>
    <row r="88" spans="1:7" ht="25.5" x14ac:dyDescent="0.25">
      <c r="A88" s="6"/>
      <c r="B88" s="7"/>
      <c r="C88" s="24" t="s">
        <v>111</v>
      </c>
      <c r="D88" s="25"/>
      <c r="E88" s="48"/>
      <c r="F88" s="53">
        <v>12419.700151000001</v>
      </c>
      <c r="G88" s="13">
        <v>0.96328915400000015</v>
      </c>
    </row>
    <row r="89" spans="1:7" ht="15" x14ac:dyDescent="0.25">
      <c r="A89" s="1"/>
      <c r="B89" s="2"/>
      <c r="C89" s="11"/>
      <c r="D89" s="4"/>
      <c r="E89" s="46"/>
      <c r="F89" s="51"/>
      <c r="G89" s="5"/>
    </row>
    <row r="90" spans="1:7" ht="15" x14ac:dyDescent="0.25">
      <c r="A90" s="1"/>
      <c r="B90" s="2"/>
      <c r="C90" s="3" t="s">
        <v>112</v>
      </c>
      <c r="D90" s="4"/>
      <c r="E90" s="46"/>
      <c r="F90" s="51"/>
      <c r="G90" s="5"/>
    </row>
    <row r="91" spans="1:7" ht="25.5" x14ac:dyDescent="0.25">
      <c r="A91" s="1"/>
      <c r="B91" s="2"/>
      <c r="C91" s="8" t="s">
        <v>10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12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4"/>
      <c r="E93" s="46"/>
      <c r="F93" s="51"/>
      <c r="G93" s="5"/>
    </row>
    <row r="94" spans="1:7" ht="15" x14ac:dyDescent="0.25">
      <c r="A94" s="1"/>
      <c r="B94" s="26"/>
      <c r="C94" s="8" t="s">
        <v>113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12"/>
      <c r="E95" s="48"/>
      <c r="F95" s="53">
        <v>0</v>
      </c>
      <c r="G95" s="13">
        <v>0</v>
      </c>
    </row>
    <row r="96" spans="1:7" ht="15" x14ac:dyDescent="0.25">
      <c r="A96" s="6"/>
      <c r="B96" s="7"/>
      <c r="C96" s="14"/>
      <c r="D96" s="4"/>
      <c r="E96" s="46"/>
      <c r="F96" s="56"/>
      <c r="G96" s="27"/>
    </row>
    <row r="97" spans="1:7" ht="15" x14ac:dyDescent="0.25">
      <c r="A97" s="1"/>
      <c r="B97" s="2"/>
      <c r="C97" s="8" t="s">
        <v>114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12"/>
      <c r="E98" s="48"/>
      <c r="F98" s="53">
        <v>0</v>
      </c>
      <c r="G98" s="13">
        <v>0</v>
      </c>
    </row>
    <row r="99" spans="1:7" ht="15" x14ac:dyDescent="0.25">
      <c r="A99" s="1"/>
      <c r="B99" s="2"/>
      <c r="C99" s="14"/>
      <c r="D99" s="4"/>
      <c r="E99" s="46"/>
      <c r="F99" s="51"/>
      <c r="G99" s="5"/>
    </row>
    <row r="100" spans="1:7" ht="25.5" x14ac:dyDescent="0.25">
      <c r="A100" s="1"/>
      <c r="B100" s="26"/>
      <c r="C100" s="8" t="s">
        <v>115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12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4"/>
      <c r="E102" s="46"/>
      <c r="F102" s="51"/>
      <c r="G102" s="5"/>
    </row>
    <row r="103" spans="1:7" ht="15" x14ac:dyDescent="0.25">
      <c r="A103" s="6"/>
      <c r="B103" s="7"/>
      <c r="C103" s="28" t="s">
        <v>116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1"/>
      <c r="D104" s="4"/>
      <c r="E104" s="46"/>
      <c r="F104" s="51"/>
      <c r="G104" s="5"/>
    </row>
    <row r="105" spans="1:7" ht="15" x14ac:dyDescent="0.25">
      <c r="A105" s="1"/>
      <c r="B105" s="2"/>
      <c r="C105" s="3" t="s">
        <v>117</v>
      </c>
      <c r="D105" s="4"/>
      <c r="E105" s="46"/>
      <c r="F105" s="51"/>
      <c r="G105" s="5"/>
    </row>
    <row r="106" spans="1:7" ht="15" x14ac:dyDescent="0.25">
      <c r="A106" s="6"/>
      <c r="B106" s="7"/>
      <c r="C106" s="8" t="s">
        <v>118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6"/>
      <c r="B109" s="7"/>
      <c r="C109" s="8" t="s">
        <v>119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15" x14ac:dyDescent="0.25">
      <c r="A112" s="6"/>
      <c r="B112" s="7"/>
      <c r="C112" s="8" t="s">
        <v>120</v>
      </c>
      <c r="D112" s="9"/>
      <c r="E112" s="47"/>
      <c r="F112" s="52"/>
      <c r="G112" s="10"/>
    </row>
    <row r="113" spans="1:7" ht="15" x14ac:dyDescent="0.25">
      <c r="A113" s="6"/>
      <c r="B113" s="7"/>
      <c r="C113" s="8" t="s">
        <v>104</v>
      </c>
      <c r="D113" s="25"/>
      <c r="E113" s="48"/>
      <c r="F113" s="53">
        <v>0</v>
      </c>
      <c r="G113" s="13">
        <v>0</v>
      </c>
    </row>
    <row r="114" spans="1:7" ht="15" x14ac:dyDescent="0.25">
      <c r="A114" s="6"/>
      <c r="B114" s="7"/>
      <c r="C114" s="14"/>
      <c r="D114" s="7"/>
      <c r="E114" s="46"/>
      <c r="F114" s="51"/>
      <c r="G114" s="5"/>
    </row>
    <row r="115" spans="1:7" ht="15" x14ac:dyDescent="0.25">
      <c r="A115" s="6"/>
      <c r="B115" s="7"/>
      <c r="C115" s="8" t="s">
        <v>121</v>
      </c>
      <c r="D115" s="9"/>
      <c r="E115" s="47"/>
      <c r="F115" s="52"/>
      <c r="G115" s="10"/>
    </row>
    <row r="116" spans="1:7" ht="15" x14ac:dyDescent="0.25">
      <c r="A116" s="6">
        <v>1</v>
      </c>
      <c r="B116" s="7"/>
      <c r="C116" s="11" t="s">
        <v>730</v>
      </c>
      <c r="D116" s="15"/>
      <c r="E116" s="46"/>
      <c r="F116" s="51">
        <v>127.98039970000001</v>
      </c>
      <c r="G116" s="5">
        <v>9.9263370000000004E-3</v>
      </c>
    </row>
    <row r="117" spans="1:7" ht="15" x14ac:dyDescent="0.25">
      <c r="A117" s="6"/>
      <c r="B117" s="7"/>
      <c r="C117" s="8" t="s">
        <v>104</v>
      </c>
      <c r="D117" s="25"/>
      <c r="E117" s="48"/>
      <c r="F117" s="53">
        <v>127.98039970000001</v>
      </c>
      <c r="G117" s="13">
        <v>9.9263370000000004E-3</v>
      </c>
    </row>
    <row r="118" spans="1:7" ht="15" x14ac:dyDescent="0.25">
      <c r="A118" s="6"/>
      <c r="B118" s="7"/>
      <c r="C118" s="14"/>
      <c r="D118" s="7"/>
      <c r="E118" s="46"/>
      <c r="F118" s="51"/>
      <c r="G118" s="5"/>
    </row>
    <row r="119" spans="1:7" ht="25.5" x14ac:dyDescent="0.25">
      <c r="A119" s="6"/>
      <c r="B119" s="7"/>
      <c r="C119" s="24" t="s">
        <v>122</v>
      </c>
      <c r="D119" s="25"/>
      <c r="E119" s="48"/>
      <c r="F119" s="53">
        <v>127.98039970000001</v>
      </c>
      <c r="G119" s="13">
        <v>9.9263370000000004E-3</v>
      </c>
    </row>
    <row r="120" spans="1:7" ht="15" x14ac:dyDescent="0.25">
      <c r="A120" s="6"/>
      <c r="B120" s="7"/>
      <c r="C120" s="29"/>
      <c r="D120" s="7"/>
      <c r="E120" s="46"/>
      <c r="F120" s="51"/>
      <c r="G120" s="5"/>
    </row>
    <row r="121" spans="1:7" ht="15" x14ac:dyDescent="0.25">
      <c r="A121" s="1"/>
      <c r="B121" s="2"/>
      <c r="C121" s="3" t="s">
        <v>123</v>
      </c>
      <c r="D121" s="4"/>
      <c r="E121" s="46"/>
      <c r="F121" s="51"/>
      <c r="G121" s="5"/>
    </row>
    <row r="122" spans="1:7" ht="25.5" x14ac:dyDescent="0.25">
      <c r="A122" s="6"/>
      <c r="B122" s="7"/>
      <c r="C122" s="8" t="s">
        <v>124</v>
      </c>
      <c r="D122" s="9"/>
      <c r="E122" s="47"/>
      <c r="F122" s="52"/>
      <c r="G122" s="10"/>
    </row>
    <row r="123" spans="1:7" ht="15" x14ac:dyDescent="0.25">
      <c r="A123" s="6"/>
      <c r="B123" s="7"/>
      <c r="C123" s="8" t="s">
        <v>104</v>
      </c>
      <c r="D123" s="25"/>
      <c r="E123" s="48"/>
      <c r="F123" s="53">
        <v>0</v>
      </c>
      <c r="G123" s="13">
        <v>0</v>
      </c>
    </row>
    <row r="124" spans="1:7" ht="15" x14ac:dyDescent="0.25">
      <c r="A124" s="6"/>
      <c r="B124" s="7"/>
      <c r="C124" s="14"/>
      <c r="D124" s="7"/>
      <c r="E124" s="46"/>
      <c r="F124" s="51"/>
      <c r="G124" s="5"/>
    </row>
    <row r="125" spans="1:7" ht="15" x14ac:dyDescent="0.25">
      <c r="A125" s="1"/>
      <c r="B125" s="2"/>
      <c r="C125" s="3" t="s">
        <v>125</v>
      </c>
      <c r="D125" s="4"/>
      <c r="E125" s="46"/>
      <c r="F125" s="51"/>
      <c r="G125" s="5"/>
    </row>
    <row r="126" spans="1:7" ht="25.5" x14ac:dyDescent="0.25">
      <c r="A126" s="6"/>
      <c r="B126" s="7"/>
      <c r="C126" s="8" t="s">
        <v>126</v>
      </c>
      <c r="D126" s="9"/>
      <c r="E126" s="47"/>
      <c r="F126" s="52"/>
      <c r="G126" s="10"/>
    </row>
    <row r="127" spans="1:7" ht="15" x14ac:dyDescent="0.25">
      <c r="A127" s="6"/>
      <c r="B127" s="7"/>
      <c r="C127" s="8" t="s">
        <v>104</v>
      </c>
      <c r="D127" s="25"/>
      <c r="E127" s="48"/>
      <c r="F127" s="53">
        <v>0</v>
      </c>
      <c r="G127" s="13">
        <v>0</v>
      </c>
    </row>
    <row r="128" spans="1:7" ht="15" x14ac:dyDescent="0.25">
      <c r="A128" s="6"/>
      <c r="B128" s="7"/>
      <c r="C128" s="14"/>
      <c r="D128" s="7"/>
      <c r="E128" s="46"/>
      <c r="F128" s="51"/>
      <c r="G128" s="5"/>
    </row>
    <row r="129" spans="1:7" ht="25.5" x14ac:dyDescent="0.25">
      <c r="A129" s="6"/>
      <c r="B129" s="7"/>
      <c r="C129" s="8" t="s">
        <v>127</v>
      </c>
      <c r="D129" s="9"/>
      <c r="E129" s="47"/>
      <c r="F129" s="51">
        <v>229.46</v>
      </c>
      <c r="G129" s="5">
        <v>1.7797235000000002E-2</v>
      </c>
    </row>
    <row r="130" spans="1:7" ht="15" x14ac:dyDescent="0.25">
      <c r="A130" s="6"/>
      <c r="B130" s="7"/>
      <c r="C130" s="8" t="s">
        <v>810</v>
      </c>
      <c r="D130" s="25"/>
      <c r="E130" s="48"/>
      <c r="F130" s="53">
        <v>229.46</v>
      </c>
      <c r="G130" s="13">
        <v>1.7797235000000002E-2</v>
      </c>
    </row>
    <row r="131" spans="1:7" ht="15" x14ac:dyDescent="0.25">
      <c r="A131" s="6"/>
      <c r="B131" s="7"/>
      <c r="C131" s="14"/>
      <c r="D131" s="7"/>
      <c r="E131" s="46"/>
      <c r="F131" s="56"/>
      <c r="G131" s="27"/>
    </row>
    <row r="132" spans="1:7" ht="25.5" x14ac:dyDescent="0.25">
      <c r="A132" s="6"/>
      <c r="B132" s="7"/>
      <c r="C132" s="29" t="s">
        <v>128</v>
      </c>
      <c r="D132" s="7"/>
      <c r="E132" s="46"/>
      <c r="F132" s="56">
        <v>115.87309049</v>
      </c>
      <c r="G132" s="27">
        <v>8.9872770000000001E-3</v>
      </c>
    </row>
    <row r="133" spans="1:7" ht="15" x14ac:dyDescent="0.25">
      <c r="A133" s="6"/>
      <c r="B133" s="7"/>
      <c r="C133" s="30" t="s">
        <v>129</v>
      </c>
      <c r="D133" s="12"/>
      <c r="E133" s="48"/>
      <c r="F133" s="53">
        <v>12893.01364119</v>
      </c>
      <c r="G133" s="13">
        <v>1.0000000030000002</v>
      </c>
    </row>
    <row r="135" spans="1:7" ht="15" x14ac:dyDescent="0.25">
      <c r="B135" s="279"/>
      <c r="C135" s="279"/>
      <c r="D135" s="279"/>
      <c r="E135" s="279"/>
      <c r="F135" s="279"/>
    </row>
    <row r="136" spans="1:7" ht="15" x14ac:dyDescent="0.25">
      <c r="B136" s="279"/>
      <c r="C136" s="279"/>
      <c r="D136" s="279"/>
      <c r="E136" s="279"/>
      <c r="F136" s="279"/>
    </row>
    <row r="138" spans="1:7" ht="15" x14ac:dyDescent="0.25">
      <c r="B138" s="36" t="s">
        <v>131</v>
      </c>
      <c r="C138" s="37"/>
      <c r="D138" s="38"/>
    </row>
    <row r="139" spans="1:7" ht="15" x14ac:dyDescent="0.25">
      <c r="B139" s="39" t="s">
        <v>132</v>
      </c>
      <c r="C139" s="40"/>
      <c r="D139" s="62" t="s">
        <v>133</v>
      </c>
    </row>
    <row r="140" spans="1:7" ht="15" x14ac:dyDescent="0.25">
      <c r="B140" s="39" t="s">
        <v>134</v>
      </c>
      <c r="C140" s="40"/>
      <c r="D140" s="62" t="s">
        <v>133</v>
      </c>
    </row>
    <row r="141" spans="1:7" ht="15" x14ac:dyDescent="0.25">
      <c r="B141" s="41" t="s">
        <v>135</v>
      </c>
      <c r="C141" s="40"/>
      <c r="D141" s="42"/>
    </row>
    <row r="142" spans="1:7" ht="25.5" customHeight="1" x14ac:dyDescent="0.25">
      <c r="B142" s="42"/>
      <c r="C142" s="32" t="s">
        <v>136</v>
      </c>
      <c r="D142" s="33" t="s">
        <v>137</v>
      </c>
    </row>
    <row r="143" spans="1:7" ht="12.75" customHeight="1" x14ac:dyDescent="0.25">
      <c r="B143" s="57" t="s">
        <v>138</v>
      </c>
      <c r="C143" s="58" t="s">
        <v>139</v>
      </c>
      <c r="D143" s="58" t="s">
        <v>140</v>
      </c>
    </row>
    <row r="144" spans="1:7" ht="15" x14ac:dyDescent="0.25">
      <c r="B144" s="42" t="s">
        <v>141</v>
      </c>
      <c r="C144" s="43">
        <v>9.4178999999999995</v>
      </c>
      <c r="D144" s="43">
        <v>8.3102</v>
      </c>
    </row>
    <row r="145" spans="2:4" ht="15" x14ac:dyDescent="0.25">
      <c r="B145" s="42" t="s">
        <v>142</v>
      </c>
      <c r="C145" s="43">
        <v>9.4178999999999995</v>
      </c>
      <c r="D145" s="43">
        <v>8.3102999999999998</v>
      </c>
    </row>
    <row r="146" spans="2:4" ht="15" x14ac:dyDescent="0.25">
      <c r="B146" s="42" t="s">
        <v>143</v>
      </c>
      <c r="C146" s="43">
        <v>9.2850999999999999</v>
      </c>
      <c r="D146" s="43">
        <v>8.1889000000000003</v>
      </c>
    </row>
    <row r="147" spans="2:4" ht="15" x14ac:dyDescent="0.25">
      <c r="B147" s="42" t="s">
        <v>144</v>
      </c>
      <c r="C147" s="43">
        <v>9.2850999999999999</v>
      </c>
      <c r="D147" s="43">
        <v>8.1889000000000003</v>
      </c>
    </row>
    <row r="149" spans="2:4" ht="15" x14ac:dyDescent="0.25">
      <c r="B149" s="59" t="s">
        <v>145</v>
      </c>
      <c r="C149" s="44"/>
      <c r="D149" s="60" t="s">
        <v>133</v>
      </c>
    </row>
    <row r="150" spans="2:4" ht="24.75" customHeight="1" x14ac:dyDescent="0.25">
      <c r="B150" s="61"/>
      <c r="C150" s="61"/>
    </row>
    <row r="151" spans="2:4" ht="15" x14ac:dyDescent="0.25">
      <c r="B151" s="63"/>
      <c r="C151" s="65"/>
      <c r="D151"/>
    </row>
    <row r="153" spans="2:4" ht="15" x14ac:dyDescent="0.25">
      <c r="B153" s="41" t="s">
        <v>146</v>
      </c>
      <c r="C153" s="40"/>
      <c r="D153" s="64" t="s">
        <v>133</v>
      </c>
    </row>
    <row r="154" spans="2:4" ht="15" x14ac:dyDescent="0.25">
      <c r="B154" s="41" t="s">
        <v>147</v>
      </c>
      <c r="C154" s="40"/>
      <c r="D154" s="64" t="s">
        <v>133</v>
      </c>
    </row>
    <row r="155" spans="2:4" ht="15" x14ac:dyDescent="0.25">
      <c r="B155" s="41" t="s">
        <v>148</v>
      </c>
      <c r="C155" s="40"/>
      <c r="D155" s="45">
        <v>6.4763621727262901E-3</v>
      </c>
    </row>
    <row r="156" spans="2:4" ht="15" x14ac:dyDescent="0.25">
      <c r="B156" s="41" t="s">
        <v>149</v>
      </c>
      <c r="C156" s="40"/>
      <c r="D156" s="45" t="s">
        <v>133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V153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466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23</v>
      </c>
      <c r="C7" s="11" t="s">
        <v>24</v>
      </c>
      <c r="D7" s="2" t="s">
        <v>22</v>
      </c>
      <c r="E7" s="46">
        <v>59926</v>
      </c>
      <c r="F7" s="51">
        <v>329.50311099999999</v>
      </c>
      <c r="G7" s="5">
        <v>3.5456202999999999E-2</v>
      </c>
    </row>
    <row r="8" spans="1:7" ht="15" x14ac:dyDescent="0.25">
      <c r="A8" s="6">
        <v>2</v>
      </c>
      <c r="B8" s="7" t="s">
        <v>60</v>
      </c>
      <c r="C8" s="11" t="s">
        <v>61</v>
      </c>
      <c r="D8" s="2" t="s">
        <v>16</v>
      </c>
      <c r="E8" s="46">
        <v>34044</v>
      </c>
      <c r="F8" s="51">
        <v>328.86504000000002</v>
      </c>
      <c r="G8" s="5">
        <v>3.5387543E-2</v>
      </c>
    </row>
    <row r="9" spans="1:7" ht="15" x14ac:dyDescent="0.25">
      <c r="A9" s="6">
        <v>3</v>
      </c>
      <c r="B9" s="7" t="s">
        <v>444</v>
      </c>
      <c r="C9" s="11" t="s">
        <v>445</v>
      </c>
      <c r="D9" s="2" t="s">
        <v>193</v>
      </c>
      <c r="E9" s="46">
        <v>43837</v>
      </c>
      <c r="F9" s="51">
        <v>321.08410650000002</v>
      </c>
      <c r="G9" s="5">
        <v>3.4550275999999998E-2</v>
      </c>
    </row>
    <row r="10" spans="1:7" ht="15" x14ac:dyDescent="0.25">
      <c r="A10" s="6">
        <v>4</v>
      </c>
      <c r="B10" s="7" t="s">
        <v>442</v>
      </c>
      <c r="C10" s="11" t="s">
        <v>443</v>
      </c>
      <c r="D10" s="2" t="s">
        <v>162</v>
      </c>
      <c r="E10" s="46">
        <v>55401</v>
      </c>
      <c r="F10" s="51">
        <v>290.7167475</v>
      </c>
      <c r="G10" s="5">
        <v>3.1282593999999997E-2</v>
      </c>
    </row>
    <row r="11" spans="1:7" ht="25.5" x14ac:dyDescent="0.25">
      <c r="A11" s="6">
        <v>5</v>
      </c>
      <c r="B11" s="7" t="s">
        <v>440</v>
      </c>
      <c r="C11" s="11" t="s">
        <v>441</v>
      </c>
      <c r="D11" s="2" t="s">
        <v>59</v>
      </c>
      <c r="E11" s="46">
        <v>175849</v>
      </c>
      <c r="F11" s="51">
        <v>269.31274350000001</v>
      </c>
      <c r="G11" s="5">
        <v>2.8979415000000001E-2</v>
      </c>
    </row>
    <row r="12" spans="1:7" ht="25.5" x14ac:dyDescent="0.25">
      <c r="A12" s="6">
        <v>6</v>
      </c>
      <c r="B12" s="7" t="s">
        <v>68</v>
      </c>
      <c r="C12" s="11" t="s">
        <v>69</v>
      </c>
      <c r="D12" s="2" t="s">
        <v>19</v>
      </c>
      <c r="E12" s="46">
        <v>203257</v>
      </c>
      <c r="F12" s="51">
        <v>245.73771300000001</v>
      </c>
      <c r="G12" s="5">
        <v>2.6442621999999999E-2</v>
      </c>
    </row>
    <row r="13" spans="1:7" ht="25.5" x14ac:dyDescent="0.25">
      <c r="A13" s="6">
        <v>7</v>
      </c>
      <c r="B13" s="7" t="s">
        <v>153</v>
      </c>
      <c r="C13" s="11" t="s">
        <v>154</v>
      </c>
      <c r="D13" s="2" t="s">
        <v>155</v>
      </c>
      <c r="E13" s="46">
        <v>38841</v>
      </c>
      <c r="F13" s="51">
        <v>241.901748</v>
      </c>
      <c r="G13" s="5">
        <v>2.6029852999999999E-2</v>
      </c>
    </row>
    <row r="14" spans="1:7" ht="15" x14ac:dyDescent="0.25">
      <c r="A14" s="6">
        <v>8</v>
      </c>
      <c r="B14" s="7" t="s">
        <v>231</v>
      </c>
      <c r="C14" s="11" t="s">
        <v>232</v>
      </c>
      <c r="D14" s="2" t="s">
        <v>170</v>
      </c>
      <c r="E14" s="46">
        <v>69480</v>
      </c>
      <c r="F14" s="51">
        <v>240.64398</v>
      </c>
      <c r="G14" s="5">
        <v>2.5894510999999999E-2</v>
      </c>
    </row>
    <row r="15" spans="1:7" ht="25.5" x14ac:dyDescent="0.25">
      <c r="A15" s="6">
        <v>9</v>
      </c>
      <c r="B15" s="7" t="s">
        <v>189</v>
      </c>
      <c r="C15" s="11" t="s">
        <v>190</v>
      </c>
      <c r="D15" s="2" t="s">
        <v>167</v>
      </c>
      <c r="E15" s="46">
        <v>53675</v>
      </c>
      <c r="F15" s="51">
        <v>236.92144999999999</v>
      </c>
      <c r="G15" s="5">
        <v>2.5493947999999999E-2</v>
      </c>
    </row>
    <row r="16" spans="1:7" ht="25.5" x14ac:dyDescent="0.25">
      <c r="A16" s="6">
        <v>10</v>
      </c>
      <c r="B16" s="7" t="s">
        <v>92</v>
      </c>
      <c r="C16" s="11" t="s">
        <v>93</v>
      </c>
      <c r="D16" s="2" t="s">
        <v>22</v>
      </c>
      <c r="E16" s="46">
        <v>52398</v>
      </c>
      <c r="F16" s="51">
        <v>229.79142899999999</v>
      </c>
      <c r="G16" s="5">
        <v>2.4726721E-2</v>
      </c>
    </row>
    <row r="17" spans="1:7" ht="25.5" x14ac:dyDescent="0.25">
      <c r="A17" s="6">
        <v>11</v>
      </c>
      <c r="B17" s="7" t="s">
        <v>20</v>
      </c>
      <c r="C17" s="11" t="s">
        <v>21</v>
      </c>
      <c r="D17" s="2" t="s">
        <v>22</v>
      </c>
      <c r="E17" s="46">
        <v>32169</v>
      </c>
      <c r="F17" s="51">
        <v>218.36317199999999</v>
      </c>
      <c r="G17" s="5">
        <v>2.3496982999999999E-2</v>
      </c>
    </row>
    <row r="18" spans="1:7" ht="25.5" x14ac:dyDescent="0.25">
      <c r="A18" s="6">
        <v>12</v>
      </c>
      <c r="B18" s="7" t="s">
        <v>174</v>
      </c>
      <c r="C18" s="11" t="s">
        <v>175</v>
      </c>
      <c r="D18" s="2" t="s">
        <v>22</v>
      </c>
      <c r="E18" s="46">
        <v>72000</v>
      </c>
      <c r="F18" s="51">
        <v>212.328</v>
      </c>
      <c r="G18" s="5">
        <v>2.2847567999999999E-2</v>
      </c>
    </row>
    <row r="19" spans="1:7" ht="25.5" x14ac:dyDescent="0.25">
      <c r="A19" s="6">
        <v>13</v>
      </c>
      <c r="B19" s="7" t="s">
        <v>196</v>
      </c>
      <c r="C19" s="11" t="s">
        <v>846</v>
      </c>
      <c r="D19" s="2" t="s">
        <v>59</v>
      </c>
      <c r="E19" s="46">
        <v>12640</v>
      </c>
      <c r="F19" s="51">
        <v>207.46032</v>
      </c>
      <c r="G19" s="5">
        <v>2.2323781000000001E-2</v>
      </c>
    </row>
    <row r="20" spans="1:7" ht="15" x14ac:dyDescent="0.25">
      <c r="A20" s="6">
        <v>14</v>
      </c>
      <c r="B20" s="7" t="s">
        <v>151</v>
      </c>
      <c r="C20" s="11" t="s">
        <v>152</v>
      </c>
      <c r="D20" s="2" t="s">
        <v>16</v>
      </c>
      <c r="E20" s="46">
        <v>106059</v>
      </c>
      <c r="F20" s="51">
        <v>205.33022399999999</v>
      </c>
      <c r="G20" s="5">
        <v>2.2094572E-2</v>
      </c>
    </row>
    <row r="21" spans="1:7" ht="25.5" x14ac:dyDescent="0.25">
      <c r="A21" s="6">
        <v>15</v>
      </c>
      <c r="B21" s="7" t="s">
        <v>178</v>
      </c>
      <c r="C21" s="11" t="s">
        <v>179</v>
      </c>
      <c r="D21" s="2" t="s">
        <v>22</v>
      </c>
      <c r="E21" s="46">
        <v>55758</v>
      </c>
      <c r="F21" s="51">
        <v>194.20511400000001</v>
      </c>
      <c r="G21" s="5">
        <v>2.0897453999999999E-2</v>
      </c>
    </row>
    <row r="22" spans="1:7" ht="25.5" x14ac:dyDescent="0.25">
      <c r="A22" s="6">
        <v>16</v>
      </c>
      <c r="B22" s="7" t="s">
        <v>45</v>
      </c>
      <c r="C22" s="11" t="s">
        <v>46</v>
      </c>
      <c r="D22" s="2" t="s">
        <v>22</v>
      </c>
      <c r="E22" s="46">
        <v>31667</v>
      </c>
      <c r="F22" s="51">
        <v>193.77037300000001</v>
      </c>
      <c r="G22" s="5">
        <v>2.0850673E-2</v>
      </c>
    </row>
    <row r="23" spans="1:7" ht="15" x14ac:dyDescent="0.25">
      <c r="A23" s="6">
        <v>17</v>
      </c>
      <c r="B23" s="7" t="s">
        <v>457</v>
      </c>
      <c r="C23" s="11" t="s">
        <v>458</v>
      </c>
      <c r="D23" s="2" t="s">
        <v>162</v>
      </c>
      <c r="E23" s="46">
        <v>12930</v>
      </c>
      <c r="F23" s="51">
        <v>192.81216000000001</v>
      </c>
      <c r="G23" s="5">
        <v>2.0747564999999999E-2</v>
      </c>
    </row>
    <row r="24" spans="1:7" ht="15" x14ac:dyDescent="0.25">
      <c r="A24" s="6">
        <v>18</v>
      </c>
      <c r="B24" s="7" t="s">
        <v>446</v>
      </c>
      <c r="C24" s="11" t="s">
        <v>447</v>
      </c>
      <c r="D24" s="2" t="s">
        <v>162</v>
      </c>
      <c r="E24" s="46">
        <v>170932</v>
      </c>
      <c r="F24" s="51">
        <v>192.29849999999999</v>
      </c>
      <c r="G24" s="5">
        <v>2.0692292000000001E-2</v>
      </c>
    </row>
    <row r="25" spans="1:7" ht="25.5" x14ac:dyDescent="0.25">
      <c r="A25" s="6">
        <v>19</v>
      </c>
      <c r="B25" s="7" t="s">
        <v>25</v>
      </c>
      <c r="C25" s="11" t="s">
        <v>26</v>
      </c>
      <c r="D25" s="2" t="s">
        <v>27</v>
      </c>
      <c r="E25" s="46">
        <v>38178</v>
      </c>
      <c r="F25" s="51">
        <v>183.120777</v>
      </c>
      <c r="G25" s="5">
        <v>1.9704723E-2</v>
      </c>
    </row>
    <row r="26" spans="1:7" ht="25.5" x14ac:dyDescent="0.25">
      <c r="A26" s="6">
        <v>20</v>
      </c>
      <c r="B26" s="7" t="s">
        <v>171</v>
      </c>
      <c r="C26" s="11" t="s">
        <v>172</v>
      </c>
      <c r="D26" s="2" t="s">
        <v>173</v>
      </c>
      <c r="E26" s="46">
        <v>62293</v>
      </c>
      <c r="F26" s="51">
        <v>183.11027350000001</v>
      </c>
      <c r="G26" s="5">
        <v>1.9703592999999998E-2</v>
      </c>
    </row>
    <row r="27" spans="1:7" ht="25.5" x14ac:dyDescent="0.25">
      <c r="A27" s="6">
        <v>21</v>
      </c>
      <c r="B27" s="7" t="s">
        <v>90</v>
      </c>
      <c r="C27" s="11" t="s">
        <v>91</v>
      </c>
      <c r="D27" s="2" t="s">
        <v>22</v>
      </c>
      <c r="E27" s="46">
        <v>17168</v>
      </c>
      <c r="F27" s="51">
        <v>171.67141599999999</v>
      </c>
      <c r="G27" s="5">
        <v>1.8472714000000001E-2</v>
      </c>
    </row>
    <row r="28" spans="1:7" ht="25.5" x14ac:dyDescent="0.25">
      <c r="A28" s="6">
        <v>22</v>
      </c>
      <c r="B28" s="7" t="s">
        <v>176</v>
      </c>
      <c r="C28" s="11" t="s">
        <v>177</v>
      </c>
      <c r="D28" s="2" t="s">
        <v>30</v>
      </c>
      <c r="E28" s="46">
        <v>16939</v>
      </c>
      <c r="F28" s="51">
        <v>164.850348</v>
      </c>
      <c r="G28" s="5">
        <v>1.7738732E-2</v>
      </c>
    </row>
    <row r="29" spans="1:7" ht="25.5" x14ac:dyDescent="0.25">
      <c r="A29" s="6">
        <v>23</v>
      </c>
      <c r="B29" s="7" t="s">
        <v>57</v>
      </c>
      <c r="C29" s="11" t="s">
        <v>58</v>
      </c>
      <c r="D29" s="2" t="s">
        <v>59</v>
      </c>
      <c r="E29" s="46">
        <v>24137</v>
      </c>
      <c r="F29" s="51">
        <v>163.359216</v>
      </c>
      <c r="G29" s="5">
        <v>1.7578278999999999E-2</v>
      </c>
    </row>
    <row r="30" spans="1:7" ht="51" x14ac:dyDescent="0.25">
      <c r="A30" s="6">
        <v>24</v>
      </c>
      <c r="B30" s="7" t="s">
        <v>233</v>
      </c>
      <c r="C30" s="11" t="s">
        <v>234</v>
      </c>
      <c r="D30" s="2" t="s">
        <v>235</v>
      </c>
      <c r="E30" s="46">
        <v>68953</v>
      </c>
      <c r="F30" s="51">
        <v>155.97168600000001</v>
      </c>
      <c r="G30" s="5">
        <v>1.6783342999999999E-2</v>
      </c>
    </row>
    <row r="31" spans="1:7" ht="15" x14ac:dyDescent="0.25">
      <c r="A31" s="6">
        <v>25</v>
      </c>
      <c r="B31" s="7" t="s">
        <v>182</v>
      </c>
      <c r="C31" s="11" t="s">
        <v>183</v>
      </c>
      <c r="D31" s="2" t="s">
        <v>184</v>
      </c>
      <c r="E31" s="46">
        <v>83005</v>
      </c>
      <c r="F31" s="51">
        <v>155.13634500000001</v>
      </c>
      <c r="G31" s="5">
        <v>1.6693455999999999E-2</v>
      </c>
    </row>
    <row r="32" spans="1:7" ht="15" x14ac:dyDescent="0.25">
      <c r="A32" s="6">
        <v>26</v>
      </c>
      <c r="B32" s="7" t="s">
        <v>187</v>
      </c>
      <c r="C32" s="11" t="s">
        <v>188</v>
      </c>
      <c r="D32" s="2" t="s">
        <v>162</v>
      </c>
      <c r="E32" s="46">
        <v>16636</v>
      </c>
      <c r="F32" s="51">
        <v>152.643618</v>
      </c>
      <c r="G32" s="5">
        <v>1.6425226000000001E-2</v>
      </c>
    </row>
    <row r="33" spans="1:7" ht="25.5" x14ac:dyDescent="0.25">
      <c r="A33" s="6">
        <v>27</v>
      </c>
      <c r="B33" s="7" t="s">
        <v>94</v>
      </c>
      <c r="C33" s="11" t="s">
        <v>95</v>
      </c>
      <c r="D33" s="2" t="s">
        <v>22</v>
      </c>
      <c r="E33" s="46">
        <v>146929</v>
      </c>
      <c r="F33" s="51">
        <v>150.5287605</v>
      </c>
      <c r="G33" s="5">
        <v>1.6197657000000001E-2</v>
      </c>
    </row>
    <row r="34" spans="1:7" ht="15" x14ac:dyDescent="0.25">
      <c r="A34" s="6">
        <v>28</v>
      </c>
      <c r="B34" s="7" t="s">
        <v>252</v>
      </c>
      <c r="C34" s="11" t="s">
        <v>253</v>
      </c>
      <c r="D34" s="2" t="s">
        <v>215</v>
      </c>
      <c r="E34" s="46">
        <v>18500</v>
      </c>
      <c r="F34" s="51">
        <v>144.05025000000001</v>
      </c>
      <c r="G34" s="5">
        <v>1.5500536000000001E-2</v>
      </c>
    </row>
    <row r="35" spans="1:7" ht="15" x14ac:dyDescent="0.25">
      <c r="A35" s="6">
        <v>29</v>
      </c>
      <c r="B35" s="7" t="s">
        <v>295</v>
      </c>
      <c r="C35" s="11" t="s">
        <v>296</v>
      </c>
      <c r="D35" s="2" t="s">
        <v>170</v>
      </c>
      <c r="E35" s="46">
        <v>6790</v>
      </c>
      <c r="F35" s="51">
        <v>144.04306</v>
      </c>
      <c r="G35" s="5">
        <v>1.5499763E-2</v>
      </c>
    </row>
    <row r="36" spans="1:7" ht="25.5" x14ac:dyDescent="0.25">
      <c r="A36" s="6">
        <v>30</v>
      </c>
      <c r="B36" s="7" t="s">
        <v>70</v>
      </c>
      <c r="C36" s="11" t="s">
        <v>71</v>
      </c>
      <c r="D36" s="2" t="s">
        <v>22</v>
      </c>
      <c r="E36" s="46">
        <v>12717</v>
      </c>
      <c r="F36" s="51">
        <v>139.530924</v>
      </c>
      <c r="G36" s="5">
        <v>1.5014234E-2</v>
      </c>
    </row>
    <row r="37" spans="1:7" ht="25.5" x14ac:dyDescent="0.25">
      <c r="A37" s="6">
        <v>31</v>
      </c>
      <c r="B37" s="7" t="s">
        <v>355</v>
      </c>
      <c r="C37" s="11" t="s">
        <v>356</v>
      </c>
      <c r="D37" s="2" t="s">
        <v>22</v>
      </c>
      <c r="E37" s="46">
        <v>38533</v>
      </c>
      <c r="F37" s="51">
        <v>127.0625675</v>
      </c>
      <c r="G37" s="5">
        <v>1.3672576000000001E-2</v>
      </c>
    </row>
    <row r="38" spans="1:7" ht="15" x14ac:dyDescent="0.25">
      <c r="A38" s="6">
        <v>32</v>
      </c>
      <c r="B38" s="7" t="s">
        <v>452</v>
      </c>
      <c r="C38" s="11" t="s">
        <v>453</v>
      </c>
      <c r="D38" s="2" t="s">
        <v>170</v>
      </c>
      <c r="E38" s="46">
        <v>120232</v>
      </c>
      <c r="F38" s="51">
        <v>123.11756800000001</v>
      </c>
      <c r="G38" s="5">
        <v>1.3248074E-2</v>
      </c>
    </row>
    <row r="39" spans="1:7" ht="25.5" x14ac:dyDescent="0.25">
      <c r="A39" s="6">
        <v>33</v>
      </c>
      <c r="B39" s="7" t="s">
        <v>448</v>
      </c>
      <c r="C39" s="11" t="s">
        <v>449</v>
      </c>
      <c r="D39" s="2" t="s">
        <v>81</v>
      </c>
      <c r="E39" s="46">
        <v>46885</v>
      </c>
      <c r="F39" s="51">
        <v>122.9559125</v>
      </c>
      <c r="G39" s="5">
        <v>1.3230679E-2</v>
      </c>
    </row>
    <row r="40" spans="1:7" ht="15" x14ac:dyDescent="0.25">
      <c r="A40" s="6">
        <v>34</v>
      </c>
      <c r="B40" s="7" t="s">
        <v>236</v>
      </c>
      <c r="C40" s="11" t="s">
        <v>237</v>
      </c>
      <c r="D40" s="2" t="s">
        <v>238</v>
      </c>
      <c r="E40" s="46">
        <v>20130</v>
      </c>
      <c r="F40" s="51">
        <v>121.112145</v>
      </c>
      <c r="G40" s="5">
        <v>1.303228E-2</v>
      </c>
    </row>
    <row r="41" spans="1:7" ht="15" x14ac:dyDescent="0.25">
      <c r="A41" s="6">
        <v>35</v>
      </c>
      <c r="B41" s="7" t="s">
        <v>414</v>
      </c>
      <c r="C41" s="11" t="s">
        <v>415</v>
      </c>
      <c r="D41" s="2" t="s">
        <v>215</v>
      </c>
      <c r="E41" s="46">
        <v>22119</v>
      </c>
      <c r="F41" s="51">
        <v>115.1404545</v>
      </c>
      <c r="G41" s="5">
        <v>1.2389696E-2</v>
      </c>
    </row>
    <row r="42" spans="1:7" ht="25.5" x14ac:dyDescent="0.25">
      <c r="A42" s="6">
        <v>36</v>
      </c>
      <c r="B42" s="7" t="s">
        <v>207</v>
      </c>
      <c r="C42" s="11" t="s">
        <v>208</v>
      </c>
      <c r="D42" s="2" t="s">
        <v>30</v>
      </c>
      <c r="E42" s="46">
        <v>100029</v>
      </c>
      <c r="F42" s="51">
        <v>109.8818565</v>
      </c>
      <c r="G42" s="5">
        <v>1.1823844E-2</v>
      </c>
    </row>
    <row r="43" spans="1:7" ht="15" x14ac:dyDescent="0.25">
      <c r="A43" s="6">
        <v>37</v>
      </c>
      <c r="B43" s="7" t="s">
        <v>211</v>
      </c>
      <c r="C43" s="11" t="s">
        <v>212</v>
      </c>
      <c r="D43" s="2" t="s">
        <v>162</v>
      </c>
      <c r="E43" s="46">
        <v>137000</v>
      </c>
      <c r="F43" s="51">
        <v>108.91500000000001</v>
      </c>
      <c r="G43" s="5">
        <v>1.1719805E-2</v>
      </c>
    </row>
    <row r="44" spans="1:7" ht="15" x14ac:dyDescent="0.25">
      <c r="A44" s="6">
        <v>38</v>
      </c>
      <c r="B44" s="7" t="s">
        <v>203</v>
      </c>
      <c r="C44" s="11" t="s">
        <v>204</v>
      </c>
      <c r="D44" s="2" t="s">
        <v>81</v>
      </c>
      <c r="E44" s="46">
        <v>96505</v>
      </c>
      <c r="F44" s="51">
        <v>103.935885</v>
      </c>
      <c r="G44" s="5">
        <v>1.1184026999999999E-2</v>
      </c>
    </row>
    <row r="45" spans="1:7" ht="15" x14ac:dyDescent="0.25">
      <c r="A45" s="6">
        <v>39</v>
      </c>
      <c r="B45" s="7" t="s">
        <v>160</v>
      </c>
      <c r="C45" s="11" t="s">
        <v>161</v>
      </c>
      <c r="D45" s="2" t="s">
        <v>162</v>
      </c>
      <c r="E45" s="46">
        <v>38067</v>
      </c>
      <c r="F45" s="51">
        <v>100.344612</v>
      </c>
      <c r="G45" s="5">
        <v>1.0797588E-2</v>
      </c>
    </row>
    <row r="46" spans="1:7" ht="25.5" x14ac:dyDescent="0.25">
      <c r="A46" s="6">
        <v>40</v>
      </c>
      <c r="B46" s="7" t="s">
        <v>462</v>
      </c>
      <c r="C46" s="11" t="s">
        <v>463</v>
      </c>
      <c r="D46" s="2" t="s">
        <v>37</v>
      </c>
      <c r="E46" s="46">
        <v>19140</v>
      </c>
      <c r="F46" s="51">
        <v>97.652280000000005</v>
      </c>
      <c r="G46" s="5">
        <v>1.0507880000000001E-2</v>
      </c>
    </row>
    <row r="47" spans="1:7" ht="15" x14ac:dyDescent="0.25">
      <c r="A47" s="6">
        <v>41</v>
      </c>
      <c r="B47" s="7" t="s">
        <v>197</v>
      </c>
      <c r="C47" s="11" t="s">
        <v>198</v>
      </c>
      <c r="D47" s="2" t="s">
        <v>162</v>
      </c>
      <c r="E47" s="46">
        <v>33000</v>
      </c>
      <c r="F47" s="51">
        <v>97.135499999999993</v>
      </c>
      <c r="G47" s="5">
        <v>1.0452272E-2</v>
      </c>
    </row>
    <row r="48" spans="1:7" ht="25.5" x14ac:dyDescent="0.25">
      <c r="A48" s="6">
        <v>42</v>
      </c>
      <c r="B48" s="7" t="s">
        <v>194</v>
      </c>
      <c r="C48" s="11" t="s">
        <v>195</v>
      </c>
      <c r="D48" s="2" t="s">
        <v>37</v>
      </c>
      <c r="E48" s="46">
        <v>27945</v>
      </c>
      <c r="F48" s="51">
        <v>94.579852500000001</v>
      </c>
      <c r="G48" s="5">
        <v>1.0177271E-2</v>
      </c>
    </row>
    <row r="49" spans="1:7" ht="25.5" x14ac:dyDescent="0.25">
      <c r="A49" s="6">
        <v>43</v>
      </c>
      <c r="B49" s="7" t="s">
        <v>64</v>
      </c>
      <c r="C49" s="11" t="s">
        <v>65</v>
      </c>
      <c r="D49" s="2" t="s">
        <v>19</v>
      </c>
      <c r="E49" s="46">
        <v>126093</v>
      </c>
      <c r="F49" s="51">
        <v>92.237029500000006</v>
      </c>
      <c r="G49" s="5">
        <v>9.925171E-3</v>
      </c>
    </row>
    <row r="50" spans="1:7" ht="15" x14ac:dyDescent="0.25">
      <c r="A50" s="6">
        <v>44</v>
      </c>
      <c r="B50" s="7" t="s">
        <v>163</v>
      </c>
      <c r="C50" s="11" t="s">
        <v>164</v>
      </c>
      <c r="D50" s="2" t="s">
        <v>13</v>
      </c>
      <c r="E50" s="46">
        <v>45158</v>
      </c>
      <c r="F50" s="51">
        <v>88.28389</v>
      </c>
      <c r="G50" s="5">
        <v>9.4997940000000006E-3</v>
      </c>
    </row>
    <row r="51" spans="1:7" ht="15" x14ac:dyDescent="0.25">
      <c r="A51" s="6">
        <v>45</v>
      </c>
      <c r="B51" s="7" t="s">
        <v>254</v>
      </c>
      <c r="C51" s="11" t="s">
        <v>255</v>
      </c>
      <c r="D51" s="2" t="s">
        <v>215</v>
      </c>
      <c r="E51" s="46">
        <v>110134</v>
      </c>
      <c r="F51" s="51">
        <v>87.501463000000001</v>
      </c>
      <c r="G51" s="5">
        <v>9.4155999999999997E-3</v>
      </c>
    </row>
    <row r="52" spans="1:7" ht="15" x14ac:dyDescent="0.25">
      <c r="A52" s="6">
        <v>46</v>
      </c>
      <c r="B52" s="7" t="s">
        <v>191</v>
      </c>
      <c r="C52" s="11" t="s">
        <v>192</v>
      </c>
      <c r="D52" s="2" t="s">
        <v>193</v>
      </c>
      <c r="E52" s="46">
        <v>65299</v>
      </c>
      <c r="F52" s="51">
        <v>86.912969000000004</v>
      </c>
      <c r="G52" s="5">
        <v>9.3522759999999996E-3</v>
      </c>
    </row>
    <row r="53" spans="1:7" ht="15" x14ac:dyDescent="0.25">
      <c r="A53" s="6">
        <v>47</v>
      </c>
      <c r="B53" s="7" t="s">
        <v>450</v>
      </c>
      <c r="C53" s="11" t="s">
        <v>451</v>
      </c>
      <c r="D53" s="2" t="s">
        <v>193</v>
      </c>
      <c r="E53" s="46">
        <v>12363</v>
      </c>
      <c r="F53" s="51">
        <v>81.342358500000003</v>
      </c>
      <c r="G53" s="5">
        <v>8.7528499999999995E-3</v>
      </c>
    </row>
    <row r="54" spans="1:7" ht="51" x14ac:dyDescent="0.25">
      <c r="A54" s="6">
        <v>48</v>
      </c>
      <c r="B54" s="7" t="s">
        <v>286</v>
      </c>
      <c r="C54" s="11" t="s">
        <v>287</v>
      </c>
      <c r="D54" s="2" t="s">
        <v>235</v>
      </c>
      <c r="E54" s="46">
        <v>244905</v>
      </c>
      <c r="F54" s="51">
        <v>78.859409999999997</v>
      </c>
      <c r="G54" s="5">
        <v>8.4856719999999997E-3</v>
      </c>
    </row>
    <row r="55" spans="1:7" ht="25.5" x14ac:dyDescent="0.25">
      <c r="A55" s="6">
        <v>49</v>
      </c>
      <c r="B55" s="7" t="s">
        <v>185</v>
      </c>
      <c r="C55" s="11" t="s">
        <v>186</v>
      </c>
      <c r="D55" s="2" t="s">
        <v>59</v>
      </c>
      <c r="E55" s="46">
        <v>62080</v>
      </c>
      <c r="F55" s="51">
        <v>78.376000000000005</v>
      </c>
      <c r="G55" s="5">
        <v>8.4336540000000005E-3</v>
      </c>
    </row>
    <row r="56" spans="1:7" ht="15" x14ac:dyDescent="0.25">
      <c r="A56" s="6">
        <v>50</v>
      </c>
      <c r="B56" s="7" t="s">
        <v>256</v>
      </c>
      <c r="C56" s="11" t="s">
        <v>257</v>
      </c>
      <c r="D56" s="2" t="s">
        <v>215</v>
      </c>
      <c r="E56" s="46">
        <v>10500</v>
      </c>
      <c r="F56" s="51">
        <v>78.224999999999994</v>
      </c>
      <c r="G56" s="5">
        <v>8.4174060000000005E-3</v>
      </c>
    </row>
    <row r="57" spans="1:7" ht="15" x14ac:dyDescent="0.25">
      <c r="A57" s="6">
        <v>51</v>
      </c>
      <c r="B57" s="7" t="s">
        <v>244</v>
      </c>
      <c r="C57" s="11" t="s">
        <v>245</v>
      </c>
      <c r="D57" s="2" t="s">
        <v>162</v>
      </c>
      <c r="E57" s="46">
        <v>14496</v>
      </c>
      <c r="F57" s="51">
        <v>75.053039999999996</v>
      </c>
      <c r="G57" s="5">
        <v>8.0760869999999992E-3</v>
      </c>
    </row>
    <row r="58" spans="1:7" ht="25.5" x14ac:dyDescent="0.25">
      <c r="A58" s="6">
        <v>52</v>
      </c>
      <c r="B58" s="7" t="s">
        <v>274</v>
      </c>
      <c r="C58" s="11" t="s">
        <v>275</v>
      </c>
      <c r="D58" s="2" t="s">
        <v>22</v>
      </c>
      <c r="E58" s="46">
        <v>18957</v>
      </c>
      <c r="F58" s="51">
        <v>74.681101499999997</v>
      </c>
      <c r="G58" s="5">
        <v>8.0360650000000002E-3</v>
      </c>
    </row>
    <row r="59" spans="1:7" ht="15" x14ac:dyDescent="0.25">
      <c r="A59" s="6">
        <v>53</v>
      </c>
      <c r="B59" s="7" t="s">
        <v>213</v>
      </c>
      <c r="C59" s="11" t="s">
        <v>214</v>
      </c>
      <c r="D59" s="2" t="s">
        <v>215</v>
      </c>
      <c r="E59" s="46">
        <v>77303</v>
      </c>
      <c r="F59" s="51">
        <v>73.747062</v>
      </c>
      <c r="G59" s="5">
        <v>7.9355569999999993E-3</v>
      </c>
    </row>
    <row r="60" spans="1:7" ht="15" x14ac:dyDescent="0.25">
      <c r="A60" s="6">
        <v>54</v>
      </c>
      <c r="B60" s="7" t="s">
        <v>246</v>
      </c>
      <c r="C60" s="11" t="s">
        <v>247</v>
      </c>
      <c r="D60" s="2" t="s">
        <v>170</v>
      </c>
      <c r="E60" s="46">
        <v>32998</v>
      </c>
      <c r="F60" s="51">
        <v>73.470046999999994</v>
      </c>
      <c r="G60" s="5">
        <v>7.9057490000000001E-3</v>
      </c>
    </row>
    <row r="61" spans="1:7" ht="15" x14ac:dyDescent="0.25">
      <c r="A61" s="6">
        <v>55</v>
      </c>
      <c r="B61" s="7" t="s">
        <v>459</v>
      </c>
      <c r="C61" s="11" t="s">
        <v>460</v>
      </c>
      <c r="D61" s="2" t="s">
        <v>170</v>
      </c>
      <c r="E61" s="46">
        <v>24151</v>
      </c>
      <c r="F61" s="51">
        <v>71.873375999999993</v>
      </c>
      <c r="G61" s="5">
        <v>7.7339389999999996E-3</v>
      </c>
    </row>
    <row r="62" spans="1:7" ht="25.5" x14ac:dyDescent="0.25">
      <c r="A62" s="6">
        <v>56</v>
      </c>
      <c r="B62" s="7" t="s">
        <v>216</v>
      </c>
      <c r="C62" s="11" t="s">
        <v>217</v>
      </c>
      <c r="D62" s="2" t="s">
        <v>59</v>
      </c>
      <c r="E62" s="46">
        <v>31286</v>
      </c>
      <c r="F62" s="51">
        <v>70.815860999999998</v>
      </c>
      <c r="G62" s="5">
        <v>7.620145E-3</v>
      </c>
    </row>
    <row r="63" spans="1:7" ht="15" x14ac:dyDescent="0.25">
      <c r="A63" s="6">
        <v>57</v>
      </c>
      <c r="B63" s="7" t="s">
        <v>168</v>
      </c>
      <c r="C63" s="11" t="s">
        <v>169</v>
      </c>
      <c r="D63" s="2" t="s">
        <v>170</v>
      </c>
      <c r="E63" s="46">
        <v>35158</v>
      </c>
      <c r="F63" s="51">
        <v>66.975989999999996</v>
      </c>
      <c r="G63" s="5">
        <v>7.2069559999999996E-3</v>
      </c>
    </row>
    <row r="64" spans="1:7" ht="25.5" x14ac:dyDescent="0.25">
      <c r="A64" s="6">
        <v>58</v>
      </c>
      <c r="B64" s="7" t="s">
        <v>464</v>
      </c>
      <c r="C64" s="11" t="s">
        <v>465</v>
      </c>
      <c r="D64" s="2" t="s">
        <v>59</v>
      </c>
      <c r="E64" s="46">
        <v>9580</v>
      </c>
      <c r="F64" s="51">
        <v>66.810919999999996</v>
      </c>
      <c r="G64" s="5">
        <v>7.189193E-3</v>
      </c>
    </row>
    <row r="65" spans="1:7" ht="15" x14ac:dyDescent="0.25">
      <c r="A65" s="6">
        <v>59</v>
      </c>
      <c r="B65" s="7" t="s">
        <v>267</v>
      </c>
      <c r="C65" s="11" t="s">
        <v>268</v>
      </c>
      <c r="D65" s="2" t="s">
        <v>269</v>
      </c>
      <c r="E65" s="46">
        <v>6483</v>
      </c>
      <c r="F65" s="51">
        <v>48.272418000000002</v>
      </c>
      <c r="G65" s="5">
        <v>5.1943570000000001E-3</v>
      </c>
    </row>
    <row r="66" spans="1:7" ht="25.5" x14ac:dyDescent="0.25">
      <c r="A66" s="6">
        <v>60</v>
      </c>
      <c r="B66" s="7" t="s">
        <v>227</v>
      </c>
      <c r="C66" s="11" t="s">
        <v>228</v>
      </c>
      <c r="D66" s="2" t="s">
        <v>173</v>
      </c>
      <c r="E66" s="46">
        <v>33987</v>
      </c>
      <c r="F66" s="51">
        <v>21.547758000000002</v>
      </c>
      <c r="G66" s="5">
        <v>2.318648E-3</v>
      </c>
    </row>
    <row r="67" spans="1:7" ht="15" x14ac:dyDescent="0.25">
      <c r="A67" s="6">
        <v>61</v>
      </c>
      <c r="B67" s="7" t="s">
        <v>49</v>
      </c>
      <c r="C67" s="11" t="s">
        <v>50</v>
      </c>
      <c r="D67" s="2" t="s">
        <v>51</v>
      </c>
      <c r="E67" s="46">
        <v>7406</v>
      </c>
      <c r="F67" s="51">
        <v>19.374096000000002</v>
      </c>
      <c r="G67" s="5">
        <v>2.0847510000000001E-3</v>
      </c>
    </row>
    <row r="68" spans="1:7" ht="15" x14ac:dyDescent="0.25">
      <c r="A68" s="1"/>
      <c r="B68" s="2"/>
      <c r="C68" s="8" t="s">
        <v>104</v>
      </c>
      <c r="D68" s="12"/>
      <c r="E68" s="48"/>
      <c r="F68" s="53">
        <v>8915.2560285000018</v>
      </c>
      <c r="G68" s="13">
        <v>0.95932669199999976</v>
      </c>
    </row>
    <row r="69" spans="1:7" ht="15" x14ac:dyDescent="0.25">
      <c r="A69" s="6"/>
      <c r="B69" s="7"/>
      <c r="C69" s="14"/>
      <c r="D69" s="15"/>
      <c r="E69" s="46"/>
      <c r="F69" s="51"/>
      <c r="G69" s="5"/>
    </row>
    <row r="70" spans="1:7" ht="15" x14ac:dyDescent="0.25">
      <c r="A70" s="1"/>
      <c r="B70" s="2"/>
      <c r="C70" s="8" t="s">
        <v>105</v>
      </c>
      <c r="D70" s="9"/>
      <c r="E70" s="47"/>
      <c r="F70" s="52"/>
      <c r="G70" s="10"/>
    </row>
    <row r="71" spans="1:7" ht="15" x14ac:dyDescent="0.25">
      <c r="A71" s="1"/>
      <c r="B71" s="2"/>
      <c r="C71" s="8" t="s">
        <v>104</v>
      </c>
      <c r="D71" s="12"/>
      <c r="E71" s="48"/>
      <c r="F71" s="53">
        <v>0</v>
      </c>
      <c r="G71" s="13">
        <v>0</v>
      </c>
    </row>
    <row r="72" spans="1:7" ht="15" x14ac:dyDescent="0.25">
      <c r="A72" s="6"/>
      <c r="B72" s="7"/>
      <c r="C72" s="14"/>
      <c r="D72" s="15"/>
      <c r="E72" s="46"/>
      <c r="F72" s="51"/>
      <c r="G72" s="5"/>
    </row>
    <row r="73" spans="1:7" ht="15" x14ac:dyDescent="0.25">
      <c r="A73" s="16"/>
      <c r="B73" s="17"/>
      <c r="C73" s="8" t="s">
        <v>106</v>
      </c>
      <c r="D73" s="9"/>
      <c r="E73" s="47"/>
      <c r="F73" s="52"/>
      <c r="G73" s="10"/>
    </row>
    <row r="74" spans="1:7" ht="15" x14ac:dyDescent="0.25">
      <c r="A74" s="18"/>
      <c r="B74" s="19"/>
      <c r="C74" s="8" t="s">
        <v>104</v>
      </c>
      <c r="D74" s="20"/>
      <c r="E74" s="49"/>
      <c r="F74" s="54">
        <v>0</v>
      </c>
      <c r="G74" s="21">
        <v>0</v>
      </c>
    </row>
    <row r="75" spans="1:7" ht="15" x14ac:dyDescent="0.25">
      <c r="A75" s="18"/>
      <c r="B75" s="19"/>
      <c r="C75" s="14"/>
      <c r="D75" s="22"/>
      <c r="E75" s="50"/>
      <c r="F75" s="55"/>
      <c r="G75" s="23"/>
    </row>
    <row r="76" spans="1:7" ht="15" x14ac:dyDescent="0.25">
      <c r="A76" s="1"/>
      <c r="B76" s="2"/>
      <c r="C76" s="8" t="s">
        <v>108</v>
      </c>
      <c r="D76" s="9"/>
      <c r="E76" s="47"/>
      <c r="F76" s="52"/>
      <c r="G76" s="10"/>
    </row>
    <row r="77" spans="1:7" ht="15" x14ac:dyDescent="0.25">
      <c r="A77" s="1"/>
      <c r="B77" s="2"/>
      <c r="C77" s="8" t="s">
        <v>104</v>
      </c>
      <c r="D77" s="12"/>
      <c r="E77" s="48"/>
      <c r="F77" s="53">
        <v>0</v>
      </c>
      <c r="G77" s="13">
        <v>0</v>
      </c>
    </row>
    <row r="78" spans="1:7" ht="15" x14ac:dyDescent="0.25">
      <c r="A78" s="1"/>
      <c r="B78" s="2"/>
      <c r="C78" s="14"/>
      <c r="D78" s="4"/>
      <c r="E78" s="46"/>
      <c r="F78" s="51"/>
      <c r="G78" s="5"/>
    </row>
    <row r="79" spans="1:7" ht="15" x14ac:dyDescent="0.25">
      <c r="A79" s="1"/>
      <c r="B79" s="2"/>
      <c r="C79" s="8" t="s">
        <v>109</v>
      </c>
      <c r="D79" s="9"/>
      <c r="E79" s="47"/>
      <c r="F79" s="52"/>
      <c r="G79" s="10"/>
    </row>
    <row r="80" spans="1:7" ht="15" x14ac:dyDescent="0.25">
      <c r="A80" s="1"/>
      <c r="B80" s="2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1"/>
      <c r="B81" s="2"/>
      <c r="C81" s="14"/>
      <c r="D81" s="4"/>
      <c r="E81" s="46"/>
      <c r="F81" s="51"/>
      <c r="G81" s="5"/>
    </row>
    <row r="82" spans="1:7" ht="15" x14ac:dyDescent="0.25">
      <c r="A82" s="1"/>
      <c r="B82" s="2"/>
      <c r="C82" s="8" t="s">
        <v>110</v>
      </c>
      <c r="D82" s="9"/>
      <c r="E82" s="47"/>
      <c r="F82" s="52"/>
      <c r="G82" s="10"/>
    </row>
    <row r="83" spans="1:7" ht="15" x14ac:dyDescent="0.25">
      <c r="A83" s="1"/>
      <c r="B83" s="2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25.5" x14ac:dyDescent="0.25">
      <c r="A85" s="6"/>
      <c r="B85" s="7"/>
      <c r="C85" s="24" t="s">
        <v>111</v>
      </c>
      <c r="D85" s="25"/>
      <c r="E85" s="48"/>
      <c r="F85" s="53">
        <v>8915.2560285000018</v>
      </c>
      <c r="G85" s="13">
        <v>0.95932669199999976</v>
      </c>
    </row>
    <row r="86" spans="1:7" ht="15" x14ac:dyDescent="0.25">
      <c r="A86" s="1"/>
      <c r="B86" s="2"/>
      <c r="C86" s="11"/>
      <c r="D86" s="4"/>
      <c r="E86" s="46"/>
      <c r="F86" s="51"/>
      <c r="G86" s="5"/>
    </row>
    <row r="87" spans="1:7" ht="15" x14ac:dyDescent="0.25">
      <c r="A87" s="1"/>
      <c r="B87" s="2"/>
      <c r="C87" s="3" t="s">
        <v>112</v>
      </c>
      <c r="D87" s="4"/>
      <c r="E87" s="46"/>
      <c r="F87" s="51"/>
      <c r="G87" s="5"/>
    </row>
    <row r="88" spans="1:7" ht="25.5" x14ac:dyDescent="0.25">
      <c r="A88" s="1"/>
      <c r="B88" s="2"/>
      <c r="C88" s="8" t="s">
        <v>10</v>
      </c>
      <c r="D88" s="9"/>
      <c r="E88" s="47"/>
      <c r="F88" s="52"/>
      <c r="G88" s="10"/>
    </row>
    <row r="89" spans="1:7" ht="15" x14ac:dyDescent="0.25">
      <c r="A89" s="6"/>
      <c r="B89" s="7"/>
      <c r="C89" s="8" t="s">
        <v>104</v>
      </c>
      <c r="D89" s="12"/>
      <c r="E89" s="48"/>
      <c r="F89" s="53">
        <v>0</v>
      </c>
      <c r="G89" s="13">
        <v>0</v>
      </c>
    </row>
    <row r="90" spans="1:7" ht="15" x14ac:dyDescent="0.25">
      <c r="A90" s="6"/>
      <c r="B90" s="7"/>
      <c r="C90" s="14"/>
      <c r="D90" s="4"/>
      <c r="E90" s="46"/>
      <c r="F90" s="51"/>
      <c r="G90" s="5"/>
    </row>
    <row r="91" spans="1:7" ht="15" x14ac:dyDescent="0.25">
      <c r="A91" s="1"/>
      <c r="B91" s="26"/>
      <c r="C91" s="8" t="s">
        <v>113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12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4"/>
      <c r="E93" s="46"/>
      <c r="F93" s="56"/>
      <c r="G93" s="27"/>
    </row>
    <row r="94" spans="1:7" ht="15" x14ac:dyDescent="0.25">
      <c r="A94" s="1"/>
      <c r="B94" s="2"/>
      <c r="C94" s="8" t="s">
        <v>114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12"/>
      <c r="E95" s="48"/>
      <c r="F95" s="53">
        <v>0</v>
      </c>
      <c r="G95" s="13">
        <v>0</v>
      </c>
    </row>
    <row r="96" spans="1:7" ht="15" x14ac:dyDescent="0.25">
      <c r="A96" s="1"/>
      <c r="B96" s="2"/>
      <c r="C96" s="14"/>
      <c r="D96" s="4"/>
      <c r="E96" s="46"/>
      <c r="F96" s="51"/>
      <c r="G96" s="5"/>
    </row>
    <row r="97" spans="1:7" ht="25.5" x14ac:dyDescent="0.25">
      <c r="A97" s="1"/>
      <c r="B97" s="26"/>
      <c r="C97" s="8" t="s">
        <v>115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12"/>
      <c r="E98" s="48"/>
      <c r="F98" s="53">
        <v>0</v>
      </c>
      <c r="G98" s="13">
        <v>0</v>
      </c>
    </row>
    <row r="99" spans="1:7" ht="15" x14ac:dyDescent="0.25">
      <c r="A99" s="6"/>
      <c r="B99" s="7"/>
      <c r="C99" s="14"/>
      <c r="D99" s="4"/>
      <c r="E99" s="46"/>
      <c r="F99" s="51"/>
      <c r="G99" s="5"/>
    </row>
    <row r="100" spans="1:7" ht="15" x14ac:dyDescent="0.25">
      <c r="A100" s="6"/>
      <c r="B100" s="7"/>
      <c r="C100" s="28" t="s">
        <v>116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1"/>
      <c r="D101" s="4"/>
      <c r="E101" s="46"/>
      <c r="F101" s="51"/>
      <c r="G101" s="5"/>
    </row>
    <row r="102" spans="1:7" ht="15" x14ac:dyDescent="0.25">
      <c r="A102" s="1"/>
      <c r="B102" s="2"/>
      <c r="C102" s="3" t="s">
        <v>117</v>
      </c>
      <c r="D102" s="4"/>
      <c r="E102" s="46"/>
      <c r="F102" s="51"/>
      <c r="G102" s="5"/>
    </row>
    <row r="103" spans="1:7" ht="15" x14ac:dyDescent="0.25">
      <c r="A103" s="6"/>
      <c r="B103" s="7"/>
      <c r="C103" s="8" t="s">
        <v>118</v>
      </c>
      <c r="D103" s="9"/>
      <c r="E103" s="47"/>
      <c r="F103" s="52"/>
      <c r="G103" s="10"/>
    </row>
    <row r="104" spans="1:7" ht="15" x14ac:dyDescent="0.25">
      <c r="A104" s="6"/>
      <c r="B104" s="7"/>
      <c r="C104" s="8" t="s">
        <v>104</v>
      </c>
      <c r="D104" s="25"/>
      <c r="E104" s="48"/>
      <c r="F104" s="53">
        <v>0</v>
      </c>
      <c r="G104" s="13">
        <v>0</v>
      </c>
    </row>
    <row r="105" spans="1:7" ht="15" x14ac:dyDescent="0.25">
      <c r="A105" s="6"/>
      <c r="B105" s="7"/>
      <c r="C105" s="14"/>
      <c r="D105" s="7"/>
      <c r="E105" s="46"/>
      <c r="F105" s="51"/>
      <c r="G105" s="5"/>
    </row>
    <row r="106" spans="1:7" ht="15" x14ac:dyDescent="0.25">
      <c r="A106" s="6"/>
      <c r="B106" s="7"/>
      <c r="C106" s="8" t="s">
        <v>119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6"/>
      <c r="B109" s="7"/>
      <c r="C109" s="8" t="s">
        <v>120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15" x14ac:dyDescent="0.25">
      <c r="A112" s="6"/>
      <c r="B112" s="7"/>
      <c r="C112" s="8" t="s">
        <v>121</v>
      </c>
      <c r="D112" s="9"/>
      <c r="E112" s="47"/>
      <c r="F112" s="52"/>
      <c r="G112" s="10"/>
    </row>
    <row r="113" spans="1:7" ht="15" x14ac:dyDescent="0.25">
      <c r="A113" s="6">
        <v>1</v>
      </c>
      <c r="B113" s="7"/>
      <c r="C113" s="11" t="s">
        <v>730</v>
      </c>
      <c r="D113" s="15"/>
      <c r="E113" s="46"/>
      <c r="F113" s="51">
        <v>91.985912299999995</v>
      </c>
      <c r="G113" s="5">
        <v>9.8981499999999997E-3</v>
      </c>
    </row>
    <row r="114" spans="1:7" ht="15" x14ac:dyDescent="0.25">
      <c r="A114" s="6"/>
      <c r="B114" s="7"/>
      <c r="C114" s="8" t="s">
        <v>104</v>
      </c>
      <c r="D114" s="25"/>
      <c r="E114" s="48"/>
      <c r="F114" s="53">
        <v>91.985912299999995</v>
      </c>
      <c r="G114" s="13">
        <v>9.8981499999999997E-3</v>
      </c>
    </row>
    <row r="115" spans="1:7" ht="15" x14ac:dyDescent="0.25">
      <c r="A115" s="6"/>
      <c r="B115" s="7"/>
      <c r="C115" s="14"/>
      <c r="D115" s="7"/>
      <c r="E115" s="46"/>
      <c r="F115" s="51"/>
      <c r="G115" s="5"/>
    </row>
    <row r="116" spans="1:7" ht="25.5" x14ac:dyDescent="0.25">
      <c r="A116" s="6"/>
      <c r="B116" s="7"/>
      <c r="C116" s="24" t="s">
        <v>122</v>
      </c>
      <c r="D116" s="25"/>
      <c r="E116" s="48"/>
      <c r="F116" s="53">
        <v>91.985912299999995</v>
      </c>
      <c r="G116" s="13">
        <v>9.8981499999999997E-3</v>
      </c>
    </row>
    <row r="117" spans="1:7" ht="15" x14ac:dyDescent="0.25">
      <c r="A117" s="6"/>
      <c r="B117" s="7"/>
      <c r="C117" s="29"/>
      <c r="D117" s="7"/>
      <c r="E117" s="46"/>
      <c r="F117" s="51"/>
      <c r="G117" s="5"/>
    </row>
    <row r="118" spans="1:7" ht="15" x14ac:dyDescent="0.25">
      <c r="A118" s="1"/>
      <c r="B118" s="2"/>
      <c r="C118" s="3" t="s">
        <v>123</v>
      </c>
      <c r="D118" s="4"/>
      <c r="E118" s="46"/>
      <c r="F118" s="51"/>
      <c r="G118" s="5"/>
    </row>
    <row r="119" spans="1:7" ht="25.5" x14ac:dyDescent="0.25">
      <c r="A119" s="6"/>
      <c r="B119" s="7"/>
      <c r="C119" s="8" t="s">
        <v>124</v>
      </c>
      <c r="D119" s="9"/>
      <c r="E119" s="47"/>
      <c r="F119" s="52"/>
      <c r="G119" s="10"/>
    </row>
    <row r="120" spans="1:7" ht="15" x14ac:dyDescent="0.25">
      <c r="A120" s="6"/>
      <c r="B120" s="7"/>
      <c r="C120" s="8" t="s">
        <v>104</v>
      </c>
      <c r="D120" s="25"/>
      <c r="E120" s="48"/>
      <c r="F120" s="53">
        <v>0</v>
      </c>
      <c r="G120" s="13">
        <v>0</v>
      </c>
    </row>
    <row r="121" spans="1:7" ht="15" x14ac:dyDescent="0.25">
      <c r="A121" s="6"/>
      <c r="B121" s="7"/>
      <c r="C121" s="14"/>
      <c r="D121" s="7"/>
      <c r="E121" s="46"/>
      <c r="F121" s="51"/>
      <c r="G121" s="5"/>
    </row>
    <row r="122" spans="1:7" ht="15" x14ac:dyDescent="0.25">
      <c r="A122" s="1"/>
      <c r="B122" s="2"/>
      <c r="C122" s="3" t="s">
        <v>125</v>
      </c>
      <c r="D122" s="4"/>
      <c r="E122" s="46"/>
      <c r="F122" s="51"/>
      <c r="G122" s="5"/>
    </row>
    <row r="123" spans="1:7" ht="25.5" x14ac:dyDescent="0.25">
      <c r="A123" s="6"/>
      <c r="B123" s="7"/>
      <c r="C123" s="8" t="s">
        <v>126</v>
      </c>
      <c r="D123" s="9"/>
      <c r="E123" s="47"/>
      <c r="F123" s="52"/>
      <c r="G123" s="10"/>
    </row>
    <row r="124" spans="1:7" ht="15" x14ac:dyDescent="0.25">
      <c r="A124" s="6"/>
      <c r="B124" s="7"/>
      <c r="C124" s="8" t="s">
        <v>104</v>
      </c>
      <c r="D124" s="25"/>
      <c r="E124" s="48"/>
      <c r="F124" s="53">
        <v>0</v>
      </c>
      <c r="G124" s="13">
        <v>0</v>
      </c>
    </row>
    <row r="125" spans="1:7" ht="15" x14ac:dyDescent="0.25">
      <c r="A125" s="6"/>
      <c r="B125" s="7"/>
      <c r="C125" s="14"/>
      <c r="D125" s="7"/>
      <c r="E125" s="46"/>
      <c r="F125" s="51"/>
      <c r="G125" s="5"/>
    </row>
    <row r="126" spans="1:7" ht="25.5" x14ac:dyDescent="0.25">
      <c r="A126" s="6"/>
      <c r="B126" s="7"/>
      <c r="C126" s="8" t="s">
        <v>127</v>
      </c>
      <c r="D126" s="9"/>
      <c r="E126" s="47"/>
      <c r="F126" s="51">
        <v>199.21299999999999</v>
      </c>
      <c r="G126" s="5">
        <v>2.1436327000000002E-2</v>
      </c>
    </row>
    <row r="127" spans="1:7" ht="15" x14ac:dyDescent="0.25">
      <c r="A127" s="6"/>
      <c r="B127" s="7"/>
      <c r="C127" s="8" t="s">
        <v>810</v>
      </c>
      <c r="D127" s="25"/>
      <c r="E127" s="48"/>
      <c r="F127" s="53">
        <v>199.21299999999999</v>
      </c>
      <c r="G127" s="13">
        <v>2.1436327000000002E-2</v>
      </c>
    </row>
    <row r="128" spans="1:7" ht="15" x14ac:dyDescent="0.25">
      <c r="A128" s="6"/>
      <c r="B128" s="7"/>
      <c r="C128" s="14"/>
      <c r="D128" s="7"/>
      <c r="E128" s="46"/>
      <c r="F128" s="56"/>
      <c r="G128" s="27"/>
    </row>
    <row r="129" spans="1:7" ht="25.5" x14ac:dyDescent="0.25">
      <c r="A129" s="6"/>
      <c r="B129" s="7"/>
      <c r="C129" s="29" t="s">
        <v>128</v>
      </c>
      <c r="D129" s="7"/>
      <c r="E129" s="46"/>
      <c r="F129" s="56">
        <v>86.788068890000005</v>
      </c>
      <c r="G129" s="27">
        <v>9.3388359999999997E-3</v>
      </c>
    </row>
    <row r="130" spans="1:7" ht="15" x14ac:dyDescent="0.25">
      <c r="A130" s="6"/>
      <c r="B130" s="7"/>
      <c r="C130" s="30" t="s">
        <v>129</v>
      </c>
      <c r="D130" s="12"/>
      <c r="E130" s="48"/>
      <c r="F130" s="53">
        <v>9293.2430096900007</v>
      </c>
      <c r="G130" s="13">
        <v>1.0000000049999997</v>
      </c>
    </row>
    <row r="132" spans="1:7" ht="15" x14ac:dyDescent="0.25">
      <c r="B132" s="279"/>
      <c r="C132" s="279"/>
      <c r="D132" s="279"/>
      <c r="E132" s="279"/>
      <c r="F132" s="279"/>
    </row>
    <row r="133" spans="1:7" ht="15" x14ac:dyDescent="0.25">
      <c r="B133" s="279"/>
      <c r="C133" s="279"/>
      <c r="D133" s="279"/>
      <c r="E133" s="279"/>
      <c r="F133" s="279"/>
    </row>
    <row r="135" spans="1:7" ht="15" x14ac:dyDescent="0.25">
      <c r="B135" s="36" t="s">
        <v>131</v>
      </c>
      <c r="C135" s="37"/>
      <c r="D135" s="38"/>
    </row>
    <row r="136" spans="1:7" ht="15" x14ac:dyDescent="0.25">
      <c r="B136" s="39" t="s">
        <v>132</v>
      </c>
      <c r="C136" s="40"/>
      <c r="D136" s="62" t="s">
        <v>133</v>
      </c>
    </row>
    <row r="137" spans="1:7" ht="15" x14ac:dyDescent="0.25">
      <c r="B137" s="39" t="s">
        <v>134</v>
      </c>
      <c r="C137" s="40"/>
      <c r="D137" s="62" t="s">
        <v>133</v>
      </c>
    </row>
    <row r="138" spans="1:7" ht="15" x14ac:dyDescent="0.25">
      <c r="B138" s="41" t="s">
        <v>135</v>
      </c>
      <c r="C138" s="40"/>
      <c r="D138" s="42"/>
    </row>
    <row r="139" spans="1:7" ht="25.5" customHeight="1" x14ac:dyDescent="0.25">
      <c r="B139" s="42"/>
      <c r="C139" s="32" t="s">
        <v>136</v>
      </c>
      <c r="D139" s="33" t="s">
        <v>137</v>
      </c>
    </row>
    <row r="140" spans="1:7" ht="12.75" customHeight="1" x14ac:dyDescent="0.25">
      <c r="B140" s="57" t="s">
        <v>138</v>
      </c>
      <c r="C140" s="58" t="s">
        <v>139</v>
      </c>
      <c r="D140" s="58" t="s">
        <v>140</v>
      </c>
    </row>
    <row r="141" spans="1:7" ht="15" x14ac:dyDescent="0.25">
      <c r="B141" s="42" t="s">
        <v>141</v>
      </c>
      <c r="C141" s="43">
        <v>9.7149000000000001</v>
      </c>
      <c r="D141" s="43">
        <v>8.5755999999999997</v>
      </c>
    </row>
    <row r="142" spans="1:7" ht="15" x14ac:dyDescent="0.25">
      <c r="B142" s="42" t="s">
        <v>142</v>
      </c>
      <c r="C142" s="43">
        <v>9.7149000000000001</v>
      </c>
      <c r="D142" s="43">
        <v>8.5755999999999997</v>
      </c>
    </row>
    <row r="143" spans="1:7" ht="15" x14ac:dyDescent="0.25">
      <c r="B143" s="42" t="s">
        <v>143</v>
      </c>
      <c r="C143" s="43">
        <v>9.5747</v>
      </c>
      <c r="D143" s="43">
        <v>8.4475999999999996</v>
      </c>
    </row>
    <row r="144" spans="1:7" ht="15" x14ac:dyDescent="0.25">
      <c r="B144" s="42" t="s">
        <v>144</v>
      </c>
      <c r="C144" s="43">
        <v>9.5747</v>
      </c>
      <c r="D144" s="43">
        <v>8.4475999999999996</v>
      </c>
    </row>
    <row r="146" spans="2:4" ht="15" x14ac:dyDescent="0.25">
      <c r="B146" s="59" t="s">
        <v>145</v>
      </c>
      <c r="C146" s="44"/>
      <c r="D146" s="60" t="s">
        <v>133</v>
      </c>
    </row>
    <row r="147" spans="2:4" ht="24.75" customHeight="1" x14ac:dyDescent="0.25">
      <c r="B147" s="61"/>
      <c r="C147" s="61"/>
    </row>
    <row r="148" spans="2:4" ht="15" x14ac:dyDescent="0.25">
      <c r="B148" s="63"/>
      <c r="C148" s="65"/>
      <c r="D148"/>
    </row>
    <row r="150" spans="2:4" ht="15" x14ac:dyDescent="0.25">
      <c r="B150" s="41" t="s">
        <v>146</v>
      </c>
      <c r="C150" s="40"/>
      <c r="D150" s="64" t="s">
        <v>133</v>
      </c>
    </row>
    <row r="151" spans="2:4" ht="15" x14ac:dyDescent="0.25">
      <c r="B151" s="41" t="s">
        <v>147</v>
      </c>
      <c r="C151" s="40"/>
      <c r="D151" s="64" t="s">
        <v>133</v>
      </c>
    </row>
    <row r="152" spans="2:4" ht="15" x14ac:dyDescent="0.25">
      <c r="B152" s="41" t="s">
        <v>148</v>
      </c>
      <c r="C152" s="40"/>
      <c r="D152" s="45">
        <v>6.0015100199628107E-3</v>
      </c>
    </row>
    <row r="153" spans="2:4" ht="15" x14ac:dyDescent="0.25">
      <c r="B153" s="41" t="s">
        <v>149</v>
      </c>
      <c r="C153" s="40"/>
      <c r="D153" s="45" t="s">
        <v>133</v>
      </c>
    </row>
  </sheetData>
  <mergeCells count="5">
    <mergeCell ref="A1:G1"/>
    <mergeCell ref="A2:G2"/>
    <mergeCell ref="A3:G3"/>
    <mergeCell ref="B132:F132"/>
    <mergeCell ref="B133:F13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V15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467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23</v>
      </c>
      <c r="C7" s="11" t="s">
        <v>24</v>
      </c>
      <c r="D7" s="2" t="s">
        <v>22</v>
      </c>
      <c r="E7" s="46">
        <v>23072</v>
      </c>
      <c r="F7" s="51">
        <v>126.861392</v>
      </c>
      <c r="G7" s="5">
        <v>3.6009382999999999E-2</v>
      </c>
    </row>
    <row r="8" spans="1:7" ht="15" x14ac:dyDescent="0.25">
      <c r="A8" s="6">
        <v>2</v>
      </c>
      <c r="B8" s="7" t="s">
        <v>444</v>
      </c>
      <c r="C8" s="11" t="s">
        <v>445</v>
      </c>
      <c r="D8" s="2" t="s">
        <v>193</v>
      </c>
      <c r="E8" s="46">
        <v>16731</v>
      </c>
      <c r="F8" s="51">
        <v>122.5462095</v>
      </c>
      <c r="G8" s="5">
        <v>3.4784526000000003E-2</v>
      </c>
    </row>
    <row r="9" spans="1:7" ht="15" x14ac:dyDescent="0.25">
      <c r="A9" s="6">
        <v>3</v>
      </c>
      <c r="B9" s="7" t="s">
        <v>60</v>
      </c>
      <c r="C9" s="11" t="s">
        <v>61</v>
      </c>
      <c r="D9" s="2" t="s">
        <v>16</v>
      </c>
      <c r="E9" s="46">
        <v>11874</v>
      </c>
      <c r="F9" s="51">
        <v>114.70283999999999</v>
      </c>
      <c r="G9" s="5">
        <v>3.2558199000000003E-2</v>
      </c>
    </row>
    <row r="10" spans="1:7" ht="15" x14ac:dyDescent="0.25">
      <c r="A10" s="6">
        <v>4</v>
      </c>
      <c r="B10" s="7" t="s">
        <v>442</v>
      </c>
      <c r="C10" s="11" t="s">
        <v>443</v>
      </c>
      <c r="D10" s="2" t="s">
        <v>162</v>
      </c>
      <c r="E10" s="46">
        <v>21064</v>
      </c>
      <c r="F10" s="51">
        <v>110.53334</v>
      </c>
      <c r="G10" s="5">
        <v>3.1374694000000002E-2</v>
      </c>
    </row>
    <row r="11" spans="1:7" ht="25.5" x14ac:dyDescent="0.25">
      <c r="A11" s="6">
        <v>5</v>
      </c>
      <c r="B11" s="7" t="s">
        <v>153</v>
      </c>
      <c r="C11" s="11" t="s">
        <v>154</v>
      </c>
      <c r="D11" s="2" t="s">
        <v>155</v>
      </c>
      <c r="E11" s="46">
        <v>15016</v>
      </c>
      <c r="F11" s="51">
        <v>93.519648000000004</v>
      </c>
      <c r="G11" s="5">
        <v>2.6545387E-2</v>
      </c>
    </row>
    <row r="12" spans="1:7" ht="25.5" x14ac:dyDescent="0.25">
      <c r="A12" s="6">
        <v>6</v>
      </c>
      <c r="B12" s="7" t="s">
        <v>174</v>
      </c>
      <c r="C12" s="11" t="s">
        <v>175</v>
      </c>
      <c r="D12" s="2" t="s">
        <v>22</v>
      </c>
      <c r="E12" s="46">
        <v>31674</v>
      </c>
      <c r="F12" s="51">
        <v>93.406626000000003</v>
      </c>
      <c r="G12" s="5">
        <v>2.6513306E-2</v>
      </c>
    </row>
    <row r="13" spans="1:7" ht="15" x14ac:dyDescent="0.25">
      <c r="A13" s="6">
        <v>7</v>
      </c>
      <c r="B13" s="7" t="s">
        <v>231</v>
      </c>
      <c r="C13" s="11" t="s">
        <v>232</v>
      </c>
      <c r="D13" s="2" t="s">
        <v>170</v>
      </c>
      <c r="E13" s="46">
        <v>26563</v>
      </c>
      <c r="F13" s="51">
        <v>92.000950500000002</v>
      </c>
      <c r="G13" s="5">
        <v>2.6114307999999999E-2</v>
      </c>
    </row>
    <row r="14" spans="1:7" ht="25.5" x14ac:dyDescent="0.25">
      <c r="A14" s="6">
        <v>8</v>
      </c>
      <c r="B14" s="7" t="s">
        <v>189</v>
      </c>
      <c r="C14" s="11" t="s">
        <v>190</v>
      </c>
      <c r="D14" s="2" t="s">
        <v>167</v>
      </c>
      <c r="E14" s="46">
        <v>20735</v>
      </c>
      <c r="F14" s="51">
        <v>91.524289999999993</v>
      </c>
      <c r="G14" s="5">
        <v>2.5979008000000001E-2</v>
      </c>
    </row>
    <row r="15" spans="1:7" ht="25.5" x14ac:dyDescent="0.25">
      <c r="A15" s="6">
        <v>9</v>
      </c>
      <c r="B15" s="7" t="s">
        <v>68</v>
      </c>
      <c r="C15" s="11" t="s">
        <v>69</v>
      </c>
      <c r="D15" s="2" t="s">
        <v>19</v>
      </c>
      <c r="E15" s="46">
        <v>75207</v>
      </c>
      <c r="F15" s="51">
        <v>90.925263000000001</v>
      </c>
      <c r="G15" s="5">
        <v>2.5808976000000001E-2</v>
      </c>
    </row>
    <row r="16" spans="1:7" ht="25.5" x14ac:dyDescent="0.25">
      <c r="A16" s="6">
        <v>10</v>
      </c>
      <c r="B16" s="7" t="s">
        <v>92</v>
      </c>
      <c r="C16" s="11" t="s">
        <v>93</v>
      </c>
      <c r="D16" s="2" t="s">
        <v>22</v>
      </c>
      <c r="E16" s="46">
        <v>20167</v>
      </c>
      <c r="F16" s="51">
        <v>88.442378500000004</v>
      </c>
      <c r="G16" s="5">
        <v>2.5104213E-2</v>
      </c>
    </row>
    <row r="17" spans="1:7" ht="15" x14ac:dyDescent="0.25">
      <c r="A17" s="6">
        <v>11</v>
      </c>
      <c r="B17" s="7" t="s">
        <v>446</v>
      </c>
      <c r="C17" s="11" t="s">
        <v>447</v>
      </c>
      <c r="D17" s="2" t="s">
        <v>162</v>
      </c>
      <c r="E17" s="46">
        <v>72439</v>
      </c>
      <c r="F17" s="51">
        <v>81.493875000000003</v>
      </c>
      <c r="G17" s="5">
        <v>2.3131893000000001E-2</v>
      </c>
    </row>
    <row r="18" spans="1:7" ht="15" x14ac:dyDescent="0.25">
      <c r="A18" s="6">
        <v>12</v>
      </c>
      <c r="B18" s="7" t="s">
        <v>151</v>
      </c>
      <c r="C18" s="11" t="s">
        <v>152</v>
      </c>
      <c r="D18" s="2" t="s">
        <v>16</v>
      </c>
      <c r="E18" s="46">
        <v>41247</v>
      </c>
      <c r="F18" s="51">
        <v>79.854191999999998</v>
      </c>
      <c r="G18" s="5">
        <v>2.2666472E-2</v>
      </c>
    </row>
    <row r="19" spans="1:7" ht="25.5" x14ac:dyDescent="0.25">
      <c r="A19" s="6">
        <v>13</v>
      </c>
      <c r="B19" s="7" t="s">
        <v>178</v>
      </c>
      <c r="C19" s="11" t="s">
        <v>179</v>
      </c>
      <c r="D19" s="2" t="s">
        <v>22</v>
      </c>
      <c r="E19" s="46">
        <v>21271</v>
      </c>
      <c r="F19" s="51">
        <v>74.086893000000003</v>
      </c>
      <c r="G19" s="5">
        <v>2.1029434E-2</v>
      </c>
    </row>
    <row r="20" spans="1:7" ht="25.5" x14ac:dyDescent="0.25">
      <c r="A20" s="6">
        <v>14</v>
      </c>
      <c r="B20" s="7" t="s">
        <v>45</v>
      </c>
      <c r="C20" s="11" t="s">
        <v>46</v>
      </c>
      <c r="D20" s="2" t="s">
        <v>22</v>
      </c>
      <c r="E20" s="46">
        <v>12093</v>
      </c>
      <c r="F20" s="51">
        <v>73.997067000000001</v>
      </c>
      <c r="G20" s="5">
        <v>2.1003937E-2</v>
      </c>
    </row>
    <row r="21" spans="1:7" ht="25.5" x14ac:dyDescent="0.25">
      <c r="A21" s="6">
        <v>15</v>
      </c>
      <c r="B21" s="7" t="s">
        <v>196</v>
      </c>
      <c r="C21" s="11" t="s">
        <v>846</v>
      </c>
      <c r="D21" s="2" t="s">
        <v>59</v>
      </c>
      <c r="E21" s="46">
        <v>4500</v>
      </c>
      <c r="F21" s="51">
        <v>73.858500000000006</v>
      </c>
      <c r="G21" s="5">
        <v>2.0964605000000001E-2</v>
      </c>
    </row>
    <row r="22" spans="1:7" ht="15" x14ac:dyDescent="0.25">
      <c r="A22" s="6">
        <v>16</v>
      </c>
      <c r="B22" s="7" t="s">
        <v>457</v>
      </c>
      <c r="C22" s="11" t="s">
        <v>458</v>
      </c>
      <c r="D22" s="2" t="s">
        <v>162</v>
      </c>
      <c r="E22" s="46">
        <v>4950</v>
      </c>
      <c r="F22" s="51">
        <v>73.814400000000006</v>
      </c>
      <c r="G22" s="5">
        <v>2.0952087000000001E-2</v>
      </c>
    </row>
    <row r="23" spans="1:7" ht="15" x14ac:dyDescent="0.25">
      <c r="A23" s="6">
        <v>17</v>
      </c>
      <c r="B23" s="7" t="s">
        <v>414</v>
      </c>
      <c r="C23" s="11" t="s">
        <v>415</v>
      </c>
      <c r="D23" s="2" t="s">
        <v>215</v>
      </c>
      <c r="E23" s="46">
        <v>13457</v>
      </c>
      <c r="F23" s="51">
        <v>70.050413500000005</v>
      </c>
      <c r="G23" s="5">
        <v>1.9883686000000001E-2</v>
      </c>
    </row>
    <row r="24" spans="1:7" ht="25.5" x14ac:dyDescent="0.25">
      <c r="A24" s="6">
        <v>18</v>
      </c>
      <c r="B24" s="7" t="s">
        <v>171</v>
      </c>
      <c r="C24" s="11" t="s">
        <v>172</v>
      </c>
      <c r="D24" s="2" t="s">
        <v>173</v>
      </c>
      <c r="E24" s="46">
        <v>23722</v>
      </c>
      <c r="F24" s="51">
        <v>69.730818999999997</v>
      </c>
      <c r="G24" s="5">
        <v>1.979297E-2</v>
      </c>
    </row>
    <row r="25" spans="1:7" ht="15" x14ac:dyDescent="0.25">
      <c r="A25" s="6">
        <v>19</v>
      </c>
      <c r="B25" s="7" t="s">
        <v>182</v>
      </c>
      <c r="C25" s="11" t="s">
        <v>183</v>
      </c>
      <c r="D25" s="2" t="s">
        <v>184</v>
      </c>
      <c r="E25" s="46">
        <v>37244</v>
      </c>
      <c r="F25" s="51">
        <v>69.609036000000003</v>
      </c>
      <c r="G25" s="5">
        <v>1.9758402000000001E-2</v>
      </c>
    </row>
    <row r="26" spans="1:7" ht="25.5" x14ac:dyDescent="0.25">
      <c r="A26" s="6">
        <v>20</v>
      </c>
      <c r="B26" s="7" t="s">
        <v>25</v>
      </c>
      <c r="C26" s="11" t="s">
        <v>26</v>
      </c>
      <c r="D26" s="2" t="s">
        <v>27</v>
      </c>
      <c r="E26" s="46">
        <v>14500</v>
      </c>
      <c r="F26" s="51">
        <v>69.549250000000001</v>
      </c>
      <c r="G26" s="5">
        <v>1.9741432E-2</v>
      </c>
    </row>
    <row r="27" spans="1:7" ht="15" x14ac:dyDescent="0.25">
      <c r="A27" s="6">
        <v>21</v>
      </c>
      <c r="B27" s="7" t="s">
        <v>187</v>
      </c>
      <c r="C27" s="11" t="s">
        <v>188</v>
      </c>
      <c r="D27" s="2" t="s">
        <v>162</v>
      </c>
      <c r="E27" s="46">
        <v>7336</v>
      </c>
      <c r="F27" s="51">
        <v>67.311468000000005</v>
      </c>
      <c r="G27" s="5">
        <v>1.9106241999999999E-2</v>
      </c>
    </row>
    <row r="28" spans="1:7" ht="15" x14ac:dyDescent="0.25">
      <c r="A28" s="6">
        <v>22</v>
      </c>
      <c r="B28" s="7" t="s">
        <v>295</v>
      </c>
      <c r="C28" s="11" t="s">
        <v>296</v>
      </c>
      <c r="D28" s="2" t="s">
        <v>170</v>
      </c>
      <c r="E28" s="46">
        <v>3172</v>
      </c>
      <c r="F28" s="51">
        <v>67.290807999999998</v>
      </c>
      <c r="G28" s="5">
        <v>1.9100377000000002E-2</v>
      </c>
    </row>
    <row r="29" spans="1:7" ht="25.5" x14ac:dyDescent="0.25">
      <c r="A29" s="6">
        <v>23</v>
      </c>
      <c r="B29" s="7" t="s">
        <v>90</v>
      </c>
      <c r="C29" s="11" t="s">
        <v>91</v>
      </c>
      <c r="D29" s="2" t="s">
        <v>22</v>
      </c>
      <c r="E29" s="46">
        <v>6698</v>
      </c>
      <c r="F29" s="51">
        <v>66.976651000000004</v>
      </c>
      <c r="G29" s="5">
        <v>1.9011204E-2</v>
      </c>
    </row>
    <row r="30" spans="1:7" ht="25.5" x14ac:dyDescent="0.25">
      <c r="A30" s="6">
        <v>24</v>
      </c>
      <c r="B30" s="7" t="s">
        <v>176</v>
      </c>
      <c r="C30" s="11" t="s">
        <v>177</v>
      </c>
      <c r="D30" s="2" t="s">
        <v>30</v>
      </c>
      <c r="E30" s="46">
        <v>6562</v>
      </c>
      <c r="F30" s="51">
        <v>63.861384000000001</v>
      </c>
      <c r="G30" s="5">
        <v>1.8126941000000001E-2</v>
      </c>
    </row>
    <row r="31" spans="1:7" ht="15" x14ac:dyDescent="0.25">
      <c r="A31" s="6">
        <v>25</v>
      </c>
      <c r="B31" s="7" t="s">
        <v>236</v>
      </c>
      <c r="C31" s="11" t="s">
        <v>237</v>
      </c>
      <c r="D31" s="2" t="s">
        <v>238</v>
      </c>
      <c r="E31" s="46">
        <v>10312</v>
      </c>
      <c r="F31" s="51">
        <v>62.042147999999997</v>
      </c>
      <c r="G31" s="5">
        <v>1.7610554E-2</v>
      </c>
    </row>
    <row r="32" spans="1:7" ht="25.5" x14ac:dyDescent="0.25">
      <c r="A32" s="6">
        <v>26</v>
      </c>
      <c r="B32" s="7" t="s">
        <v>57</v>
      </c>
      <c r="C32" s="11" t="s">
        <v>58</v>
      </c>
      <c r="D32" s="2" t="s">
        <v>59</v>
      </c>
      <c r="E32" s="46">
        <v>8981</v>
      </c>
      <c r="F32" s="51">
        <v>60.783408000000001</v>
      </c>
      <c r="G32" s="5">
        <v>1.7253263000000001E-2</v>
      </c>
    </row>
    <row r="33" spans="1:7" ht="51" x14ac:dyDescent="0.25">
      <c r="A33" s="6">
        <v>27</v>
      </c>
      <c r="B33" s="7" t="s">
        <v>233</v>
      </c>
      <c r="C33" s="11" t="s">
        <v>234</v>
      </c>
      <c r="D33" s="2" t="s">
        <v>235</v>
      </c>
      <c r="E33" s="46">
        <v>26288</v>
      </c>
      <c r="F33" s="51">
        <v>59.463456000000001</v>
      </c>
      <c r="G33" s="5">
        <v>1.6878596999999999E-2</v>
      </c>
    </row>
    <row r="34" spans="1:7" ht="25.5" x14ac:dyDescent="0.25">
      <c r="A34" s="6">
        <v>28</v>
      </c>
      <c r="B34" s="7" t="s">
        <v>94</v>
      </c>
      <c r="C34" s="11" t="s">
        <v>95</v>
      </c>
      <c r="D34" s="2" t="s">
        <v>22</v>
      </c>
      <c r="E34" s="46">
        <v>56106</v>
      </c>
      <c r="F34" s="51">
        <v>57.480597000000003</v>
      </c>
      <c r="G34" s="5">
        <v>1.6315765999999999E-2</v>
      </c>
    </row>
    <row r="35" spans="1:7" ht="15" x14ac:dyDescent="0.25">
      <c r="A35" s="6">
        <v>29</v>
      </c>
      <c r="B35" s="7" t="s">
        <v>252</v>
      </c>
      <c r="C35" s="11" t="s">
        <v>253</v>
      </c>
      <c r="D35" s="2" t="s">
        <v>215</v>
      </c>
      <c r="E35" s="46">
        <v>7100</v>
      </c>
      <c r="F35" s="51">
        <v>55.284149999999997</v>
      </c>
      <c r="G35" s="5">
        <v>1.5692309000000002E-2</v>
      </c>
    </row>
    <row r="36" spans="1:7" ht="25.5" x14ac:dyDescent="0.25">
      <c r="A36" s="6">
        <v>30</v>
      </c>
      <c r="B36" s="7" t="s">
        <v>355</v>
      </c>
      <c r="C36" s="11" t="s">
        <v>356</v>
      </c>
      <c r="D36" s="2" t="s">
        <v>22</v>
      </c>
      <c r="E36" s="46">
        <v>16706</v>
      </c>
      <c r="F36" s="51">
        <v>55.088034999999998</v>
      </c>
      <c r="G36" s="5">
        <v>1.5636641999999999E-2</v>
      </c>
    </row>
    <row r="37" spans="1:7" ht="15" x14ac:dyDescent="0.25">
      <c r="A37" s="6">
        <v>31</v>
      </c>
      <c r="B37" s="7" t="s">
        <v>452</v>
      </c>
      <c r="C37" s="11" t="s">
        <v>453</v>
      </c>
      <c r="D37" s="2" t="s">
        <v>170</v>
      </c>
      <c r="E37" s="46">
        <v>53554</v>
      </c>
      <c r="F37" s="51">
        <v>54.839295999999997</v>
      </c>
      <c r="G37" s="5">
        <v>1.5566038000000001E-2</v>
      </c>
    </row>
    <row r="38" spans="1:7" ht="25.5" x14ac:dyDescent="0.25">
      <c r="A38" s="6">
        <v>32</v>
      </c>
      <c r="B38" s="7" t="s">
        <v>20</v>
      </c>
      <c r="C38" s="11" t="s">
        <v>21</v>
      </c>
      <c r="D38" s="2" t="s">
        <v>22</v>
      </c>
      <c r="E38" s="46">
        <v>8071</v>
      </c>
      <c r="F38" s="51">
        <v>54.785947999999998</v>
      </c>
      <c r="G38" s="5">
        <v>1.5550895E-2</v>
      </c>
    </row>
    <row r="39" spans="1:7" ht="15" x14ac:dyDescent="0.25">
      <c r="A39" s="6">
        <v>33</v>
      </c>
      <c r="B39" s="7" t="s">
        <v>468</v>
      </c>
      <c r="C39" s="11" t="s">
        <v>469</v>
      </c>
      <c r="D39" s="2" t="s">
        <v>241</v>
      </c>
      <c r="E39" s="46">
        <v>35102</v>
      </c>
      <c r="F39" s="51">
        <v>51.722797</v>
      </c>
      <c r="G39" s="5">
        <v>1.4681425E-2</v>
      </c>
    </row>
    <row r="40" spans="1:7" ht="15" x14ac:dyDescent="0.25">
      <c r="A40" s="6">
        <v>34</v>
      </c>
      <c r="B40" s="7" t="s">
        <v>197</v>
      </c>
      <c r="C40" s="11" t="s">
        <v>198</v>
      </c>
      <c r="D40" s="2" t="s">
        <v>162</v>
      </c>
      <c r="E40" s="46">
        <v>17500</v>
      </c>
      <c r="F40" s="51">
        <v>51.511249999999997</v>
      </c>
      <c r="G40" s="5">
        <v>1.4621378000000001E-2</v>
      </c>
    </row>
    <row r="41" spans="1:7" ht="15" x14ac:dyDescent="0.25">
      <c r="A41" s="6">
        <v>35</v>
      </c>
      <c r="B41" s="7" t="s">
        <v>163</v>
      </c>
      <c r="C41" s="11" t="s">
        <v>164</v>
      </c>
      <c r="D41" s="2" t="s">
        <v>13</v>
      </c>
      <c r="E41" s="46">
        <v>24419</v>
      </c>
      <c r="F41" s="51">
        <v>47.739145000000001</v>
      </c>
      <c r="G41" s="5">
        <v>1.3550672E-2</v>
      </c>
    </row>
    <row r="42" spans="1:7" ht="25.5" x14ac:dyDescent="0.25">
      <c r="A42" s="6">
        <v>36</v>
      </c>
      <c r="B42" s="7" t="s">
        <v>448</v>
      </c>
      <c r="C42" s="11" t="s">
        <v>449</v>
      </c>
      <c r="D42" s="2" t="s">
        <v>81</v>
      </c>
      <c r="E42" s="46">
        <v>17113</v>
      </c>
      <c r="F42" s="51">
        <v>44.878842499999998</v>
      </c>
      <c r="G42" s="5">
        <v>1.273878E-2</v>
      </c>
    </row>
    <row r="43" spans="1:7" ht="25.5" x14ac:dyDescent="0.25">
      <c r="A43" s="6">
        <v>37</v>
      </c>
      <c r="B43" s="7" t="s">
        <v>70</v>
      </c>
      <c r="C43" s="11" t="s">
        <v>71</v>
      </c>
      <c r="D43" s="2" t="s">
        <v>22</v>
      </c>
      <c r="E43" s="46">
        <v>3966</v>
      </c>
      <c r="F43" s="51">
        <v>43.514952000000001</v>
      </c>
      <c r="G43" s="5">
        <v>1.2351641999999999E-2</v>
      </c>
    </row>
    <row r="44" spans="1:7" ht="15" x14ac:dyDescent="0.25">
      <c r="A44" s="6">
        <v>38</v>
      </c>
      <c r="B44" s="7" t="s">
        <v>160</v>
      </c>
      <c r="C44" s="11" t="s">
        <v>161</v>
      </c>
      <c r="D44" s="2" t="s">
        <v>162</v>
      </c>
      <c r="E44" s="46">
        <v>15909</v>
      </c>
      <c r="F44" s="51">
        <v>41.936124</v>
      </c>
      <c r="G44" s="5">
        <v>1.1903495E-2</v>
      </c>
    </row>
    <row r="45" spans="1:7" ht="25.5" x14ac:dyDescent="0.25">
      <c r="A45" s="6">
        <v>39</v>
      </c>
      <c r="B45" s="7" t="s">
        <v>207</v>
      </c>
      <c r="C45" s="11" t="s">
        <v>208</v>
      </c>
      <c r="D45" s="2" t="s">
        <v>30</v>
      </c>
      <c r="E45" s="46">
        <v>38056</v>
      </c>
      <c r="F45" s="51">
        <v>41.804516</v>
      </c>
      <c r="G45" s="5">
        <v>1.1866138E-2</v>
      </c>
    </row>
    <row r="46" spans="1:7" ht="15" x14ac:dyDescent="0.25">
      <c r="A46" s="6">
        <v>40</v>
      </c>
      <c r="B46" s="7" t="s">
        <v>211</v>
      </c>
      <c r="C46" s="11" t="s">
        <v>212</v>
      </c>
      <c r="D46" s="2" t="s">
        <v>162</v>
      </c>
      <c r="E46" s="46">
        <v>52296</v>
      </c>
      <c r="F46" s="51">
        <v>41.575319999999998</v>
      </c>
      <c r="G46" s="5">
        <v>1.1801081E-2</v>
      </c>
    </row>
    <row r="47" spans="1:7" ht="15" x14ac:dyDescent="0.25">
      <c r="A47" s="6">
        <v>41</v>
      </c>
      <c r="B47" s="7" t="s">
        <v>203</v>
      </c>
      <c r="C47" s="11" t="s">
        <v>204</v>
      </c>
      <c r="D47" s="2" t="s">
        <v>81</v>
      </c>
      <c r="E47" s="46">
        <v>36604</v>
      </c>
      <c r="F47" s="51">
        <v>39.422508000000001</v>
      </c>
      <c r="G47" s="5">
        <v>1.1190009000000001E-2</v>
      </c>
    </row>
    <row r="48" spans="1:7" ht="25.5" x14ac:dyDescent="0.25">
      <c r="A48" s="6">
        <v>42</v>
      </c>
      <c r="B48" s="7" t="s">
        <v>462</v>
      </c>
      <c r="C48" s="11" t="s">
        <v>463</v>
      </c>
      <c r="D48" s="2" t="s">
        <v>37</v>
      </c>
      <c r="E48" s="46">
        <v>7328</v>
      </c>
      <c r="F48" s="51">
        <v>37.387456</v>
      </c>
      <c r="G48" s="5">
        <v>1.0612364000000001E-2</v>
      </c>
    </row>
    <row r="49" spans="1:7" ht="25.5" x14ac:dyDescent="0.25">
      <c r="A49" s="6">
        <v>43</v>
      </c>
      <c r="B49" s="7" t="s">
        <v>194</v>
      </c>
      <c r="C49" s="11" t="s">
        <v>195</v>
      </c>
      <c r="D49" s="2" t="s">
        <v>37</v>
      </c>
      <c r="E49" s="46">
        <v>10629</v>
      </c>
      <c r="F49" s="51">
        <v>35.973850499999998</v>
      </c>
      <c r="G49" s="5">
        <v>1.0211114E-2</v>
      </c>
    </row>
    <row r="50" spans="1:7" ht="15" x14ac:dyDescent="0.25">
      <c r="A50" s="6">
        <v>44</v>
      </c>
      <c r="B50" s="7" t="s">
        <v>459</v>
      </c>
      <c r="C50" s="11" t="s">
        <v>460</v>
      </c>
      <c r="D50" s="2" t="s">
        <v>170</v>
      </c>
      <c r="E50" s="46">
        <v>12045</v>
      </c>
      <c r="F50" s="51">
        <v>35.84592</v>
      </c>
      <c r="G50" s="5">
        <v>1.0174801000000001E-2</v>
      </c>
    </row>
    <row r="51" spans="1:7" ht="25.5" x14ac:dyDescent="0.25">
      <c r="A51" s="6">
        <v>45</v>
      </c>
      <c r="B51" s="7" t="s">
        <v>64</v>
      </c>
      <c r="C51" s="11" t="s">
        <v>65</v>
      </c>
      <c r="D51" s="2" t="s">
        <v>19</v>
      </c>
      <c r="E51" s="46">
        <v>48269</v>
      </c>
      <c r="F51" s="51">
        <v>35.308773500000001</v>
      </c>
      <c r="G51" s="5">
        <v>1.0022333E-2</v>
      </c>
    </row>
    <row r="52" spans="1:7" ht="15" x14ac:dyDescent="0.25">
      <c r="A52" s="6">
        <v>46</v>
      </c>
      <c r="B52" s="7" t="s">
        <v>254</v>
      </c>
      <c r="C52" s="11" t="s">
        <v>255</v>
      </c>
      <c r="D52" s="2" t="s">
        <v>215</v>
      </c>
      <c r="E52" s="46">
        <v>42159</v>
      </c>
      <c r="F52" s="51">
        <v>33.4953255</v>
      </c>
      <c r="G52" s="5">
        <v>9.5075890000000003E-3</v>
      </c>
    </row>
    <row r="53" spans="1:7" ht="15" x14ac:dyDescent="0.25">
      <c r="A53" s="6">
        <v>47</v>
      </c>
      <c r="B53" s="7" t="s">
        <v>191</v>
      </c>
      <c r="C53" s="11" t="s">
        <v>192</v>
      </c>
      <c r="D53" s="2" t="s">
        <v>193</v>
      </c>
      <c r="E53" s="46">
        <v>23684</v>
      </c>
      <c r="F53" s="51">
        <v>31.523403999999999</v>
      </c>
      <c r="G53" s="5">
        <v>8.9478630000000003E-3</v>
      </c>
    </row>
    <row r="54" spans="1:7" ht="51" x14ac:dyDescent="0.25">
      <c r="A54" s="6">
        <v>48</v>
      </c>
      <c r="B54" s="7" t="s">
        <v>286</v>
      </c>
      <c r="C54" s="11" t="s">
        <v>287</v>
      </c>
      <c r="D54" s="2" t="s">
        <v>235</v>
      </c>
      <c r="E54" s="46">
        <v>93287</v>
      </c>
      <c r="F54" s="51">
        <v>30.038414</v>
      </c>
      <c r="G54" s="5">
        <v>8.5263509999999997E-3</v>
      </c>
    </row>
    <row r="55" spans="1:7" ht="15" x14ac:dyDescent="0.25">
      <c r="A55" s="6">
        <v>49</v>
      </c>
      <c r="B55" s="7" t="s">
        <v>256</v>
      </c>
      <c r="C55" s="11" t="s">
        <v>257</v>
      </c>
      <c r="D55" s="2" t="s">
        <v>215</v>
      </c>
      <c r="E55" s="46">
        <v>4000</v>
      </c>
      <c r="F55" s="51">
        <v>29.8</v>
      </c>
      <c r="G55" s="5">
        <v>8.4586769999999995E-3</v>
      </c>
    </row>
    <row r="56" spans="1:7" ht="15" x14ac:dyDescent="0.25">
      <c r="A56" s="6">
        <v>50</v>
      </c>
      <c r="B56" s="7" t="s">
        <v>244</v>
      </c>
      <c r="C56" s="11" t="s">
        <v>245</v>
      </c>
      <c r="D56" s="2" t="s">
        <v>162</v>
      </c>
      <c r="E56" s="46">
        <v>5575</v>
      </c>
      <c r="F56" s="51">
        <v>28.864562500000002</v>
      </c>
      <c r="G56" s="5">
        <v>8.1931550000000006E-3</v>
      </c>
    </row>
    <row r="57" spans="1:7" ht="25.5" x14ac:dyDescent="0.25">
      <c r="A57" s="6">
        <v>51</v>
      </c>
      <c r="B57" s="7" t="s">
        <v>274</v>
      </c>
      <c r="C57" s="11" t="s">
        <v>275</v>
      </c>
      <c r="D57" s="2" t="s">
        <v>22</v>
      </c>
      <c r="E57" s="46">
        <v>7267</v>
      </c>
      <c r="F57" s="51">
        <v>28.628346499999999</v>
      </c>
      <c r="G57" s="5">
        <v>8.1261059999999993E-3</v>
      </c>
    </row>
    <row r="58" spans="1:7" ht="15" x14ac:dyDescent="0.25">
      <c r="A58" s="6">
        <v>52</v>
      </c>
      <c r="B58" s="7" t="s">
        <v>213</v>
      </c>
      <c r="C58" s="11" t="s">
        <v>214</v>
      </c>
      <c r="D58" s="2" t="s">
        <v>215</v>
      </c>
      <c r="E58" s="46">
        <v>29487</v>
      </c>
      <c r="F58" s="51">
        <v>28.130597999999999</v>
      </c>
      <c r="G58" s="5">
        <v>7.9848209999999996E-3</v>
      </c>
    </row>
    <row r="59" spans="1:7" ht="15" x14ac:dyDescent="0.25">
      <c r="A59" s="6">
        <v>53</v>
      </c>
      <c r="B59" s="7" t="s">
        <v>246</v>
      </c>
      <c r="C59" s="11" t="s">
        <v>247</v>
      </c>
      <c r="D59" s="2" t="s">
        <v>170</v>
      </c>
      <c r="E59" s="46">
        <v>12334</v>
      </c>
      <c r="F59" s="51">
        <v>27.461651</v>
      </c>
      <c r="G59" s="5">
        <v>7.7949409999999997E-3</v>
      </c>
    </row>
    <row r="60" spans="1:7" ht="15" x14ac:dyDescent="0.25">
      <c r="A60" s="6">
        <v>54</v>
      </c>
      <c r="B60" s="7" t="s">
        <v>168</v>
      </c>
      <c r="C60" s="11" t="s">
        <v>169</v>
      </c>
      <c r="D60" s="2" t="s">
        <v>170</v>
      </c>
      <c r="E60" s="46">
        <v>14339</v>
      </c>
      <c r="F60" s="51">
        <v>27.315795000000001</v>
      </c>
      <c r="G60" s="5">
        <v>7.7535399999999997E-3</v>
      </c>
    </row>
    <row r="61" spans="1:7" ht="25.5" x14ac:dyDescent="0.25">
      <c r="A61" s="6">
        <v>55</v>
      </c>
      <c r="B61" s="7" t="s">
        <v>216</v>
      </c>
      <c r="C61" s="11" t="s">
        <v>217</v>
      </c>
      <c r="D61" s="2" t="s">
        <v>59</v>
      </c>
      <c r="E61" s="46">
        <v>12026</v>
      </c>
      <c r="F61" s="51">
        <v>27.220851</v>
      </c>
      <c r="G61" s="5">
        <v>7.7265909999999997E-3</v>
      </c>
    </row>
    <row r="62" spans="1:7" ht="25.5" x14ac:dyDescent="0.25">
      <c r="A62" s="6">
        <v>56</v>
      </c>
      <c r="B62" s="7" t="s">
        <v>464</v>
      </c>
      <c r="C62" s="11" t="s">
        <v>465</v>
      </c>
      <c r="D62" s="2" t="s">
        <v>59</v>
      </c>
      <c r="E62" s="46">
        <v>3665</v>
      </c>
      <c r="F62" s="51">
        <v>25.559709999999999</v>
      </c>
      <c r="G62" s="5">
        <v>7.2550790000000002E-3</v>
      </c>
    </row>
    <row r="63" spans="1:7" ht="25.5" x14ac:dyDescent="0.25">
      <c r="A63" s="6">
        <v>57</v>
      </c>
      <c r="B63" s="7" t="s">
        <v>185</v>
      </c>
      <c r="C63" s="11" t="s">
        <v>186</v>
      </c>
      <c r="D63" s="2" t="s">
        <v>59</v>
      </c>
      <c r="E63" s="46">
        <v>17930</v>
      </c>
      <c r="F63" s="51">
        <v>22.636624999999999</v>
      </c>
      <c r="G63" s="5">
        <v>6.4253660000000001E-3</v>
      </c>
    </row>
    <row r="64" spans="1:7" ht="15" x14ac:dyDescent="0.25">
      <c r="A64" s="6">
        <v>58</v>
      </c>
      <c r="B64" s="7" t="s">
        <v>267</v>
      </c>
      <c r="C64" s="11" t="s">
        <v>268</v>
      </c>
      <c r="D64" s="2" t="s">
        <v>269</v>
      </c>
      <c r="E64" s="46">
        <v>2472</v>
      </c>
      <c r="F64" s="51">
        <v>18.406511999999999</v>
      </c>
      <c r="G64" s="5">
        <v>5.2246560000000003E-3</v>
      </c>
    </row>
    <row r="65" spans="1:7" ht="25.5" x14ac:dyDescent="0.25">
      <c r="A65" s="6">
        <v>59</v>
      </c>
      <c r="B65" s="7" t="s">
        <v>227</v>
      </c>
      <c r="C65" s="11" t="s">
        <v>228</v>
      </c>
      <c r="D65" s="2" t="s">
        <v>173</v>
      </c>
      <c r="E65" s="46">
        <v>12612</v>
      </c>
      <c r="F65" s="51">
        <v>7.9960079999999998</v>
      </c>
      <c r="G65" s="5">
        <v>2.2696529999999999E-3</v>
      </c>
    </row>
    <row r="66" spans="1:7" ht="15" x14ac:dyDescent="0.25">
      <c r="A66" s="1"/>
      <c r="B66" s="2"/>
      <c r="C66" s="8" t="s">
        <v>104</v>
      </c>
      <c r="D66" s="12"/>
      <c r="E66" s="48"/>
      <c r="F66" s="53">
        <v>3401.4139890000015</v>
      </c>
      <c r="G66" s="13">
        <v>0.96548536599999979</v>
      </c>
    </row>
    <row r="67" spans="1:7" ht="15" x14ac:dyDescent="0.25">
      <c r="A67" s="6"/>
      <c r="B67" s="7"/>
      <c r="C67" s="14"/>
      <c r="D67" s="15"/>
      <c r="E67" s="46"/>
      <c r="F67" s="51"/>
      <c r="G67" s="5"/>
    </row>
    <row r="68" spans="1:7" ht="15" x14ac:dyDescent="0.25">
      <c r="A68" s="1"/>
      <c r="B68" s="2"/>
      <c r="C68" s="8" t="s">
        <v>105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6"/>
      <c r="B71" s="17"/>
      <c r="C71" s="8" t="s">
        <v>106</v>
      </c>
      <c r="D71" s="9"/>
      <c r="E71" s="47"/>
      <c r="F71" s="52"/>
      <c r="G71" s="10"/>
    </row>
    <row r="72" spans="1:7" ht="15" x14ac:dyDescent="0.25">
      <c r="A72" s="18"/>
      <c r="B72" s="19"/>
      <c r="C72" s="8" t="s">
        <v>104</v>
      </c>
      <c r="D72" s="20"/>
      <c r="E72" s="49"/>
      <c r="F72" s="54">
        <v>0</v>
      </c>
      <c r="G72" s="21">
        <v>0</v>
      </c>
    </row>
    <row r="73" spans="1:7" ht="15" x14ac:dyDescent="0.25">
      <c r="A73" s="18"/>
      <c r="B73" s="19"/>
      <c r="C73" s="14"/>
      <c r="D73" s="22"/>
      <c r="E73" s="50"/>
      <c r="F73" s="55"/>
      <c r="G73" s="23"/>
    </row>
    <row r="74" spans="1:7" ht="15" x14ac:dyDescent="0.25">
      <c r="A74" s="1"/>
      <c r="B74" s="2"/>
      <c r="C74" s="8" t="s">
        <v>108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15" x14ac:dyDescent="0.25">
      <c r="A77" s="1"/>
      <c r="B77" s="2"/>
      <c r="C77" s="8" t="s">
        <v>109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110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25.5" x14ac:dyDescent="0.25">
      <c r="A83" s="6"/>
      <c r="B83" s="7"/>
      <c r="C83" s="24" t="s">
        <v>111</v>
      </c>
      <c r="D83" s="25"/>
      <c r="E83" s="48"/>
      <c r="F83" s="53">
        <v>3401.4139890000015</v>
      </c>
      <c r="G83" s="13">
        <v>0.96548536599999979</v>
      </c>
    </row>
    <row r="84" spans="1:7" ht="15" x14ac:dyDescent="0.25">
      <c r="A84" s="1"/>
      <c r="B84" s="2"/>
      <c r="C84" s="11"/>
      <c r="D84" s="4"/>
      <c r="E84" s="46"/>
      <c r="F84" s="51"/>
      <c r="G84" s="5"/>
    </row>
    <row r="85" spans="1:7" ht="15" x14ac:dyDescent="0.25">
      <c r="A85" s="1"/>
      <c r="B85" s="2"/>
      <c r="C85" s="3" t="s">
        <v>112</v>
      </c>
      <c r="D85" s="4"/>
      <c r="E85" s="46"/>
      <c r="F85" s="51"/>
      <c r="G85" s="5"/>
    </row>
    <row r="86" spans="1:7" ht="25.5" x14ac:dyDescent="0.25">
      <c r="A86" s="1"/>
      <c r="B86" s="2"/>
      <c r="C86" s="8" t="s">
        <v>10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4"/>
      <c r="E88" s="46"/>
      <c r="F88" s="51"/>
      <c r="G88" s="5"/>
    </row>
    <row r="89" spans="1:7" ht="15" x14ac:dyDescent="0.25">
      <c r="A89" s="1"/>
      <c r="B89" s="26"/>
      <c r="C89" s="8" t="s">
        <v>113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6"/>
      <c r="G91" s="27"/>
    </row>
    <row r="92" spans="1:7" ht="15" x14ac:dyDescent="0.25">
      <c r="A92" s="1"/>
      <c r="B92" s="2"/>
      <c r="C92" s="8" t="s">
        <v>114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1"/>
      <c r="B94" s="2"/>
      <c r="C94" s="14"/>
      <c r="D94" s="4"/>
      <c r="E94" s="46"/>
      <c r="F94" s="51"/>
      <c r="G94" s="5"/>
    </row>
    <row r="95" spans="1:7" ht="25.5" x14ac:dyDescent="0.25">
      <c r="A95" s="1"/>
      <c r="B95" s="26"/>
      <c r="C95" s="8" t="s">
        <v>115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12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4"/>
      <c r="E97" s="46"/>
      <c r="F97" s="51"/>
      <c r="G97" s="5"/>
    </row>
    <row r="98" spans="1:7" ht="15" x14ac:dyDescent="0.25">
      <c r="A98" s="6"/>
      <c r="B98" s="7"/>
      <c r="C98" s="28" t="s">
        <v>116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1"/>
      <c r="D99" s="4"/>
      <c r="E99" s="46"/>
      <c r="F99" s="51"/>
      <c r="G99" s="5"/>
    </row>
    <row r="100" spans="1:7" ht="15" x14ac:dyDescent="0.25">
      <c r="A100" s="1"/>
      <c r="B100" s="2"/>
      <c r="C100" s="3" t="s">
        <v>117</v>
      </c>
      <c r="D100" s="4"/>
      <c r="E100" s="46"/>
      <c r="F100" s="51"/>
      <c r="G100" s="5"/>
    </row>
    <row r="101" spans="1:7" ht="15" x14ac:dyDescent="0.25">
      <c r="A101" s="6"/>
      <c r="B101" s="7"/>
      <c r="C101" s="8" t="s">
        <v>118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119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120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6"/>
      <c r="B110" s="7"/>
      <c r="C110" s="8" t="s">
        <v>121</v>
      </c>
      <c r="D110" s="9"/>
      <c r="E110" s="47"/>
      <c r="F110" s="52"/>
      <c r="G110" s="10"/>
    </row>
    <row r="111" spans="1:7" ht="15" x14ac:dyDescent="0.25">
      <c r="A111" s="6">
        <v>1</v>
      </c>
      <c r="B111" s="7"/>
      <c r="C111" s="11" t="s">
        <v>730</v>
      </c>
      <c r="D111" s="15"/>
      <c r="E111" s="46"/>
      <c r="F111" s="51">
        <v>34.994640599999997</v>
      </c>
      <c r="G111" s="5">
        <v>9.9331669999999997E-3</v>
      </c>
    </row>
    <row r="112" spans="1:7" ht="15" x14ac:dyDescent="0.25">
      <c r="A112" s="6"/>
      <c r="B112" s="7"/>
      <c r="C112" s="8" t="s">
        <v>104</v>
      </c>
      <c r="D112" s="25"/>
      <c r="E112" s="48"/>
      <c r="F112" s="53">
        <v>34.994640599999997</v>
      </c>
      <c r="G112" s="13">
        <v>9.9331669999999997E-3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25.5" x14ac:dyDescent="0.25">
      <c r="A114" s="6"/>
      <c r="B114" s="7"/>
      <c r="C114" s="24" t="s">
        <v>122</v>
      </c>
      <c r="D114" s="25"/>
      <c r="E114" s="48"/>
      <c r="F114" s="53">
        <v>34.994640599999997</v>
      </c>
      <c r="G114" s="13">
        <v>9.9331669999999997E-3</v>
      </c>
    </row>
    <row r="115" spans="1:7" ht="15" x14ac:dyDescent="0.25">
      <c r="A115" s="6"/>
      <c r="B115" s="7"/>
      <c r="C115" s="29"/>
      <c r="D115" s="7"/>
      <c r="E115" s="46"/>
      <c r="F115" s="51"/>
      <c r="G115" s="5"/>
    </row>
    <row r="116" spans="1:7" ht="15" x14ac:dyDescent="0.25">
      <c r="A116" s="1"/>
      <c r="B116" s="2"/>
      <c r="C116" s="3" t="s">
        <v>123</v>
      </c>
      <c r="D116" s="4"/>
      <c r="E116" s="46"/>
      <c r="F116" s="51"/>
      <c r="G116" s="5"/>
    </row>
    <row r="117" spans="1:7" ht="25.5" x14ac:dyDescent="0.25">
      <c r="A117" s="6"/>
      <c r="B117" s="7"/>
      <c r="C117" s="8" t="s">
        <v>124</v>
      </c>
      <c r="D117" s="9"/>
      <c r="E117" s="47"/>
      <c r="F117" s="52"/>
      <c r="G117" s="10"/>
    </row>
    <row r="118" spans="1:7" ht="15" x14ac:dyDescent="0.25">
      <c r="A118" s="6"/>
      <c r="B118" s="7"/>
      <c r="C118" s="8" t="s">
        <v>104</v>
      </c>
      <c r="D118" s="25"/>
      <c r="E118" s="48"/>
      <c r="F118" s="53">
        <v>0</v>
      </c>
      <c r="G118" s="13">
        <v>0</v>
      </c>
    </row>
    <row r="119" spans="1:7" ht="15" x14ac:dyDescent="0.25">
      <c r="A119" s="6"/>
      <c r="B119" s="7"/>
      <c r="C119" s="14"/>
      <c r="D119" s="7"/>
      <c r="E119" s="46"/>
      <c r="F119" s="51"/>
      <c r="G119" s="5"/>
    </row>
    <row r="120" spans="1:7" ht="15" x14ac:dyDescent="0.25">
      <c r="A120" s="1"/>
      <c r="B120" s="2"/>
      <c r="C120" s="3" t="s">
        <v>125</v>
      </c>
      <c r="D120" s="4"/>
      <c r="E120" s="46"/>
      <c r="F120" s="51"/>
      <c r="G120" s="5"/>
    </row>
    <row r="121" spans="1:7" ht="25.5" x14ac:dyDescent="0.25">
      <c r="A121" s="6"/>
      <c r="B121" s="7"/>
      <c r="C121" s="8" t="s">
        <v>126</v>
      </c>
      <c r="D121" s="9"/>
      <c r="E121" s="47"/>
      <c r="F121" s="52"/>
      <c r="G121" s="10"/>
    </row>
    <row r="122" spans="1:7" ht="15" x14ac:dyDescent="0.25">
      <c r="A122" s="6"/>
      <c r="B122" s="7"/>
      <c r="C122" s="8" t="s">
        <v>104</v>
      </c>
      <c r="D122" s="25"/>
      <c r="E122" s="48"/>
      <c r="F122" s="53">
        <v>0</v>
      </c>
      <c r="G122" s="13">
        <v>0</v>
      </c>
    </row>
    <row r="123" spans="1:7" ht="15" x14ac:dyDescent="0.25">
      <c r="A123" s="6"/>
      <c r="B123" s="7"/>
      <c r="C123" s="14"/>
      <c r="D123" s="7"/>
      <c r="E123" s="46"/>
      <c r="F123" s="51"/>
      <c r="G123" s="5"/>
    </row>
    <row r="124" spans="1:7" ht="25.5" x14ac:dyDescent="0.25">
      <c r="A124" s="6"/>
      <c r="B124" s="7"/>
      <c r="C124" s="8" t="s">
        <v>127</v>
      </c>
      <c r="D124" s="9"/>
      <c r="E124" s="47"/>
      <c r="F124" s="51">
        <v>52.15</v>
      </c>
      <c r="G124" s="5">
        <v>1.4802686000000001E-2</v>
      </c>
    </row>
    <row r="125" spans="1:7" ht="15" x14ac:dyDescent="0.25">
      <c r="A125" s="6"/>
      <c r="B125" s="7"/>
      <c r="C125" s="8" t="s">
        <v>810</v>
      </c>
      <c r="D125" s="25"/>
      <c r="E125" s="48"/>
      <c r="F125" s="53">
        <v>52.15</v>
      </c>
      <c r="G125" s="13">
        <v>1.4802686000000001E-2</v>
      </c>
    </row>
    <row r="126" spans="1:7" ht="15" x14ac:dyDescent="0.25">
      <c r="A126" s="6"/>
      <c r="B126" s="7"/>
      <c r="C126" s="14"/>
      <c r="D126" s="7"/>
      <c r="E126" s="46"/>
      <c r="F126" s="56"/>
      <c r="G126" s="27"/>
    </row>
    <row r="127" spans="1:7" ht="25.5" x14ac:dyDescent="0.25">
      <c r="A127" s="6"/>
      <c r="B127" s="7"/>
      <c r="C127" s="29" t="s">
        <v>128</v>
      </c>
      <c r="D127" s="7"/>
      <c r="E127" s="46"/>
      <c r="F127" s="56">
        <v>34.450732709999997</v>
      </c>
      <c r="G127" s="27">
        <v>9.7787800000000008E-3</v>
      </c>
    </row>
    <row r="128" spans="1:7" ht="15" x14ac:dyDescent="0.25">
      <c r="A128" s="6"/>
      <c r="B128" s="7"/>
      <c r="C128" s="30" t="s">
        <v>129</v>
      </c>
      <c r="D128" s="12"/>
      <c r="E128" s="48"/>
      <c r="F128" s="53">
        <v>3523.0093623100011</v>
      </c>
      <c r="G128" s="13">
        <v>0.99999999899999981</v>
      </c>
    </row>
    <row r="130" spans="2:6" ht="15" x14ac:dyDescent="0.25">
      <c r="B130" s="279"/>
      <c r="C130" s="279"/>
      <c r="D130" s="279"/>
      <c r="E130" s="279"/>
      <c r="F130" s="279"/>
    </row>
    <row r="131" spans="2:6" ht="15" x14ac:dyDescent="0.25">
      <c r="B131" s="279"/>
      <c r="C131" s="279"/>
      <c r="D131" s="279"/>
      <c r="E131" s="279"/>
      <c r="F131" s="279"/>
    </row>
    <row r="133" spans="2:6" ht="15" x14ac:dyDescent="0.25">
      <c r="B133" s="36" t="s">
        <v>131</v>
      </c>
      <c r="C133" s="37"/>
      <c r="D133" s="38"/>
    </row>
    <row r="134" spans="2:6" ht="15" x14ac:dyDescent="0.25">
      <c r="B134" s="39" t="s">
        <v>132</v>
      </c>
      <c r="C134" s="40"/>
      <c r="D134" s="62" t="s">
        <v>133</v>
      </c>
    </row>
    <row r="135" spans="2:6" ht="15" x14ac:dyDescent="0.25">
      <c r="B135" s="39" t="s">
        <v>134</v>
      </c>
      <c r="C135" s="40"/>
      <c r="D135" s="62" t="s">
        <v>133</v>
      </c>
    </row>
    <row r="136" spans="2:6" ht="15" x14ac:dyDescent="0.25">
      <c r="B136" s="41" t="s">
        <v>135</v>
      </c>
      <c r="C136" s="40"/>
      <c r="D136" s="42"/>
    </row>
    <row r="137" spans="2:6" ht="25.5" customHeight="1" x14ac:dyDescent="0.25">
      <c r="B137" s="42"/>
      <c r="C137" s="32" t="s">
        <v>136</v>
      </c>
      <c r="D137" s="33" t="s">
        <v>137</v>
      </c>
    </row>
    <row r="138" spans="2:6" ht="12.75" customHeight="1" x14ac:dyDescent="0.25">
      <c r="B138" s="57" t="s">
        <v>138</v>
      </c>
      <c r="C138" s="58" t="s">
        <v>139</v>
      </c>
      <c r="D138" s="58" t="s">
        <v>140</v>
      </c>
    </row>
    <row r="139" spans="2:6" ht="15" x14ac:dyDescent="0.25">
      <c r="B139" s="42" t="s">
        <v>141</v>
      </c>
      <c r="C139" s="43">
        <v>9.9047000000000001</v>
      </c>
      <c r="D139" s="43">
        <v>8.6927000000000003</v>
      </c>
    </row>
    <row r="140" spans="2:6" ht="15" x14ac:dyDescent="0.25">
      <c r="B140" s="42" t="s">
        <v>142</v>
      </c>
      <c r="C140" s="43">
        <v>9.9047000000000001</v>
      </c>
      <c r="D140" s="43">
        <v>8.6927000000000003</v>
      </c>
    </row>
    <row r="141" spans="2:6" ht="15" x14ac:dyDescent="0.25">
      <c r="B141" s="42" t="s">
        <v>143</v>
      </c>
      <c r="C141" s="43">
        <v>9.8417999999999992</v>
      </c>
      <c r="D141" s="43">
        <v>8.6334999999999997</v>
      </c>
    </row>
    <row r="142" spans="2:6" ht="15" x14ac:dyDescent="0.25">
      <c r="B142" s="42" t="s">
        <v>144</v>
      </c>
      <c r="C142" s="43">
        <v>9.8417999999999992</v>
      </c>
      <c r="D142" s="43">
        <v>8.6334999999999997</v>
      </c>
    </row>
    <row r="144" spans="2:6" ht="15" x14ac:dyDescent="0.25">
      <c r="B144" s="59" t="s">
        <v>145</v>
      </c>
      <c r="C144" s="44"/>
      <c r="D144" s="60" t="s">
        <v>133</v>
      </c>
    </row>
    <row r="145" spans="2:4" ht="24.75" customHeight="1" x14ac:dyDescent="0.25">
      <c r="B145" s="61"/>
      <c r="C145" s="61"/>
    </row>
    <row r="146" spans="2:4" ht="15" x14ac:dyDescent="0.25">
      <c r="B146" s="63"/>
      <c r="C146" s="65"/>
      <c r="D146"/>
    </row>
    <row r="148" spans="2:4" ht="15" x14ac:dyDescent="0.25">
      <c r="B148" s="41" t="s">
        <v>146</v>
      </c>
      <c r="C148" s="40"/>
      <c r="D148" s="64" t="s">
        <v>133</v>
      </c>
    </row>
    <row r="149" spans="2:4" ht="15" x14ac:dyDescent="0.25">
      <c r="B149" s="41" t="s">
        <v>147</v>
      </c>
      <c r="C149" s="40"/>
      <c r="D149" s="64" t="s">
        <v>133</v>
      </c>
    </row>
    <row r="150" spans="2:4" ht="15" x14ac:dyDescent="0.25">
      <c r="B150" s="41" t="s">
        <v>148</v>
      </c>
      <c r="C150" s="40"/>
      <c r="D150" s="45">
        <v>9.1048117480449879E-3</v>
      </c>
    </row>
    <row r="151" spans="2:4" ht="15" x14ac:dyDescent="0.25">
      <c r="B151" s="41" t="s">
        <v>149</v>
      </c>
      <c r="C151" s="40"/>
      <c r="D151" s="45" t="s">
        <v>133</v>
      </c>
    </row>
  </sheetData>
  <mergeCells count="5">
    <mergeCell ref="A1:G1"/>
    <mergeCell ref="A2:G2"/>
    <mergeCell ref="A3:G3"/>
    <mergeCell ref="B130:F130"/>
    <mergeCell ref="B131:F13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V149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470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444</v>
      </c>
      <c r="C7" s="11" t="s">
        <v>445</v>
      </c>
      <c r="D7" s="2" t="s">
        <v>193</v>
      </c>
      <c r="E7" s="46">
        <v>9681</v>
      </c>
      <c r="F7" s="51">
        <v>70.9084845</v>
      </c>
      <c r="G7" s="5">
        <v>3.8887917000000001E-2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11911</v>
      </c>
      <c r="F8" s="51">
        <v>65.492633499999997</v>
      </c>
      <c r="G8" s="5">
        <v>3.5917734E-2</v>
      </c>
    </row>
    <row r="9" spans="1:7" ht="15" x14ac:dyDescent="0.25">
      <c r="A9" s="6">
        <v>3</v>
      </c>
      <c r="B9" s="7" t="s">
        <v>60</v>
      </c>
      <c r="C9" s="11" t="s">
        <v>61</v>
      </c>
      <c r="D9" s="2" t="s">
        <v>16</v>
      </c>
      <c r="E9" s="46">
        <v>6502</v>
      </c>
      <c r="F9" s="51">
        <v>62.80932</v>
      </c>
      <c r="G9" s="5">
        <v>3.4446141E-2</v>
      </c>
    </row>
    <row r="10" spans="1:7" ht="15" x14ac:dyDescent="0.25">
      <c r="A10" s="6">
        <v>4</v>
      </c>
      <c r="B10" s="7" t="s">
        <v>442</v>
      </c>
      <c r="C10" s="11" t="s">
        <v>443</v>
      </c>
      <c r="D10" s="2" t="s">
        <v>162</v>
      </c>
      <c r="E10" s="46">
        <v>10910</v>
      </c>
      <c r="F10" s="51">
        <v>57.250225</v>
      </c>
      <c r="G10" s="5">
        <v>3.1397398999999999E-2</v>
      </c>
    </row>
    <row r="11" spans="1:7" ht="25.5" x14ac:dyDescent="0.25">
      <c r="A11" s="6">
        <v>5</v>
      </c>
      <c r="B11" s="7" t="s">
        <v>92</v>
      </c>
      <c r="C11" s="11" t="s">
        <v>93</v>
      </c>
      <c r="D11" s="2" t="s">
        <v>22</v>
      </c>
      <c r="E11" s="46">
        <v>12939</v>
      </c>
      <c r="F11" s="51">
        <v>56.743984500000003</v>
      </c>
      <c r="G11" s="5">
        <v>3.1119765000000001E-2</v>
      </c>
    </row>
    <row r="12" spans="1:7" ht="15" x14ac:dyDescent="0.25">
      <c r="A12" s="6">
        <v>6</v>
      </c>
      <c r="B12" s="7" t="s">
        <v>231</v>
      </c>
      <c r="C12" s="11" t="s">
        <v>232</v>
      </c>
      <c r="D12" s="2" t="s">
        <v>170</v>
      </c>
      <c r="E12" s="46">
        <v>14009</v>
      </c>
      <c r="F12" s="51">
        <v>48.520171499999996</v>
      </c>
      <c r="G12" s="5">
        <v>2.6609628E-2</v>
      </c>
    </row>
    <row r="13" spans="1:7" ht="25.5" x14ac:dyDescent="0.25">
      <c r="A13" s="6">
        <v>7</v>
      </c>
      <c r="B13" s="7" t="s">
        <v>153</v>
      </c>
      <c r="C13" s="11" t="s">
        <v>154</v>
      </c>
      <c r="D13" s="2" t="s">
        <v>155</v>
      </c>
      <c r="E13" s="46">
        <v>7676</v>
      </c>
      <c r="F13" s="51">
        <v>47.806128000000001</v>
      </c>
      <c r="G13" s="5">
        <v>2.6218029E-2</v>
      </c>
    </row>
    <row r="14" spans="1:7" ht="25.5" x14ac:dyDescent="0.25">
      <c r="A14" s="6">
        <v>8</v>
      </c>
      <c r="B14" s="7" t="s">
        <v>189</v>
      </c>
      <c r="C14" s="11" t="s">
        <v>190</v>
      </c>
      <c r="D14" s="2" t="s">
        <v>167</v>
      </c>
      <c r="E14" s="46">
        <v>10548</v>
      </c>
      <c r="F14" s="51">
        <v>46.558872000000001</v>
      </c>
      <c r="G14" s="5">
        <v>2.5534003999999999E-2</v>
      </c>
    </row>
    <row r="15" spans="1:7" ht="25.5" x14ac:dyDescent="0.25">
      <c r="A15" s="6">
        <v>9</v>
      </c>
      <c r="B15" s="7" t="s">
        <v>45</v>
      </c>
      <c r="C15" s="11" t="s">
        <v>46</v>
      </c>
      <c r="D15" s="2" t="s">
        <v>22</v>
      </c>
      <c r="E15" s="46">
        <v>7409</v>
      </c>
      <c r="F15" s="51">
        <v>45.335670999999998</v>
      </c>
      <c r="G15" s="5">
        <v>2.4863171E-2</v>
      </c>
    </row>
    <row r="16" spans="1:7" ht="15" x14ac:dyDescent="0.25">
      <c r="A16" s="6">
        <v>10</v>
      </c>
      <c r="B16" s="7" t="s">
        <v>151</v>
      </c>
      <c r="C16" s="11" t="s">
        <v>152</v>
      </c>
      <c r="D16" s="2" t="s">
        <v>16</v>
      </c>
      <c r="E16" s="46">
        <v>22301</v>
      </c>
      <c r="F16" s="51">
        <v>43.174736000000003</v>
      </c>
      <c r="G16" s="5">
        <v>2.3678062999999999E-2</v>
      </c>
    </row>
    <row r="17" spans="1:7" ht="25.5" x14ac:dyDescent="0.25">
      <c r="A17" s="6">
        <v>11</v>
      </c>
      <c r="B17" s="7" t="s">
        <v>178</v>
      </c>
      <c r="C17" s="11" t="s">
        <v>179</v>
      </c>
      <c r="D17" s="2" t="s">
        <v>22</v>
      </c>
      <c r="E17" s="46">
        <v>12363</v>
      </c>
      <c r="F17" s="51">
        <v>43.060329000000003</v>
      </c>
      <c r="G17" s="5">
        <v>2.3615318999999999E-2</v>
      </c>
    </row>
    <row r="18" spans="1:7" ht="15" x14ac:dyDescent="0.25">
      <c r="A18" s="6">
        <v>12</v>
      </c>
      <c r="B18" s="7" t="s">
        <v>446</v>
      </c>
      <c r="C18" s="11" t="s">
        <v>447</v>
      </c>
      <c r="D18" s="2" t="s">
        <v>162</v>
      </c>
      <c r="E18" s="46">
        <v>35013</v>
      </c>
      <c r="F18" s="51">
        <v>39.389625000000002</v>
      </c>
      <c r="G18" s="5">
        <v>2.1602217E-2</v>
      </c>
    </row>
    <row r="19" spans="1:7" ht="15" x14ac:dyDescent="0.25">
      <c r="A19" s="6">
        <v>13</v>
      </c>
      <c r="B19" s="7" t="s">
        <v>187</v>
      </c>
      <c r="C19" s="11" t="s">
        <v>188</v>
      </c>
      <c r="D19" s="2" t="s">
        <v>162</v>
      </c>
      <c r="E19" s="46">
        <v>4160</v>
      </c>
      <c r="F19" s="51">
        <v>38.170079999999999</v>
      </c>
      <c r="G19" s="5">
        <v>2.0933389E-2</v>
      </c>
    </row>
    <row r="20" spans="1:7" ht="15" x14ac:dyDescent="0.25">
      <c r="A20" s="6">
        <v>14</v>
      </c>
      <c r="B20" s="7" t="s">
        <v>457</v>
      </c>
      <c r="C20" s="11" t="s">
        <v>458</v>
      </c>
      <c r="D20" s="2" t="s">
        <v>162</v>
      </c>
      <c r="E20" s="46">
        <v>2539</v>
      </c>
      <c r="F20" s="51">
        <v>37.861567999999998</v>
      </c>
      <c r="G20" s="5">
        <v>2.0764194E-2</v>
      </c>
    </row>
    <row r="21" spans="1:7" ht="25.5" x14ac:dyDescent="0.25">
      <c r="A21" s="6">
        <v>15</v>
      </c>
      <c r="B21" s="7" t="s">
        <v>25</v>
      </c>
      <c r="C21" s="11" t="s">
        <v>26</v>
      </c>
      <c r="D21" s="2" t="s">
        <v>27</v>
      </c>
      <c r="E21" s="46">
        <v>7877</v>
      </c>
      <c r="F21" s="51">
        <v>37.782030499999998</v>
      </c>
      <c r="G21" s="5">
        <v>2.0720573999999999E-2</v>
      </c>
    </row>
    <row r="22" spans="1:7" ht="25.5" x14ac:dyDescent="0.25">
      <c r="A22" s="6">
        <v>16</v>
      </c>
      <c r="B22" s="7" t="s">
        <v>196</v>
      </c>
      <c r="C22" s="11" t="s">
        <v>846</v>
      </c>
      <c r="D22" s="2" t="s">
        <v>59</v>
      </c>
      <c r="E22" s="46">
        <v>2300</v>
      </c>
      <c r="F22" s="51">
        <v>37.749899999999997</v>
      </c>
      <c r="G22" s="5">
        <v>2.0702952E-2</v>
      </c>
    </row>
    <row r="23" spans="1:7" ht="25.5" x14ac:dyDescent="0.25">
      <c r="A23" s="6">
        <v>17</v>
      </c>
      <c r="B23" s="7" t="s">
        <v>70</v>
      </c>
      <c r="C23" s="11" t="s">
        <v>71</v>
      </c>
      <c r="D23" s="2" t="s">
        <v>22</v>
      </c>
      <c r="E23" s="46">
        <v>3287</v>
      </c>
      <c r="F23" s="51">
        <v>36.064964000000003</v>
      </c>
      <c r="G23" s="5">
        <v>1.9778892999999999E-2</v>
      </c>
    </row>
    <row r="24" spans="1:7" ht="25.5" x14ac:dyDescent="0.25">
      <c r="A24" s="6">
        <v>18</v>
      </c>
      <c r="B24" s="7" t="s">
        <v>90</v>
      </c>
      <c r="C24" s="11" t="s">
        <v>91</v>
      </c>
      <c r="D24" s="2" t="s">
        <v>22</v>
      </c>
      <c r="E24" s="46">
        <v>3598</v>
      </c>
      <c r="F24" s="51">
        <v>35.978200999999999</v>
      </c>
      <c r="G24" s="5">
        <v>1.9731309999999998E-2</v>
      </c>
    </row>
    <row r="25" spans="1:7" ht="25.5" x14ac:dyDescent="0.25">
      <c r="A25" s="6">
        <v>19</v>
      </c>
      <c r="B25" s="7" t="s">
        <v>171</v>
      </c>
      <c r="C25" s="11" t="s">
        <v>172</v>
      </c>
      <c r="D25" s="2" t="s">
        <v>173</v>
      </c>
      <c r="E25" s="46">
        <v>12208</v>
      </c>
      <c r="F25" s="51">
        <v>35.885415999999999</v>
      </c>
      <c r="G25" s="5">
        <v>1.9680425000000001E-2</v>
      </c>
    </row>
    <row r="26" spans="1:7" ht="15" x14ac:dyDescent="0.25">
      <c r="A26" s="6">
        <v>20</v>
      </c>
      <c r="B26" s="7" t="s">
        <v>182</v>
      </c>
      <c r="C26" s="11" t="s">
        <v>183</v>
      </c>
      <c r="D26" s="2" t="s">
        <v>184</v>
      </c>
      <c r="E26" s="46">
        <v>18886</v>
      </c>
      <c r="F26" s="51">
        <v>35.297933999999998</v>
      </c>
      <c r="G26" s="5">
        <v>1.9358235000000001E-2</v>
      </c>
    </row>
    <row r="27" spans="1:7" ht="15" x14ac:dyDescent="0.25">
      <c r="A27" s="6">
        <v>21</v>
      </c>
      <c r="B27" s="7" t="s">
        <v>295</v>
      </c>
      <c r="C27" s="11" t="s">
        <v>296</v>
      </c>
      <c r="D27" s="2" t="s">
        <v>170</v>
      </c>
      <c r="E27" s="46">
        <v>1632</v>
      </c>
      <c r="F27" s="51">
        <v>34.621248000000001</v>
      </c>
      <c r="G27" s="5">
        <v>1.8987124000000001E-2</v>
      </c>
    </row>
    <row r="28" spans="1:7" ht="15" x14ac:dyDescent="0.25">
      <c r="A28" s="6">
        <v>22</v>
      </c>
      <c r="B28" s="7" t="s">
        <v>264</v>
      </c>
      <c r="C28" s="11" t="s">
        <v>265</v>
      </c>
      <c r="D28" s="2" t="s">
        <v>162</v>
      </c>
      <c r="E28" s="46">
        <v>50585</v>
      </c>
      <c r="F28" s="51">
        <v>33.866657500000002</v>
      </c>
      <c r="G28" s="5">
        <v>1.8573289E-2</v>
      </c>
    </row>
    <row r="29" spans="1:7" ht="25.5" x14ac:dyDescent="0.25">
      <c r="A29" s="6">
        <v>23</v>
      </c>
      <c r="B29" s="7" t="s">
        <v>57</v>
      </c>
      <c r="C29" s="11" t="s">
        <v>58</v>
      </c>
      <c r="D29" s="2" t="s">
        <v>59</v>
      </c>
      <c r="E29" s="46">
        <v>4749</v>
      </c>
      <c r="F29" s="51">
        <v>32.141232000000002</v>
      </c>
      <c r="G29" s="5">
        <v>1.7627024000000002E-2</v>
      </c>
    </row>
    <row r="30" spans="1:7" ht="25.5" x14ac:dyDescent="0.25">
      <c r="A30" s="6">
        <v>24</v>
      </c>
      <c r="B30" s="7" t="s">
        <v>176</v>
      </c>
      <c r="C30" s="11" t="s">
        <v>177</v>
      </c>
      <c r="D30" s="2" t="s">
        <v>30</v>
      </c>
      <c r="E30" s="46">
        <v>3276</v>
      </c>
      <c r="F30" s="51">
        <v>31.882031999999999</v>
      </c>
      <c r="G30" s="5">
        <v>1.7484873000000001E-2</v>
      </c>
    </row>
    <row r="31" spans="1:7" ht="15" x14ac:dyDescent="0.25">
      <c r="A31" s="6">
        <v>25</v>
      </c>
      <c r="B31" s="7" t="s">
        <v>236</v>
      </c>
      <c r="C31" s="11" t="s">
        <v>237</v>
      </c>
      <c r="D31" s="2" t="s">
        <v>238</v>
      </c>
      <c r="E31" s="46">
        <v>5282</v>
      </c>
      <c r="F31" s="51">
        <v>31.779153000000001</v>
      </c>
      <c r="G31" s="5">
        <v>1.7428451000000001E-2</v>
      </c>
    </row>
    <row r="32" spans="1:7" ht="15" x14ac:dyDescent="0.25">
      <c r="A32" s="6">
        <v>26</v>
      </c>
      <c r="B32" s="7" t="s">
        <v>267</v>
      </c>
      <c r="C32" s="11" t="s">
        <v>268</v>
      </c>
      <c r="D32" s="2" t="s">
        <v>269</v>
      </c>
      <c r="E32" s="46">
        <v>4169</v>
      </c>
      <c r="F32" s="51">
        <v>31.042373999999999</v>
      </c>
      <c r="G32" s="5">
        <v>1.7024384E-2</v>
      </c>
    </row>
    <row r="33" spans="1:7" ht="51" x14ac:dyDescent="0.25">
      <c r="A33" s="6">
        <v>27</v>
      </c>
      <c r="B33" s="7" t="s">
        <v>233</v>
      </c>
      <c r="C33" s="11" t="s">
        <v>234</v>
      </c>
      <c r="D33" s="2" t="s">
        <v>235</v>
      </c>
      <c r="E33" s="46">
        <v>13434</v>
      </c>
      <c r="F33" s="51">
        <v>30.387708</v>
      </c>
      <c r="G33" s="5">
        <v>1.6665348999999999E-2</v>
      </c>
    </row>
    <row r="34" spans="1:7" ht="25.5" x14ac:dyDescent="0.25">
      <c r="A34" s="6">
        <v>28</v>
      </c>
      <c r="B34" s="7" t="s">
        <v>20</v>
      </c>
      <c r="C34" s="11" t="s">
        <v>21</v>
      </c>
      <c r="D34" s="2" t="s">
        <v>22</v>
      </c>
      <c r="E34" s="46">
        <v>4113</v>
      </c>
      <c r="F34" s="51">
        <v>27.919044</v>
      </c>
      <c r="G34" s="5">
        <v>1.5311475E-2</v>
      </c>
    </row>
    <row r="35" spans="1:7" ht="15" x14ac:dyDescent="0.25">
      <c r="A35" s="6">
        <v>29</v>
      </c>
      <c r="B35" s="7" t="s">
        <v>252</v>
      </c>
      <c r="C35" s="11" t="s">
        <v>253</v>
      </c>
      <c r="D35" s="2" t="s">
        <v>215</v>
      </c>
      <c r="E35" s="46">
        <v>3500</v>
      </c>
      <c r="F35" s="51">
        <v>27.252749999999999</v>
      </c>
      <c r="G35" s="5">
        <v>1.4946063000000001E-2</v>
      </c>
    </row>
    <row r="36" spans="1:7" ht="15" x14ac:dyDescent="0.25">
      <c r="A36" s="6">
        <v>30</v>
      </c>
      <c r="B36" s="7" t="s">
        <v>414</v>
      </c>
      <c r="C36" s="11" t="s">
        <v>415</v>
      </c>
      <c r="D36" s="2" t="s">
        <v>215</v>
      </c>
      <c r="E36" s="46">
        <v>5202</v>
      </c>
      <c r="F36" s="51">
        <v>27.079011000000001</v>
      </c>
      <c r="G36" s="5">
        <v>1.4850779999999999E-2</v>
      </c>
    </row>
    <row r="37" spans="1:7" ht="15" x14ac:dyDescent="0.25">
      <c r="A37" s="6">
        <v>31</v>
      </c>
      <c r="B37" s="7" t="s">
        <v>452</v>
      </c>
      <c r="C37" s="11" t="s">
        <v>453</v>
      </c>
      <c r="D37" s="2" t="s">
        <v>170</v>
      </c>
      <c r="E37" s="46">
        <v>26411</v>
      </c>
      <c r="F37" s="51">
        <v>27.044864</v>
      </c>
      <c r="G37" s="5">
        <v>1.4832053E-2</v>
      </c>
    </row>
    <row r="38" spans="1:7" ht="15" x14ac:dyDescent="0.25">
      <c r="A38" s="6">
        <v>32</v>
      </c>
      <c r="B38" s="7" t="s">
        <v>459</v>
      </c>
      <c r="C38" s="11" t="s">
        <v>460</v>
      </c>
      <c r="D38" s="2" t="s">
        <v>170</v>
      </c>
      <c r="E38" s="46">
        <v>9058</v>
      </c>
      <c r="F38" s="51">
        <v>26.956607999999999</v>
      </c>
      <c r="G38" s="5">
        <v>1.4783652E-2</v>
      </c>
    </row>
    <row r="39" spans="1:7" ht="15" x14ac:dyDescent="0.25">
      <c r="A39" s="6">
        <v>33</v>
      </c>
      <c r="B39" s="7" t="s">
        <v>468</v>
      </c>
      <c r="C39" s="11" t="s">
        <v>469</v>
      </c>
      <c r="D39" s="2" t="s">
        <v>241</v>
      </c>
      <c r="E39" s="46">
        <v>18056</v>
      </c>
      <c r="F39" s="51">
        <v>26.605516000000001</v>
      </c>
      <c r="G39" s="5">
        <v>1.4591104000000001E-2</v>
      </c>
    </row>
    <row r="40" spans="1:7" ht="25.5" x14ac:dyDescent="0.25">
      <c r="A40" s="6">
        <v>34</v>
      </c>
      <c r="B40" s="7" t="s">
        <v>194</v>
      </c>
      <c r="C40" s="11" t="s">
        <v>195</v>
      </c>
      <c r="D40" s="2" t="s">
        <v>37</v>
      </c>
      <c r="E40" s="46">
        <v>7843</v>
      </c>
      <c r="F40" s="51">
        <v>26.5446335</v>
      </c>
      <c r="G40" s="5">
        <v>1.4557715000000001E-2</v>
      </c>
    </row>
    <row r="41" spans="1:7" ht="15" x14ac:dyDescent="0.25">
      <c r="A41" s="6">
        <v>35</v>
      </c>
      <c r="B41" s="7" t="s">
        <v>160</v>
      </c>
      <c r="C41" s="11" t="s">
        <v>161</v>
      </c>
      <c r="D41" s="2" t="s">
        <v>162</v>
      </c>
      <c r="E41" s="46">
        <v>9744</v>
      </c>
      <c r="F41" s="51">
        <v>25.685184</v>
      </c>
      <c r="G41" s="5">
        <v>1.4086372E-2</v>
      </c>
    </row>
    <row r="42" spans="1:7" ht="25.5" x14ac:dyDescent="0.25">
      <c r="A42" s="6">
        <v>36</v>
      </c>
      <c r="B42" s="7" t="s">
        <v>355</v>
      </c>
      <c r="C42" s="11" t="s">
        <v>356</v>
      </c>
      <c r="D42" s="2" t="s">
        <v>22</v>
      </c>
      <c r="E42" s="46">
        <v>7470</v>
      </c>
      <c r="F42" s="51">
        <v>24.632325000000002</v>
      </c>
      <c r="G42" s="5">
        <v>1.3508958999999999E-2</v>
      </c>
    </row>
    <row r="43" spans="1:7" ht="25.5" x14ac:dyDescent="0.25">
      <c r="A43" s="6">
        <v>37</v>
      </c>
      <c r="B43" s="7" t="s">
        <v>448</v>
      </c>
      <c r="C43" s="11" t="s">
        <v>449</v>
      </c>
      <c r="D43" s="2" t="s">
        <v>81</v>
      </c>
      <c r="E43" s="46">
        <v>9340</v>
      </c>
      <c r="F43" s="51">
        <v>24.494150000000001</v>
      </c>
      <c r="G43" s="5">
        <v>1.3433181000000001E-2</v>
      </c>
    </row>
    <row r="44" spans="1:7" ht="25.5" x14ac:dyDescent="0.25">
      <c r="A44" s="6">
        <v>38</v>
      </c>
      <c r="B44" s="7" t="s">
        <v>64</v>
      </c>
      <c r="C44" s="11" t="s">
        <v>65</v>
      </c>
      <c r="D44" s="2" t="s">
        <v>19</v>
      </c>
      <c r="E44" s="46">
        <v>32071</v>
      </c>
      <c r="F44" s="51">
        <v>23.459936500000001</v>
      </c>
      <c r="G44" s="5">
        <v>1.2865992999999999E-2</v>
      </c>
    </row>
    <row r="45" spans="1:7" ht="15" x14ac:dyDescent="0.25">
      <c r="A45" s="6">
        <v>39</v>
      </c>
      <c r="B45" s="7" t="s">
        <v>211</v>
      </c>
      <c r="C45" s="11" t="s">
        <v>212</v>
      </c>
      <c r="D45" s="2" t="s">
        <v>162</v>
      </c>
      <c r="E45" s="46">
        <v>26984</v>
      </c>
      <c r="F45" s="51">
        <v>21.452279999999998</v>
      </c>
      <c r="G45" s="5">
        <v>1.1764946E-2</v>
      </c>
    </row>
    <row r="46" spans="1:7" ht="25.5" x14ac:dyDescent="0.25">
      <c r="A46" s="6">
        <v>40</v>
      </c>
      <c r="B46" s="7" t="s">
        <v>207</v>
      </c>
      <c r="C46" s="11" t="s">
        <v>208</v>
      </c>
      <c r="D46" s="2" t="s">
        <v>30</v>
      </c>
      <c r="E46" s="46">
        <v>19273</v>
      </c>
      <c r="F46" s="51">
        <v>21.171390500000001</v>
      </c>
      <c r="G46" s="5">
        <v>1.1610898999999999E-2</v>
      </c>
    </row>
    <row r="47" spans="1:7" ht="15" x14ac:dyDescent="0.25">
      <c r="A47" s="6">
        <v>41</v>
      </c>
      <c r="B47" s="7" t="s">
        <v>203</v>
      </c>
      <c r="C47" s="11" t="s">
        <v>204</v>
      </c>
      <c r="D47" s="2" t="s">
        <v>81</v>
      </c>
      <c r="E47" s="46">
        <v>18999</v>
      </c>
      <c r="F47" s="51">
        <v>20.461922999999999</v>
      </c>
      <c r="G47" s="5">
        <v>1.122181E-2</v>
      </c>
    </row>
    <row r="48" spans="1:7" ht="25.5" x14ac:dyDescent="0.25">
      <c r="A48" s="6">
        <v>42</v>
      </c>
      <c r="B48" s="7" t="s">
        <v>85</v>
      </c>
      <c r="C48" s="11" t="s">
        <v>86</v>
      </c>
      <c r="D48" s="2" t="s">
        <v>22</v>
      </c>
      <c r="E48" s="46">
        <v>3421</v>
      </c>
      <c r="F48" s="51">
        <v>20.264293500000001</v>
      </c>
      <c r="G48" s="5">
        <v>1.1113425999999999E-2</v>
      </c>
    </row>
    <row r="49" spans="1:7" ht="25.5" x14ac:dyDescent="0.25">
      <c r="A49" s="6">
        <v>43</v>
      </c>
      <c r="B49" s="7" t="s">
        <v>462</v>
      </c>
      <c r="C49" s="11" t="s">
        <v>463</v>
      </c>
      <c r="D49" s="2" t="s">
        <v>37</v>
      </c>
      <c r="E49" s="46">
        <v>3651</v>
      </c>
      <c r="F49" s="51">
        <v>18.627402</v>
      </c>
      <c r="G49" s="5">
        <v>1.0215715E-2</v>
      </c>
    </row>
    <row r="50" spans="1:7" ht="15" x14ac:dyDescent="0.25">
      <c r="A50" s="6">
        <v>44</v>
      </c>
      <c r="B50" s="7" t="s">
        <v>168</v>
      </c>
      <c r="C50" s="11" t="s">
        <v>169</v>
      </c>
      <c r="D50" s="2" t="s">
        <v>170</v>
      </c>
      <c r="E50" s="46">
        <v>9510</v>
      </c>
      <c r="F50" s="51">
        <v>18.11655</v>
      </c>
      <c r="G50" s="5">
        <v>9.9355510000000008E-3</v>
      </c>
    </row>
    <row r="51" spans="1:7" ht="15" x14ac:dyDescent="0.25">
      <c r="A51" s="6">
        <v>45</v>
      </c>
      <c r="B51" s="7" t="s">
        <v>254</v>
      </c>
      <c r="C51" s="11" t="s">
        <v>255</v>
      </c>
      <c r="D51" s="2" t="s">
        <v>215</v>
      </c>
      <c r="E51" s="46">
        <v>21682</v>
      </c>
      <c r="F51" s="51">
        <v>17.226348999999999</v>
      </c>
      <c r="G51" s="5">
        <v>9.4473439999999999E-3</v>
      </c>
    </row>
    <row r="52" spans="1:7" ht="25.5" x14ac:dyDescent="0.25">
      <c r="A52" s="6">
        <v>46</v>
      </c>
      <c r="B52" s="7" t="s">
        <v>174</v>
      </c>
      <c r="C52" s="11" t="s">
        <v>175</v>
      </c>
      <c r="D52" s="2" t="s">
        <v>22</v>
      </c>
      <c r="E52" s="46">
        <v>5737</v>
      </c>
      <c r="F52" s="51">
        <v>16.918413000000001</v>
      </c>
      <c r="G52" s="5">
        <v>9.2784640000000002E-3</v>
      </c>
    </row>
    <row r="53" spans="1:7" ht="15" x14ac:dyDescent="0.25">
      <c r="A53" s="6">
        <v>47</v>
      </c>
      <c r="B53" s="7" t="s">
        <v>450</v>
      </c>
      <c r="C53" s="11" t="s">
        <v>451</v>
      </c>
      <c r="D53" s="2" t="s">
        <v>193</v>
      </c>
      <c r="E53" s="46">
        <v>2547</v>
      </c>
      <c r="F53" s="51">
        <v>16.757986500000001</v>
      </c>
      <c r="G53" s="5">
        <v>9.1904829999999993E-3</v>
      </c>
    </row>
    <row r="54" spans="1:7" ht="15" x14ac:dyDescent="0.25">
      <c r="A54" s="6">
        <v>48</v>
      </c>
      <c r="B54" s="7" t="s">
        <v>191</v>
      </c>
      <c r="C54" s="11" t="s">
        <v>192</v>
      </c>
      <c r="D54" s="2" t="s">
        <v>193</v>
      </c>
      <c r="E54" s="46">
        <v>12368</v>
      </c>
      <c r="F54" s="51">
        <v>16.461808000000001</v>
      </c>
      <c r="G54" s="5">
        <v>9.0280510000000005E-3</v>
      </c>
    </row>
    <row r="55" spans="1:7" ht="51" x14ac:dyDescent="0.25">
      <c r="A55" s="6">
        <v>49</v>
      </c>
      <c r="B55" s="7" t="s">
        <v>471</v>
      </c>
      <c r="C55" s="11" t="s">
        <v>472</v>
      </c>
      <c r="D55" s="2" t="s">
        <v>235</v>
      </c>
      <c r="E55" s="46">
        <v>27266</v>
      </c>
      <c r="F55" s="51">
        <v>16.305067999999999</v>
      </c>
      <c r="G55" s="5">
        <v>8.9420909999999992E-3</v>
      </c>
    </row>
    <row r="56" spans="1:7" ht="51" x14ac:dyDescent="0.25">
      <c r="A56" s="6">
        <v>50</v>
      </c>
      <c r="B56" s="7" t="s">
        <v>286</v>
      </c>
      <c r="C56" s="11" t="s">
        <v>287</v>
      </c>
      <c r="D56" s="2" t="s">
        <v>235</v>
      </c>
      <c r="E56" s="46">
        <v>47427</v>
      </c>
      <c r="F56" s="51">
        <v>15.271494000000001</v>
      </c>
      <c r="G56" s="5">
        <v>8.3752540000000004E-3</v>
      </c>
    </row>
    <row r="57" spans="1:7" ht="15" x14ac:dyDescent="0.25">
      <c r="A57" s="6">
        <v>51</v>
      </c>
      <c r="B57" s="7" t="s">
        <v>256</v>
      </c>
      <c r="C57" s="11" t="s">
        <v>257</v>
      </c>
      <c r="D57" s="2" t="s">
        <v>215</v>
      </c>
      <c r="E57" s="46">
        <v>2000</v>
      </c>
      <c r="F57" s="51">
        <v>14.9</v>
      </c>
      <c r="G57" s="5">
        <v>8.1715179999999991E-3</v>
      </c>
    </row>
    <row r="58" spans="1:7" ht="15" x14ac:dyDescent="0.25">
      <c r="A58" s="6">
        <v>52</v>
      </c>
      <c r="B58" s="7" t="s">
        <v>244</v>
      </c>
      <c r="C58" s="11" t="s">
        <v>245</v>
      </c>
      <c r="D58" s="2" t="s">
        <v>162</v>
      </c>
      <c r="E58" s="46">
        <v>2854</v>
      </c>
      <c r="F58" s="51">
        <v>14.776585000000001</v>
      </c>
      <c r="G58" s="5">
        <v>8.1038340000000007E-3</v>
      </c>
    </row>
    <row r="59" spans="1:7" ht="25.5" x14ac:dyDescent="0.25">
      <c r="A59" s="6">
        <v>53</v>
      </c>
      <c r="B59" s="7" t="s">
        <v>185</v>
      </c>
      <c r="C59" s="11" t="s">
        <v>186</v>
      </c>
      <c r="D59" s="2" t="s">
        <v>59</v>
      </c>
      <c r="E59" s="46">
        <v>11698</v>
      </c>
      <c r="F59" s="51">
        <v>14.768725</v>
      </c>
      <c r="G59" s="5">
        <v>8.0995240000000003E-3</v>
      </c>
    </row>
    <row r="60" spans="1:7" ht="25.5" x14ac:dyDescent="0.25">
      <c r="A60" s="6">
        <v>54</v>
      </c>
      <c r="B60" s="7" t="s">
        <v>274</v>
      </c>
      <c r="C60" s="11" t="s">
        <v>275</v>
      </c>
      <c r="D60" s="2" t="s">
        <v>22</v>
      </c>
      <c r="E60" s="46">
        <v>3682</v>
      </c>
      <c r="F60" s="51">
        <v>14.505239</v>
      </c>
      <c r="G60" s="5">
        <v>7.9550220000000008E-3</v>
      </c>
    </row>
    <row r="61" spans="1:7" ht="15" x14ac:dyDescent="0.25">
      <c r="A61" s="6">
        <v>55</v>
      </c>
      <c r="B61" s="7" t="s">
        <v>213</v>
      </c>
      <c r="C61" s="11" t="s">
        <v>214</v>
      </c>
      <c r="D61" s="2" t="s">
        <v>215</v>
      </c>
      <c r="E61" s="46">
        <v>15065</v>
      </c>
      <c r="F61" s="51">
        <v>14.37201</v>
      </c>
      <c r="G61" s="5">
        <v>7.8819560000000007E-3</v>
      </c>
    </row>
    <row r="62" spans="1:7" ht="25.5" x14ac:dyDescent="0.25">
      <c r="A62" s="6">
        <v>56</v>
      </c>
      <c r="B62" s="7" t="s">
        <v>216</v>
      </c>
      <c r="C62" s="11" t="s">
        <v>217</v>
      </c>
      <c r="D62" s="2" t="s">
        <v>59</v>
      </c>
      <c r="E62" s="46">
        <v>5954</v>
      </c>
      <c r="F62" s="51">
        <v>13.476879</v>
      </c>
      <c r="G62" s="5">
        <v>7.3910440000000003E-3</v>
      </c>
    </row>
    <row r="63" spans="1:7" ht="25.5" x14ac:dyDescent="0.25">
      <c r="A63" s="6">
        <v>57</v>
      </c>
      <c r="B63" s="7" t="s">
        <v>464</v>
      </c>
      <c r="C63" s="11" t="s">
        <v>465</v>
      </c>
      <c r="D63" s="2" t="s">
        <v>59</v>
      </c>
      <c r="E63" s="46">
        <v>1873</v>
      </c>
      <c r="F63" s="51">
        <v>13.062302000000001</v>
      </c>
      <c r="G63" s="5">
        <v>7.1636800000000004E-3</v>
      </c>
    </row>
    <row r="64" spans="1:7" ht="15" x14ac:dyDescent="0.25">
      <c r="A64" s="1"/>
      <c r="B64" s="2"/>
      <c r="C64" s="8" t="s">
        <v>104</v>
      </c>
      <c r="D64" s="12"/>
      <c r="E64" s="48"/>
      <c r="F64" s="53">
        <v>1754.1313975000005</v>
      </c>
      <c r="G64" s="13">
        <v>0.96200781200000018</v>
      </c>
    </row>
    <row r="65" spans="1:7" ht="15" x14ac:dyDescent="0.25">
      <c r="A65" s="6"/>
      <c r="B65" s="7"/>
      <c r="C65" s="14"/>
      <c r="D65" s="15"/>
      <c r="E65" s="46"/>
      <c r="F65" s="51"/>
      <c r="G65" s="5"/>
    </row>
    <row r="66" spans="1:7" ht="15" x14ac:dyDescent="0.25">
      <c r="A66" s="1"/>
      <c r="B66" s="2"/>
      <c r="C66" s="8" t="s">
        <v>105</v>
      </c>
      <c r="D66" s="9"/>
      <c r="E66" s="47"/>
      <c r="F66" s="52"/>
      <c r="G66" s="10"/>
    </row>
    <row r="67" spans="1:7" ht="15" x14ac:dyDescent="0.25">
      <c r="A67" s="1"/>
      <c r="B67" s="2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6"/>
      <c r="B68" s="7"/>
      <c r="C68" s="14"/>
      <c r="D68" s="15"/>
      <c r="E68" s="46"/>
      <c r="F68" s="51"/>
      <c r="G68" s="5"/>
    </row>
    <row r="69" spans="1:7" ht="15" x14ac:dyDescent="0.25">
      <c r="A69" s="16"/>
      <c r="B69" s="17"/>
      <c r="C69" s="8" t="s">
        <v>106</v>
      </c>
      <c r="D69" s="9"/>
      <c r="E69" s="47"/>
      <c r="F69" s="52"/>
      <c r="G69" s="10"/>
    </row>
    <row r="70" spans="1:7" ht="15" x14ac:dyDescent="0.25">
      <c r="A70" s="18"/>
      <c r="B70" s="19"/>
      <c r="C70" s="8" t="s">
        <v>104</v>
      </c>
      <c r="D70" s="20"/>
      <c r="E70" s="49"/>
      <c r="F70" s="54">
        <v>0</v>
      </c>
      <c r="G70" s="21">
        <v>0</v>
      </c>
    </row>
    <row r="71" spans="1:7" ht="15" x14ac:dyDescent="0.25">
      <c r="A71" s="18"/>
      <c r="B71" s="19"/>
      <c r="C71" s="14"/>
      <c r="D71" s="22"/>
      <c r="E71" s="50"/>
      <c r="F71" s="55"/>
      <c r="G71" s="23"/>
    </row>
    <row r="72" spans="1:7" ht="15" x14ac:dyDescent="0.25">
      <c r="A72" s="1"/>
      <c r="B72" s="2"/>
      <c r="C72" s="8" t="s">
        <v>108</v>
      </c>
      <c r="D72" s="9"/>
      <c r="E72" s="47"/>
      <c r="F72" s="52"/>
      <c r="G72" s="10"/>
    </row>
    <row r="73" spans="1:7" ht="15" x14ac:dyDescent="0.25">
      <c r="A73" s="1"/>
      <c r="B73" s="2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1"/>
      <c r="B74" s="2"/>
      <c r="C74" s="14"/>
      <c r="D74" s="4"/>
      <c r="E74" s="46"/>
      <c r="F74" s="51"/>
      <c r="G74" s="5"/>
    </row>
    <row r="75" spans="1:7" ht="15" x14ac:dyDescent="0.25">
      <c r="A75" s="1"/>
      <c r="B75" s="2"/>
      <c r="C75" s="8" t="s">
        <v>109</v>
      </c>
      <c r="D75" s="9"/>
      <c r="E75" s="47"/>
      <c r="F75" s="52"/>
      <c r="G75" s="10"/>
    </row>
    <row r="76" spans="1:7" ht="15" x14ac:dyDescent="0.25">
      <c r="A76" s="1"/>
      <c r="B76" s="2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15" x14ac:dyDescent="0.25">
      <c r="A78" s="1"/>
      <c r="B78" s="2"/>
      <c r="C78" s="8" t="s">
        <v>110</v>
      </c>
      <c r="D78" s="9"/>
      <c r="E78" s="47"/>
      <c r="F78" s="52"/>
      <c r="G78" s="10"/>
    </row>
    <row r="79" spans="1:7" ht="15" x14ac:dyDescent="0.25">
      <c r="A79" s="1"/>
      <c r="B79" s="2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1"/>
      <c r="B80" s="2"/>
      <c r="C80" s="14"/>
      <c r="D80" s="4"/>
      <c r="E80" s="46"/>
      <c r="F80" s="51"/>
      <c r="G80" s="5"/>
    </row>
    <row r="81" spans="1:7" ht="25.5" x14ac:dyDescent="0.25">
      <c r="A81" s="6"/>
      <c r="B81" s="7"/>
      <c r="C81" s="24" t="s">
        <v>111</v>
      </c>
      <c r="D81" s="25"/>
      <c r="E81" s="48"/>
      <c r="F81" s="53">
        <v>1754.1313975000005</v>
      </c>
      <c r="G81" s="13">
        <v>0.96200781200000018</v>
      </c>
    </row>
    <row r="82" spans="1:7" ht="15" x14ac:dyDescent="0.25">
      <c r="A82" s="1"/>
      <c r="B82" s="2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112</v>
      </c>
      <c r="D83" s="4"/>
      <c r="E83" s="46"/>
      <c r="F83" s="51"/>
      <c r="G83" s="5"/>
    </row>
    <row r="84" spans="1:7" ht="25.5" x14ac:dyDescent="0.25">
      <c r="A84" s="1"/>
      <c r="B84" s="2"/>
      <c r="C84" s="8" t="s">
        <v>10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4"/>
      <c r="E86" s="46"/>
      <c r="F86" s="51"/>
      <c r="G86" s="5"/>
    </row>
    <row r="87" spans="1:7" ht="15" x14ac:dyDescent="0.25">
      <c r="A87" s="1"/>
      <c r="B87" s="26"/>
      <c r="C87" s="8" t="s">
        <v>113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12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4"/>
      <c r="E89" s="46"/>
      <c r="F89" s="56"/>
      <c r="G89" s="27"/>
    </row>
    <row r="90" spans="1:7" ht="15" x14ac:dyDescent="0.25">
      <c r="A90" s="1"/>
      <c r="B90" s="2"/>
      <c r="C90" s="8" t="s">
        <v>114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12"/>
      <c r="E91" s="48"/>
      <c r="F91" s="53">
        <v>0</v>
      </c>
      <c r="G91" s="13">
        <v>0</v>
      </c>
    </row>
    <row r="92" spans="1:7" ht="15" x14ac:dyDescent="0.25">
      <c r="A92" s="1"/>
      <c r="B92" s="2"/>
      <c r="C92" s="14"/>
      <c r="D92" s="4"/>
      <c r="E92" s="46"/>
      <c r="F92" s="51"/>
      <c r="G92" s="5"/>
    </row>
    <row r="93" spans="1:7" ht="25.5" x14ac:dyDescent="0.25">
      <c r="A93" s="1"/>
      <c r="B93" s="26"/>
      <c r="C93" s="8" t="s">
        <v>115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12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4"/>
      <c r="E95" s="46"/>
      <c r="F95" s="51"/>
      <c r="G95" s="5"/>
    </row>
    <row r="96" spans="1:7" ht="15" x14ac:dyDescent="0.25">
      <c r="A96" s="6"/>
      <c r="B96" s="7"/>
      <c r="C96" s="28" t="s">
        <v>116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1"/>
      <c r="D97" s="4"/>
      <c r="E97" s="46"/>
      <c r="F97" s="51"/>
      <c r="G97" s="5"/>
    </row>
    <row r="98" spans="1:7" ht="15" x14ac:dyDescent="0.25">
      <c r="A98" s="1"/>
      <c r="B98" s="2"/>
      <c r="C98" s="3" t="s">
        <v>117</v>
      </c>
      <c r="D98" s="4"/>
      <c r="E98" s="46"/>
      <c r="F98" s="51"/>
      <c r="G98" s="5"/>
    </row>
    <row r="99" spans="1:7" ht="15" x14ac:dyDescent="0.25">
      <c r="A99" s="6"/>
      <c r="B99" s="7"/>
      <c r="C99" s="8" t="s">
        <v>118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7"/>
      <c r="E101" s="46"/>
      <c r="F101" s="51"/>
      <c r="G101" s="5"/>
    </row>
    <row r="102" spans="1:7" ht="15" x14ac:dyDescent="0.25">
      <c r="A102" s="6"/>
      <c r="B102" s="7"/>
      <c r="C102" s="8" t="s">
        <v>119</v>
      </c>
      <c r="D102" s="9"/>
      <c r="E102" s="47"/>
      <c r="F102" s="52"/>
      <c r="G102" s="10"/>
    </row>
    <row r="103" spans="1:7" ht="15" x14ac:dyDescent="0.25">
      <c r="A103" s="6"/>
      <c r="B103" s="7"/>
      <c r="C103" s="8" t="s">
        <v>104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4"/>
      <c r="D104" s="7"/>
      <c r="E104" s="46"/>
      <c r="F104" s="51"/>
      <c r="G104" s="5"/>
    </row>
    <row r="105" spans="1:7" ht="15" x14ac:dyDescent="0.25">
      <c r="A105" s="6"/>
      <c r="B105" s="7"/>
      <c r="C105" s="8" t="s">
        <v>120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15" x14ac:dyDescent="0.25">
      <c r="A108" s="6"/>
      <c r="B108" s="7"/>
      <c r="C108" s="8" t="s">
        <v>121</v>
      </c>
      <c r="D108" s="9"/>
      <c r="E108" s="47"/>
      <c r="F108" s="52"/>
      <c r="G108" s="10"/>
    </row>
    <row r="109" spans="1:7" ht="15" x14ac:dyDescent="0.25">
      <c r="A109" s="6">
        <v>1</v>
      </c>
      <c r="B109" s="7"/>
      <c r="C109" s="11" t="s">
        <v>730</v>
      </c>
      <c r="D109" s="15"/>
      <c r="E109" s="46"/>
      <c r="F109" s="51">
        <v>17.997243699999999</v>
      </c>
      <c r="G109" s="5">
        <v>9.8701210000000008E-3</v>
      </c>
    </row>
    <row r="110" spans="1:7" ht="15" x14ac:dyDescent="0.25">
      <c r="A110" s="6"/>
      <c r="B110" s="7"/>
      <c r="C110" s="8" t="s">
        <v>104</v>
      </c>
      <c r="D110" s="25"/>
      <c r="E110" s="48"/>
      <c r="F110" s="53">
        <v>17.997243699999999</v>
      </c>
      <c r="G110" s="13">
        <v>9.8701210000000008E-3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25.5" x14ac:dyDescent="0.25">
      <c r="A112" s="6"/>
      <c r="B112" s="7"/>
      <c r="C112" s="24" t="s">
        <v>122</v>
      </c>
      <c r="D112" s="25"/>
      <c r="E112" s="48"/>
      <c r="F112" s="53">
        <v>17.997243699999999</v>
      </c>
      <c r="G112" s="13">
        <v>9.8701210000000008E-3</v>
      </c>
    </row>
    <row r="113" spans="1:7" ht="15" x14ac:dyDescent="0.25">
      <c r="A113" s="6"/>
      <c r="B113" s="7"/>
      <c r="C113" s="29"/>
      <c r="D113" s="7"/>
      <c r="E113" s="46"/>
      <c r="F113" s="51"/>
      <c r="G113" s="5"/>
    </row>
    <row r="114" spans="1:7" ht="15" x14ac:dyDescent="0.25">
      <c r="A114" s="1"/>
      <c r="B114" s="2"/>
      <c r="C114" s="3" t="s">
        <v>123</v>
      </c>
      <c r="D114" s="4"/>
      <c r="E114" s="46"/>
      <c r="F114" s="51"/>
      <c r="G114" s="5"/>
    </row>
    <row r="115" spans="1:7" ht="25.5" x14ac:dyDescent="0.25">
      <c r="A115" s="6"/>
      <c r="B115" s="7"/>
      <c r="C115" s="8" t="s">
        <v>124</v>
      </c>
      <c r="D115" s="9"/>
      <c r="E115" s="47"/>
      <c r="F115" s="52"/>
      <c r="G115" s="10"/>
    </row>
    <row r="116" spans="1:7" ht="15" x14ac:dyDescent="0.25">
      <c r="A116" s="6"/>
      <c r="B116" s="7"/>
      <c r="C116" s="8" t="s">
        <v>104</v>
      </c>
      <c r="D116" s="25"/>
      <c r="E116" s="48"/>
      <c r="F116" s="53">
        <v>0</v>
      </c>
      <c r="G116" s="13">
        <v>0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15" x14ac:dyDescent="0.25">
      <c r="A118" s="1"/>
      <c r="B118" s="2"/>
      <c r="C118" s="3" t="s">
        <v>125</v>
      </c>
      <c r="D118" s="4"/>
      <c r="E118" s="46"/>
      <c r="F118" s="51"/>
      <c r="G118" s="5"/>
    </row>
    <row r="119" spans="1:7" ht="25.5" x14ac:dyDescent="0.25">
      <c r="A119" s="6"/>
      <c r="B119" s="7"/>
      <c r="C119" s="8" t="s">
        <v>126</v>
      </c>
      <c r="D119" s="9"/>
      <c r="E119" s="47"/>
      <c r="F119" s="52"/>
      <c r="G119" s="10"/>
    </row>
    <row r="120" spans="1:7" ht="15" x14ac:dyDescent="0.25">
      <c r="A120" s="6"/>
      <c r="B120" s="7"/>
      <c r="C120" s="8" t="s">
        <v>104</v>
      </c>
      <c r="D120" s="25"/>
      <c r="E120" s="48"/>
      <c r="F120" s="53">
        <v>0</v>
      </c>
      <c r="G120" s="13">
        <v>0</v>
      </c>
    </row>
    <row r="121" spans="1:7" ht="15" x14ac:dyDescent="0.25">
      <c r="A121" s="6"/>
      <c r="B121" s="7"/>
      <c r="C121" s="14"/>
      <c r="D121" s="7"/>
      <c r="E121" s="46"/>
      <c r="F121" s="51"/>
      <c r="G121" s="5"/>
    </row>
    <row r="122" spans="1:7" ht="25.5" x14ac:dyDescent="0.25">
      <c r="A122" s="6"/>
      <c r="B122" s="7"/>
      <c r="C122" s="8" t="s">
        <v>127</v>
      </c>
      <c r="D122" s="9"/>
      <c r="E122" s="47"/>
      <c r="F122" s="51">
        <v>33.524999999999999</v>
      </c>
      <c r="G122" s="5">
        <v>1.8385915999999999E-2</v>
      </c>
    </row>
    <row r="123" spans="1:7" ht="15" x14ac:dyDescent="0.25">
      <c r="A123" s="6"/>
      <c r="B123" s="7"/>
      <c r="C123" s="8" t="s">
        <v>810</v>
      </c>
      <c r="D123" s="25"/>
      <c r="E123" s="48"/>
      <c r="F123" s="53">
        <v>33.524999999999999</v>
      </c>
      <c r="G123" s="13">
        <v>1.8385915999999999E-2</v>
      </c>
    </row>
    <row r="124" spans="1:7" ht="15" x14ac:dyDescent="0.25">
      <c r="A124" s="6"/>
      <c r="B124" s="7"/>
      <c r="C124" s="14"/>
      <c r="D124" s="7"/>
      <c r="E124" s="46"/>
      <c r="F124" s="56"/>
      <c r="G124" s="27"/>
    </row>
    <row r="125" spans="1:7" ht="25.5" x14ac:dyDescent="0.25">
      <c r="A125" s="6"/>
      <c r="B125" s="7"/>
      <c r="C125" s="29" t="s">
        <v>128</v>
      </c>
      <c r="D125" s="7"/>
      <c r="E125" s="46"/>
      <c r="F125" s="56">
        <v>17.752958509999999</v>
      </c>
      <c r="G125" s="27">
        <v>9.7361489999999995E-3</v>
      </c>
    </row>
    <row r="126" spans="1:7" ht="15" x14ac:dyDescent="0.25">
      <c r="A126" s="6"/>
      <c r="B126" s="7"/>
      <c r="C126" s="30" t="s">
        <v>129</v>
      </c>
      <c r="D126" s="12"/>
      <c r="E126" s="48"/>
      <c r="F126" s="53">
        <v>1823.4065997100006</v>
      </c>
      <c r="G126" s="13">
        <v>0.99999999800000017</v>
      </c>
    </row>
    <row r="128" spans="1:7" ht="15" x14ac:dyDescent="0.25">
      <c r="B128" s="279"/>
      <c r="C128" s="279"/>
      <c r="D128" s="279"/>
      <c r="E128" s="279"/>
      <c r="F128" s="279"/>
    </row>
    <row r="129" spans="2:6" ht="15" x14ac:dyDescent="0.25">
      <c r="B129" s="279"/>
      <c r="C129" s="279"/>
      <c r="D129" s="279"/>
      <c r="E129" s="279"/>
      <c r="F129" s="279"/>
    </row>
    <row r="131" spans="2:6" ht="15" x14ac:dyDescent="0.25">
      <c r="B131" s="36" t="s">
        <v>131</v>
      </c>
      <c r="C131" s="37"/>
      <c r="D131" s="38"/>
    </row>
    <row r="132" spans="2:6" ht="15" x14ac:dyDescent="0.25">
      <c r="B132" s="39" t="s">
        <v>132</v>
      </c>
      <c r="C132" s="40"/>
      <c r="D132" s="62" t="s">
        <v>133</v>
      </c>
    </row>
    <row r="133" spans="2:6" ht="15" x14ac:dyDescent="0.25">
      <c r="B133" s="39" t="s">
        <v>134</v>
      </c>
      <c r="C133" s="40"/>
      <c r="D133" s="62" t="s">
        <v>133</v>
      </c>
    </row>
    <row r="134" spans="2:6" ht="15" x14ac:dyDescent="0.25">
      <c r="B134" s="41" t="s">
        <v>135</v>
      </c>
      <c r="C134" s="40"/>
      <c r="D134" s="42"/>
    </row>
    <row r="135" spans="2:6" ht="25.5" customHeight="1" x14ac:dyDescent="0.25">
      <c r="B135" s="42"/>
      <c r="C135" s="32" t="s">
        <v>136</v>
      </c>
      <c r="D135" s="33" t="s">
        <v>137</v>
      </c>
    </row>
    <row r="136" spans="2:6" ht="12.75" customHeight="1" x14ac:dyDescent="0.25">
      <c r="B136" s="57" t="s">
        <v>138</v>
      </c>
      <c r="C136" s="58" t="s">
        <v>139</v>
      </c>
      <c r="D136" s="58" t="s">
        <v>140</v>
      </c>
    </row>
    <row r="137" spans="2:6" ht="15" x14ac:dyDescent="0.25">
      <c r="B137" s="42" t="s">
        <v>141</v>
      </c>
      <c r="C137" s="43">
        <v>10.846</v>
      </c>
      <c r="D137" s="43">
        <v>9.6224000000000007</v>
      </c>
    </row>
    <row r="138" spans="2:6" ht="15" x14ac:dyDescent="0.25">
      <c r="B138" s="42" t="s">
        <v>142</v>
      </c>
      <c r="C138" s="43">
        <v>10.846</v>
      </c>
      <c r="D138" s="43">
        <v>9.6224000000000007</v>
      </c>
    </row>
    <row r="139" spans="2:6" ht="15" x14ac:dyDescent="0.25">
      <c r="B139" s="42" t="s">
        <v>143</v>
      </c>
      <c r="C139" s="43">
        <v>10.7989</v>
      </c>
      <c r="D139" s="43">
        <v>9.5762</v>
      </c>
    </row>
    <row r="140" spans="2:6" ht="15" x14ac:dyDescent="0.25">
      <c r="B140" s="42" t="s">
        <v>144</v>
      </c>
      <c r="C140" s="43">
        <v>10.7989</v>
      </c>
      <c r="D140" s="43">
        <v>9.5762</v>
      </c>
    </row>
    <row r="142" spans="2:6" ht="15" x14ac:dyDescent="0.25">
      <c r="B142" s="59" t="s">
        <v>145</v>
      </c>
      <c r="C142" s="44"/>
      <c r="D142" s="60" t="s">
        <v>133</v>
      </c>
    </row>
    <row r="143" spans="2:6" ht="24.75" customHeight="1" x14ac:dyDescent="0.25">
      <c r="B143" s="61"/>
      <c r="C143" s="61"/>
    </row>
    <row r="144" spans="2:6" ht="15" x14ac:dyDescent="0.25">
      <c r="B144" s="63"/>
      <c r="C144" s="65"/>
      <c r="D144"/>
    </row>
    <row r="146" spans="2:4" ht="15" x14ac:dyDescent="0.25">
      <c r="B146" s="41" t="s">
        <v>146</v>
      </c>
      <c r="C146" s="40"/>
      <c r="D146" s="64" t="s">
        <v>133</v>
      </c>
    </row>
    <row r="147" spans="2:4" ht="15" x14ac:dyDescent="0.25">
      <c r="B147" s="41" t="s">
        <v>147</v>
      </c>
      <c r="C147" s="40"/>
      <c r="D147" s="64" t="s">
        <v>133</v>
      </c>
    </row>
    <row r="148" spans="2:4" ht="15" x14ac:dyDescent="0.25">
      <c r="B148" s="41" t="s">
        <v>148</v>
      </c>
      <c r="C148" s="40"/>
      <c r="D148" s="45">
        <v>9.076018150746502E-3</v>
      </c>
    </row>
    <row r="149" spans="2:4" ht="15" x14ac:dyDescent="0.25">
      <c r="B149" s="41" t="s">
        <v>149</v>
      </c>
      <c r="C149" s="40"/>
      <c r="D149" s="45" t="s">
        <v>133</v>
      </c>
    </row>
  </sheetData>
  <mergeCells count="5">
    <mergeCell ref="A1:G1"/>
    <mergeCell ref="A2:G2"/>
    <mergeCell ref="A3:G3"/>
    <mergeCell ref="B128:F128"/>
    <mergeCell ref="B129:F129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V140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473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442</v>
      </c>
      <c r="C7" s="11" t="s">
        <v>443</v>
      </c>
      <c r="D7" s="2" t="s">
        <v>162</v>
      </c>
      <c r="E7" s="46">
        <v>50450</v>
      </c>
      <c r="F7" s="51">
        <v>264.73637500000001</v>
      </c>
      <c r="G7" s="5">
        <v>4.2169841E-2</v>
      </c>
    </row>
    <row r="8" spans="1:7" ht="15" x14ac:dyDescent="0.25">
      <c r="A8" s="6">
        <v>2</v>
      </c>
      <c r="B8" s="7" t="s">
        <v>151</v>
      </c>
      <c r="C8" s="11" t="s">
        <v>152</v>
      </c>
      <c r="D8" s="2" t="s">
        <v>16</v>
      </c>
      <c r="E8" s="46">
        <v>135147</v>
      </c>
      <c r="F8" s="51">
        <v>261.64459199999999</v>
      </c>
      <c r="G8" s="5">
        <v>4.1677351000000001E-2</v>
      </c>
    </row>
    <row r="9" spans="1:7" ht="25.5" x14ac:dyDescent="0.25">
      <c r="A9" s="6">
        <v>3</v>
      </c>
      <c r="B9" s="7" t="s">
        <v>153</v>
      </c>
      <c r="C9" s="11" t="s">
        <v>154</v>
      </c>
      <c r="D9" s="2" t="s">
        <v>155</v>
      </c>
      <c r="E9" s="46">
        <v>36575</v>
      </c>
      <c r="F9" s="51">
        <v>227.78909999999999</v>
      </c>
      <c r="G9" s="5">
        <v>3.6284511999999998E-2</v>
      </c>
    </row>
    <row r="10" spans="1:7" ht="25.5" x14ac:dyDescent="0.25">
      <c r="A10" s="6">
        <v>4</v>
      </c>
      <c r="B10" s="7" t="s">
        <v>23</v>
      </c>
      <c r="C10" s="11" t="s">
        <v>24</v>
      </c>
      <c r="D10" s="2" t="s">
        <v>22</v>
      </c>
      <c r="E10" s="46">
        <v>39090</v>
      </c>
      <c r="F10" s="51">
        <v>214.936365</v>
      </c>
      <c r="G10" s="5">
        <v>3.4237200000000002E-2</v>
      </c>
    </row>
    <row r="11" spans="1:7" ht="25.5" x14ac:dyDescent="0.25">
      <c r="A11" s="6">
        <v>5</v>
      </c>
      <c r="B11" s="7" t="s">
        <v>45</v>
      </c>
      <c r="C11" s="11" t="s">
        <v>46</v>
      </c>
      <c r="D11" s="2" t="s">
        <v>22</v>
      </c>
      <c r="E11" s="46">
        <v>33425</v>
      </c>
      <c r="F11" s="51">
        <v>204.52757500000001</v>
      </c>
      <c r="G11" s="5">
        <v>3.2579184999999997E-2</v>
      </c>
    </row>
    <row r="12" spans="1:7" ht="25.5" x14ac:dyDescent="0.25">
      <c r="A12" s="6">
        <v>6</v>
      </c>
      <c r="B12" s="7" t="s">
        <v>70</v>
      </c>
      <c r="C12" s="11" t="s">
        <v>71</v>
      </c>
      <c r="D12" s="2" t="s">
        <v>22</v>
      </c>
      <c r="E12" s="46">
        <v>18100</v>
      </c>
      <c r="F12" s="51">
        <v>198.5932</v>
      </c>
      <c r="G12" s="5">
        <v>3.1633899E-2</v>
      </c>
    </row>
    <row r="13" spans="1:7" ht="25.5" x14ac:dyDescent="0.25">
      <c r="A13" s="6">
        <v>7</v>
      </c>
      <c r="B13" s="7" t="s">
        <v>388</v>
      </c>
      <c r="C13" s="11" t="s">
        <v>389</v>
      </c>
      <c r="D13" s="2" t="s">
        <v>59</v>
      </c>
      <c r="E13" s="46">
        <v>82596</v>
      </c>
      <c r="F13" s="51">
        <v>189.92950200000001</v>
      </c>
      <c r="G13" s="5">
        <v>3.0253859000000001E-2</v>
      </c>
    </row>
    <row r="14" spans="1:7" ht="25.5" x14ac:dyDescent="0.25">
      <c r="A14" s="6">
        <v>8</v>
      </c>
      <c r="B14" s="7" t="s">
        <v>306</v>
      </c>
      <c r="C14" s="11" t="s">
        <v>307</v>
      </c>
      <c r="D14" s="2" t="s">
        <v>59</v>
      </c>
      <c r="E14" s="46">
        <v>12054</v>
      </c>
      <c r="F14" s="51">
        <v>187.373403</v>
      </c>
      <c r="G14" s="5">
        <v>2.9846698000000001E-2</v>
      </c>
    </row>
    <row r="15" spans="1:7" ht="25.5" x14ac:dyDescent="0.25">
      <c r="A15" s="6">
        <v>9</v>
      </c>
      <c r="B15" s="7" t="s">
        <v>440</v>
      </c>
      <c r="C15" s="11" t="s">
        <v>441</v>
      </c>
      <c r="D15" s="2" t="s">
        <v>59</v>
      </c>
      <c r="E15" s="46">
        <v>120000</v>
      </c>
      <c r="F15" s="51">
        <v>183.78</v>
      </c>
      <c r="G15" s="5">
        <v>2.9274305E-2</v>
      </c>
    </row>
    <row r="16" spans="1:7" ht="25.5" x14ac:dyDescent="0.25">
      <c r="A16" s="6">
        <v>10</v>
      </c>
      <c r="B16" s="7" t="s">
        <v>176</v>
      </c>
      <c r="C16" s="11" t="s">
        <v>177</v>
      </c>
      <c r="D16" s="2" t="s">
        <v>30</v>
      </c>
      <c r="E16" s="46">
        <v>18168</v>
      </c>
      <c r="F16" s="51">
        <v>176.81097600000001</v>
      </c>
      <c r="G16" s="5">
        <v>2.8164209999999999E-2</v>
      </c>
    </row>
    <row r="17" spans="1:7" ht="25.5" x14ac:dyDescent="0.25">
      <c r="A17" s="6">
        <v>11</v>
      </c>
      <c r="B17" s="7" t="s">
        <v>301</v>
      </c>
      <c r="C17" s="11" t="s">
        <v>302</v>
      </c>
      <c r="D17" s="2" t="s">
        <v>22</v>
      </c>
      <c r="E17" s="46">
        <v>22202</v>
      </c>
      <c r="F17" s="51">
        <v>157.41218000000001</v>
      </c>
      <c r="G17" s="5">
        <v>2.5074177E-2</v>
      </c>
    </row>
    <row r="18" spans="1:7" ht="25.5" x14ac:dyDescent="0.25">
      <c r="A18" s="6">
        <v>12</v>
      </c>
      <c r="B18" s="7" t="s">
        <v>196</v>
      </c>
      <c r="C18" s="11" t="s">
        <v>846</v>
      </c>
      <c r="D18" s="2" t="s">
        <v>59</v>
      </c>
      <c r="E18" s="46">
        <v>9500</v>
      </c>
      <c r="F18" s="51">
        <v>155.92349999999999</v>
      </c>
      <c r="G18" s="5">
        <v>2.4837044999999999E-2</v>
      </c>
    </row>
    <row r="19" spans="1:7" ht="15" x14ac:dyDescent="0.25">
      <c r="A19" s="6">
        <v>13</v>
      </c>
      <c r="B19" s="7" t="s">
        <v>468</v>
      </c>
      <c r="C19" s="11" t="s">
        <v>469</v>
      </c>
      <c r="D19" s="2" t="s">
        <v>241</v>
      </c>
      <c r="E19" s="46">
        <v>105000</v>
      </c>
      <c r="F19" s="51">
        <v>154.7175</v>
      </c>
      <c r="G19" s="5">
        <v>2.4644941E-2</v>
      </c>
    </row>
    <row r="20" spans="1:7" ht="25.5" x14ac:dyDescent="0.25">
      <c r="A20" s="6">
        <v>14</v>
      </c>
      <c r="B20" s="7" t="s">
        <v>250</v>
      </c>
      <c r="C20" s="11" t="s">
        <v>251</v>
      </c>
      <c r="D20" s="2" t="s">
        <v>30</v>
      </c>
      <c r="E20" s="46">
        <v>147000</v>
      </c>
      <c r="F20" s="51">
        <v>149.94</v>
      </c>
      <c r="G20" s="5">
        <v>2.3883933E-2</v>
      </c>
    </row>
    <row r="21" spans="1:7" ht="15" x14ac:dyDescent="0.25">
      <c r="A21" s="6">
        <v>15</v>
      </c>
      <c r="B21" s="7" t="s">
        <v>344</v>
      </c>
      <c r="C21" s="11" t="s">
        <v>345</v>
      </c>
      <c r="D21" s="2" t="s">
        <v>241</v>
      </c>
      <c r="E21" s="46">
        <v>2436</v>
      </c>
      <c r="F21" s="51">
        <v>149.34506999999999</v>
      </c>
      <c r="G21" s="5">
        <v>2.3789167E-2</v>
      </c>
    </row>
    <row r="22" spans="1:7" ht="15" x14ac:dyDescent="0.25">
      <c r="A22" s="6">
        <v>16</v>
      </c>
      <c r="B22" s="7" t="s">
        <v>168</v>
      </c>
      <c r="C22" s="11" t="s">
        <v>169</v>
      </c>
      <c r="D22" s="2" t="s">
        <v>170</v>
      </c>
      <c r="E22" s="46">
        <v>77400</v>
      </c>
      <c r="F22" s="51">
        <v>147.447</v>
      </c>
      <c r="G22" s="5">
        <v>2.3486824E-2</v>
      </c>
    </row>
    <row r="23" spans="1:7" ht="25.5" x14ac:dyDescent="0.25">
      <c r="A23" s="6">
        <v>17</v>
      </c>
      <c r="B23" s="7" t="s">
        <v>474</v>
      </c>
      <c r="C23" s="11" t="s">
        <v>475</v>
      </c>
      <c r="D23" s="2" t="s">
        <v>162</v>
      </c>
      <c r="E23" s="46">
        <v>63790</v>
      </c>
      <c r="F23" s="51">
        <v>145.05846</v>
      </c>
      <c r="G23" s="5">
        <v>2.3106353E-2</v>
      </c>
    </row>
    <row r="24" spans="1:7" ht="25.5" x14ac:dyDescent="0.25">
      <c r="A24" s="6">
        <v>18</v>
      </c>
      <c r="B24" s="7" t="s">
        <v>462</v>
      </c>
      <c r="C24" s="11" t="s">
        <v>463</v>
      </c>
      <c r="D24" s="2" t="s">
        <v>37</v>
      </c>
      <c r="E24" s="46">
        <v>27674</v>
      </c>
      <c r="F24" s="51">
        <v>141.19274799999999</v>
      </c>
      <c r="G24" s="5">
        <v>2.2490584000000001E-2</v>
      </c>
    </row>
    <row r="25" spans="1:7" ht="25.5" x14ac:dyDescent="0.25">
      <c r="A25" s="6">
        <v>19</v>
      </c>
      <c r="B25" s="7" t="s">
        <v>448</v>
      </c>
      <c r="C25" s="11" t="s">
        <v>449</v>
      </c>
      <c r="D25" s="2" t="s">
        <v>81</v>
      </c>
      <c r="E25" s="46">
        <v>53500</v>
      </c>
      <c r="F25" s="51">
        <v>140.30375000000001</v>
      </c>
      <c r="G25" s="5">
        <v>2.2348976E-2</v>
      </c>
    </row>
    <row r="26" spans="1:7" ht="25.5" x14ac:dyDescent="0.25">
      <c r="A26" s="6">
        <v>20</v>
      </c>
      <c r="B26" s="7" t="s">
        <v>85</v>
      </c>
      <c r="C26" s="11" t="s">
        <v>86</v>
      </c>
      <c r="D26" s="2" t="s">
        <v>22</v>
      </c>
      <c r="E26" s="46">
        <v>23500</v>
      </c>
      <c r="F26" s="51">
        <v>139.20224999999999</v>
      </c>
      <c r="G26" s="5">
        <v>2.2173518E-2</v>
      </c>
    </row>
    <row r="27" spans="1:7" ht="25.5" x14ac:dyDescent="0.25">
      <c r="A27" s="6">
        <v>21</v>
      </c>
      <c r="B27" s="7" t="s">
        <v>476</v>
      </c>
      <c r="C27" s="11" t="s">
        <v>477</v>
      </c>
      <c r="D27" s="2" t="s">
        <v>42</v>
      </c>
      <c r="E27" s="46">
        <v>108924</v>
      </c>
      <c r="F27" s="51">
        <v>132.12481199999999</v>
      </c>
      <c r="G27" s="5">
        <v>2.1046153000000001E-2</v>
      </c>
    </row>
    <row r="28" spans="1:7" ht="25.5" x14ac:dyDescent="0.25">
      <c r="A28" s="6">
        <v>22</v>
      </c>
      <c r="B28" s="7" t="s">
        <v>90</v>
      </c>
      <c r="C28" s="11" t="s">
        <v>91</v>
      </c>
      <c r="D28" s="2" t="s">
        <v>22</v>
      </c>
      <c r="E28" s="46">
        <v>13000</v>
      </c>
      <c r="F28" s="51">
        <v>129.99350000000001</v>
      </c>
      <c r="G28" s="5">
        <v>2.0706657E-2</v>
      </c>
    </row>
    <row r="29" spans="1:7" ht="15" x14ac:dyDescent="0.25">
      <c r="A29" s="6">
        <v>23</v>
      </c>
      <c r="B29" s="7" t="s">
        <v>231</v>
      </c>
      <c r="C29" s="11" t="s">
        <v>232</v>
      </c>
      <c r="D29" s="2" t="s">
        <v>170</v>
      </c>
      <c r="E29" s="46">
        <v>37000</v>
      </c>
      <c r="F29" s="51">
        <v>128.14949999999999</v>
      </c>
      <c r="G29" s="5">
        <v>2.0412926000000001E-2</v>
      </c>
    </row>
    <row r="30" spans="1:7" ht="25.5" x14ac:dyDescent="0.25">
      <c r="A30" s="6">
        <v>24</v>
      </c>
      <c r="B30" s="7" t="s">
        <v>20</v>
      </c>
      <c r="C30" s="11" t="s">
        <v>21</v>
      </c>
      <c r="D30" s="2" t="s">
        <v>22</v>
      </c>
      <c r="E30" s="46">
        <v>18691</v>
      </c>
      <c r="F30" s="51">
        <v>126.87450800000001</v>
      </c>
      <c r="G30" s="5">
        <v>2.0209833E-2</v>
      </c>
    </row>
    <row r="31" spans="1:7" ht="15" x14ac:dyDescent="0.25">
      <c r="A31" s="6">
        <v>25</v>
      </c>
      <c r="B31" s="7" t="s">
        <v>478</v>
      </c>
      <c r="C31" s="11" t="s">
        <v>479</v>
      </c>
      <c r="D31" s="2" t="s">
        <v>81</v>
      </c>
      <c r="E31" s="46">
        <v>157214</v>
      </c>
      <c r="F31" s="51">
        <v>122.62692</v>
      </c>
      <c r="G31" s="5">
        <v>1.9533234999999999E-2</v>
      </c>
    </row>
    <row r="32" spans="1:7" ht="15" x14ac:dyDescent="0.25">
      <c r="A32" s="6">
        <v>26</v>
      </c>
      <c r="B32" s="7" t="s">
        <v>252</v>
      </c>
      <c r="C32" s="11" t="s">
        <v>253</v>
      </c>
      <c r="D32" s="2" t="s">
        <v>215</v>
      </c>
      <c r="E32" s="46">
        <v>15538</v>
      </c>
      <c r="F32" s="51">
        <v>120.986637</v>
      </c>
      <c r="G32" s="5">
        <v>1.9271954000000001E-2</v>
      </c>
    </row>
    <row r="33" spans="1:7" ht="15" x14ac:dyDescent="0.25">
      <c r="A33" s="6">
        <v>27</v>
      </c>
      <c r="B33" s="7" t="s">
        <v>182</v>
      </c>
      <c r="C33" s="11" t="s">
        <v>183</v>
      </c>
      <c r="D33" s="2" t="s">
        <v>184</v>
      </c>
      <c r="E33" s="46">
        <v>64104</v>
      </c>
      <c r="F33" s="51">
        <v>119.81037600000001</v>
      </c>
      <c r="G33" s="5">
        <v>1.9084587E-2</v>
      </c>
    </row>
    <row r="34" spans="1:7" ht="15" x14ac:dyDescent="0.25">
      <c r="A34" s="6">
        <v>28</v>
      </c>
      <c r="B34" s="7" t="s">
        <v>96</v>
      </c>
      <c r="C34" s="11" t="s">
        <v>97</v>
      </c>
      <c r="D34" s="2" t="s">
        <v>51</v>
      </c>
      <c r="E34" s="46">
        <v>154000</v>
      </c>
      <c r="F34" s="51">
        <v>119.119</v>
      </c>
      <c r="G34" s="5">
        <v>1.8974458E-2</v>
      </c>
    </row>
    <row r="35" spans="1:7" ht="25.5" x14ac:dyDescent="0.25">
      <c r="A35" s="6">
        <v>29</v>
      </c>
      <c r="B35" s="7" t="s">
        <v>402</v>
      </c>
      <c r="C35" s="11" t="s">
        <v>403</v>
      </c>
      <c r="D35" s="2" t="s">
        <v>37</v>
      </c>
      <c r="E35" s="46">
        <v>20000</v>
      </c>
      <c r="F35" s="51">
        <v>118.81</v>
      </c>
      <c r="G35" s="5">
        <v>1.8925238E-2</v>
      </c>
    </row>
    <row r="36" spans="1:7" ht="51" x14ac:dyDescent="0.25">
      <c r="A36" s="6">
        <v>30</v>
      </c>
      <c r="B36" s="7" t="s">
        <v>471</v>
      </c>
      <c r="C36" s="11" t="s">
        <v>472</v>
      </c>
      <c r="D36" s="2" t="s">
        <v>235</v>
      </c>
      <c r="E36" s="46">
        <v>198000</v>
      </c>
      <c r="F36" s="51">
        <v>118.404</v>
      </c>
      <c r="G36" s="5">
        <v>1.8860565999999999E-2</v>
      </c>
    </row>
    <row r="37" spans="1:7" ht="25.5" x14ac:dyDescent="0.25">
      <c r="A37" s="6">
        <v>31</v>
      </c>
      <c r="B37" s="7" t="s">
        <v>35</v>
      </c>
      <c r="C37" s="11" t="s">
        <v>36</v>
      </c>
      <c r="D37" s="2" t="s">
        <v>37</v>
      </c>
      <c r="E37" s="46">
        <v>26165</v>
      </c>
      <c r="F37" s="51">
        <v>111.7637975</v>
      </c>
      <c r="G37" s="5">
        <v>1.7802848E-2</v>
      </c>
    </row>
    <row r="38" spans="1:7" ht="15" x14ac:dyDescent="0.25">
      <c r="A38" s="6">
        <v>32</v>
      </c>
      <c r="B38" s="7" t="s">
        <v>480</v>
      </c>
      <c r="C38" s="11" t="s">
        <v>481</v>
      </c>
      <c r="D38" s="2" t="s">
        <v>241</v>
      </c>
      <c r="E38" s="46">
        <v>3589</v>
      </c>
      <c r="F38" s="51">
        <v>108.8992325</v>
      </c>
      <c r="G38" s="5">
        <v>1.7346552000000001E-2</v>
      </c>
    </row>
    <row r="39" spans="1:7" ht="25.5" x14ac:dyDescent="0.25">
      <c r="A39" s="6">
        <v>33</v>
      </c>
      <c r="B39" s="7" t="s">
        <v>429</v>
      </c>
      <c r="C39" s="11" t="s">
        <v>430</v>
      </c>
      <c r="D39" s="2" t="s">
        <v>30</v>
      </c>
      <c r="E39" s="46">
        <v>8899</v>
      </c>
      <c r="F39" s="51">
        <v>101.8713025</v>
      </c>
      <c r="G39" s="5">
        <v>1.6227074000000001E-2</v>
      </c>
    </row>
    <row r="40" spans="1:7" ht="25.5" x14ac:dyDescent="0.25">
      <c r="A40" s="6">
        <v>34</v>
      </c>
      <c r="B40" s="7" t="s">
        <v>355</v>
      </c>
      <c r="C40" s="11" t="s">
        <v>356</v>
      </c>
      <c r="D40" s="2" t="s">
        <v>22</v>
      </c>
      <c r="E40" s="46">
        <v>30000</v>
      </c>
      <c r="F40" s="51">
        <v>98.924999999999997</v>
      </c>
      <c r="G40" s="5">
        <v>1.5757757000000001E-2</v>
      </c>
    </row>
    <row r="41" spans="1:7" ht="25.5" x14ac:dyDescent="0.25">
      <c r="A41" s="6">
        <v>35</v>
      </c>
      <c r="B41" s="7" t="s">
        <v>308</v>
      </c>
      <c r="C41" s="11" t="s">
        <v>309</v>
      </c>
      <c r="D41" s="2" t="s">
        <v>22</v>
      </c>
      <c r="E41" s="46">
        <v>2116</v>
      </c>
      <c r="F41" s="51">
        <v>88.451974000000007</v>
      </c>
      <c r="G41" s="5">
        <v>1.408951E-2</v>
      </c>
    </row>
    <row r="42" spans="1:7" ht="25.5" x14ac:dyDescent="0.25">
      <c r="A42" s="6">
        <v>36</v>
      </c>
      <c r="B42" s="7" t="s">
        <v>324</v>
      </c>
      <c r="C42" s="11" t="s">
        <v>325</v>
      </c>
      <c r="D42" s="2" t="s">
        <v>37</v>
      </c>
      <c r="E42" s="46">
        <v>801</v>
      </c>
      <c r="F42" s="51">
        <v>87.327823499999994</v>
      </c>
      <c r="G42" s="5">
        <v>1.3910443999999999E-2</v>
      </c>
    </row>
    <row r="43" spans="1:7" ht="15" x14ac:dyDescent="0.25">
      <c r="A43" s="6">
        <v>37</v>
      </c>
      <c r="B43" s="7" t="s">
        <v>236</v>
      </c>
      <c r="C43" s="11" t="s">
        <v>237</v>
      </c>
      <c r="D43" s="2" t="s">
        <v>238</v>
      </c>
      <c r="E43" s="46">
        <v>13136</v>
      </c>
      <c r="F43" s="51">
        <v>79.032743999999994</v>
      </c>
      <c r="G43" s="5">
        <v>1.2589121E-2</v>
      </c>
    </row>
    <row r="44" spans="1:7" ht="51" x14ac:dyDescent="0.25">
      <c r="A44" s="6">
        <v>38</v>
      </c>
      <c r="B44" s="7" t="s">
        <v>482</v>
      </c>
      <c r="C44" s="11" t="s">
        <v>483</v>
      </c>
      <c r="D44" s="2" t="s">
        <v>235</v>
      </c>
      <c r="E44" s="46">
        <v>28000</v>
      </c>
      <c r="F44" s="51">
        <v>76.257999999999996</v>
      </c>
      <c r="G44" s="5">
        <v>1.2147132E-2</v>
      </c>
    </row>
    <row r="45" spans="1:7" ht="15" x14ac:dyDescent="0.25">
      <c r="A45" s="6">
        <v>39</v>
      </c>
      <c r="B45" s="7" t="s">
        <v>191</v>
      </c>
      <c r="C45" s="11" t="s">
        <v>192</v>
      </c>
      <c r="D45" s="2" t="s">
        <v>193</v>
      </c>
      <c r="E45" s="46">
        <v>57000</v>
      </c>
      <c r="F45" s="51">
        <v>75.867000000000004</v>
      </c>
      <c r="G45" s="5">
        <v>1.2084849999999999E-2</v>
      </c>
    </row>
    <row r="46" spans="1:7" ht="15" x14ac:dyDescent="0.25">
      <c r="A46" s="6">
        <v>40</v>
      </c>
      <c r="B46" s="7" t="s">
        <v>211</v>
      </c>
      <c r="C46" s="11" t="s">
        <v>212</v>
      </c>
      <c r="D46" s="2" t="s">
        <v>162</v>
      </c>
      <c r="E46" s="46">
        <v>89575</v>
      </c>
      <c r="F46" s="51">
        <v>71.212125</v>
      </c>
      <c r="G46" s="5">
        <v>1.1343374999999999E-2</v>
      </c>
    </row>
    <row r="47" spans="1:7" ht="25.5" x14ac:dyDescent="0.25">
      <c r="A47" s="6">
        <v>41</v>
      </c>
      <c r="B47" s="7" t="s">
        <v>57</v>
      </c>
      <c r="C47" s="11" t="s">
        <v>58</v>
      </c>
      <c r="D47" s="2" t="s">
        <v>59</v>
      </c>
      <c r="E47" s="46">
        <v>10000</v>
      </c>
      <c r="F47" s="51">
        <v>67.680000000000007</v>
      </c>
      <c r="G47" s="5">
        <v>1.0780743000000001E-2</v>
      </c>
    </row>
    <row r="48" spans="1:7" ht="15" x14ac:dyDescent="0.25">
      <c r="A48" s="6">
        <v>42</v>
      </c>
      <c r="B48" s="7" t="s">
        <v>242</v>
      </c>
      <c r="C48" s="11" t="s">
        <v>243</v>
      </c>
      <c r="D48" s="2" t="s">
        <v>241</v>
      </c>
      <c r="E48" s="46">
        <v>18500</v>
      </c>
      <c r="F48" s="51">
        <v>62.141500000000001</v>
      </c>
      <c r="G48" s="5">
        <v>9.8985159999999996E-3</v>
      </c>
    </row>
    <row r="49" spans="1:7" ht="25.5" x14ac:dyDescent="0.25">
      <c r="A49" s="6">
        <v>43</v>
      </c>
      <c r="B49" s="7" t="s">
        <v>484</v>
      </c>
      <c r="C49" s="11" t="s">
        <v>485</v>
      </c>
      <c r="D49" s="2" t="s">
        <v>30</v>
      </c>
      <c r="E49" s="46">
        <v>5000</v>
      </c>
      <c r="F49" s="51">
        <v>59.9375</v>
      </c>
      <c r="G49" s="5">
        <v>9.5474410000000003E-3</v>
      </c>
    </row>
    <row r="50" spans="1:7" ht="25.5" x14ac:dyDescent="0.25">
      <c r="A50" s="6">
        <v>44</v>
      </c>
      <c r="B50" s="7" t="s">
        <v>274</v>
      </c>
      <c r="C50" s="11" t="s">
        <v>275</v>
      </c>
      <c r="D50" s="2" t="s">
        <v>22</v>
      </c>
      <c r="E50" s="46">
        <v>14822</v>
      </c>
      <c r="F50" s="51">
        <v>58.391269000000001</v>
      </c>
      <c r="G50" s="5">
        <v>9.3011420000000001E-3</v>
      </c>
    </row>
    <row r="51" spans="1:7" ht="15" x14ac:dyDescent="0.25">
      <c r="A51" s="6">
        <v>45</v>
      </c>
      <c r="B51" s="7" t="s">
        <v>258</v>
      </c>
      <c r="C51" s="11" t="s">
        <v>259</v>
      </c>
      <c r="D51" s="2" t="s">
        <v>193</v>
      </c>
      <c r="E51" s="46">
        <v>68000</v>
      </c>
      <c r="F51" s="51">
        <v>52.427999999999997</v>
      </c>
      <c r="G51" s="5">
        <v>8.3512529999999995E-3</v>
      </c>
    </row>
    <row r="52" spans="1:7" ht="15" x14ac:dyDescent="0.25">
      <c r="A52" s="6">
        <v>46</v>
      </c>
      <c r="B52" s="7" t="s">
        <v>187</v>
      </c>
      <c r="C52" s="11" t="s">
        <v>188</v>
      </c>
      <c r="D52" s="2" t="s">
        <v>162</v>
      </c>
      <c r="E52" s="46">
        <v>5500</v>
      </c>
      <c r="F52" s="51">
        <v>50.465249999999997</v>
      </c>
      <c r="G52" s="5">
        <v>8.0386069999999997E-3</v>
      </c>
    </row>
    <row r="53" spans="1:7" ht="25.5" x14ac:dyDescent="0.25">
      <c r="A53" s="6">
        <v>47</v>
      </c>
      <c r="B53" s="7" t="s">
        <v>216</v>
      </c>
      <c r="C53" s="11" t="s">
        <v>217</v>
      </c>
      <c r="D53" s="2" t="s">
        <v>59</v>
      </c>
      <c r="E53" s="46">
        <v>20911</v>
      </c>
      <c r="F53" s="51">
        <v>47.332048499999999</v>
      </c>
      <c r="G53" s="5">
        <v>7.5395189999999997E-3</v>
      </c>
    </row>
    <row r="54" spans="1:7" ht="25.5" x14ac:dyDescent="0.25">
      <c r="A54" s="6">
        <v>48</v>
      </c>
      <c r="B54" s="7" t="s">
        <v>464</v>
      </c>
      <c r="C54" s="11" t="s">
        <v>465</v>
      </c>
      <c r="D54" s="2" t="s">
        <v>59</v>
      </c>
      <c r="E54" s="46">
        <v>6341</v>
      </c>
      <c r="F54" s="51">
        <v>44.222133999999997</v>
      </c>
      <c r="G54" s="5">
        <v>7.0441410000000003E-3</v>
      </c>
    </row>
    <row r="55" spans="1:7" ht="15" x14ac:dyDescent="0.25">
      <c r="A55" s="1"/>
      <c r="B55" s="2"/>
      <c r="C55" s="8" t="s">
        <v>104</v>
      </c>
      <c r="D55" s="12"/>
      <c r="E55" s="48"/>
      <c r="F55" s="53">
        <v>6169.7694995000002</v>
      </c>
      <c r="G55" s="13">
        <v>0.9827822100000001</v>
      </c>
    </row>
    <row r="56" spans="1:7" ht="15" x14ac:dyDescent="0.25">
      <c r="A56" s="6"/>
      <c r="B56" s="7"/>
      <c r="C56" s="14"/>
      <c r="D56" s="15"/>
      <c r="E56" s="46"/>
      <c r="F56" s="51"/>
      <c r="G56" s="5"/>
    </row>
    <row r="57" spans="1:7" ht="15" x14ac:dyDescent="0.25">
      <c r="A57" s="1"/>
      <c r="B57" s="2"/>
      <c r="C57" s="8" t="s">
        <v>105</v>
      </c>
      <c r="D57" s="9"/>
      <c r="E57" s="47"/>
      <c r="F57" s="52"/>
      <c r="G57" s="10"/>
    </row>
    <row r="58" spans="1:7" ht="15" x14ac:dyDescent="0.25">
      <c r="A58" s="1"/>
      <c r="B58" s="2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6"/>
      <c r="B59" s="7"/>
      <c r="C59" s="14"/>
      <c r="D59" s="15"/>
      <c r="E59" s="46"/>
      <c r="F59" s="51"/>
      <c r="G59" s="5"/>
    </row>
    <row r="60" spans="1:7" ht="15" x14ac:dyDescent="0.25">
      <c r="A60" s="16"/>
      <c r="B60" s="17"/>
      <c r="C60" s="8" t="s">
        <v>106</v>
      </c>
      <c r="D60" s="9"/>
      <c r="E60" s="47"/>
      <c r="F60" s="52"/>
      <c r="G60" s="10"/>
    </row>
    <row r="61" spans="1:7" ht="15" x14ac:dyDescent="0.25">
      <c r="A61" s="18"/>
      <c r="B61" s="19"/>
      <c r="C61" s="8" t="s">
        <v>104</v>
      </c>
      <c r="D61" s="20"/>
      <c r="E61" s="49"/>
      <c r="F61" s="54">
        <v>0</v>
      </c>
      <c r="G61" s="21">
        <v>0</v>
      </c>
    </row>
    <row r="62" spans="1:7" ht="15" x14ac:dyDescent="0.25">
      <c r="A62" s="18"/>
      <c r="B62" s="19"/>
      <c r="C62" s="14"/>
      <c r="D62" s="22"/>
      <c r="E62" s="50"/>
      <c r="F62" s="55"/>
      <c r="G62" s="23"/>
    </row>
    <row r="63" spans="1:7" ht="15" x14ac:dyDescent="0.25">
      <c r="A63" s="1"/>
      <c r="B63" s="2"/>
      <c r="C63" s="8" t="s">
        <v>108</v>
      </c>
      <c r="D63" s="9"/>
      <c r="E63" s="47"/>
      <c r="F63" s="52"/>
      <c r="G63" s="10"/>
    </row>
    <row r="64" spans="1:7" ht="15" x14ac:dyDescent="0.25">
      <c r="A64" s="1"/>
      <c r="B64" s="2"/>
      <c r="C64" s="8" t="s">
        <v>104</v>
      </c>
      <c r="D64" s="12"/>
      <c r="E64" s="48"/>
      <c r="F64" s="53">
        <v>0</v>
      </c>
      <c r="G64" s="13">
        <v>0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15" x14ac:dyDescent="0.25">
      <c r="A66" s="1"/>
      <c r="B66" s="2"/>
      <c r="C66" s="8" t="s">
        <v>109</v>
      </c>
      <c r="D66" s="9"/>
      <c r="E66" s="47"/>
      <c r="F66" s="52"/>
      <c r="G66" s="10"/>
    </row>
    <row r="67" spans="1:7" ht="15" x14ac:dyDescent="0.25">
      <c r="A67" s="1"/>
      <c r="B67" s="2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1"/>
      <c r="B68" s="2"/>
      <c r="C68" s="14"/>
      <c r="D68" s="4"/>
      <c r="E68" s="46"/>
      <c r="F68" s="51"/>
      <c r="G68" s="5"/>
    </row>
    <row r="69" spans="1:7" ht="15" x14ac:dyDescent="0.25">
      <c r="A69" s="1"/>
      <c r="B69" s="2"/>
      <c r="C69" s="8" t="s">
        <v>110</v>
      </c>
      <c r="D69" s="9"/>
      <c r="E69" s="47"/>
      <c r="F69" s="52"/>
      <c r="G69" s="10"/>
    </row>
    <row r="70" spans="1:7" ht="15" x14ac:dyDescent="0.25">
      <c r="A70" s="1"/>
      <c r="B70" s="2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1"/>
      <c r="B71" s="2"/>
      <c r="C71" s="14"/>
      <c r="D71" s="4"/>
      <c r="E71" s="46"/>
      <c r="F71" s="51"/>
      <c r="G71" s="5"/>
    </row>
    <row r="72" spans="1:7" ht="25.5" x14ac:dyDescent="0.25">
      <c r="A72" s="6"/>
      <c r="B72" s="7"/>
      <c r="C72" s="24" t="s">
        <v>111</v>
      </c>
      <c r="D72" s="25"/>
      <c r="E72" s="48"/>
      <c r="F72" s="53">
        <v>6169.7694995000002</v>
      </c>
      <c r="G72" s="13">
        <v>0.9827822100000001</v>
      </c>
    </row>
    <row r="73" spans="1:7" ht="15" x14ac:dyDescent="0.25">
      <c r="A73" s="1"/>
      <c r="B73" s="2"/>
      <c r="C73" s="11"/>
      <c r="D73" s="4"/>
      <c r="E73" s="46"/>
      <c r="F73" s="51"/>
      <c r="G73" s="5"/>
    </row>
    <row r="74" spans="1:7" ht="15" x14ac:dyDescent="0.25">
      <c r="A74" s="1"/>
      <c r="B74" s="2"/>
      <c r="C74" s="3" t="s">
        <v>112</v>
      </c>
      <c r="D74" s="4"/>
      <c r="E74" s="46"/>
      <c r="F74" s="51"/>
      <c r="G74" s="5"/>
    </row>
    <row r="75" spans="1:7" ht="25.5" x14ac:dyDescent="0.25">
      <c r="A75" s="1"/>
      <c r="B75" s="2"/>
      <c r="C75" s="8" t="s">
        <v>10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6"/>
      <c r="B77" s="7"/>
      <c r="C77" s="14"/>
      <c r="D77" s="4"/>
      <c r="E77" s="46"/>
      <c r="F77" s="51"/>
      <c r="G77" s="5"/>
    </row>
    <row r="78" spans="1:7" ht="15" x14ac:dyDescent="0.25">
      <c r="A78" s="1"/>
      <c r="B78" s="26"/>
      <c r="C78" s="8" t="s">
        <v>113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6"/>
      <c r="G80" s="27"/>
    </row>
    <row r="81" spans="1:7" ht="15" x14ac:dyDescent="0.25">
      <c r="A81" s="1"/>
      <c r="B81" s="2"/>
      <c r="C81" s="8" t="s">
        <v>114</v>
      </c>
      <c r="D81" s="9"/>
      <c r="E81" s="47"/>
      <c r="F81" s="52"/>
      <c r="G81" s="10"/>
    </row>
    <row r="82" spans="1:7" ht="15" x14ac:dyDescent="0.25">
      <c r="A82" s="6"/>
      <c r="B82" s="7"/>
      <c r="C82" s="8" t="s">
        <v>104</v>
      </c>
      <c r="D82" s="12"/>
      <c r="E82" s="48"/>
      <c r="F82" s="53">
        <v>0</v>
      </c>
      <c r="G82" s="13">
        <v>0</v>
      </c>
    </row>
    <row r="83" spans="1:7" ht="15" x14ac:dyDescent="0.25">
      <c r="A83" s="1"/>
      <c r="B83" s="2"/>
      <c r="C83" s="14"/>
      <c r="D83" s="4"/>
      <c r="E83" s="46"/>
      <c r="F83" s="51"/>
      <c r="G83" s="5"/>
    </row>
    <row r="84" spans="1:7" ht="25.5" x14ac:dyDescent="0.25">
      <c r="A84" s="1"/>
      <c r="B84" s="26"/>
      <c r="C84" s="8" t="s">
        <v>115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4"/>
      <c r="E86" s="46"/>
      <c r="F86" s="51"/>
      <c r="G86" s="5"/>
    </row>
    <row r="87" spans="1:7" ht="15" x14ac:dyDescent="0.25">
      <c r="A87" s="6"/>
      <c r="B87" s="7"/>
      <c r="C87" s="28" t="s">
        <v>116</v>
      </c>
      <c r="D87" s="25"/>
      <c r="E87" s="48"/>
      <c r="F87" s="53">
        <v>0</v>
      </c>
      <c r="G87" s="13">
        <v>0</v>
      </c>
    </row>
    <row r="88" spans="1:7" ht="15" x14ac:dyDescent="0.25">
      <c r="A88" s="6"/>
      <c r="B88" s="7"/>
      <c r="C88" s="11"/>
      <c r="D88" s="4"/>
      <c r="E88" s="46"/>
      <c r="F88" s="51"/>
      <c r="G88" s="5"/>
    </row>
    <row r="89" spans="1:7" ht="15" x14ac:dyDescent="0.25">
      <c r="A89" s="1"/>
      <c r="B89" s="2"/>
      <c r="C89" s="3" t="s">
        <v>117</v>
      </c>
      <c r="D89" s="4"/>
      <c r="E89" s="46"/>
      <c r="F89" s="51"/>
      <c r="G89" s="5"/>
    </row>
    <row r="90" spans="1:7" ht="15" x14ac:dyDescent="0.25">
      <c r="A90" s="6"/>
      <c r="B90" s="7"/>
      <c r="C90" s="8" t="s">
        <v>118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119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25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15" x14ac:dyDescent="0.25">
      <c r="A96" s="6"/>
      <c r="B96" s="7"/>
      <c r="C96" s="8" t="s">
        <v>120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25"/>
      <c r="E97" s="48"/>
      <c r="F97" s="53">
        <v>0</v>
      </c>
      <c r="G97" s="13">
        <v>0</v>
      </c>
    </row>
    <row r="98" spans="1:7" ht="15" x14ac:dyDescent="0.25">
      <c r="A98" s="6"/>
      <c r="B98" s="7"/>
      <c r="C98" s="14"/>
      <c r="D98" s="7"/>
      <c r="E98" s="46"/>
      <c r="F98" s="51"/>
      <c r="G98" s="5"/>
    </row>
    <row r="99" spans="1:7" ht="15" x14ac:dyDescent="0.25">
      <c r="A99" s="6"/>
      <c r="B99" s="7"/>
      <c r="C99" s="8" t="s">
        <v>121</v>
      </c>
      <c r="D99" s="9"/>
      <c r="E99" s="47"/>
      <c r="F99" s="52"/>
      <c r="G99" s="10"/>
    </row>
    <row r="100" spans="1:7" ht="15" x14ac:dyDescent="0.25">
      <c r="A100" s="6">
        <v>1</v>
      </c>
      <c r="B100" s="7"/>
      <c r="C100" s="11" t="s">
        <v>730</v>
      </c>
      <c r="D100" s="15"/>
      <c r="E100" s="46"/>
      <c r="F100" s="51">
        <v>105.9837685</v>
      </c>
      <c r="G100" s="5">
        <v>1.6882148E-2</v>
      </c>
    </row>
    <row r="101" spans="1:7" ht="15" x14ac:dyDescent="0.25">
      <c r="A101" s="6"/>
      <c r="B101" s="7"/>
      <c r="C101" s="8" t="s">
        <v>104</v>
      </c>
      <c r="D101" s="25"/>
      <c r="E101" s="48"/>
      <c r="F101" s="53">
        <v>105.9837685</v>
      </c>
      <c r="G101" s="13">
        <v>1.6882148E-2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25.5" x14ac:dyDescent="0.25">
      <c r="A103" s="6"/>
      <c r="B103" s="7"/>
      <c r="C103" s="24" t="s">
        <v>122</v>
      </c>
      <c r="D103" s="25"/>
      <c r="E103" s="48"/>
      <c r="F103" s="53">
        <v>105.9837685</v>
      </c>
      <c r="G103" s="13">
        <v>1.6882148E-2</v>
      </c>
    </row>
    <row r="104" spans="1:7" ht="15" x14ac:dyDescent="0.25">
      <c r="A104" s="6"/>
      <c r="B104" s="7"/>
      <c r="C104" s="29"/>
      <c r="D104" s="7"/>
      <c r="E104" s="46"/>
      <c r="F104" s="51"/>
      <c r="G104" s="5"/>
    </row>
    <row r="105" spans="1:7" ht="15" x14ac:dyDescent="0.25">
      <c r="A105" s="1"/>
      <c r="B105" s="2"/>
      <c r="C105" s="3" t="s">
        <v>123</v>
      </c>
      <c r="D105" s="4"/>
      <c r="E105" s="46"/>
      <c r="F105" s="51"/>
      <c r="G105" s="5"/>
    </row>
    <row r="106" spans="1:7" ht="25.5" x14ac:dyDescent="0.25">
      <c r="A106" s="6"/>
      <c r="B106" s="7"/>
      <c r="C106" s="8" t="s">
        <v>124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1"/>
      <c r="B109" s="2"/>
      <c r="C109" s="3" t="s">
        <v>125</v>
      </c>
      <c r="D109" s="4"/>
      <c r="E109" s="46"/>
      <c r="F109" s="51"/>
      <c r="G109" s="5"/>
    </row>
    <row r="110" spans="1:7" ht="25.5" x14ac:dyDescent="0.25">
      <c r="A110" s="6"/>
      <c r="B110" s="7"/>
      <c r="C110" s="8" t="s">
        <v>126</v>
      </c>
      <c r="D110" s="9"/>
      <c r="E110" s="47"/>
      <c r="F110" s="52"/>
      <c r="G110" s="10"/>
    </row>
    <row r="111" spans="1:7" ht="15" x14ac:dyDescent="0.25">
      <c r="A111" s="6"/>
      <c r="B111" s="7"/>
      <c r="C111" s="8" t="s">
        <v>104</v>
      </c>
      <c r="D111" s="25"/>
      <c r="E111" s="48"/>
      <c r="F111" s="53">
        <v>0</v>
      </c>
      <c r="G111" s="13">
        <v>0</v>
      </c>
    </row>
    <row r="112" spans="1:7" ht="15" x14ac:dyDescent="0.25">
      <c r="A112" s="6"/>
      <c r="B112" s="7"/>
      <c r="C112" s="14"/>
      <c r="D112" s="7"/>
      <c r="E112" s="46"/>
      <c r="F112" s="51"/>
      <c r="G112" s="5"/>
    </row>
    <row r="113" spans="1:7" ht="25.5" x14ac:dyDescent="0.25">
      <c r="A113" s="6"/>
      <c r="B113" s="7"/>
      <c r="C113" s="8" t="s">
        <v>127</v>
      </c>
      <c r="D113" s="9"/>
      <c r="E113" s="47"/>
      <c r="F113" s="52"/>
      <c r="G113" s="10"/>
    </row>
    <row r="114" spans="1:7" ht="15" x14ac:dyDescent="0.25">
      <c r="A114" s="6"/>
      <c r="B114" s="7"/>
      <c r="C114" s="8" t="s">
        <v>104</v>
      </c>
      <c r="D114" s="25"/>
      <c r="E114" s="48"/>
      <c r="F114" s="53">
        <v>0</v>
      </c>
      <c r="G114" s="13">
        <v>0</v>
      </c>
    </row>
    <row r="115" spans="1:7" ht="15" x14ac:dyDescent="0.25">
      <c r="A115" s="6"/>
      <c r="B115" s="7"/>
      <c r="C115" s="14"/>
      <c r="D115" s="7"/>
      <c r="E115" s="46"/>
      <c r="F115" s="56"/>
      <c r="G115" s="27"/>
    </row>
    <row r="116" spans="1:7" ht="25.5" x14ac:dyDescent="0.25">
      <c r="A116" s="6"/>
      <c r="B116" s="7"/>
      <c r="C116" s="29" t="s">
        <v>128</v>
      </c>
      <c r="D116" s="7"/>
      <c r="E116" s="46"/>
      <c r="F116" s="56">
        <v>2.1071377999999998</v>
      </c>
      <c r="G116" s="27">
        <v>3.3564599999999999E-4</v>
      </c>
    </row>
    <row r="117" spans="1:7" ht="15" x14ac:dyDescent="0.25">
      <c r="A117" s="6"/>
      <c r="B117" s="7"/>
      <c r="C117" s="30" t="s">
        <v>129</v>
      </c>
      <c r="D117" s="12"/>
      <c r="E117" s="48"/>
      <c r="F117" s="53">
        <v>6277.8604058000001</v>
      </c>
      <c r="G117" s="13">
        <v>1.0000000040000001</v>
      </c>
    </row>
    <row r="119" spans="1:7" ht="15" x14ac:dyDescent="0.25">
      <c r="B119" s="279"/>
      <c r="C119" s="279"/>
      <c r="D119" s="279"/>
      <c r="E119" s="279"/>
      <c r="F119" s="279"/>
    </row>
    <row r="120" spans="1:7" ht="15" x14ac:dyDescent="0.25">
      <c r="B120" s="279"/>
      <c r="C120" s="279"/>
      <c r="D120" s="279"/>
      <c r="E120" s="279"/>
      <c r="F120" s="279"/>
    </row>
    <row r="122" spans="1:7" ht="15" x14ac:dyDescent="0.25">
      <c r="B122" s="36" t="s">
        <v>131</v>
      </c>
      <c r="C122" s="37"/>
      <c r="D122" s="38"/>
    </row>
    <row r="123" spans="1:7" ht="15" x14ac:dyDescent="0.25">
      <c r="B123" s="39" t="s">
        <v>132</v>
      </c>
      <c r="C123" s="40"/>
      <c r="D123" s="62" t="s">
        <v>133</v>
      </c>
    </row>
    <row r="124" spans="1:7" ht="15" x14ac:dyDescent="0.25">
      <c r="B124" s="39" t="s">
        <v>134</v>
      </c>
      <c r="C124" s="40"/>
      <c r="D124" s="62" t="s">
        <v>133</v>
      </c>
    </row>
    <row r="125" spans="1:7" ht="15" x14ac:dyDescent="0.25">
      <c r="B125" s="41" t="s">
        <v>135</v>
      </c>
      <c r="C125" s="40"/>
      <c r="D125" s="42"/>
    </row>
    <row r="126" spans="1:7" ht="25.5" customHeight="1" x14ac:dyDescent="0.25">
      <c r="B126" s="42"/>
      <c r="C126" s="32" t="s">
        <v>136</v>
      </c>
      <c r="D126" s="33" t="s">
        <v>137</v>
      </c>
    </row>
    <row r="127" spans="1:7" ht="12.75" customHeight="1" x14ac:dyDescent="0.25">
      <c r="B127" s="57" t="s">
        <v>138</v>
      </c>
      <c r="C127" s="58" t="s">
        <v>139</v>
      </c>
      <c r="D127" s="58" t="s">
        <v>140</v>
      </c>
    </row>
    <row r="128" spans="1:7" ht="15" x14ac:dyDescent="0.25">
      <c r="B128" s="42" t="s">
        <v>141</v>
      </c>
      <c r="C128" s="43">
        <v>10.3081</v>
      </c>
      <c r="D128" s="43">
        <v>9.4131</v>
      </c>
    </row>
    <row r="129" spans="2:4" ht="15" x14ac:dyDescent="0.25">
      <c r="B129" s="42" t="s">
        <v>142</v>
      </c>
      <c r="C129" s="43">
        <v>10.3081</v>
      </c>
      <c r="D129" s="43">
        <v>9.4131</v>
      </c>
    </row>
    <row r="130" spans="2:4" ht="15" x14ac:dyDescent="0.25">
      <c r="B130" s="42" t="s">
        <v>143</v>
      </c>
      <c r="C130" s="43">
        <v>10.2568</v>
      </c>
      <c r="D130" s="43">
        <v>9.3629999999999995</v>
      </c>
    </row>
    <row r="131" spans="2:4" ht="15" x14ac:dyDescent="0.25">
      <c r="B131" s="42" t="s">
        <v>144</v>
      </c>
      <c r="C131" s="43">
        <v>10.2568</v>
      </c>
      <c r="D131" s="43">
        <v>9.3629999999999995</v>
      </c>
    </row>
    <row r="133" spans="2:4" ht="15" x14ac:dyDescent="0.25">
      <c r="B133" s="59" t="s">
        <v>145</v>
      </c>
      <c r="C133" s="44"/>
      <c r="D133" s="60" t="s">
        <v>133</v>
      </c>
    </row>
    <row r="134" spans="2:4" ht="24.75" customHeight="1" x14ac:dyDescent="0.25">
      <c r="B134" s="61"/>
      <c r="C134" s="61"/>
    </row>
    <row r="135" spans="2:4" ht="15" x14ac:dyDescent="0.25">
      <c r="B135" s="63"/>
      <c r="C135" s="65"/>
      <c r="D135"/>
    </row>
    <row r="137" spans="2:4" ht="15" x14ac:dyDescent="0.25">
      <c r="B137" s="41" t="s">
        <v>146</v>
      </c>
      <c r="C137" s="40"/>
      <c r="D137" s="64" t="s">
        <v>133</v>
      </c>
    </row>
    <row r="138" spans="2:4" ht="15" x14ac:dyDescent="0.25">
      <c r="B138" s="41" t="s">
        <v>147</v>
      </c>
      <c r="C138" s="40"/>
      <c r="D138" s="64" t="s">
        <v>133</v>
      </c>
    </row>
    <row r="139" spans="2:4" ht="15" x14ac:dyDescent="0.25">
      <c r="B139" s="41" t="s">
        <v>148</v>
      </c>
      <c r="C139" s="40"/>
      <c r="D139" s="45">
        <v>2.6765582184603799E-3</v>
      </c>
    </row>
    <row r="140" spans="2:4" ht="15" x14ac:dyDescent="0.25">
      <c r="B140" s="41" t="s">
        <v>149</v>
      </c>
      <c r="C140" s="40"/>
      <c r="D140" s="45" t="s">
        <v>133</v>
      </c>
    </row>
  </sheetData>
  <mergeCells count="5">
    <mergeCell ref="A1:G1"/>
    <mergeCell ref="A2:G2"/>
    <mergeCell ref="A3:G3"/>
    <mergeCell ref="B119:F119"/>
    <mergeCell ref="B120:F120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V124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486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2198156</v>
      </c>
      <c r="F7" s="51">
        <v>9333.3703760000008</v>
      </c>
      <c r="G7" s="5">
        <v>9.5662558999999994E-2</v>
      </c>
    </row>
    <row r="8" spans="1:7" ht="15" x14ac:dyDescent="0.25">
      <c r="A8" s="6">
        <v>2</v>
      </c>
      <c r="B8" s="7" t="s">
        <v>33</v>
      </c>
      <c r="C8" s="11" t="s">
        <v>34</v>
      </c>
      <c r="D8" s="2" t="s">
        <v>13</v>
      </c>
      <c r="E8" s="46">
        <v>397759</v>
      </c>
      <c r="F8" s="51">
        <v>8956.1405235000002</v>
      </c>
      <c r="G8" s="5">
        <v>9.1796134000000001E-2</v>
      </c>
    </row>
    <row r="9" spans="1:7" ht="25.5" x14ac:dyDescent="0.25">
      <c r="A9" s="6">
        <v>3</v>
      </c>
      <c r="B9" s="7" t="s">
        <v>40</v>
      </c>
      <c r="C9" s="11" t="s">
        <v>41</v>
      </c>
      <c r="D9" s="2" t="s">
        <v>42</v>
      </c>
      <c r="E9" s="46">
        <v>622092</v>
      </c>
      <c r="F9" s="51">
        <v>7255.1479499999996</v>
      </c>
      <c r="G9" s="5">
        <v>7.4361778000000003E-2</v>
      </c>
    </row>
    <row r="10" spans="1:7" ht="15" x14ac:dyDescent="0.25">
      <c r="A10" s="6">
        <v>4</v>
      </c>
      <c r="B10" s="7" t="s">
        <v>487</v>
      </c>
      <c r="C10" s="11" t="s">
        <v>488</v>
      </c>
      <c r="D10" s="2" t="s">
        <v>13</v>
      </c>
      <c r="E10" s="46">
        <v>426450</v>
      </c>
      <c r="F10" s="51">
        <v>6480.1209749999998</v>
      </c>
      <c r="G10" s="5">
        <v>6.6418123999999995E-2</v>
      </c>
    </row>
    <row r="11" spans="1:7" ht="25.5" x14ac:dyDescent="0.25">
      <c r="A11" s="6">
        <v>5</v>
      </c>
      <c r="B11" s="7" t="s">
        <v>489</v>
      </c>
      <c r="C11" s="11" t="s">
        <v>490</v>
      </c>
      <c r="D11" s="2" t="s">
        <v>162</v>
      </c>
      <c r="E11" s="46">
        <v>286238</v>
      </c>
      <c r="F11" s="51">
        <v>6073.397884</v>
      </c>
      <c r="G11" s="5">
        <v>6.2249407999999999E-2</v>
      </c>
    </row>
    <row r="12" spans="1:7" ht="15" x14ac:dyDescent="0.25">
      <c r="A12" s="6">
        <v>6</v>
      </c>
      <c r="B12" s="7" t="s">
        <v>394</v>
      </c>
      <c r="C12" s="11" t="s">
        <v>395</v>
      </c>
      <c r="D12" s="2" t="s">
        <v>13</v>
      </c>
      <c r="E12" s="46">
        <v>863592</v>
      </c>
      <c r="F12" s="51">
        <v>5821.4736720000001</v>
      </c>
      <c r="G12" s="5">
        <v>5.9667306000000003E-2</v>
      </c>
    </row>
    <row r="13" spans="1:7" ht="25.5" x14ac:dyDescent="0.25">
      <c r="A13" s="6">
        <v>7</v>
      </c>
      <c r="B13" s="7" t="s">
        <v>17</v>
      </c>
      <c r="C13" s="11" t="s">
        <v>18</v>
      </c>
      <c r="D13" s="2" t="s">
        <v>19</v>
      </c>
      <c r="E13" s="46">
        <v>355230</v>
      </c>
      <c r="F13" s="51">
        <v>4928.1057899999996</v>
      </c>
      <c r="G13" s="5">
        <v>5.0510714999999998E-2</v>
      </c>
    </row>
    <row r="14" spans="1:7" ht="15" x14ac:dyDescent="0.25">
      <c r="A14" s="6">
        <v>8</v>
      </c>
      <c r="B14" s="7" t="s">
        <v>328</v>
      </c>
      <c r="C14" s="11" t="s">
        <v>329</v>
      </c>
      <c r="D14" s="2" t="s">
        <v>241</v>
      </c>
      <c r="E14" s="46">
        <v>249108</v>
      </c>
      <c r="F14" s="51">
        <v>4162.2210180000002</v>
      </c>
      <c r="G14" s="5">
        <v>4.2660763999999997E-2</v>
      </c>
    </row>
    <row r="15" spans="1:7" ht="25.5" x14ac:dyDescent="0.25">
      <c r="A15" s="6">
        <v>9</v>
      </c>
      <c r="B15" s="7" t="s">
        <v>396</v>
      </c>
      <c r="C15" s="11" t="s">
        <v>397</v>
      </c>
      <c r="D15" s="2" t="s">
        <v>37</v>
      </c>
      <c r="E15" s="46">
        <v>1451815</v>
      </c>
      <c r="F15" s="51">
        <v>3922.80413</v>
      </c>
      <c r="G15" s="5">
        <v>4.0206855999999999E-2</v>
      </c>
    </row>
    <row r="16" spans="1:7" ht="15" x14ac:dyDescent="0.25">
      <c r="A16" s="6">
        <v>10</v>
      </c>
      <c r="B16" s="7" t="s">
        <v>491</v>
      </c>
      <c r="C16" s="11" t="s">
        <v>492</v>
      </c>
      <c r="D16" s="2" t="s">
        <v>215</v>
      </c>
      <c r="E16" s="46">
        <v>392786</v>
      </c>
      <c r="F16" s="51">
        <v>3117.3460890000001</v>
      </c>
      <c r="G16" s="5">
        <v>3.1951299000000002E-2</v>
      </c>
    </row>
    <row r="17" spans="1:7" ht="15" x14ac:dyDescent="0.25">
      <c r="A17" s="6">
        <v>11</v>
      </c>
      <c r="B17" s="7" t="s">
        <v>493</v>
      </c>
      <c r="C17" s="11" t="s">
        <v>494</v>
      </c>
      <c r="D17" s="2" t="s">
        <v>27</v>
      </c>
      <c r="E17" s="46">
        <v>2369568</v>
      </c>
      <c r="F17" s="51">
        <v>2998.6883039999998</v>
      </c>
      <c r="G17" s="5">
        <v>3.0735113000000001E-2</v>
      </c>
    </row>
    <row r="18" spans="1:7" ht="25.5" x14ac:dyDescent="0.25">
      <c r="A18" s="6">
        <v>12</v>
      </c>
      <c r="B18" s="7" t="s">
        <v>310</v>
      </c>
      <c r="C18" s="11" t="s">
        <v>311</v>
      </c>
      <c r="D18" s="2" t="s">
        <v>37</v>
      </c>
      <c r="E18" s="46">
        <v>380906</v>
      </c>
      <c r="F18" s="51">
        <v>2433.6084340000002</v>
      </c>
      <c r="G18" s="5">
        <v>2.4943316E-2</v>
      </c>
    </row>
    <row r="19" spans="1:7" ht="25.5" x14ac:dyDescent="0.25">
      <c r="A19" s="6">
        <v>13</v>
      </c>
      <c r="B19" s="7" t="s">
        <v>400</v>
      </c>
      <c r="C19" s="11" t="s">
        <v>401</v>
      </c>
      <c r="D19" s="2" t="s">
        <v>37</v>
      </c>
      <c r="E19" s="46">
        <v>158835</v>
      </c>
      <c r="F19" s="51">
        <v>2416.0391850000001</v>
      </c>
      <c r="G19" s="5">
        <v>2.4763239999999999E-2</v>
      </c>
    </row>
    <row r="20" spans="1:7" ht="25.5" x14ac:dyDescent="0.25">
      <c r="A20" s="6">
        <v>14</v>
      </c>
      <c r="B20" s="7" t="s">
        <v>390</v>
      </c>
      <c r="C20" s="11" t="s">
        <v>391</v>
      </c>
      <c r="D20" s="2" t="s">
        <v>162</v>
      </c>
      <c r="E20" s="46">
        <v>294445</v>
      </c>
      <c r="F20" s="51">
        <v>2348.3460974999998</v>
      </c>
      <c r="G20" s="5">
        <v>2.4069417999999999E-2</v>
      </c>
    </row>
    <row r="21" spans="1:7" ht="25.5" x14ac:dyDescent="0.25">
      <c r="A21" s="6">
        <v>15</v>
      </c>
      <c r="B21" s="7" t="s">
        <v>495</v>
      </c>
      <c r="C21" s="11" t="s">
        <v>496</v>
      </c>
      <c r="D21" s="2" t="s">
        <v>497</v>
      </c>
      <c r="E21" s="46">
        <v>670186</v>
      </c>
      <c r="F21" s="51">
        <v>2262.5479359999999</v>
      </c>
      <c r="G21" s="5">
        <v>2.3190029000000001E-2</v>
      </c>
    </row>
    <row r="22" spans="1:7" ht="15" x14ac:dyDescent="0.25">
      <c r="A22" s="6">
        <v>16</v>
      </c>
      <c r="B22" s="7" t="s">
        <v>342</v>
      </c>
      <c r="C22" s="11" t="s">
        <v>343</v>
      </c>
      <c r="D22" s="2" t="s">
        <v>155</v>
      </c>
      <c r="E22" s="46">
        <v>112247</v>
      </c>
      <c r="F22" s="51">
        <v>1870.03502</v>
      </c>
      <c r="G22" s="5">
        <v>1.916696E-2</v>
      </c>
    </row>
    <row r="23" spans="1:7" ht="15" x14ac:dyDescent="0.25">
      <c r="A23" s="6">
        <v>17</v>
      </c>
      <c r="B23" s="7" t="s">
        <v>47</v>
      </c>
      <c r="C23" s="11" t="s">
        <v>48</v>
      </c>
      <c r="D23" s="2" t="s">
        <v>13</v>
      </c>
      <c r="E23" s="46">
        <v>557515</v>
      </c>
      <c r="F23" s="51">
        <v>1852.06483</v>
      </c>
      <c r="G23" s="5">
        <v>1.8982774000000001E-2</v>
      </c>
    </row>
    <row r="24" spans="1:7" ht="25.5" x14ac:dyDescent="0.25">
      <c r="A24" s="6">
        <v>18</v>
      </c>
      <c r="B24" s="7" t="s">
        <v>433</v>
      </c>
      <c r="C24" s="11" t="s">
        <v>434</v>
      </c>
      <c r="D24" s="2" t="s">
        <v>59</v>
      </c>
      <c r="E24" s="46">
        <v>311952</v>
      </c>
      <c r="F24" s="51">
        <v>1818.6801599999999</v>
      </c>
      <c r="G24" s="5">
        <v>1.8640596999999998E-2</v>
      </c>
    </row>
    <row r="25" spans="1:7" ht="15" x14ac:dyDescent="0.25">
      <c r="A25" s="6">
        <v>19</v>
      </c>
      <c r="B25" s="7" t="s">
        <v>435</v>
      </c>
      <c r="C25" s="11" t="s">
        <v>436</v>
      </c>
      <c r="D25" s="2" t="s">
        <v>215</v>
      </c>
      <c r="E25" s="46">
        <v>80585</v>
      </c>
      <c r="F25" s="51">
        <v>1777.4633449999999</v>
      </c>
      <c r="G25" s="5">
        <v>1.8218145000000002E-2</v>
      </c>
    </row>
    <row r="26" spans="1:7" ht="25.5" x14ac:dyDescent="0.25">
      <c r="A26" s="6">
        <v>20</v>
      </c>
      <c r="B26" s="7" t="s">
        <v>406</v>
      </c>
      <c r="C26" s="11" t="s">
        <v>407</v>
      </c>
      <c r="D26" s="2" t="s">
        <v>162</v>
      </c>
      <c r="E26" s="46">
        <v>135026</v>
      </c>
      <c r="F26" s="51">
        <v>1630.2364110000001</v>
      </c>
      <c r="G26" s="5">
        <v>1.6709139000000001E-2</v>
      </c>
    </row>
    <row r="27" spans="1:7" ht="15" x14ac:dyDescent="0.25">
      <c r="A27" s="6">
        <v>21</v>
      </c>
      <c r="B27" s="7" t="s">
        <v>291</v>
      </c>
      <c r="C27" s="11" t="s">
        <v>292</v>
      </c>
      <c r="D27" s="2" t="s">
        <v>238</v>
      </c>
      <c r="E27" s="46">
        <v>387406</v>
      </c>
      <c r="F27" s="51">
        <v>1540.519959</v>
      </c>
      <c r="G27" s="5">
        <v>1.5789589E-2</v>
      </c>
    </row>
    <row r="28" spans="1:7" ht="25.5" x14ac:dyDescent="0.25">
      <c r="A28" s="6">
        <v>22</v>
      </c>
      <c r="B28" s="7" t="s">
        <v>437</v>
      </c>
      <c r="C28" s="11" t="s">
        <v>438</v>
      </c>
      <c r="D28" s="2" t="s">
        <v>59</v>
      </c>
      <c r="E28" s="46">
        <v>142056</v>
      </c>
      <c r="F28" s="51">
        <v>1500.6085559999999</v>
      </c>
      <c r="G28" s="5">
        <v>1.5380516E-2</v>
      </c>
    </row>
    <row r="29" spans="1:7" ht="15" x14ac:dyDescent="0.25">
      <c r="A29" s="6">
        <v>23</v>
      </c>
      <c r="B29" s="7" t="s">
        <v>412</v>
      </c>
      <c r="C29" s="11" t="s">
        <v>413</v>
      </c>
      <c r="D29" s="2" t="s">
        <v>162</v>
      </c>
      <c r="E29" s="46">
        <v>45115</v>
      </c>
      <c r="F29" s="51">
        <v>1467.1623575000001</v>
      </c>
      <c r="G29" s="5">
        <v>1.5037709E-2</v>
      </c>
    </row>
    <row r="30" spans="1:7" ht="25.5" x14ac:dyDescent="0.25">
      <c r="A30" s="6">
        <v>24</v>
      </c>
      <c r="B30" s="7" t="s">
        <v>388</v>
      </c>
      <c r="C30" s="11" t="s">
        <v>389</v>
      </c>
      <c r="D30" s="2" t="s">
        <v>59</v>
      </c>
      <c r="E30" s="46">
        <v>621493</v>
      </c>
      <c r="F30" s="51">
        <v>1429.1231534999999</v>
      </c>
      <c r="G30" s="5">
        <v>1.4647825E-2</v>
      </c>
    </row>
    <row r="31" spans="1:7" ht="15" x14ac:dyDescent="0.25">
      <c r="A31" s="6">
        <v>25</v>
      </c>
      <c r="B31" s="7" t="s">
        <v>38</v>
      </c>
      <c r="C31" s="11" t="s">
        <v>39</v>
      </c>
      <c r="D31" s="2" t="s">
        <v>16</v>
      </c>
      <c r="E31" s="46">
        <v>7083</v>
      </c>
      <c r="F31" s="51">
        <v>1428.2338275</v>
      </c>
      <c r="G31" s="5">
        <v>1.4638709999999999E-2</v>
      </c>
    </row>
    <row r="32" spans="1:7" ht="15" x14ac:dyDescent="0.25">
      <c r="A32" s="6">
        <v>26</v>
      </c>
      <c r="B32" s="7" t="s">
        <v>498</v>
      </c>
      <c r="C32" s="11" t="s">
        <v>499</v>
      </c>
      <c r="D32" s="2" t="s">
        <v>170</v>
      </c>
      <c r="E32" s="46">
        <v>631984</v>
      </c>
      <c r="F32" s="51">
        <v>1158.11068</v>
      </c>
      <c r="G32" s="5">
        <v>1.1870077999999999E-2</v>
      </c>
    </row>
    <row r="33" spans="1:7" ht="15" x14ac:dyDescent="0.25">
      <c r="A33" s="6">
        <v>27</v>
      </c>
      <c r="B33" s="7" t="s">
        <v>426</v>
      </c>
      <c r="C33" s="11" t="s">
        <v>427</v>
      </c>
      <c r="D33" s="2" t="s">
        <v>13</v>
      </c>
      <c r="E33" s="46">
        <v>70095</v>
      </c>
      <c r="F33" s="51">
        <v>990.33720749999998</v>
      </c>
      <c r="G33" s="5">
        <v>1.015048E-2</v>
      </c>
    </row>
    <row r="34" spans="1:7" ht="15" x14ac:dyDescent="0.25">
      <c r="A34" s="6">
        <v>28</v>
      </c>
      <c r="B34" s="7" t="s">
        <v>431</v>
      </c>
      <c r="C34" s="11" t="s">
        <v>432</v>
      </c>
      <c r="D34" s="2" t="s">
        <v>16</v>
      </c>
      <c r="E34" s="46">
        <v>22304</v>
      </c>
      <c r="F34" s="51">
        <v>969.53257599999995</v>
      </c>
      <c r="G34" s="5">
        <v>9.9372430000000001E-3</v>
      </c>
    </row>
    <row r="35" spans="1:7" ht="15" x14ac:dyDescent="0.25">
      <c r="A35" s="6">
        <v>29</v>
      </c>
      <c r="B35" s="7" t="s">
        <v>500</v>
      </c>
      <c r="C35" s="11" t="s">
        <v>501</v>
      </c>
      <c r="D35" s="2" t="s">
        <v>226</v>
      </c>
      <c r="E35" s="46">
        <v>15400</v>
      </c>
      <c r="F35" s="51">
        <v>842.3338</v>
      </c>
      <c r="G35" s="5">
        <v>8.6335160000000008E-3</v>
      </c>
    </row>
    <row r="36" spans="1:7" ht="15" x14ac:dyDescent="0.25">
      <c r="A36" s="6">
        <v>30</v>
      </c>
      <c r="B36" s="86" t="s">
        <v>850</v>
      </c>
      <c r="C36" s="11" t="s">
        <v>381</v>
      </c>
      <c r="D36" s="2" t="s">
        <v>155</v>
      </c>
      <c r="E36" s="46">
        <v>11225</v>
      </c>
      <c r="F36" s="51">
        <v>53.374875000000003</v>
      </c>
      <c r="G36" s="5">
        <v>5.4706700000000004E-4</v>
      </c>
    </row>
    <row r="37" spans="1:7" ht="15" x14ac:dyDescent="0.25">
      <c r="A37" s="1"/>
      <c r="B37" s="2"/>
      <c r="C37" s="8" t="s">
        <v>104</v>
      </c>
      <c r="D37" s="12"/>
      <c r="E37" s="48"/>
      <c r="F37" s="53">
        <v>92837.175121999971</v>
      </c>
      <c r="G37" s="13">
        <v>0.95153640699999975</v>
      </c>
    </row>
    <row r="38" spans="1:7" ht="15" x14ac:dyDescent="0.25">
      <c r="A38" s="6"/>
      <c r="B38" s="7"/>
      <c r="C38" s="14"/>
      <c r="D38" s="15"/>
      <c r="E38" s="46"/>
      <c r="F38" s="51"/>
      <c r="G38" s="5"/>
    </row>
    <row r="39" spans="1:7" ht="15" x14ac:dyDescent="0.25">
      <c r="A39" s="1"/>
      <c r="B39" s="2"/>
      <c r="C39" s="8" t="s">
        <v>105</v>
      </c>
      <c r="D39" s="9"/>
      <c r="E39" s="47"/>
      <c r="F39" s="52"/>
      <c r="G39" s="10"/>
    </row>
    <row r="40" spans="1:7" ht="15" x14ac:dyDescent="0.25">
      <c r="A40" s="1"/>
      <c r="B40" s="2"/>
      <c r="C40" s="8" t="s">
        <v>104</v>
      </c>
      <c r="D40" s="12"/>
      <c r="E40" s="48"/>
      <c r="F40" s="53">
        <v>0</v>
      </c>
      <c r="G40" s="13">
        <v>0</v>
      </c>
    </row>
    <row r="41" spans="1:7" ht="15" x14ac:dyDescent="0.25">
      <c r="A41" s="6"/>
      <c r="B41" s="7"/>
      <c r="C41" s="14"/>
      <c r="D41" s="15"/>
      <c r="E41" s="46"/>
      <c r="F41" s="51"/>
      <c r="G41" s="5"/>
    </row>
    <row r="42" spans="1:7" ht="15" x14ac:dyDescent="0.25">
      <c r="A42" s="16"/>
      <c r="B42" s="17"/>
      <c r="C42" s="8" t="s">
        <v>106</v>
      </c>
      <c r="D42" s="9"/>
      <c r="E42" s="47"/>
      <c r="F42" s="52"/>
      <c r="G42" s="10"/>
    </row>
    <row r="43" spans="1:7" ht="15" x14ac:dyDescent="0.25">
      <c r="A43" s="18"/>
      <c r="B43" s="19"/>
      <c r="C43" s="8" t="s">
        <v>104</v>
      </c>
      <c r="D43" s="20"/>
      <c r="E43" s="49"/>
      <c r="F43" s="54">
        <v>0</v>
      </c>
      <c r="G43" s="21">
        <v>0</v>
      </c>
    </row>
    <row r="44" spans="1:7" ht="15" x14ac:dyDescent="0.25">
      <c r="A44" s="18"/>
      <c r="B44" s="19"/>
      <c r="C44" s="14"/>
      <c r="D44" s="22"/>
      <c r="E44" s="50"/>
      <c r="F44" s="55"/>
      <c r="G44" s="23"/>
    </row>
    <row r="45" spans="1:7" ht="15" x14ac:dyDescent="0.25">
      <c r="A45" s="1"/>
      <c r="B45" s="2"/>
      <c r="C45" s="8" t="s">
        <v>108</v>
      </c>
      <c r="D45" s="9"/>
      <c r="E45" s="47"/>
      <c r="F45" s="52"/>
      <c r="G45" s="10"/>
    </row>
    <row r="46" spans="1:7" ht="15" x14ac:dyDescent="0.25">
      <c r="A46" s="1"/>
      <c r="B46" s="2"/>
      <c r="C46" s="8" t="s">
        <v>104</v>
      </c>
      <c r="D46" s="12"/>
      <c r="E46" s="48"/>
      <c r="F46" s="53">
        <v>0</v>
      </c>
      <c r="G46" s="13">
        <v>0</v>
      </c>
    </row>
    <row r="47" spans="1:7" ht="15" x14ac:dyDescent="0.25">
      <c r="A47" s="1"/>
      <c r="B47" s="2"/>
      <c r="C47" s="14"/>
      <c r="D47" s="4"/>
      <c r="E47" s="46"/>
      <c r="F47" s="51"/>
      <c r="G47" s="5"/>
    </row>
    <row r="48" spans="1:7" ht="15" x14ac:dyDescent="0.25">
      <c r="A48" s="1"/>
      <c r="B48" s="2"/>
      <c r="C48" s="8" t="s">
        <v>109</v>
      </c>
      <c r="D48" s="9"/>
      <c r="E48" s="47"/>
      <c r="F48" s="52"/>
      <c r="G48" s="10"/>
    </row>
    <row r="49" spans="1:7" ht="15" x14ac:dyDescent="0.25">
      <c r="A49" s="1"/>
      <c r="B49" s="2"/>
      <c r="C49" s="8" t="s">
        <v>104</v>
      </c>
      <c r="D49" s="12"/>
      <c r="E49" s="48"/>
      <c r="F49" s="53">
        <v>0</v>
      </c>
      <c r="G49" s="13">
        <v>0</v>
      </c>
    </row>
    <row r="50" spans="1:7" ht="15" x14ac:dyDescent="0.25">
      <c r="A50" s="1"/>
      <c r="B50" s="2"/>
      <c r="C50" s="14"/>
      <c r="D50" s="4"/>
      <c r="E50" s="46"/>
      <c r="F50" s="51"/>
      <c r="G50" s="5"/>
    </row>
    <row r="51" spans="1:7" ht="15" x14ac:dyDescent="0.25">
      <c r="A51" s="1"/>
      <c r="B51" s="2"/>
      <c r="C51" s="8" t="s">
        <v>110</v>
      </c>
      <c r="D51" s="9"/>
      <c r="E51" s="47"/>
      <c r="F51" s="52"/>
      <c r="G51" s="10"/>
    </row>
    <row r="52" spans="1:7" ht="15" x14ac:dyDescent="0.25">
      <c r="A52" s="1"/>
      <c r="B52" s="2"/>
      <c r="C52" s="8" t="s">
        <v>104</v>
      </c>
      <c r="D52" s="12"/>
      <c r="E52" s="48"/>
      <c r="F52" s="53">
        <v>0</v>
      </c>
      <c r="G52" s="13">
        <v>0</v>
      </c>
    </row>
    <row r="53" spans="1:7" ht="15" x14ac:dyDescent="0.25">
      <c r="A53" s="1"/>
      <c r="B53" s="2"/>
      <c r="C53" s="14"/>
      <c r="D53" s="4"/>
      <c r="E53" s="46"/>
      <c r="F53" s="51"/>
      <c r="G53" s="5"/>
    </row>
    <row r="54" spans="1:7" ht="25.5" x14ac:dyDescent="0.25">
      <c r="A54" s="6"/>
      <c r="B54" s="7"/>
      <c r="C54" s="24" t="s">
        <v>111</v>
      </c>
      <c r="D54" s="25"/>
      <c r="E54" s="48"/>
      <c r="F54" s="53">
        <v>92837.175121999971</v>
      </c>
      <c r="G54" s="13">
        <v>0.95153640699999975</v>
      </c>
    </row>
    <row r="55" spans="1:7" ht="15" x14ac:dyDescent="0.25">
      <c r="A55" s="1"/>
      <c r="B55" s="2"/>
      <c r="C55" s="11"/>
      <c r="D55" s="4"/>
      <c r="E55" s="46"/>
      <c r="F55" s="51"/>
      <c r="G55" s="5"/>
    </row>
    <row r="56" spans="1:7" ht="15" x14ac:dyDescent="0.25">
      <c r="A56" s="1"/>
      <c r="B56" s="2"/>
      <c r="C56" s="3" t="s">
        <v>112</v>
      </c>
      <c r="D56" s="4"/>
      <c r="E56" s="46"/>
      <c r="F56" s="51"/>
      <c r="G56" s="5"/>
    </row>
    <row r="57" spans="1:7" ht="25.5" x14ac:dyDescent="0.25">
      <c r="A57" s="1"/>
      <c r="B57" s="2"/>
      <c r="C57" s="8" t="s">
        <v>10</v>
      </c>
      <c r="D57" s="9"/>
      <c r="E57" s="47"/>
      <c r="F57" s="52"/>
      <c r="G57" s="10"/>
    </row>
    <row r="58" spans="1:7" ht="15" x14ac:dyDescent="0.25">
      <c r="A58" s="6"/>
      <c r="B58" s="7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6"/>
      <c r="B59" s="7"/>
      <c r="C59" s="14"/>
      <c r="D59" s="4"/>
      <c r="E59" s="46"/>
      <c r="F59" s="51"/>
      <c r="G59" s="5"/>
    </row>
    <row r="60" spans="1:7" ht="15" x14ac:dyDescent="0.25">
      <c r="A60" s="1"/>
      <c r="B60" s="26"/>
      <c r="C60" s="8" t="s">
        <v>113</v>
      </c>
      <c r="D60" s="9"/>
      <c r="E60" s="47"/>
      <c r="F60" s="52"/>
      <c r="G60" s="10"/>
    </row>
    <row r="61" spans="1:7" ht="15" x14ac:dyDescent="0.25">
      <c r="A61" s="6"/>
      <c r="B61" s="7"/>
      <c r="C61" s="8" t="s">
        <v>104</v>
      </c>
      <c r="D61" s="12"/>
      <c r="E61" s="48"/>
      <c r="F61" s="53">
        <v>0</v>
      </c>
      <c r="G61" s="13">
        <v>0</v>
      </c>
    </row>
    <row r="62" spans="1:7" ht="15" x14ac:dyDescent="0.25">
      <c r="A62" s="6"/>
      <c r="B62" s="7"/>
      <c r="C62" s="14"/>
      <c r="D62" s="4"/>
      <c r="E62" s="46"/>
      <c r="F62" s="56"/>
      <c r="G62" s="27"/>
    </row>
    <row r="63" spans="1:7" ht="15" x14ac:dyDescent="0.25">
      <c r="A63" s="1"/>
      <c r="B63" s="2"/>
      <c r="C63" s="8" t="s">
        <v>114</v>
      </c>
      <c r="D63" s="9"/>
      <c r="E63" s="47"/>
      <c r="F63" s="52"/>
      <c r="G63" s="10"/>
    </row>
    <row r="64" spans="1:7" ht="15" x14ac:dyDescent="0.25">
      <c r="A64" s="6"/>
      <c r="B64" s="7"/>
      <c r="C64" s="8" t="s">
        <v>104</v>
      </c>
      <c r="D64" s="12"/>
      <c r="E64" s="48"/>
      <c r="F64" s="53">
        <v>0</v>
      </c>
      <c r="G64" s="13">
        <v>0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25.5" x14ac:dyDescent="0.25">
      <c r="A66" s="1"/>
      <c r="B66" s="26"/>
      <c r="C66" s="8" t="s">
        <v>115</v>
      </c>
      <c r="D66" s="9"/>
      <c r="E66" s="47"/>
      <c r="F66" s="52"/>
      <c r="G66" s="10"/>
    </row>
    <row r="67" spans="1:7" ht="15" x14ac:dyDescent="0.25">
      <c r="A67" s="6"/>
      <c r="B67" s="7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6"/>
      <c r="B68" s="7"/>
      <c r="C68" s="14"/>
      <c r="D68" s="4"/>
      <c r="E68" s="46"/>
      <c r="F68" s="51"/>
      <c r="G68" s="5"/>
    </row>
    <row r="69" spans="1:7" ht="15" x14ac:dyDescent="0.25">
      <c r="A69" s="6"/>
      <c r="B69" s="7"/>
      <c r="C69" s="28" t="s">
        <v>116</v>
      </c>
      <c r="D69" s="25"/>
      <c r="E69" s="48"/>
      <c r="F69" s="53">
        <v>0</v>
      </c>
      <c r="G69" s="13">
        <v>0</v>
      </c>
    </row>
    <row r="70" spans="1:7" ht="15" x14ac:dyDescent="0.25">
      <c r="A70" s="6"/>
      <c r="B70" s="7"/>
      <c r="C70" s="11"/>
      <c r="D70" s="4"/>
      <c r="E70" s="46"/>
      <c r="F70" s="51"/>
      <c r="G70" s="5"/>
    </row>
    <row r="71" spans="1:7" ht="15" x14ac:dyDescent="0.25">
      <c r="A71" s="1"/>
      <c r="B71" s="2"/>
      <c r="C71" s="3" t="s">
        <v>117</v>
      </c>
      <c r="D71" s="4"/>
      <c r="E71" s="46"/>
      <c r="F71" s="51"/>
      <c r="G71" s="5"/>
    </row>
    <row r="72" spans="1:7" ht="15" x14ac:dyDescent="0.25">
      <c r="A72" s="6"/>
      <c r="B72" s="7"/>
      <c r="C72" s="8" t="s">
        <v>118</v>
      </c>
      <c r="D72" s="9"/>
      <c r="E72" s="47"/>
      <c r="F72" s="52"/>
      <c r="G72" s="10"/>
    </row>
    <row r="73" spans="1:7" ht="15" x14ac:dyDescent="0.25">
      <c r="A73" s="6"/>
      <c r="B73" s="7"/>
      <c r="C73" s="8" t="s">
        <v>104</v>
      </c>
      <c r="D73" s="25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7"/>
      <c r="E74" s="46"/>
      <c r="F74" s="51"/>
      <c r="G74" s="5"/>
    </row>
    <row r="75" spans="1:7" ht="15" x14ac:dyDescent="0.25">
      <c r="A75" s="6"/>
      <c r="B75" s="7"/>
      <c r="C75" s="8" t="s">
        <v>119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25"/>
      <c r="E76" s="48"/>
      <c r="F76" s="53">
        <v>0</v>
      </c>
      <c r="G76" s="13">
        <v>0</v>
      </c>
    </row>
    <row r="77" spans="1:7" ht="15" x14ac:dyDescent="0.25">
      <c r="A77" s="6"/>
      <c r="B77" s="7"/>
      <c r="C77" s="14"/>
      <c r="D77" s="7"/>
      <c r="E77" s="46"/>
      <c r="F77" s="51"/>
      <c r="G77" s="5"/>
    </row>
    <row r="78" spans="1:7" ht="15" x14ac:dyDescent="0.25">
      <c r="A78" s="6"/>
      <c r="B78" s="7"/>
      <c r="C78" s="8" t="s">
        <v>120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25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7"/>
      <c r="E80" s="46"/>
      <c r="F80" s="51"/>
      <c r="G80" s="5"/>
    </row>
    <row r="81" spans="1:7" ht="15" x14ac:dyDescent="0.25">
      <c r="A81" s="6"/>
      <c r="B81" s="7"/>
      <c r="C81" s="8" t="s">
        <v>121</v>
      </c>
      <c r="D81" s="9"/>
      <c r="E81" s="47"/>
      <c r="F81" s="52"/>
      <c r="G81" s="10"/>
    </row>
    <row r="82" spans="1:7" ht="15" x14ac:dyDescent="0.25">
      <c r="A82" s="6">
        <v>1</v>
      </c>
      <c r="B82" s="7"/>
      <c r="C82" s="11" t="s">
        <v>730</v>
      </c>
      <c r="D82" s="15"/>
      <c r="E82" s="46"/>
      <c r="F82" s="51">
        <v>3379.4824308000002</v>
      </c>
      <c r="G82" s="5">
        <v>3.463807E-2</v>
      </c>
    </row>
    <row r="83" spans="1:7" ht="15" x14ac:dyDescent="0.25">
      <c r="A83" s="6"/>
      <c r="B83" s="7"/>
      <c r="C83" s="8" t="s">
        <v>104</v>
      </c>
      <c r="D83" s="25"/>
      <c r="E83" s="48"/>
      <c r="F83" s="53">
        <v>3379.4824308000002</v>
      </c>
      <c r="G83" s="13">
        <v>3.463807E-2</v>
      </c>
    </row>
    <row r="84" spans="1:7" ht="15" x14ac:dyDescent="0.25">
      <c r="A84" s="6"/>
      <c r="B84" s="7"/>
      <c r="C84" s="14"/>
      <c r="D84" s="7"/>
      <c r="E84" s="46"/>
      <c r="F84" s="51"/>
      <c r="G84" s="5"/>
    </row>
    <row r="85" spans="1:7" ht="25.5" x14ac:dyDescent="0.25">
      <c r="A85" s="6"/>
      <c r="B85" s="7"/>
      <c r="C85" s="24" t="s">
        <v>122</v>
      </c>
      <c r="D85" s="25"/>
      <c r="E85" s="48"/>
      <c r="F85" s="53">
        <v>3379.4824308000002</v>
      </c>
      <c r="G85" s="13">
        <v>3.463807E-2</v>
      </c>
    </row>
    <row r="86" spans="1:7" ht="15" x14ac:dyDescent="0.25">
      <c r="A86" s="6"/>
      <c r="B86" s="7"/>
      <c r="C86" s="29"/>
      <c r="D86" s="7"/>
      <c r="E86" s="46"/>
      <c r="F86" s="51"/>
      <c r="G86" s="5"/>
    </row>
    <row r="87" spans="1:7" ht="15" x14ac:dyDescent="0.25">
      <c r="A87" s="1"/>
      <c r="B87" s="2"/>
      <c r="C87" s="3" t="s">
        <v>123</v>
      </c>
      <c r="D87" s="4"/>
      <c r="E87" s="46"/>
      <c r="F87" s="51"/>
      <c r="G87" s="5"/>
    </row>
    <row r="88" spans="1:7" ht="25.5" x14ac:dyDescent="0.25">
      <c r="A88" s="6"/>
      <c r="B88" s="7"/>
      <c r="C88" s="8" t="s">
        <v>124</v>
      </c>
      <c r="D88" s="9"/>
      <c r="E88" s="47"/>
      <c r="F88" s="52"/>
      <c r="G88" s="10"/>
    </row>
    <row r="89" spans="1:7" ht="15" x14ac:dyDescent="0.25">
      <c r="A89" s="6"/>
      <c r="B89" s="7"/>
      <c r="C89" s="8" t="s">
        <v>104</v>
      </c>
      <c r="D89" s="25"/>
      <c r="E89" s="48"/>
      <c r="F89" s="53">
        <v>0</v>
      </c>
      <c r="G89" s="13">
        <v>0</v>
      </c>
    </row>
    <row r="90" spans="1:7" ht="15" x14ac:dyDescent="0.25">
      <c r="A90" s="6"/>
      <c r="B90" s="7"/>
      <c r="C90" s="14"/>
      <c r="D90" s="7"/>
      <c r="E90" s="46"/>
      <c r="F90" s="51"/>
      <c r="G90" s="5"/>
    </row>
    <row r="91" spans="1:7" ht="15" x14ac:dyDescent="0.25">
      <c r="A91" s="1"/>
      <c r="B91" s="2"/>
      <c r="C91" s="3" t="s">
        <v>125</v>
      </c>
      <c r="D91" s="4"/>
      <c r="E91" s="46"/>
      <c r="F91" s="51"/>
      <c r="G91" s="5"/>
    </row>
    <row r="92" spans="1:7" ht="25.5" x14ac:dyDescent="0.25">
      <c r="A92" s="6"/>
      <c r="B92" s="7"/>
      <c r="C92" s="8" t="s">
        <v>126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25"/>
      <c r="E93" s="48"/>
      <c r="F93" s="53">
        <v>0</v>
      </c>
      <c r="G93" s="13">
        <v>0</v>
      </c>
    </row>
    <row r="94" spans="1:7" ht="15" x14ac:dyDescent="0.25">
      <c r="A94" s="6"/>
      <c r="B94" s="7"/>
      <c r="C94" s="14"/>
      <c r="D94" s="7"/>
      <c r="E94" s="46"/>
      <c r="F94" s="51"/>
      <c r="G94" s="5"/>
    </row>
    <row r="95" spans="1:7" ht="25.5" x14ac:dyDescent="0.25">
      <c r="A95" s="6"/>
      <c r="B95" s="7"/>
      <c r="C95" s="8" t="s">
        <v>127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7"/>
      <c r="E97" s="46"/>
      <c r="F97" s="56"/>
      <c r="G97" s="27"/>
    </row>
    <row r="98" spans="1:7" ht="25.5" x14ac:dyDescent="0.25">
      <c r="A98" s="6"/>
      <c r="B98" s="7"/>
      <c r="C98" s="29" t="s">
        <v>128</v>
      </c>
      <c r="D98" s="7"/>
      <c r="E98" s="46"/>
      <c r="F98" s="56">
        <v>1348.89448496</v>
      </c>
      <c r="G98" s="27">
        <v>1.3825520000000001E-2</v>
      </c>
    </row>
    <row r="99" spans="1:7" ht="15" x14ac:dyDescent="0.25">
      <c r="A99" s="6"/>
      <c r="B99" s="7"/>
      <c r="C99" s="30" t="s">
        <v>129</v>
      </c>
      <c r="D99" s="12"/>
      <c r="E99" s="48"/>
      <c r="F99" s="53">
        <v>97565.552037759961</v>
      </c>
      <c r="G99" s="13">
        <v>0.99999999699999964</v>
      </c>
    </row>
    <row r="101" spans="1:7" ht="15" x14ac:dyDescent="0.25">
      <c r="B101" s="281" t="s">
        <v>849</v>
      </c>
      <c r="C101" s="282"/>
      <c r="D101" s="282"/>
      <c r="E101" s="282"/>
      <c r="F101" s="282"/>
    </row>
    <row r="102" spans="1:7" ht="15" x14ac:dyDescent="0.25">
      <c r="B102" s="279"/>
      <c r="C102" s="279"/>
      <c r="D102" s="279"/>
      <c r="E102" s="279"/>
      <c r="F102" s="279"/>
    </row>
    <row r="104" spans="1:7" ht="15" x14ac:dyDescent="0.25">
      <c r="B104" s="36" t="s">
        <v>131</v>
      </c>
      <c r="C104" s="37"/>
      <c r="D104" s="38"/>
    </row>
    <row r="105" spans="1:7" ht="15" x14ac:dyDescent="0.25">
      <c r="B105" s="39" t="s">
        <v>132</v>
      </c>
      <c r="C105" s="40"/>
      <c r="D105" s="62" t="s">
        <v>133</v>
      </c>
    </row>
    <row r="106" spans="1:7" ht="15" x14ac:dyDescent="0.25">
      <c r="B106" s="39" t="s">
        <v>134</v>
      </c>
      <c r="C106" s="40"/>
      <c r="D106" s="62" t="s">
        <v>133</v>
      </c>
    </row>
    <row r="107" spans="1:7" ht="15" x14ac:dyDescent="0.25">
      <c r="B107" s="41" t="s">
        <v>135</v>
      </c>
      <c r="C107" s="40"/>
      <c r="D107" s="42"/>
    </row>
    <row r="108" spans="1:7" ht="25.5" customHeight="1" x14ac:dyDescent="0.25">
      <c r="B108" s="42"/>
      <c r="C108" s="32" t="s">
        <v>136</v>
      </c>
      <c r="D108" s="33" t="s">
        <v>137</v>
      </c>
    </row>
    <row r="109" spans="1:7" ht="12.75" customHeight="1" x14ac:dyDescent="0.25">
      <c r="B109" s="57" t="s">
        <v>138</v>
      </c>
      <c r="C109" s="58" t="s">
        <v>139</v>
      </c>
      <c r="D109" s="58" t="s">
        <v>140</v>
      </c>
    </row>
    <row r="110" spans="1:7" ht="15" x14ac:dyDescent="0.25">
      <c r="B110" s="42" t="s">
        <v>141</v>
      </c>
      <c r="C110" s="43">
        <v>193.5634</v>
      </c>
      <c r="D110" s="43">
        <v>185.23269999999999</v>
      </c>
    </row>
    <row r="111" spans="1:7" ht="15" x14ac:dyDescent="0.25">
      <c r="B111" s="42" t="s">
        <v>142</v>
      </c>
      <c r="C111" s="43">
        <v>14.1678</v>
      </c>
      <c r="D111" s="43">
        <v>13.5581</v>
      </c>
    </row>
    <row r="112" spans="1:7" ht="15" x14ac:dyDescent="0.25">
      <c r="B112" s="42" t="s">
        <v>384</v>
      </c>
      <c r="C112" s="43">
        <v>197.84139999999999</v>
      </c>
      <c r="D112" s="43">
        <v>189.32669999999999</v>
      </c>
    </row>
    <row r="113" spans="2:4" ht="15" x14ac:dyDescent="0.25">
      <c r="B113" s="42" t="s">
        <v>385</v>
      </c>
      <c r="C113" s="43">
        <v>14.440899999999999</v>
      </c>
      <c r="D113" s="43">
        <v>13.8195</v>
      </c>
    </row>
    <row r="114" spans="2:4" ht="15" x14ac:dyDescent="0.25">
      <c r="B114" s="42" t="s">
        <v>143</v>
      </c>
      <c r="C114" s="43">
        <v>185.02699999999999</v>
      </c>
      <c r="D114" s="43">
        <v>176.95439999999999</v>
      </c>
    </row>
    <row r="115" spans="2:4" ht="15" x14ac:dyDescent="0.25">
      <c r="B115" s="42" t="s">
        <v>144</v>
      </c>
      <c r="C115" s="43">
        <v>13.411099999999999</v>
      </c>
      <c r="D115" s="43">
        <v>12.826000000000001</v>
      </c>
    </row>
    <row r="117" spans="2:4" ht="15" x14ac:dyDescent="0.25">
      <c r="B117" s="59" t="s">
        <v>145</v>
      </c>
      <c r="C117" s="44"/>
      <c r="D117" s="60" t="s">
        <v>133</v>
      </c>
    </row>
    <row r="118" spans="2:4" ht="24.75" customHeight="1" x14ac:dyDescent="0.25">
      <c r="B118" s="61"/>
      <c r="C118" s="61"/>
    </row>
    <row r="119" spans="2:4" ht="15" x14ac:dyDescent="0.25">
      <c r="B119" s="63"/>
      <c r="C119" s="65"/>
      <c r="D119"/>
    </row>
    <row r="121" spans="2:4" ht="15" x14ac:dyDescent="0.25">
      <c r="B121" s="41" t="s">
        <v>146</v>
      </c>
      <c r="C121" s="40"/>
      <c r="D121" s="64" t="s">
        <v>133</v>
      </c>
    </row>
    <row r="122" spans="2:4" ht="15" x14ac:dyDescent="0.25">
      <c r="B122" s="41" t="s">
        <v>147</v>
      </c>
      <c r="C122" s="40"/>
      <c r="D122" s="64" t="s">
        <v>133</v>
      </c>
    </row>
    <row r="123" spans="2:4" ht="15" x14ac:dyDescent="0.25">
      <c r="B123" s="41" t="s">
        <v>148</v>
      </c>
      <c r="C123" s="40"/>
      <c r="D123" s="45">
        <v>7.0878070585219638E-2</v>
      </c>
    </row>
    <row r="124" spans="2:4" ht="15" x14ac:dyDescent="0.25">
      <c r="B124" s="41" t="s">
        <v>149</v>
      </c>
      <c r="C124" s="40"/>
      <c r="D124" s="45" t="s">
        <v>133</v>
      </c>
    </row>
  </sheetData>
  <mergeCells count="5">
    <mergeCell ref="A1:G1"/>
    <mergeCell ref="A2:G2"/>
    <mergeCell ref="A3:G3"/>
    <mergeCell ref="B101:F101"/>
    <mergeCell ref="B102:F10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V148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502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444</v>
      </c>
      <c r="C7" s="11" t="s">
        <v>445</v>
      </c>
      <c r="D7" s="2" t="s">
        <v>193</v>
      </c>
      <c r="E7" s="46">
        <v>22122</v>
      </c>
      <c r="F7" s="51">
        <v>162.032589</v>
      </c>
      <c r="G7" s="5">
        <v>4.1367088000000003E-2</v>
      </c>
    </row>
    <row r="8" spans="1:7" ht="15" x14ac:dyDescent="0.25">
      <c r="A8" s="6">
        <v>2</v>
      </c>
      <c r="B8" s="7" t="s">
        <v>60</v>
      </c>
      <c r="C8" s="11" t="s">
        <v>61</v>
      </c>
      <c r="D8" s="2" t="s">
        <v>16</v>
      </c>
      <c r="E8" s="46">
        <v>16500</v>
      </c>
      <c r="F8" s="51">
        <v>159.38999999999999</v>
      </c>
      <c r="G8" s="5">
        <v>4.0692433E-2</v>
      </c>
    </row>
    <row r="9" spans="1:7" ht="25.5" x14ac:dyDescent="0.25">
      <c r="A9" s="6">
        <v>3</v>
      </c>
      <c r="B9" s="7" t="s">
        <v>68</v>
      </c>
      <c r="C9" s="11" t="s">
        <v>69</v>
      </c>
      <c r="D9" s="2" t="s">
        <v>19</v>
      </c>
      <c r="E9" s="46">
        <v>116318</v>
      </c>
      <c r="F9" s="51">
        <v>140.62846200000001</v>
      </c>
      <c r="G9" s="5">
        <v>3.5902591999999997E-2</v>
      </c>
    </row>
    <row r="10" spans="1:7" ht="15" x14ac:dyDescent="0.25">
      <c r="A10" s="6">
        <v>4</v>
      </c>
      <c r="B10" s="7" t="s">
        <v>442</v>
      </c>
      <c r="C10" s="11" t="s">
        <v>443</v>
      </c>
      <c r="D10" s="2" t="s">
        <v>162</v>
      </c>
      <c r="E10" s="46">
        <v>24043</v>
      </c>
      <c r="F10" s="51">
        <v>126.1656425</v>
      </c>
      <c r="G10" s="5">
        <v>3.2210219999999998E-2</v>
      </c>
    </row>
    <row r="11" spans="1:7" ht="25.5" x14ac:dyDescent="0.25">
      <c r="A11" s="6">
        <v>5</v>
      </c>
      <c r="B11" s="7" t="s">
        <v>440</v>
      </c>
      <c r="C11" s="11" t="s">
        <v>441</v>
      </c>
      <c r="D11" s="2" t="s">
        <v>59</v>
      </c>
      <c r="E11" s="46">
        <v>80234</v>
      </c>
      <c r="F11" s="51">
        <v>122.878371</v>
      </c>
      <c r="G11" s="5">
        <v>3.1370976000000002E-2</v>
      </c>
    </row>
    <row r="12" spans="1:7" ht="25.5" x14ac:dyDescent="0.25">
      <c r="A12" s="6">
        <v>6</v>
      </c>
      <c r="B12" s="7" t="s">
        <v>189</v>
      </c>
      <c r="C12" s="11" t="s">
        <v>190</v>
      </c>
      <c r="D12" s="2" t="s">
        <v>167</v>
      </c>
      <c r="E12" s="46">
        <v>26875</v>
      </c>
      <c r="F12" s="51">
        <v>118.62625</v>
      </c>
      <c r="G12" s="5">
        <v>3.0285405000000001E-2</v>
      </c>
    </row>
    <row r="13" spans="1:7" ht="15" x14ac:dyDescent="0.25">
      <c r="A13" s="6">
        <v>7</v>
      </c>
      <c r="B13" s="7" t="s">
        <v>151</v>
      </c>
      <c r="C13" s="11" t="s">
        <v>152</v>
      </c>
      <c r="D13" s="2" t="s">
        <v>16</v>
      </c>
      <c r="E13" s="46">
        <v>61210</v>
      </c>
      <c r="F13" s="51">
        <v>118.50256</v>
      </c>
      <c r="G13" s="5">
        <v>3.0253827E-2</v>
      </c>
    </row>
    <row r="14" spans="1:7" ht="25.5" x14ac:dyDescent="0.25">
      <c r="A14" s="6">
        <v>8</v>
      </c>
      <c r="B14" s="7" t="s">
        <v>57</v>
      </c>
      <c r="C14" s="11" t="s">
        <v>58</v>
      </c>
      <c r="D14" s="2" t="s">
        <v>59</v>
      </c>
      <c r="E14" s="46">
        <v>16464</v>
      </c>
      <c r="F14" s="51">
        <v>111.428352</v>
      </c>
      <c r="G14" s="5">
        <v>2.8447773999999999E-2</v>
      </c>
    </row>
    <row r="15" spans="1:7" ht="25.5" x14ac:dyDescent="0.25">
      <c r="A15" s="6">
        <v>9</v>
      </c>
      <c r="B15" s="7" t="s">
        <v>20</v>
      </c>
      <c r="C15" s="11" t="s">
        <v>21</v>
      </c>
      <c r="D15" s="2" t="s">
        <v>22</v>
      </c>
      <c r="E15" s="46">
        <v>16000</v>
      </c>
      <c r="F15" s="51">
        <v>108.608</v>
      </c>
      <c r="G15" s="5">
        <v>2.7727735E-2</v>
      </c>
    </row>
    <row r="16" spans="1:7" ht="25.5" x14ac:dyDescent="0.25">
      <c r="A16" s="6">
        <v>10</v>
      </c>
      <c r="B16" s="7" t="s">
        <v>25</v>
      </c>
      <c r="C16" s="11" t="s">
        <v>26</v>
      </c>
      <c r="D16" s="2" t="s">
        <v>27</v>
      </c>
      <c r="E16" s="46">
        <v>21964</v>
      </c>
      <c r="F16" s="51">
        <v>105.350326</v>
      </c>
      <c r="G16" s="5">
        <v>2.6896047999999999E-2</v>
      </c>
    </row>
    <row r="17" spans="1:7" ht="25.5" x14ac:dyDescent="0.25">
      <c r="A17" s="6">
        <v>11</v>
      </c>
      <c r="B17" s="7" t="s">
        <v>178</v>
      </c>
      <c r="C17" s="11" t="s">
        <v>179</v>
      </c>
      <c r="D17" s="2" t="s">
        <v>22</v>
      </c>
      <c r="E17" s="46">
        <v>30000</v>
      </c>
      <c r="F17" s="51">
        <v>104.49</v>
      </c>
      <c r="G17" s="5">
        <v>2.6676406E-2</v>
      </c>
    </row>
    <row r="18" spans="1:7" ht="25.5" x14ac:dyDescent="0.25">
      <c r="A18" s="6">
        <v>12</v>
      </c>
      <c r="B18" s="7" t="s">
        <v>92</v>
      </c>
      <c r="C18" s="11" t="s">
        <v>93</v>
      </c>
      <c r="D18" s="2" t="s">
        <v>22</v>
      </c>
      <c r="E18" s="46">
        <v>22971</v>
      </c>
      <c r="F18" s="51">
        <v>100.73932050000001</v>
      </c>
      <c r="G18" s="5">
        <v>2.5718853E-2</v>
      </c>
    </row>
    <row r="19" spans="1:7" ht="25.5" x14ac:dyDescent="0.25">
      <c r="A19" s="6">
        <v>13</v>
      </c>
      <c r="B19" s="7" t="s">
        <v>153</v>
      </c>
      <c r="C19" s="11" t="s">
        <v>154</v>
      </c>
      <c r="D19" s="2" t="s">
        <v>155</v>
      </c>
      <c r="E19" s="46">
        <v>15063</v>
      </c>
      <c r="F19" s="51">
        <v>93.812364000000002</v>
      </c>
      <c r="G19" s="5">
        <v>2.3950394E-2</v>
      </c>
    </row>
    <row r="20" spans="1:7" ht="15" x14ac:dyDescent="0.25">
      <c r="A20" s="6">
        <v>14</v>
      </c>
      <c r="B20" s="7" t="s">
        <v>49</v>
      </c>
      <c r="C20" s="11" t="s">
        <v>50</v>
      </c>
      <c r="D20" s="2" t="s">
        <v>51</v>
      </c>
      <c r="E20" s="46">
        <v>34750</v>
      </c>
      <c r="F20" s="51">
        <v>90.906000000000006</v>
      </c>
      <c r="G20" s="5">
        <v>2.3208395999999999E-2</v>
      </c>
    </row>
    <row r="21" spans="1:7" ht="25.5" x14ac:dyDescent="0.25">
      <c r="A21" s="6">
        <v>15</v>
      </c>
      <c r="B21" s="7" t="s">
        <v>174</v>
      </c>
      <c r="C21" s="11" t="s">
        <v>175</v>
      </c>
      <c r="D21" s="2" t="s">
        <v>22</v>
      </c>
      <c r="E21" s="46">
        <v>30200</v>
      </c>
      <c r="F21" s="51">
        <v>89.059799999999996</v>
      </c>
      <c r="G21" s="5">
        <v>2.2737059E-2</v>
      </c>
    </row>
    <row r="22" spans="1:7" ht="15" x14ac:dyDescent="0.25">
      <c r="A22" s="6">
        <v>16</v>
      </c>
      <c r="B22" s="7" t="s">
        <v>446</v>
      </c>
      <c r="C22" s="11" t="s">
        <v>447</v>
      </c>
      <c r="D22" s="2" t="s">
        <v>162</v>
      </c>
      <c r="E22" s="46">
        <v>74666</v>
      </c>
      <c r="F22" s="51">
        <v>83.999250000000004</v>
      </c>
      <c r="G22" s="5">
        <v>2.1445096E-2</v>
      </c>
    </row>
    <row r="23" spans="1:7" ht="15" x14ac:dyDescent="0.25">
      <c r="A23" s="6">
        <v>17</v>
      </c>
      <c r="B23" s="7" t="s">
        <v>468</v>
      </c>
      <c r="C23" s="11" t="s">
        <v>469</v>
      </c>
      <c r="D23" s="2" t="s">
        <v>241</v>
      </c>
      <c r="E23" s="46">
        <v>56450</v>
      </c>
      <c r="F23" s="51">
        <v>83.179074999999997</v>
      </c>
      <c r="G23" s="5">
        <v>2.1235704000000001E-2</v>
      </c>
    </row>
    <row r="24" spans="1:7" ht="25.5" x14ac:dyDescent="0.25">
      <c r="A24" s="6">
        <v>18</v>
      </c>
      <c r="B24" s="7" t="s">
        <v>45</v>
      </c>
      <c r="C24" s="11" t="s">
        <v>46</v>
      </c>
      <c r="D24" s="2" t="s">
        <v>22</v>
      </c>
      <c r="E24" s="46">
        <v>13000</v>
      </c>
      <c r="F24" s="51">
        <v>79.546999999999997</v>
      </c>
      <c r="G24" s="5">
        <v>2.0308432000000001E-2</v>
      </c>
    </row>
    <row r="25" spans="1:7" ht="25.5" x14ac:dyDescent="0.25">
      <c r="A25" s="6">
        <v>19</v>
      </c>
      <c r="B25" s="7" t="s">
        <v>90</v>
      </c>
      <c r="C25" s="11" t="s">
        <v>91</v>
      </c>
      <c r="D25" s="2" t="s">
        <v>22</v>
      </c>
      <c r="E25" s="46">
        <v>7868</v>
      </c>
      <c r="F25" s="51">
        <v>78.676066000000006</v>
      </c>
      <c r="G25" s="5">
        <v>2.0086080999999999E-2</v>
      </c>
    </row>
    <row r="26" spans="1:7" ht="25.5" x14ac:dyDescent="0.25">
      <c r="A26" s="6">
        <v>20</v>
      </c>
      <c r="B26" s="7" t="s">
        <v>171</v>
      </c>
      <c r="C26" s="11" t="s">
        <v>172</v>
      </c>
      <c r="D26" s="2" t="s">
        <v>173</v>
      </c>
      <c r="E26" s="46">
        <v>26472</v>
      </c>
      <c r="F26" s="51">
        <v>77.814443999999995</v>
      </c>
      <c r="G26" s="5">
        <v>1.9866108E-2</v>
      </c>
    </row>
    <row r="27" spans="1:7" ht="15" x14ac:dyDescent="0.25">
      <c r="A27" s="6">
        <v>21</v>
      </c>
      <c r="B27" s="7" t="s">
        <v>197</v>
      </c>
      <c r="C27" s="11" t="s">
        <v>198</v>
      </c>
      <c r="D27" s="2" t="s">
        <v>162</v>
      </c>
      <c r="E27" s="46">
        <v>25220</v>
      </c>
      <c r="F27" s="51">
        <v>74.235069999999993</v>
      </c>
      <c r="G27" s="5">
        <v>1.895229E-2</v>
      </c>
    </row>
    <row r="28" spans="1:7" ht="15" x14ac:dyDescent="0.25">
      <c r="A28" s="6">
        <v>22</v>
      </c>
      <c r="B28" s="7" t="s">
        <v>187</v>
      </c>
      <c r="C28" s="11" t="s">
        <v>188</v>
      </c>
      <c r="D28" s="2" t="s">
        <v>162</v>
      </c>
      <c r="E28" s="46">
        <v>7809</v>
      </c>
      <c r="F28" s="51">
        <v>71.651479499999994</v>
      </c>
      <c r="G28" s="5">
        <v>1.8292697E-2</v>
      </c>
    </row>
    <row r="29" spans="1:7" ht="15" x14ac:dyDescent="0.25">
      <c r="A29" s="6">
        <v>23</v>
      </c>
      <c r="B29" s="7" t="s">
        <v>295</v>
      </c>
      <c r="C29" s="11" t="s">
        <v>296</v>
      </c>
      <c r="D29" s="2" t="s">
        <v>170</v>
      </c>
      <c r="E29" s="46">
        <v>3333</v>
      </c>
      <c r="F29" s="51">
        <v>70.706261999999995</v>
      </c>
      <c r="G29" s="5">
        <v>1.8051382000000001E-2</v>
      </c>
    </row>
    <row r="30" spans="1:7" ht="15" x14ac:dyDescent="0.25">
      <c r="A30" s="6">
        <v>24</v>
      </c>
      <c r="B30" s="7" t="s">
        <v>182</v>
      </c>
      <c r="C30" s="11" t="s">
        <v>183</v>
      </c>
      <c r="D30" s="2" t="s">
        <v>184</v>
      </c>
      <c r="E30" s="46">
        <v>37455</v>
      </c>
      <c r="F30" s="51">
        <v>70.003394999999998</v>
      </c>
      <c r="G30" s="5">
        <v>1.7871939E-2</v>
      </c>
    </row>
    <row r="31" spans="1:7" ht="25.5" x14ac:dyDescent="0.25">
      <c r="A31" s="6">
        <v>25</v>
      </c>
      <c r="B31" s="7" t="s">
        <v>207</v>
      </c>
      <c r="C31" s="11" t="s">
        <v>208</v>
      </c>
      <c r="D31" s="2" t="s">
        <v>30</v>
      </c>
      <c r="E31" s="46">
        <v>61263</v>
      </c>
      <c r="F31" s="51">
        <v>67.297405499999996</v>
      </c>
      <c r="G31" s="5">
        <v>1.7181097999999999E-2</v>
      </c>
    </row>
    <row r="32" spans="1:7" ht="15" x14ac:dyDescent="0.25">
      <c r="A32" s="6">
        <v>26</v>
      </c>
      <c r="B32" s="7" t="s">
        <v>158</v>
      </c>
      <c r="C32" s="11" t="s">
        <v>159</v>
      </c>
      <c r="D32" s="2" t="s">
        <v>16</v>
      </c>
      <c r="E32" s="46">
        <v>76000</v>
      </c>
      <c r="F32" s="51">
        <v>66.727999999999994</v>
      </c>
      <c r="G32" s="5">
        <v>1.7035728E-2</v>
      </c>
    </row>
    <row r="33" spans="1:7" ht="51" x14ac:dyDescent="0.25">
      <c r="A33" s="6">
        <v>27</v>
      </c>
      <c r="B33" s="7" t="s">
        <v>248</v>
      </c>
      <c r="C33" s="11" t="s">
        <v>249</v>
      </c>
      <c r="D33" s="2" t="s">
        <v>235</v>
      </c>
      <c r="E33" s="46">
        <v>39551</v>
      </c>
      <c r="F33" s="51">
        <v>65.318476500000003</v>
      </c>
      <c r="G33" s="5">
        <v>1.6675875E-2</v>
      </c>
    </row>
    <row r="34" spans="1:7" ht="25.5" x14ac:dyDescent="0.25">
      <c r="A34" s="6">
        <v>28</v>
      </c>
      <c r="B34" s="7" t="s">
        <v>94</v>
      </c>
      <c r="C34" s="11" t="s">
        <v>95</v>
      </c>
      <c r="D34" s="2" t="s">
        <v>22</v>
      </c>
      <c r="E34" s="46">
        <v>57781</v>
      </c>
      <c r="F34" s="51">
        <v>59.196634500000002</v>
      </c>
      <c r="G34" s="5">
        <v>1.5112962000000001E-2</v>
      </c>
    </row>
    <row r="35" spans="1:7" ht="25.5" x14ac:dyDescent="0.25">
      <c r="A35" s="6">
        <v>29</v>
      </c>
      <c r="B35" s="7" t="s">
        <v>194</v>
      </c>
      <c r="C35" s="11" t="s">
        <v>195</v>
      </c>
      <c r="D35" s="2" t="s">
        <v>37</v>
      </c>
      <c r="E35" s="46">
        <v>17404</v>
      </c>
      <c r="F35" s="51">
        <v>58.903838</v>
      </c>
      <c r="G35" s="5">
        <v>1.5038210999999999E-2</v>
      </c>
    </row>
    <row r="36" spans="1:7" ht="15" x14ac:dyDescent="0.25">
      <c r="A36" s="6">
        <v>30</v>
      </c>
      <c r="B36" s="7" t="s">
        <v>75</v>
      </c>
      <c r="C36" s="11" t="s">
        <v>76</v>
      </c>
      <c r="D36" s="2" t="s">
        <v>51</v>
      </c>
      <c r="E36" s="46">
        <v>26599</v>
      </c>
      <c r="F36" s="51">
        <v>58.903485500000002</v>
      </c>
      <c r="G36" s="5">
        <v>1.5038121E-2</v>
      </c>
    </row>
    <row r="37" spans="1:7" ht="25.5" x14ac:dyDescent="0.25">
      <c r="A37" s="6">
        <v>31</v>
      </c>
      <c r="B37" s="7" t="s">
        <v>23</v>
      </c>
      <c r="C37" s="11" t="s">
        <v>24</v>
      </c>
      <c r="D37" s="2" t="s">
        <v>22</v>
      </c>
      <c r="E37" s="46">
        <v>10446</v>
      </c>
      <c r="F37" s="51">
        <v>57.437331</v>
      </c>
      <c r="G37" s="5">
        <v>1.4663809999999999E-2</v>
      </c>
    </row>
    <row r="38" spans="1:7" ht="25.5" x14ac:dyDescent="0.25">
      <c r="A38" s="6">
        <v>32</v>
      </c>
      <c r="B38" s="7" t="s">
        <v>70</v>
      </c>
      <c r="C38" s="11" t="s">
        <v>71</v>
      </c>
      <c r="D38" s="2" t="s">
        <v>22</v>
      </c>
      <c r="E38" s="46">
        <v>5135</v>
      </c>
      <c r="F38" s="51">
        <v>56.34122</v>
      </c>
      <c r="G38" s="5">
        <v>1.4383972E-2</v>
      </c>
    </row>
    <row r="39" spans="1:7" ht="25.5" x14ac:dyDescent="0.25">
      <c r="A39" s="6">
        <v>33</v>
      </c>
      <c r="B39" s="7" t="s">
        <v>448</v>
      </c>
      <c r="C39" s="11" t="s">
        <v>449</v>
      </c>
      <c r="D39" s="2" t="s">
        <v>81</v>
      </c>
      <c r="E39" s="46">
        <v>19707</v>
      </c>
      <c r="F39" s="51">
        <v>51.681607499999998</v>
      </c>
      <c r="G39" s="5">
        <v>1.3194368E-2</v>
      </c>
    </row>
    <row r="40" spans="1:7" ht="15" x14ac:dyDescent="0.25">
      <c r="A40" s="6">
        <v>34</v>
      </c>
      <c r="B40" s="7" t="s">
        <v>211</v>
      </c>
      <c r="C40" s="11" t="s">
        <v>212</v>
      </c>
      <c r="D40" s="2" t="s">
        <v>162</v>
      </c>
      <c r="E40" s="46">
        <v>64500</v>
      </c>
      <c r="F40" s="51">
        <v>51.277500000000003</v>
      </c>
      <c r="G40" s="5">
        <v>1.3091199E-2</v>
      </c>
    </row>
    <row r="41" spans="1:7" ht="15" x14ac:dyDescent="0.25">
      <c r="A41" s="6">
        <v>35</v>
      </c>
      <c r="B41" s="7" t="s">
        <v>236</v>
      </c>
      <c r="C41" s="11" t="s">
        <v>237</v>
      </c>
      <c r="D41" s="2" t="s">
        <v>238</v>
      </c>
      <c r="E41" s="46">
        <v>8474</v>
      </c>
      <c r="F41" s="51">
        <v>50.983820999999999</v>
      </c>
      <c r="G41" s="5">
        <v>1.3016221999999999E-2</v>
      </c>
    </row>
    <row r="42" spans="1:7" ht="25.5" x14ac:dyDescent="0.25">
      <c r="A42" s="6">
        <v>36</v>
      </c>
      <c r="B42" s="7" t="s">
        <v>355</v>
      </c>
      <c r="C42" s="11" t="s">
        <v>356</v>
      </c>
      <c r="D42" s="2" t="s">
        <v>22</v>
      </c>
      <c r="E42" s="46">
        <v>15274</v>
      </c>
      <c r="F42" s="51">
        <v>50.366014999999997</v>
      </c>
      <c r="G42" s="5">
        <v>1.2858496000000001E-2</v>
      </c>
    </row>
    <row r="43" spans="1:7" ht="51" x14ac:dyDescent="0.25">
      <c r="A43" s="6">
        <v>37</v>
      </c>
      <c r="B43" s="7" t="s">
        <v>233</v>
      </c>
      <c r="C43" s="11" t="s">
        <v>234</v>
      </c>
      <c r="D43" s="2" t="s">
        <v>235</v>
      </c>
      <c r="E43" s="46">
        <v>22027</v>
      </c>
      <c r="F43" s="51">
        <v>49.825074000000001</v>
      </c>
      <c r="G43" s="5">
        <v>1.2720393E-2</v>
      </c>
    </row>
    <row r="44" spans="1:7" ht="25.5" x14ac:dyDescent="0.25">
      <c r="A44" s="6">
        <v>38</v>
      </c>
      <c r="B44" s="7" t="s">
        <v>52</v>
      </c>
      <c r="C44" s="11" t="s">
        <v>53</v>
      </c>
      <c r="D44" s="2" t="s">
        <v>30</v>
      </c>
      <c r="E44" s="46">
        <v>11620</v>
      </c>
      <c r="F44" s="51">
        <v>49.739409999999999</v>
      </c>
      <c r="G44" s="5">
        <v>1.2698523E-2</v>
      </c>
    </row>
    <row r="45" spans="1:7" ht="15" x14ac:dyDescent="0.25">
      <c r="A45" s="6">
        <v>39</v>
      </c>
      <c r="B45" s="7" t="s">
        <v>267</v>
      </c>
      <c r="C45" s="11" t="s">
        <v>268</v>
      </c>
      <c r="D45" s="2" t="s">
        <v>269</v>
      </c>
      <c r="E45" s="46">
        <v>6548</v>
      </c>
      <c r="F45" s="51">
        <v>48.756408</v>
      </c>
      <c r="G45" s="5">
        <v>1.2447562000000001E-2</v>
      </c>
    </row>
    <row r="46" spans="1:7" ht="25.5" x14ac:dyDescent="0.25">
      <c r="A46" s="6">
        <v>40</v>
      </c>
      <c r="B46" s="7" t="s">
        <v>185</v>
      </c>
      <c r="C46" s="11" t="s">
        <v>186</v>
      </c>
      <c r="D46" s="2" t="s">
        <v>59</v>
      </c>
      <c r="E46" s="46">
        <v>37230</v>
      </c>
      <c r="F46" s="51">
        <v>47.002875000000003</v>
      </c>
      <c r="G46" s="5">
        <v>1.1999882999999999E-2</v>
      </c>
    </row>
    <row r="47" spans="1:7" ht="15" x14ac:dyDescent="0.25">
      <c r="A47" s="6">
        <v>41</v>
      </c>
      <c r="B47" s="7" t="s">
        <v>203</v>
      </c>
      <c r="C47" s="11" t="s">
        <v>204</v>
      </c>
      <c r="D47" s="2" t="s">
        <v>81</v>
      </c>
      <c r="E47" s="46">
        <v>40479</v>
      </c>
      <c r="F47" s="51">
        <v>43.595883000000001</v>
      </c>
      <c r="G47" s="5">
        <v>1.1130074E-2</v>
      </c>
    </row>
    <row r="48" spans="1:7" ht="25.5" x14ac:dyDescent="0.25">
      <c r="A48" s="6">
        <v>42</v>
      </c>
      <c r="B48" s="7" t="s">
        <v>64</v>
      </c>
      <c r="C48" s="11" t="s">
        <v>65</v>
      </c>
      <c r="D48" s="2" t="s">
        <v>19</v>
      </c>
      <c r="E48" s="46">
        <v>59275</v>
      </c>
      <c r="F48" s="51">
        <v>43.359662499999999</v>
      </c>
      <c r="G48" s="5">
        <v>1.1069766999999999E-2</v>
      </c>
    </row>
    <row r="49" spans="1:7" ht="15" x14ac:dyDescent="0.25">
      <c r="A49" s="6">
        <v>43</v>
      </c>
      <c r="B49" s="7" t="s">
        <v>191</v>
      </c>
      <c r="C49" s="11" t="s">
        <v>192</v>
      </c>
      <c r="D49" s="2" t="s">
        <v>193</v>
      </c>
      <c r="E49" s="46">
        <v>31928</v>
      </c>
      <c r="F49" s="51">
        <v>42.496167999999997</v>
      </c>
      <c r="G49" s="5">
        <v>1.0849315999999999E-2</v>
      </c>
    </row>
    <row r="50" spans="1:7" ht="25.5" x14ac:dyDescent="0.25">
      <c r="A50" s="6">
        <v>44</v>
      </c>
      <c r="B50" s="7" t="s">
        <v>176</v>
      </c>
      <c r="C50" s="11" t="s">
        <v>177</v>
      </c>
      <c r="D50" s="2" t="s">
        <v>30</v>
      </c>
      <c r="E50" s="46">
        <v>4063</v>
      </c>
      <c r="F50" s="51">
        <v>39.541116000000002</v>
      </c>
      <c r="G50" s="5">
        <v>1.0094888E-2</v>
      </c>
    </row>
    <row r="51" spans="1:7" ht="15" x14ac:dyDescent="0.25">
      <c r="A51" s="6">
        <v>45</v>
      </c>
      <c r="B51" s="7" t="s">
        <v>450</v>
      </c>
      <c r="C51" s="11" t="s">
        <v>451</v>
      </c>
      <c r="D51" s="2" t="s">
        <v>193</v>
      </c>
      <c r="E51" s="46">
        <v>5188</v>
      </c>
      <c r="F51" s="51">
        <v>34.134445999999997</v>
      </c>
      <c r="G51" s="5">
        <v>8.7145599999999997E-3</v>
      </c>
    </row>
    <row r="52" spans="1:7" ht="25.5" x14ac:dyDescent="0.25">
      <c r="A52" s="6">
        <v>46</v>
      </c>
      <c r="B52" s="7" t="s">
        <v>216</v>
      </c>
      <c r="C52" s="11" t="s">
        <v>217</v>
      </c>
      <c r="D52" s="2" t="s">
        <v>59</v>
      </c>
      <c r="E52" s="46">
        <v>14540</v>
      </c>
      <c r="F52" s="51">
        <v>32.911290000000001</v>
      </c>
      <c r="G52" s="5">
        <v>8.4022869999999996E-3</v>
      </c>
    </row>
    <row r="53" spans="1:7" ht="15" x14ac:dyDescent="0.25">
      <c r="A53" s="6">
        <v>47</v>
      </c>
      <c r="B53" s="7" t="s">
        <v>244</v>
      </c>
      <c r="C53" s="11" t="s">
        <v>245</v>
      </c>
      <c r="D53" s="2" t="s">
        <v>162</v>
      </c>
      <c r="E53" s="46">
        <v>6294</v>
      </c>
      <c r="F53" s="51">
        <v>32.587184999999998</v>
      </c>
      <c r="G53" s="5">
        <v>8.3195419999999992E-3</v>
      </c>
    </row>
    <row r="54" spans="1:7" ht="15" x14ac:dyDescent="0.25">
      <c r="A54" s="6">
        <v>48</v>
      </c>
      <c r="B54" s="7" t="s">
        <v>213</v>
      </c>
      <c r="C54" s="11" t="s">
        <v>214</v>
      </c>
      <c r="D54" s="2" t="s">
        <v>215</v>
      </c>
      <c r="E54" s="46">
        <v>33177</v>
      </c>
      <c r="F54" s="51">
        <v>31.650857999999999</v>
      </c>
      <c r="G54" s="5">
        <v>8.0804970000000007E-3</v>
      </c>
    </row>
    <row r="55" spans="1:7" ht="15" x14ac:dyDescent="0.25">
      <c r="A55" s="6">
        <v>49</v>
      </c>
      <c r="B55" s="7" t="s">
        <v>272</v>
      </c>
      <c r="C55" s="11" t="s">
        <v>273</v>
      </c>
      <c r="D55" s="2" t="s">
        <v>170</v>
      </c>
      <c r="E55" s="46">
        <v>13342</v>
      </c>
      <c r="F55" s="51">
        <v>30.299682000000001</v>
      </c>
      <c r="G55" s="5">
        <v>7.73554E-3</v>
      </c>
    </row>
    <row r="56" spans="1:7" ht="25.5" x14ac:dyDescent="0.25">
      <c r="A56" s="6">
        <v>50</v>
      </c>
      <c r="B56" s="7" t="s">
        <v>464</v>
      </c>
      <c r="C56" s="11" t="s">
        <v>465</v>
      </c>
      <c r="D56" s="2" t="s">
        <v>59</v>
      </c>
      <c r="E56" s="46">
        <v>4155</v>
      </c>
      <c r="F56" s="51">
        <v>28.976970000000001</v>
      </c>
      <c r="G56" s="5">
        <v>7.3978510000000004E-3</v>
      </c>
    </row>
    <row r="57" spans="1:7" ht="15" x14ac:dyDescent="0.25">
      <c r="A57" s="6">
        <v>51</v>
      </c>
      <c r="B57" s="7" t="s">
        <v>220</v>
      </c>
      <c r="C57" s="11" t="s">
        <v>221</v>
      </c>
      <c r="D57" s="2" t="s">
        <v>193</v>
      </c>
      <c r="E57" s="46">
        <v>12924</v>
      </c>
      <c r="F57" s="51">
        <v>24.801155999999999</v>
      </c>
      <c r="G57" s="5">
        <v>6.331761E-3</v>
      </c>
    </row>
    <row r="58" spans="1:7" ht="25.5" x14ac:dyDescent="0.25">
      <c r="A58" s="6">
        <v>52</v>
      </c>
      <c r="B58" s="7" t="s">
        <v>454</v>
      </c>
      <c r="C58" s="11" t="s">
        <v>455</v>
      </c>
      <c r="D58" s="2" t="s">
        <v>173</v>
      </c>
      <c r="E58" s="46">
        <v>42552</v>
      </c>
      <c r="F58" s="51">
        <v>23.212116000000002</v>
      </c>
      <c r="G58" s="5">
        <v>5.9260770000000001E-3</v>
      </c>
    </row>
    <row r="59" spans="1:7" ht="15" x14ac:dyDescent="0.25">
      <c r="A59" s="6">
        <v>53</v>
      </c>
      <c r="B59" s="7" t="s">
        <v>224</v>
      </c>
      <c r="C59" s="11" t="s">
        <v>225</v>
      </c>
      <c r="D59" s="2" t="s">
        <v>226</v>
      </c>
      <c r="E59" s="46">
        <v>1900</v>
      </c>
      <c r="F59" s="51">
        <v>20.566549999999999</v>
      </c>
      <c r="G59" s="5">
        <v>5.2506619999999997E-3</v>
      </c>
    </row>
    <row r="60" spans="1:7" ht="25.5" x14ac:dyDescent="0.25">
      <c r="A60" s="6">
        <v>54</v>
      </c>
      <c r="B60" s="7" t="s">
        <v>274</v>
      </c>
      <c r="C60" s="11" t="s">
        <v>275</v>
      </c>
      <c r="D60" s="2" t="s">
        <v>22</v>
      </c>
      <c r="E60" s="46">
        <v>4680</v>
      </c>
      <c r="F60" s="51">
        <v>18.436859999999999</v>
      </c>
      <c r="G60" s="5">
        <v>4.7069499999999997E-3</v>
      </c>
    </row>
    <row r="61" spans="1:7" ht="15" x14ac:dyDescent="0.25">
      <c r="A61" s="6">
        <v>55</v>
      </c>
      <c r="B61" s="7" t="s">
        <v>459</v>
      </c>
      <c r="C61" s="11" t="s">
        <v>460</v>
      </c>
      <c r="D61" s="2" t="s">
        <v>170</v>
      </c>
      <c r="E61" s="46">
        <v>5560</v>
      </c>
      <c r="F61" s="51">
        <v>16.546559999999999</v>
      </c>
      <c r="G61" s="5">
        <v>4.2243539999999996E-3</v>
      </c>
    </row>
    <row r="62" spans="1:7" ht="25.5" x14ac:dyDescent="0.25">
      <c r="A62" s="6">
        <v>56</v>
      </c>
      <c r="B62" s="7" t="s">
        <v>227</v>
      </c>
      <c r="C62" s="11" t="s">
        <v>228</v>
      </c>
      <c r="D62" s="2" t="s">
        <v>173</v>
      </c>
      <c r="E62" s="46">
        <v>18902</v>
      </c>
      <c r="F62" s="51">
        <v>11.983867999999999</v>
      </c>
      <c r="G62" s="5">
        <v>3.0594939999999998E-3</v>
      </c>
    </row>
    <row r="63" spans="1:7" ht="15" x14ac:dyDescent="0.25">
      <c r="A63" s="1"/>
      <c r="B63" s="2"/>
      <c r="C63" s="8" t="s">
        <v>104</v>
      </c>
      <c r="D63" s="12"/>
      <c r="E63" s="48"/>
      <c r="F63" s="53">
        <v>3807.289550500001</v>
      </c>
      <c r="G63" s="13">
        <v>0.97200497799999985</v>
      </c>
    </row>
    <row r="64" spans="1:7" ht="15" x14ac:dyDescent="0.25">
      <c r="A64" s="6"/>
      <c r="B64" s="7"/>
      <c r="C64" s="14"/>
      <c r="D64" s="15"/>
      <c r="E64" s="46"/>
      <c r="F64" s="51"/>
      <c r="G64" s="5"/>
    </row>
    <row r="65" spans="1:7" ht="15" x14ac:dyDescent="0.25">
      <c r="A65" s="1"/>
      <c r="B65" s="2"/>
      <c r="C65" s="8" t="s">
        <v>105</v>
      </c>
      <c r="D65" s="9"/>
      <c r="E65" s="47"/>
      <c r="F65" s="52"/>
      <c r="G65" s="10"/>
    </row>
    <row r="66" spans="1:7" ht="15" x14ac:dyDescent="0.25">
      <c r="A66" s="1"/>
      <c r="B66" s="2"/>
      <c r="C66" s="8" t="s">
        <v>104</v>
      </c>
      <c r="D66" s="12"/>
      <c r="E66" s="48"/>
      <c r="F66" s="53">
        <v>0</v>
      </c>
      <c r="G66" s="13">
        <v>0</v>
      </c>
    </row>
    <row r="67" spans="1:7" ht="15" x14ac:dyDescent="0.25">
      <c r="A67" s="6"/>
      <c r="B67" s="7"/>
      <c r="C67" s="14"/>
      <c r="D67" s="15"/>
      <c r="E67" s="46"/>
      <c r="F67" s="51"/>
      <c r="G67" s="5"/>
    </row>
    <row r="68" spans="1:7" ht="15" x14ac:dyDescent="0.25">
      <c r="A68" s="16"/>
      <c r="B68" s="17"/>
      <c r="C68" s="8" t="s">
        <v>106</v>
      </c>
      <c r="D68" s="9"/>
      <c r="E68" s="47"/>
      <c r="F68" s="52"/>
      <c r="G68" s="10"/>
    </row>
    <row r="69" spans="1:7" ht="15" x14ac:dyDescent="0.25">
      <c r="A69" s="18"/>
      <c r="B69" s="19"/>
      <c r="C69" s="8" t="s">
        <v>104</v>
      </c>
      <c r="D69" s="20"/>
      <c r="E69" s="49"/>
      <c r="F69" s="54">
        <v>0</v>
      </c>
      <c r="G69" s="21">
        <v>0</v>
      </c>
    </row>
    <row r="70" spans="1:7" ht="15" x14ac:dyDescent="0.25">
      <c r="A70" s="18"/>
      <c r="B70" s="19"/>
      <c r="C70" s="14"/>
      <c r="D70" s="22"/>
      <c r="E70" s="50"/>
      <c r="F70" s="55"/>
      <c r="G70" s="23"/>
    </row>
    <row r="71" spans="1:7" ht="15" x14ac:dyDescent="0.25">
      <c r="A71" s="1"/>
      <c r="B71" s="2"/>
      <c r="C71" s="8" t="s">
        <v>108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1"/>
      <c r="B73" s="2"/>
      <c r="C73" s="14"/>
      <c r="D73" s="4"/>
      <c r="E73" s="46"/>
      <c r="F73" s="51"/>
      <c r="G73" s="5"/>
    </row>
    <row r="74" spans="1:7" ht="15" x14ac:dyDescent="0.25">
      <c r="A74" s="1"/>
      <c r="B74" s="2"/>
      <c r="C74" s="8" t="s">
        <v>109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15" x14ac:dyDescent="0.25">
      <c r="A77" s="1"/>
      <c r="B77" s="2"/>
      <c r="C77" s="8" t="s">
        <v>110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25.5" x14ac:dyDescent="0.25">
      <c r="A80" s="6"/>
      <c r="B80" s="7"/>
      <c r="C80" s="24" t="s">
        <v>111</v>
      </c>
      <c r="D80" s="25"/>
      <c r="E80" s="48"/>
      <c r="F80" s="53">
        <v>3807.289550500001</v>
      </c>
      <c r="G80" s="13">
        <v>0.97200497799999985</v>
      </c>
    </row>
    <row r="81" spans="1:7" ht="15" x14ac:dyDescent="0.25">
      <c r="A81" s="1"/>
      <c r="B81" s="2"/>
      <c r="C81" s="11"/>
      <c r="D81" s="4"/>
      <c r="E81" s="46"/>
      <c r="F81" s="51"/>
      <c r="G81" s="5"/>
    </row>
    <row r="82" spans="1:7" ht="15" x14ac:dyDescent="0.25">
      <c r="A82" s="1"/>
      <c r="B82" s="2"/>
      <c r="C82" s="3" t="s">
        <v>112</v>
      </c>
      <c r="D82" s="4"/>
      <c r="E82" s="46"/>
      <c r="F82" s="51"/>
      <c r="G82" s="5"/>
    </row>
    <row r="83" spans="1:7" ht="25.5" x14ac:dyDescent="0.25">
      <c r="A83" s="1"/>
      <c r="B83" s="2"/>
      <c r="C83" s="8" t="s">
        <v>10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4"/>
      <c r="E85" s="46"/>
      <c r="F85" s="51"/>
      <c r="G85" s="5"/>
    </row>
    <row r="86" spans="1:7" ht="15" x14ac:dyDescent="0.25">
      <c r="A86" s="1"/>
      <c r="B86" s="26"/>
      <c r="C86" s="8" t="s">
        <v>113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4"/>
      <c r="E88" s="46"/>
      <c r="F88" s="56"/>
      <c r="G88" s="27"/>
    </row>
    <row r="89" spans="1:7" ht="15" x14ac:dyDescent="0.25">
      <c r="A89" s="1"/>
      <c r="B89" s="2"/>
      <c r="C89" s="8" t="s">
        <v>114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1"/>
      <c r="B91" s="2"/>
      <c r="C91" s="14"/>
      <c r="D91" s="4"/>
      <c r="E91" s="46"/>
      <c r="F91" s="51"/>
      <c r="G91" s="5"/>
    </row>
    <row r="92" spans="1:7" ht="25.5" x14ac:dyDescent="0.25">
      <c r="A92" s="1"/>
      <c r="B92" s="26"/>
      <c r="C92" s="8" t="s">
        <v>115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6"/>
      <c r="B94" s="7"/>
      <c r="C94" s="14"/>
      <c r="D94" s="4"/>
      <c r="E94" s="46"/>
      <c r="F94" s="51"/>
      <c r="G94" s="5"/>
    </row>
    <row r="95" spans="1:7" ht="15" x14ac:dyDescent="0.25">
      <c r="A95" s="6"/>
      <c r="B95" s="7"/>
      <c r="C95" s="28" t="s">
        <v>116</v>
      </c>
      <c r="D95" s="25"/>
      <c r="E95" s="48"/>
      <c r="F95" s="53">
        <v>0</v>
      </c>
      <c r="G95" s="13">
        <v>0</v>
      </c>
    </row>
    <row r="96" spans="1:7" ht="15" x14ac:dyDescent="0.25">
      <c r="A96" s="6"/>
      <c r="B96" s="7"/>
      <c r="C96" s="11"/>
      <c r="D96" s="4"/>
      <c r="E96" s="46"/>
      <c r="F96" s="51"/>
      <c r="G96" s="5"/>
    </row>
    <row r="97" spans="1:7" ht="15" x14ac:dyDescent="0.25">
      <c r="A97" s="1"/>
      <c r="B97" s="2"/>
      <c r="C97" s="3" t="s">
        <v>117</v>
      </c>
      <c r="D97" s="4"/>
      <c r="E97" s="46"/>
      <c r="F97" s="51"/>
      <c r="G97" s="5"/>
    </row>
    <row r="98" spans="1:7" ht="15" x14ac:dyDescent="0.25">
      <c r="A98" s="6"/>
      <c r="B98" s="7"/>
      <c r="C98" s="8" t="s">
        <v>118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25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7"/>
      <c r="E100" s="46"/>
      <c r="F100" s="51"/>
      <c r="G100" s="5"/>
    </row>
    <row r="101" spans="1:7" ht="15" x14ac:dyDescent="0.25">
      <c r="A101" s="6"/>
      <c r="B101" s="7"/>
      <c r="C101" s="8" t="s">
        <v>119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120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121</v>
      </c>
      <c r="D107" s="9"/>
      <c r="E107" s="47"/>
      <c r="F107" s="52"/>
      <c r="G107" s="10"/>
    </row>
    <row r="108" spans="1:7" ht="15" x14ac:dyDescent="0.25">
      <c r="A108" s="6">
        <v>1</v>
      </c>
      <c r="B108" s="7"/>
      <c r="C108" s="11" t="s">
        <v>730</v>
      </c>
      <c r="D108" s="15"/>
      <c r="E108" s="46"/>
      <c r="F108" s="51">
        <v>45.992956200000002</v>
      </c>
      <c r="G108" s="5">
        <v>1.1742048999999999E-2</v>
      </c>
    </row>
    <row r="109" spans="1:7" ht="15" x14ac:dyDescent="0.25">
      <c r="A109" s="6"/>
      <c r="B109" s="7"/>
      <c r="C109" s="8" t="s">
        <v>104</v>
      </c>
      <c r="D109" s="25"/>
      <c r="E109" s="48"/>
      <c r="F109" s="53">
        <v>45.992956200000002</v>
      </c>
      <c r="G109" s="13">
        <v>1.1742048999999999E-2</v>
      </c>
    </row>
    <row r="110" spans="1:7" ht="15" x14ac:dyDescent="0.25">
      <c r="A110" s="6"/>
      <c r="B110" s="7"/>
      <c r="C110" s="14"/>
      <c r="D110" s="7"/>
      <c r="E110" s="46"/>
      <c r="F110" s="51"/>
      <c r="G110" s="5"/>
    </row>
    <row r="111" spans="1:7" ht="25.5" x14ac:dyDescent="0.25">
      <c r="A111" s="6"/>
      <c r="B111" s="7"/>
      <c r="C111" s="24" t="s">
        <v>122</v>
      </c>
      <c r="D111" s="25"/>
      <c r="E111" s="48"/>
      <c r="F111" s="53">
        <v>45.992956200000002</v>
      </c>
      <c r="G111" s="13">
        <v>1.1742048999999999E-2</v>
      </c>
    </row>
    <row r="112" spans="1:7" ht="15" x14ac:dyDescent="0.25">
      <c r="A112" s="6"/>
      <c r="B112" s="7"/>
      <c r="C112" s="29"/>
      <c r="D112" s="7"/>
      <c r="E112" s="46"/>
      <c r="F112" s="51"/>
      <c r="G112" s="5"/>
    </row>
    <row r="113" spans="1:7" ht="15" x14ac:dyDescent="0.25">
      <c r="A113" s="1"/>
      <c r="B113" s="2"/>
      <c r="C113" s="3" t="s">
        <v>123</v>
      </c>
      <c r="D113" s="4"/>
      <c r="E113" s="46"/>
      <c r="F113" s="51"/>
      <c r="G113" s="5"/>
    </row>
    <row r="114" spans="1:7" ht="25.5" x14ac:dyDescent="0.25">
      <c r="A114" s="6"/>
      <c r="B114" s="7"/>
      <c r="C114" s="8" t="s">
        <v>124</v>
      </c>
      <c r="D114" s="9"/>
      <c r="E114" s="47"/>
      <c r="F114" s="52"/>
      <c r="G114" s="10"/>
    </row>
    <row r="115" spans="1:7" ht="15" x14ac:dyDescent="0.25">
      <c r="A115" s="6"/>
      <c r="B115" s="7"/>
      <c r="C115" s="8" t="s">
        <v>104</v>
      </c>
      <c r="D115" s="25"/>
      <c r="E115" s="48"/>
      <c r="F115" s="53">
        <v>0</v>
      </c>
      <c r="G115" s="13">
        <v>0</v>
      </c>
    </row>
    <row r="116" spans="1:7" ht="15" x14ac:dyDescent="0.25">
      <c r="A116" s="6"/>
      <c r="B116" s="7"/>
      <c r="C116" s="14"/>
      <c r="D116" s="7"/>
      <c r="E116" s="46"/>
      <c r="F116" s="51"/>
      <c r="G116" s="5"/>
    </row>
    <row r="117" spans="1:7" ht="15" x14ac:dyDescent="0.25">
      <c r="A117" s="1"/>
      <c r="B117" s="2"/>
      <c r="C117" s="3" t="s">
        <v>125</v>
      </c>
      <c r="D117" s="4"/>
      <c r="E117" s="46"/>
      <c r="F117" s="51"/>
      <c r="G117" s="5"/>
    </row>
    <row r="118" spans="1:7" ht="25.5" x14ac:dyDescent="0.25">
      <c r="A118" s="6"/>
      <c r="B118" s="7"/>
      <c r="C118" s="8" t="s">
        <v>126</v>
      </c>
      <c r="D118" s="9"/>
      <c r="E118" s="47"/>
      <c r="F118" s="52"/>
      <c r="G118" s="10"/>
    </row>
    <row r="119" spans="1:7" ht="15" x14ac:dyDescent="0.25">
      <c r="A119" s="6"/>
      <c r="B119" s="7"/>
      <c r="C119" s="8" t="s">
        <v>104</v>
      </c>
      <c r="D119" s="25"/>
      <c r="E119" s="48"/>
      <c r="F119" s="53">
        <v>0</v>
      </c>
      <c r="G119" s="13">
        <v>0</v>
      </c>
    </row>
    <row r="120" spans="1:7" ht="15" x14ac:dyDescent="0.25">
      <c r="A120" s="6"/>
      <c r="B120" s="7"/>
      <c r="C120" s="14"/>
      <c r="D120" s="7"/>
      <c r="E120" s="46"/>
      <c r="F120" s="51"/>
      <c r="G120" s="5"/>
    </row>
    <row r="121" spans="1:7" ht="25.5" x14ac:dyDescent="0.25">
      <c r="A121" s="6"/>
      <c r="B121" s="7"/>
      <c r="C121" s="8" t="s">
        <v>127</v>
      </c>
      <c r="D121" s="9"/>
      <c r="E121" s="47"/>
      <c r="F121" s="51">
        <v>58.557000000000002</v>
      </c>
      <c r="G121" s="5">
        <v>1.4949663E-2</v>
      </c>
    </row>
    <row r="122" spans="1:7" ht="15" x14ac:dyDescent="0.25">
      <c r="A122" s="6"/>
      <c r="B122" s="7"/>
      <c r="C122" s="8" t="s">
        <v>810</v>
      </c>
      <c r="D122" s="25"/>
      <c r="E122" s="48"/>
      <c r="F122" s="53">
        <v>58.557000000000002</v>
      </c>
      <c r="G122" s="13">
        <v>1.4949663E-2</v>
      </c>
    </row>
    <row r="123" spans="1:7" ht="15" x14ac:dyDescent="0.25">
      <c r="A123" s="6"/>
      <c r="B123" s="7"/>
      <c r="C123" s="14"/>
      <c r="D123" s="7"/>
      <c r="E123" s="46"/>
      <c r="F123" s="56"/>
      <c r="G123" s="27"/>
    </row>
    <row r="124" spans="1:7" ht="25.5" x14ac:dyDescent="0.25">
      <c r="A124" s="6"/>
      <c r="B124" s="7"/>
      <c r="C124" s="29" t="s">
        <v>128</v>
      </c>
      <c r="D124" s="7"/>
      <c r="E124" s="46"/>
      <c r="F124" s="56">
        <v>5.1049988900000001</v>
      </c>
      <c r="G124" s="27">
        <v>1.303312E-3</v>
      </c>
    </row>
    <row r="125" spans="1:7" ht="15" x14ac:dyDescent="0.25">
      <c r="A125" s="6"/>
      <c r="B125" s="7"/>
      <c r="C125" s="30" t="s">
        <v>129</v>
      </c>
      <c r="D125" s="12"/>
      <c r="E125" s="48"/>
      <c r="F125" s="53">
        <v>3916.9445055900014</v>
      </c>
      <c r="G125" s="13">
        <v>1.0000000019999999</v>
      </c>
    </row>
    <row r="127" spans="1:7" ht="15" x14ac:dyDescent="0.25">
      <c r="B127" s="279"/>
      <c r="C127" s="279"/>
      <c r="D127" s="279"/>
      <c r="E127" s="279"/>
      <c r="F127" s="279"/>
    </row>
    <row r="128" spans="1:7" ht="15" x14ac:dyDescent="0.25">
      <c r="B128" s="279"/>
      <c r="C128" s="279"/>
      <c r="D128" s="279"/>
      <c r="E128" s="279"/>
      <c r="F128" s="279"/>
    </row>
    <row r="130" spans="2:4" ht="15" x14ac:dyDescent="0.25">
      <c r="B130" s="36" t="s">
        <v>131</v>
      </c>
      <c r="C130" s="37"/>
      <c r="D130" s="38"/>
    </row>
    <row r="131" spans="2:4" ht="15" x14ac:dyDescent="0.25">
      <c r="B131" s="39" t="s">
        <v>132</v>
      </c>
      <c r="C131" s="40"/>
      <c r="D131" s="62" t="s">
        <v>133</v>
      </c>
    </row>
    <row r="132" spans="2:4" ht="15" x14ac:dyDescent="0.25">
      <c r="B132" s="39" t="s">
        <v>134</v>
      </c>
      <c r="C132" s="40"/>
      <c r="D132" s="62" t="s">
        <v>133</v>
      </c>
    </row>
    <row r="133" spans="2:4" ht="15" x14ac:dyDescent="0.25">
      <c r="B133" s="41" t="s">
        <v>135</v>
      </c>
      <c r="C133" s="40"/>
      <c r="D133" s="42"/>
    </row>
    <row r="134" spans="2:4" ht="25.5" customHeight="1" x14ac:dyDescent="0.25">
      <c r="B134" s="42"/>
      <c r="C134" s="32" t="s">
        <v>136</v>
      </c>
      <c r="D134" s="33" t="s">
        <v>137</v>
      </c>
    </row>
    <row r="135" spans="2:4" ht="12.75" customHeight="1" x14ac:dyDescent="0.25">
      <c r="B135" s="57" t="s">
        <v>138</v>
      </c>
      <c r="C135" s="58" t="s">
        <v>139</v>
      </c>
      <c r="D135" s="58" t="s">
        <v>140</v>
      </c>
    </row>
    <row r="136" spans="2:4" ht="15" x14ac:dyDescent="0.25">
      <c r="B136" s="42" t="s">
        <v>141</v>
      </c>
      <c r="C136" s="43">
        <v>8.5760000000000005</v>
      </c>
      <c r="D136" s="43">
        <v>7.5137</v>
      </c>
    </row>
    <row r="137" spans="2:4" ht="15" x14ac:dyDescent="0.25">
      <c r="B137" s="42" t="s">
        <v>142</v>
      </c>
      <c r="C137" s="43">
        <v>8.5760000000000005</v>
      </c>
      <c r="D137" s="43">
        <v>7.5137</v>
      </c>
    </row>
    <row r="138" spans="2:4" ht="15" x14ac:dyDescent="0.25">
      <c r="B138" s="42" t="s">
        <v>143</v>
      </c>
      <c r="C138" s="43">
        <v>8.4205000000000005</v>
      </c>
      <c r="D138" s="43">
        <v>7.3761999999999999</v>
      </c>
    </row>
    <row r="139" spans="2:4" ht="15" x14ac:dyDescent="0.25">
      <c r="B139" s="42" t="s">
        <v>144</v>
      </c>
      <c r="C139" s="43">
        <v>8.4206000000000003</v>
      </c>
      <c r="D139" s="43">
        <v>7.3761999999999999</v>
      </c>
    </row>
    <row r="141" spans="2:4" ht="15" x14ac:dyDescent="0.25">
      <c r="B141" s="59" t="s">
        <v>145</v>
      </c>
      <c r="C141" s="44"/>
      <c r="D141" s="60" t="s">
        <v>133</v>
      </c>
    </row>
    <row r="142" spans="2:4" ht="24.75" customHeight="1" x14ac:dyDescent="0.25">
      <c r="B142" s="61"/>
      <c r="C142" s="61"/>
    </row>
    <row r="143" spans="2:4" ht="15" x14ac:dyDescent="0.25">
      <c r="B143" s="63"/>
      <c r="C143" s="65"/>
      <c r="D143"/>
    </row>
    <row r="145" spans="2:4" ht="15" x14ac:dyDescent="0.25">
      <c r="B145" s="41" t="s">
        <v>146</v>
      </c>
      <c r="C145" s="40"/>
      <c r="D145" s="64" t="s">
        <v>133</v>
      </c>
    </row>
    <row r="146" spans="2:4" ht="15" x14ac:dyDescent="0.25">
      <c r="B146" s="41" t="s">
        <v>147</v>
      </c>
      <c r="C146" s="40"/>
      <c r="D146" s="64" t="s">
        <v>133</v>
      </c>
    </row>
    <row r="147" spans="2:4" ht="15" x14ac:dyDescent="0.25">
      <c r="B147" s="41" t="s">
        <v>148</v>
      </c>
      <c r="C147" s="40"/>
      <c r="D147" s="45">
        <v>4.9163603634454819E-3</v>
      </c>
    </row>
    <row r="148" spans="2:4" ht="15" x14ac:dyDescent="0.25">
      <c r="B148" s="41" t="s">
        <v>149</v>
      </c>
      <c r="C148" s="40"/>
      <c r="D148" s="45" t="s">
        <v>133</v>
      </c>
    </row>
  </sheetData>
  <mergeCells count="5">
    <mergeCell ref="A1:G1"/>
    <mergeCell ref="A2:G2"/>
    <mergeCell ref="A3:G3"/>
    <mergeCell ref="B127:F127"/>
    <mergeCell ref="B128:F12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V14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503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444</v>
      </c>
      <c r="C7" s="11" t="s">
        <v>445</v>
      </c>
      <c r="D7" s="2" t="s">
        <v>193</v>
      </c>
      <c r="E7" s="46">
        <v>14004</v>
      </c>
      <c r="F7" s="51">
        <v>102.572298</v>
      </c>
      <c r="G7" s="5">
        <v>4.0878670999999998E-2</v>
      </c>
    </row>
    <row r="8" spans="1:7" ht="15" x14ac:dyDescent="0.25">
      <c r="A8" s="6">
        <v>2</v>
      </c>
      <c r="B8" s="7" t="s">
        <v>60</v>
      </c>
      <c r="C8" s="11" t="s">
        <v>61</v>
      </c>
      <c r="D8" s="2" t="s">
        <v>16</v>
      </c>
      <c r="E8" s="46">
        <v>10306</v>
      </c>
      <c r="F8" s="51">
        <v>99.555959999999999</v>
      </c>
      <c r="G8" s="5">
        <v>3.9676554000000003E-2</v>
      </c>
    </row>
    <row r="9" spans="1:7" ht="25.5" x14ac:dyDescent="0.25">
      <c r="A9" s="6">
        <v>3</v>
      </c>
      <c r="B9" s="7" t="s">
        <v>440</v>
      </c>
      <c r="C9" s="11" t="s">
        <v>441</v>
      </c>
      <c r="D9" s="2" t="s">
        <v>59</v>
      </c>
      <c r="E9" s="46">
        <v>59341</v>
      </c>
      <c r="F9" s="51">
        <v>90.880741499999999</v>
      </c>
      <c r="G9" s="5">
        <v>3.6219174E-2</v>
      </c>
    </row>
    <row r="10" spans="1:7" ht="25.5" x14ac:dyDescent="0.25">
      <c r="A10" s="6">
        <v>4</v>
      </c>
      <c r="B10" s="7" t="s">
        <v>90</v>
      </c>
      <c r="C10" s="11" t="s">
        <v>91</v>
      </c>
      <c r="D10" s="2" t="s">
        <v>22</v>
      </c>
      <c r="E10" s="46">
        <v>8759</v>
      </c>
      <c r="F10" s="51">
        <v>87.585620500000005</v>
      </c>
      <c r="G10" s="5">
        <v>3.4905951999999997E-2</v>
      </c>
    </row>
    <row r="11" spans="1:7" ht="25.5" x14ac:dyDescent="0.25">
      <c r="A11" s="6">
        <v>5</v>
      </c>
      <c r="B11" s="7" t="s">
        <v>23</v>
      </c>
      <c r="C11" s="11" t="s">
        <v>24</v>
      </c>
      <c r="D11" s="2" t="s">
        <v>22</v>
      </c>
      <c r="E11" s="46">
        <v>15634</v>
      </c>
      <c r="F11" s="51">
        <v>85.963549</v>
      </c>
      <c r="G11" s="5">
        <v>3.4259499999999998E-2</v>
      </c>
    </row>
    <row r="12" spans="1:7" ht="15" x14ac:dyDescent="0.25">
      <c r="A12" s="6">
        <v>6</v>
      </c>
      <c r="B12" s="7" t="s">
        <v>442</v>
      </c>
      <c r="C12" s="11" t="s">
        <v>443</v>
      </c>
      <c r="D12" s="2" t="s">
        <v>162</v>
      </c>
      <c r="E12" s="46">
        <v>15923</v>
      </c>
      <c r="F12" s="51">
        <v>83.5559425</v>
      </c>
      <c r="G12" s="5">
        <v>3.3299983999999998E-2</v>
      </c>
    </row>
    <row r="13" spans="1:7" ht="15" x14ac:dyDescent="0.25">
      <c r="A13" s="6">
        <v>7</v>
      </c>
      <c r="B13" s="7" t="s">
        <v>151</v>
      </c>
      <c r="C13" s="11" t="s">
        <v>152</v>
      </c>
      <c r="D13" s="2" t="s">
        <v>16</v>
      </c>
      <c r="E13" s="46">
        <v>40648</v>
      </c>
      <c r="F13" s="51">
        <v>78.694528000000005</v>
      </c>
      <c r="G13" s="5">
        <v>3.1362539000000002E-2</v>
      </c>
    </row>
    <row r="14" spans="1:7" ht="25.5" x14ac:dyDescent="0.25">
      <c r="A14" s="6">
        <v>8</v>
      </c>
      <c r="B14" s="7" t="s">
        <v>68</v>
      </c>
      <c r="C14" s="11" t="s">
        <v>69</v>
      </c>
      <c r="D14" s="2" t="s">
        <v>19</v>
      </c>
      <c r="E14" s="46">
        <v>62965</v>
      </c>
      <c r="F14" s="51">
        <v>76.124684999999999</v>
      </c>
      <c r="G14" s="5">
        <v>3.0338365999999999E-2</v>
      </c>
    </row>
    <row r="15" spans="1:7" ht="25.5" x14ac:dyDescent="0.25">
      <c r="A15" s="6">
        <v>9</v>
      </c>
      <c r="B15" s="7" t="s">
        <v>189</v>
      </c>
      <c r="C15" s="11" t="s">
        <v>190</v>
      </c>
      <c r="D15" s="2" t="s">
        <v>167</v>
      </c>
      <c r="E15" s="46">
        <v>14765</v>
      </c>
      <c r="F15" s="51">
        <v>65.172709999999995</v>
      </c>
      <c r="G15" s="5">
        <v>2.5973619E-2</v>
      </c>
    </row>
    <row r="16" spans="1:7" ht="25.5" x14ac:dyDescent="0.25">
      <c r="A16" s="6">
        <v>10</v>
      </c>
      <c r="B16" s="7" t="s">
        <v>92</v>
      </c>
      <c r="C16" s="11" t="s">
        <v>93</v>
      </c>
      <c r="D16" s="2" t="s">
        <v>22</v>
      </c>
      <c r="E16" s="46">
        <v>14577</v>
      </c>
      <c r="F16" s="51">
        <v>63.927433499999999</v>
      </c>
      <c r="G16" s="5">
        <v>2.5477331999999998E-2</v>
      </c>
    </row>
    <row r="17" spans="1:7" ht="25.5" x14ac:dyDescent="0.25">
      <c r="A17" s="6">
        <v>11</v>
      </c>
      <c r="B17" s="7" t="s">
        <v>153</v>
      </c>
      <c r="C17" s="11" t="s">
        <v>154</v>
      </c>
      <c r="D17" s="2" t="s">
        <v>155</v>
      </c>
      <c r="E17" s="46">
        <v>10021</v>
      </c>
      <c r="F17" s="51">
        <v>62.410787999999997</v>
      </c>
      <c r="G17" s="5">
        <v>2.4872894999999999E-2</v>
      </c>
    </row>
    <row r="18" spans="1:7" ht="25.5" x14ac:dyDescent="0.25">
      <c r="A18" s="6">
        <v>12</v>
      </c>
      <c r="B18" s="7" t="s">
        <v>20</v>
      </c>
      <c r="C18" s="11" t="s">
        <v>21</v>
      </c>
      <c r="D18" s="2" t="s">
        <v>22</v>
      </c>
      <c r="E18" s="46">
        <v>8779</v>
      </c>
      <c r="F18" s="51">
        <v>59.591852000000003</v>
      </c>
      <c r="G18" s="5">
        <v>2.3749449999999998E-2</v>
      </c>
    </row>
    <row r="19" spans="1:7" ht="25.5" x14ac:dyDescent="0.25">
      <c r="A19" s="6">
        <v>13</v>
      </c>
      <c r="B19" s="7" t="s">
        <v>174</v>
      </c>
      <c r="C19" s="11" t="s">
        <v>175</v>
      </c>
      <c r="D19" s="2" t="s">
        <v>22</v>
      </c>
      <c r="E19" s="46">
        <v>20151</v>
      </c>
      <c r="F19" s="51">
        <v>59.425299000000003</v>
      </c>
      <c r="G19" s="5">
        <v>2.3683072999999999E-2</v>
      </c>
    </row>
    <row r="20" spans="1:7" ht="25.5" x14ac:dyDescent="0.25">
      <c r="A20" s="6">
        <v>14</v>
      </c>
      <c r="B20" s="7" t="s">
        <v>45</v>
      </c>
      <c r="C20" s="11" t="s">
        <v>46</v>
      </c>
      <c r="D20" s="2" t="s">
        <v>22</v>
      </c>
      <c r="E20" s="46">
        <v>9615</v>
      </c>
      <c r="F20" s="51">
        <v>58.834184999999998</v>
      </c>
      <c r="G20" s="5">
        <v>2.3447493E-2</v>
      </c>
    </row>
    <row r="21" spans="1:7" ht="15" x14ac:dyDescent="0.25">
      <c r="A21" s="6">
        <v>15</v>
      </c>
      <c r="B21" s="7" t="s">
        <v>187</v>
      </c>
      <c r="C21" s="11" t="s">
        <v>188</v>
      </c>
      <c r="D21" s="2" t="s">
        <v>162</v>
      </c>
      <c r="E21" s="46">
        <v>6278</v>
      </c>
      <c r="F21" s="51">
        <v>57.603788999999999</v>
      </c>
      <c r="G21" s="5">
        <v>2.2957136999999999E-2</v>
      </c>
    </row>
    <row r="22" spans="1:7" ht="25.5" x14ac:dyDescent="0.25">
      <c r="A22" s="6">
        <v>16</v>
      </c>
      <c r="B22" s="7" t="s">
        <v>171</v>
      </c>
      <c r="C22" s="11" t="s">
        <v>172</v>
      </c>
      <c r="D22" s="2" t="s">
        <v>173</v>
      </c>
      <c r="E22" s="46">
        <v>19259</v>
      </c>
      <c r="F22" s="51">
        <v>56.611830500000003</v>
      </c>
      <c r="G22" s="5">
        <v>2.2561807E-2</v>
      </c>
    </row>
    <row r="23" spans="1:7" ht="25.5" x14ac:dyDescent="0.25">
      <c r="A23" s="6">
        <v>17</v>
      </c>
      <c r="B23" s="7" t="s">
        <v>85</v>
      </c>
      <c r="C23" s="11" t="s">
        <v>86</v>
      </c>
      <c r="D23" s="2" t="s">
        <v>22</v>
      </c>
      <c r="E23" s="46">
        <v>9470</v>
      </c>
      <c r="F23" s="51">
        <v>56.095545000000001</v>
      </c>
      <c r="G23" s="5">
        <v>2.2356048999999999E-2</v>
      </c>
    </row>
    <row r="24" spans="1:7" ht="15" x14ac:dyDescent="0.25">
      <c r="A24" s="6">
        <v>18</v>
      </c>
      <c r="B24" s="7" t="s">
        <v>446</v>
      </c>
      <c r="C24" s="11" t="s">
        <v>447</v>
      </c>
      <c r="D24" s="2" t="s">
        <v>162</v>
      </c>
      <c r="E24" s="46">
        <v>48902</v>
      </c>
      <c r="F24" s="51">
        <v>55.014749999999999</v>
      </c>
      <c r="G24" s="5">
        <v>2.1925314000000001E-2</v>
      </c>
    </row>
    <row r="25" spans="1:7" ht="15" x14ac:dyDescent="0.25">
      <c r="A25" s="6">
        <v>19</v>
      </c>
      <c r="B25" s="7" t="s">
        <v>295</v>
      </c>
      <c r="C25" s="11" t="s">
        <v>296</v>
      </c>
      <c r="D25" s="2" t="s">
        <v>170</v>
      </c>
      <c r="E25" s="46">
        <v>2551</v>
      </c>
      <c r="F25" s="51">
        <v>54.116914000000001</v>
      </c>
      <c r="G25" s="5">
        <v>2.1567494999999999E-2</v>
      </c>
    </row>
    <row r="26" spans="1:7" ht="15" x14ac:dyDescent="0.25">
      <c r="A26" s="6">
        <v>20</v>
      </c>
      <c r="B26" s="7" t="s">
        <v>468</v>
      </c>
      <c r="C26" s="11" t="s">
        <v>469</v>
      </c>
      <c r="D26" s="2" t="s">
        <v>241</v>
      </c>
      <c r="E26" s="46">
        <v>36279</v>
      </c>
      <c r="F26" s="51">
        <v>53.457106500000002</v>
      </c>
      <c r="G26" s="5">
        <v>2.1304538000000001E-2</v>
      </c>
    </row>
    <row r="27" spans="1:7" ht="15" x14ac:dyDescent="0.25">
      <c r="A27" s="6">
        <v>21</v>
      </c>
      <c r="B27" s="7" t="s">
        <v>158</v>
      </c>
      <c r="C27" s="11" t="s">
        <v>159</v>
      </c>
      <c r="D27" s="2" t="s">
        <v>16</v>
      </c>
      <c r="E27" s="46">
        <v>59961</v>
      </c>
      <c r="F27" s="51">
        <v>52.645758000000001</v>
      </c>
      <c r="G27" s="5">
        <v>2.0981186999999998E-2</v>
      </c>
    </row>
    <row r="28" spans="1:7" ht="25.5" x14ac:dyDescent="0.25">
      <c r="A28" s="6">
        <v>22</v>
      </c>
      <c r="B28" s="7" t="s">
        <v>178</v>
      </c>
      <c r="C28" s="11" t="s">
        <v>179</v>
      </c>
      <c r="D28" s="2" t="s">
        <v>22</v>
      </c>
      <c r="E28" s="46">
        <v>14991</v>
      </c>
      <c r="F28" s="51">
        <v>52.213653000000001</v>
      </c>
      <c r="G28" s="5">
        <v>2.0808977999999999E-2</v>
      </c>
    </row>
    <row r="29" spans="1:7" ht="15" x14ac:dyDescent="0.25">
      <c r="A29" s="6">
        <v>23</v>
      </c>
      <c r="B29" s="7" t="s">
        <v>182</v>
      </c>
      <c r="C29" s="11" t="s">
        <v>183</v>
      </c>
      <c r="D29" s="2" t="s">
        <v>184</v>
      </c>
      <c r="E29" s="46">
        <v>27539</v>
      </c>
      <c r="F29" s="51">
        <v>51.470390999999999</v>
      </c>
      <c r="G29" s="5">
        <v>2.0512762E-2</v>
      </c>
    </row>
    <row r="30" spans="1:7" ht="15" x14ac:dyDescent="0.25">
      <c r="A30" s="6">
        <v>24</v>
      </c>
      <c r="B30" s="7" t="s">
        <v>197</v>
      </c>
      <c r="C30" s="11" t="s">
        <v>198</v>
      </c>
      <c r="D30" s="2" t="s">
        <v>162</v>
      </c>
      <c r="E30" s="46">
        <v>17000</v>
      </c>
      <c r="F30" s="51">
        <v>50.039499999999997</v>
      </c>
      <c r="G30" s="5">
        <v>1.9942502000000001E-2</v>
      </c>
    </row>
    <row r="31" spans="1:7" ht="25.5" x14ac:dyDescent="0.25">
      <c r="A31" s="6">
        <v>25</v>
      </c>
      <c r="B31" s="7" t="s">
        <v>194</v>
      </c>
      <c r="C31" s="11" t="s">
        <v>195</v>
      </c>
      <c r="D31" s="2" t="s">
        <v>37</v>
      </c>
      <c r="E31" s="46">
        <v>14589</v>
      </c>
      <c r="F31" s="51">
        <v>49.376470500000003</v>
      </c>
      <c r="G31" s="5">
        <v>1.9678260999999999E-2</v>
      </c>
    </row>
    <row r="32" spans="1:7" ht="25.5" x14ac:dyDescent="0.25">
      <c r="A32" s="6">
        <v>26</v>
      </c>
      <c r="B32" s="7" t="s">
        <v>94</v>
      </c>
      <c r="C32" s="11" t="s">
        <v>95</v>
      </c>
      <c r="D32" s="2" t="s">
        <v>22</v>
      </c>
      <c r="E32" s="46">
        <v>44521</v>
      </c>
      <c r="F32" s="51">
        <v>45.6117645</v>
      </c>
      <c r="G32" s="5">
        <v>1.8177893000000001E-2</v>
      </c>
    </row>
    <row r="33" spans="1:7" ht="15" x14ac:dyDescent="0.25">
      <c r="A33" s="6">
        <v>27</v>
      </c>
      <c r="B33" s="7" t="s">
        <v>414</v>
      </c>
      <c r="C33" s="11" t="s">
        <v>415</v>
      </c>
      <c r="D33" s="2" t="s">
        <v>215</v>
      </c>
      <c r="E33" s="46">
        <v>8052</v>
      </c>
      <c r="F33" s="51">
        <v>41.914686000000003</v>
      </c>
      <c r="G33" s="5">
        <v>1.6704477999999998E-2</v>
      </c>
    </row>
    <row r="34" spans="1:7" ht="25.5" x14ac:dyDescent="0.25">
      <c r="A34" s="6">
        <v>28</v>
      </c>
      <c r="B34" s="7" t="s">
        <v>448</v>
      </c>
      <c r="C34" s="11" t="s">
        <v>449</v>
      </c>
      <c r="D34" s="2" t="s">
        <v>81</v>
      </c>
      <c r="E34" s="46">
        <v>15500</v>
      </c>
      <c r="F34" s="51">
        <v>40.64875</v>
      </c>
      <c r="G34" s="5">
        <v>1.6199957000000001E-2</v>
      </c>
    </row>
    <row r="35" spans="1:7" ht="25.5" x14ac:dyDescent="0.25">
      <c r="A35" s="6">
        <v>29</v>
      </c>
      <c r="B35" s="7" t="s">
        <v>355</v>
      </c>
      <c r="C35" s="11" t="s">
        <v>356</v>
      </c>
      <c r="D35" s="2" t="s">
        <v>22</v>
      </c>
      <c r="E35" s="46">
        <v>12191</v>
      </c>
      <c r="F35" s="51">
        <v>40.199822500000003</v>
      </c>
      <c r="G35" s="5">
        <v>1.6021044000000002E-2</v>
      </c>
    </row>
    <row r="36" spans="1:7" ht="15" x14ac:dyDescent="0.25">
      <c r="A36" s="6">
        <v>30</v>
      </c>
      <c r="B36" s="7" t="s">
        <v>49</v>
      </c>
      <c r="C36" s="11" t="s">
        <v>50</v>
      </c>
      <c r="D36" s="2" t="s">
        <v>51</v>
      </c>
      <c r="E36" s="46">
        <v>15271</v>
      </c>
      <c r="F36" s="51">
        <v>39.948936000000003</v>
      </c>
      <c r="G36" s="5">
        <v>1.5921056999999999E-2</v>
      </c>
    </row>
    <row r="37" spans="1:7" ht="15" x14ac:dyDescent="0.25">
      <c r="A37" s="6">
        <v>31</v>
      </c>
      <c r="B37" s="7" t="s">
        <v>191</v>
      </c>
      <c r="C37" s="11" t="s">
        <v>192</v>
      </c>
      <c r="D37" s="2" t="s">
        <v>193</v>
      </c>
      <c r="E37" s="46">
        <v>29206</v>
      </c>
      <c r="F37" s="51">
        <v>38.873185999999997</v>
      </c>
      <c r="G37" s="5">
        <v>1.5492333E-2</v>
      </c>
    </row>
    <row r="38" spans="1:7" ht="15" x14ac:dyDescent="0.25">
      <c r="A38" s="6">
        <v>32</v>
      </c>
      <c r="B38" s="7" t="s">
        <v>267</v>
      </c>
      <c r="C38" s="11" t="s">
        <v>268</v>
      </c>
      <c r="D38" s="2" t="s">
        <v>269</v>
      </c>
      <c r="E38" s="46">
        <v>5153</v>
      </c>
      <c r="F38" s="51">
        <v>38.369238000000003</v>
      </c>
      <c r="G38" s="5">
        <v>1.5291492E-2</v>
      </c>
    </row>
    <row r="39" spans="1:7" ht="25.5" x14ac:dyDescent="0.25">
      <c r="A39" s="6">
        <v>33</v>
      </c>
      <c r="B39" s="7" t="s">
        <v>176</v>
      </c>
      <c r="C39" s="11" t="s">
        <v>177</v>
      </c>
      <c r="D39" s="2" t="s">
        <v>30</v>
      </c>
      <c r="E39" s="46">
        <v>3915</v>
      </c>
      <c r="F39" s="51">
        <v>38.10078</v>
      </c>
      <c r="G39" s="5">
        <v>1.5184502000000001E-2</v>
      </c>
    </row>
    <row r="40" spans="1:7" ht="25.5" x14ac:dyDescent="0.25">
      <c r="A40" s="6">
        <v>34</v>
      </c>
      <c r="B40" s="7" t="s">
        <v>207</v>
      </c>
      <c r="C40" s="11" t="s">
        <v>208</v>
      </c>
      <c r="D40" s="2" t="s">
        <v>30</v>
      </c>
      <c r="E40" s="46">
        <v>30148</v>
      </c>
      <c r="F40" s="51">
        <v>33.117578000000002</v>
      </c>
      <c r="G40" s="5">
        <v>1.319852E-2</v>
      </c>
    </row>
    <row r="41" spans="1:7" ht="15" x14ac:dyDescent="0.25">
      <c r="A41" s="6">
        <v>35</v>
      </c>
      <c r="B41" s="7" t="s">
        <v>236</v>
      </c>
      <c r="C41" s="11" t="s">
        <v>237</v>
      </c>
      <c r="D41" s="2" t="s">
        <v>238</v>
      </c>
      <c r="E41" s="46">
        <v>5487</v>
      </c>
      <c r="F41" s="51">
        <v>33.012535499999998</v>
      </c>
      <c r="G41" s="5">
        <v>1.3156657E-2</v>
      </c>
    </row>
    <row r="42" spans="1:7" ht="15" x14ac:dyDescent="0.25">
      <c r="A42" s="6">
        <v>36</v>
      </c>
      <c r="B42" s="7" t="s">
        <v>452</v>
      </c>
      <c r="C42" s="11" t="s">
        <v>453</v>
      </c>
      <c r="D42" s="2" t="s">
        <v>170</v>
      </c>
      <c r="E42" s="46">
        <v>32043</v>
      </c>
      <c r="F42" s="51">
        <v>32.812032000000002</v>
      </c>
      <c r="G42" s="5">
        <v>1.307675E-2</v>
      </c>
    </row>
    <row r="43" spans="1:7" ht="15" x14ac:dyDescent="0.25">
      <c r="A43" s="6">
        <v>37</v>
      </c>
      <c r="B43" s="7" t="s">
        <v>459</v>
      </c>
      <c r="C43" s="11" t="s">
        <v>460</v>
      </c>
      <c r="D43" s="2" t="s">
        <v>170</v>
      </c>
      <c r="E43" s="46">
        <v>11015</v>
      </c>
      <c r="F43" s="51">
        <v>32.780639999999998</v>
      </c>
      <c r="G43" s="5">
        <v>1.3064239E-2</v>
      </c>
    </row>
    <row r="44" spans="1:7" ht="51" x14ac:dyDescent="0.25">
      <c r="A44" s="6">
        <v>38</v>
      </c>
      <c r="B44" s="7" t="s">
        <v>233</v>
      </c>
      <c r="C44" s="11" t="s">
        <v>234</v>
      </c>
      <c r="D44" s="2" t="s">
        <v>235</v>
      </c>
      <c r="E44" s="46">
        <v>14184</v>
      </c>
      <c r="F44" s="51">
        <v>32.084207999999997</v>
      </c>
      <c r="G44" s="5">
        <v>1.2786686E-2</v>
      </c>
    </row>
    <row r="45" spans="1:7" ht="15" x14ac:dyDescent="0.25">
      <c r="A45" s="6">
        <v>39</v>
      </c>
      <c r="B45" s="7" t="s">
        <v>211</v>
      </c>
      <c r="C45" s="11" t="s">
        <v>212</v>
      </c>
      <c r="D45" s="2" t="s">
        <v>162</v>
      </c>
      <c r="E45" s="46">
        <v>39691</v>
      </c>
      <c r="F45" s="51">
        <v>31.554345000000001</v>
      </c>
      <c r="G45" s="5">
        <v>1.2575517E-2</v>
      </c>
    </row>
    <row r="46" spans="1:7" ht="15" x14ac:dyDescent="0.25">
      <c r="A46" s="6">
        <v>40</v>
      </c>
      <c r="B46" s="7" t="s">
        <v>272</v>
      </c>
      <c r="C46" s="11" t="s">
        <v>273</v>
      </c>
      <c r="D46" s="2" t="s">
        <v>170</v>
      </c>
      <c r="E46" s="46">
        <v>13715</v>
      </c>
      <c r="F46" s="51">
        <v>31.146764999999998</v>
      </c>
      <c r="G46" s="5">
        <v>1.2413082000000001E-2</v>
      </c>
    </row>
    <row r="47" spans="1:7" ht="15" x14ac:dyDescent="0.25">
      <c r="A47" s="6">
        <v>41</v>
      </c>
      <c r="B47" s="7" t="s">
        <v>242</v>
      </c>
      <c r="C47" s="11" t="s">
        <v>243</v>
      </c>
      <c r="D47" s="2" t="s">
        <v>241</v>
      </c>
      <c r="E47" s="46">
        <v>8620</v>
      </c>
      <c r="F47" s="51">
        <v>28.95458</v>
      </c>
      <c r="G47" s="5">
        <v>1.1539419E-2</v>
      </c>
    </row>
    <row r="48" spans="1:7" ht="15" x14ac:dyDescent="0.25">
      <c r="A48" s="6">
        <v>42</v>
      </c>
      <c r="B48" s="7" t="s">
        <v>254</v>
      </c>
      <c r="C48" s="11" t="s">
        <v>255</v>
      </c>
      <c r="D48" s="2" t="s">
        <v>215</v>
      </c>
      <c r="E48" s="46">
        <v>31755</v>
      </c>
      <c r="F48" s="51">
        <v>25.229347499999999</v>
      </c>
      <c r="G48" s="5">
        <v>1.0054782999999999E-2</v>
      </c>
    </row>
    <row r="49" spans="1:7" ht="25.5" x14ac:dyDescent="0.25">
      <c r="A49" s="6">
        <v>43</v>
      </c>
      <c r="B49" s="7" t="s">
        <v>64</v>
      </c>
      <c r="C49" s="11" t="s">
        <v>65</v>
      </c>
      <c r="D49" s="2" t="s">
        <v>19</v>
      </c>
      <c r="E49" s="46">
        <v>33709</v>
      </c>
      <c r="F49" s="51">
        <v>24.658133500000002</v>
      </c>
      <c r="G49" s="5">
        <v>9.8271339999999995E-3</v>
      </c>
    </row>
    <row r="50" spans="1:7" ht="15" x14ac:dyDescent="0.25">
      <c r="A50" s="6">
        <v>44</v>
      </c>
      <c r="B50" s="7" t="s">
        <v>450</v>
      </c>
      <c r="C50" s="11" t="s">
        <v>451</v>
      </c>
      <c r="D50" s="2" t="s">
        <v>193</v>
      </c>
      <c r="E50" s="46">
        <v>3545</v>
      </c>
      <c r="F50" s="51">
        <v>23.324327499999999</v>
      </c>
      <c r="G50" s="5">
        <v>9.2955650000000004E-3</v>
      </c>
    </row>
    <row r="51" spans="1:7" ht="15" x14ac:dyDescent="0.25">
      <c r="A51" s="6">
        <v>45</v>
      </c>
      <c r="B51" s="7" t="s">
        <v>244</v>
      </c>
      <c r="C51" s="11" t="s">
        <v>245</v>
      </c>
      <c r="D51" s="2" t="s">
        <v>162</v>
      </c>
      <c r="E51" s="46">
        <v>4020</v>
      </c>
      <c r="F51" s="51">
        <v>20.813549999999999</v>
      </c>
      <c r="G51" s="5">
        <v>8.2949319999999997E-3</v>
      </c>
    </row>
    <row r="52" spans="1:7" ht="15" x14ac:dyDescent="0.25">
      <c r="A52" s="6">
        <v>46</v>
      </c>
      <c r="B52" s="7" t="s">
        <v>213</v>
      </c>
      <c r="C52" s="11" t="s">
        <v>214</v>
      </c>
      <c r="D52" s="2" t="s">
        <v>215</v>
      </c>
      <c r="E52" s="46">
        <v>21170</v>
      </c>
      <c r="F52" s="51">
        <v>20.196179999999998</v>
      </c>
      <c r="G52" s="5">
        <v>8.048889E-3</v>
      </c>
    </row>
    <row r="53" spans="1:7" ht="25.5" x14ac:dyDescent="0.25">
      <c r="A53" s="6">
        <v>47</v>
      </c>
      <c r="B53" s="7" t="s">
        <v>464</v>
      </c>
      <c r="C53" s="11" t="s">
        <v>465</v>
      </c>
      <c r="D53" s="2" t="s">
        <v>59</v>
      </c>
      <c r="E53" s="46">
        <v>2633</v>
      </c>
      <c r="F53" s="51">
        <v>18.362542000000001</v>
      </c>
      <c r="G53" s="5">
        <v>7.3181189999999997E-3</v>
      </c>
    </row>
    <row r="54" spans="1:7" ht="25.5" x14ac:dyDescent="0.25">
      <c r="A54" s="6">
        <v>48</v>
      </c>
      <c r="B54" s="7" t="s">
        <v>216</v>
      </c>
      <c r="C54" s="11" t="s">
        <v>217</v>
      </c>
      <c r="D54" s="2" t="s">
        <v>59</v>
      </c>
      <c r="E54" s="46">
        <v>6010</v>
      </c>
      <c r="F54" s="51">
        <v>13.603635000000001</v>
      </c>
      <c r="G54" s="5">
        <v>5.4215269999999998E-3</v>
      </c>
    </row>
    <row r="55" spans="1:7" ht="15" x14ac:dyDescent="0.25">
      <c r="A55" s="6">
        <v>49</v>
      </c>
      <c r="B55" s="7" t="s">
        <v>264</v>
      </c>
      <c r="C55" s="11" t="s">
        <v>265</v>
      </c>
      <c r="D55" s="2" t="s">
        <v>162</v>
      </c>
      <c r="E55" s="46">
        <v>1037</v>
      </c>
      <c r="F55" s="51">
        <v>0.69427150000000004</v>
      </c>
      <c r="G55" s="5">
        <v>2.7669199999999999E-4</v>
      </c>
    </row>
    <row r="56" spans="1:7" ht="15" x14ac:dyDescent="0.25">
      <c r="A56" s="1"/>
      <c r="B56" s="2"/>
      <c r="C56" s="8" t="s">
        <v>104</v>
      </c>
      <c r="D56" s="12"/>
      <c r="E56" s="48"/>
      <c r="F56" s="53">
        <v>2388.953133</v>
      </c>
      <c r="G56" s="13">
        <v>0.95208189899999995</v>
      </c>
    </row>
    <row r="57" spans="1:7" ht="15" x14ac:dyDescent="0.25">
      <c r="A57" s="6"/>
      <c r="B57" s="7"/>
      <c r="C57" s="14"/>
      <c r="D57" s="15"/>
      <c r="E57" s="46"/>
      <c r="F57" s="51"/>
      <c r="G57" s="5"/>
    </row>
    <row r="58" spans="1:7" ht="15" x14ac:dyDescent="0.25">
      <c r="A58" s="1"/>
      <c r="B58" s="2"/>
      <c r="C58" s="8" t="s">
        <v>105</v>
      </c>
      <c r="D58" s="9"/>
      <c r="E58" s="47"/>
      <c r="F58" s="52"/>
      <c r="G58" s="10"/>
    </row>
    <row r="59" spans="1:7" ht="15" x14ac:dyDescent="0.25">
      <c r="A59" s="1"/>
      <c r="B59" s="2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6"/>
      <c r="B60" s="7"/>
      <c r="C60" s="14"/>
      <c r="D60" s="15"/>
      <c r="E60" s="46"/>
      <c r="F60" s="51"/>
      <c r="G60" s="5"/>
    </row>
    <row r="61" spans="1:7" ht="15" x14ac:dyDescent="0.25">
      <c r="A61" s="16"/>
      <c r="B61" s="17"/>
      <c r="C61" s="8" t="s">
        <v>106</v>
      </c>
      <c r="D61" s="9"/>
      <c r="E61" s="47"/>
      <c r="F61" s="52"/>
      <c r="G61" s="10"/>
    </row>
    <row r="62" spans="1:7" ht="15" x14ac:dyDescent="0.25">
      <c r="A62" s="18"/>
      <c r="B62" s="19"/>
      <c r="C62" s="8" t="s">
        <v>104</v>
      </c>
      <c r="D62" s="20"/>
      <c r="E62" s="49"/>
      <c r="F62" s="54">
        <v>0</v>
      </c>
      <c r="G62" s="21">
        <v>0</v>
      </c>
    </row>
    <row r="63" spans="1:7" ht="15" x14ac:dyDescent="0.25">
      <c r="A63" s="18"/>
      <c r="B63" s="19"/>
      <c r="C63" s="14"/>
      <c r="D63" s="22"/>
      <c r="E63" s="50"/>
      <c r="F63" s="55"/>
      <c r="G63" s="23"/>
    </row>
    <row r="64" spans="1:7" ht="15" x14ac:dyDescent="0.25">
      <c r="A64" s="1"/>
      <c r="B64" s="2"/>
      <c r="C64" s="8" t="s">
        <v>108</v>
      </c>
      <c r="D64" s="9"/>
      <c r="E64" s="47"/>
      <c r="F64" s="52"/>
      <c r="G64" s="10"/>
    </row>
    <row r="65" spans="1:7" ht="15" x14ac:dyDescent="0.25">
      <c r="A65" s="1"/>
      <c r="B65" s="2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1"/>
      <c r="B66" s="2"/>
      <c r="C66" s="14"/>
      <c r="D66" s="4"/>
      <c r="E66" s="46"/>
      <c r="F66" s="51"/>
      <c r="G66" s="5"/>
    </row>
    <row r="67" spans="1:7" ht="15" x14ac:dyDescent="0.25">
      <c r="A67" s="1"/>
      <c r="B67" s="2"/>
      <c r="C67" s="8" t="s">
        <v>109</v>
      </c>
      <c r="D67" s="9"/>
      <c r="E67" s="47"/>
      <c r="F67" s="52"/>
      <c r="G67" s="10"/>
    </row>
    <row r="68" spans="1:7" ht="15" x14ac:dyDescent="0.25">
      <c r="A68" s="1"/>
      <c r="B68" s="2"/>
      <c r="C68" s="8" t="s">
        <v>104</v>
      </c>
      <c r="D68" s="12"/>
      <c r="E68" s="48"/>
      <c r="F68" s="53">
        <v>0</v>
      </c>
      <c r="G68" s="13">
        <v>0</v>
      </c>
    </row>
    <row r="69" spans="1:7" ht="15" x14ac:dyDescent="0.25">
      <c r="A69" s="1"/>
      <c r="B69" s="2"/>
      <c r="C69" s="14"/>
      <c r="D69" s="4"/>
      <c r="E69" s="46"/>
      <c r="F69" s="51"/>
      <c r="G69" s="5"/>
    </row>
    <row r="70" spans="1:7" ht="15" x14ac:dyDescent="0.25">
      <c r="A70" s="1"/>
      <c r="B70" s="2"/>
      <c r="C70" s="8" t="s">
        <v>110</v>
      </c>
      <c r="D70" s="9"/>
      <c r="E70" s="47"/>
      <c r="F70" s="52"/>
      <c r="G70" s="10"/>
    </row>
    <row r="71" spans="1:7" ht="15" x14ac:dyDescent="0.25">
      <c r="A71" s="1"/>
      <c r="B71" s="2"/>
      <c r="C71" s="8" t="s">
        <v>104</v>
      </c>
      <c r="D71" s="12"/>
      <c r="E71" s="48"/>
      <c r="F71" s="53">
        <v>0</v>
      </c>
      <c r="G71" s="13">
        <v>0</v>
      </c>
    </row>
    <row r="72" spans="1:7" ht="15" x14ac:dyDescent="0.25">
      <c r="A72" s="1"/>
      <c r="B72" s="2"/>
      <c r="C72" s="14"/>
      <c r="D72" s="4"/>
      <c r="E72" s="46"/>
      <c r="F72" s="51"/>
      <c r="G72" s="5"/>
    </row>
    <row r="73" spans="1:7" ht="25.5" x14ac:dyDescent="0.25">
      <c r="A73" s="6"/>
      <c r="B73" s="7"/>
      <c r="C73" s="24" t="s">
        <v>111</v>
      </c>
      <c r="D73" s="25"/>
      <c r="E73" s="48"/>
      <c r="F73" s="53">
        <v>2388.953133</v>
      </c>
      <c r="G73" s="13">
        <v>0.95208189899999995</v>
      </c>
    </row>
    <row r="74" spans="1:7" ht="15" x14ac:dyDescent="0.25">
      <c r="A74" s="1"/>
      <c r="B74" s="2"/>
      <c r="C74" s="11"/>
      <c r="D74" s="4"/>
      <c r="E74" s="46"/>
      <c r="F74" s="51"/>
      <c r="G74" s="5"/>
    </row>
    <row r="75" spans="1:7" ht="15" x14ac:dyDescent="0.25">
      <c r="A75" s="1"/>
      <c r="B75" s="2"/>
      <c r="C75" s="3" t="s">
        <v>112</v>
      </c>
      <c r="D75" s="4"/>
      <c r="E75" s="46"/>
      <c r="F75" s="51"/>
      <c r="G75" s="5"/>
    </row>
    <row r="76" spans="1:7" ht="25.5" x14ac:dyDescent="0.25">
      <c r="A76" s="1"/>
      <c r="B76" s="2"/>
      <c r="C76" s="8" t="s">
        <v>10</v>
      </c>
      <c r="D76" s="9"/>
      <c r="E76" s="47"/>
      <c r="F76" s="52"/>
      <c r="G76" s="10"/>
    </row>
    <row r="77" spans="1:7" ht="15" x14ac:dyDescent="0.25">
      <c r="A77" s="6"/>
      <c r="B77" s="7"/>
      <c r="C77" s="8" t="s">
        <v>104</v>
      </c>
      <c r="D77" s="12"/>
      <c r="E77" s="48"/>
      <c r="F77" s="53">
        <v>0</v>
      </c>
      <c r="G77" s="13">
        <v>0</v>
      </c>
    </row>
    <row r="78" spans="1:7" ht="15" x14ac:dyDescent="0.25">
      <c r="A78" s="6"/>
      <c r="B78" s="7"/>
      <c r="C78" s="14"/>
      <c r="D78" s="4"/>
      <c r="E78" s="46"/>
      <c r="F78" s="51"/>
      <c r="G78" s="5"/>
    </row>
    <row r="79" spans="1:7" ht="15" x14ac:dyDescent="0.25">
      <c r="A79" s="1"/>
      <c r="B79" s="26"/>
      <c r="C79" s="8" t="s">
        <v>113</v>
      </c>
      <c r="D79" s="9"/>
      <c r="E79" s="47"/>
      <c r="F79" s="52"/>
      <c r="G79" s="10"/>
    </row>
    <row r="80" spans="1:7" ht="15" x14ac:dyDescent="0.25">
      <c r="A80" s="6"/>
      <c r="B80" s="7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6"/>
      <c r="B81" s="7"/>
      <c r="C81" s="14"/>
      <c r="D81" s="4"/>
      <c r="E81" s="46"/>
      <c r="F81" s="56"/>
      <c r="G81" s="27"/>
    </row>
    <row r="82" spans="1:7" ht="15" x14ac:dyDescent="0.25">
      <c r="A82" s="1"/>
      <c r="B82" s="2"/>
      <c r="C82" s="8" t="s">
        <v>114</v>
      </c>
      <c r="D82" s="9"/>
      <c r="E82" s="47"/>
      <c r="F82" s="52"/>
      <c r="G82" s="10"/>
    </row>
    <row r="83" spans="1:7" ht="15" x14ac:dyDescent="0.25">
      <c r="A83" s="6"/>
      <c r="B83" s="7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25.5" x14ac:dyDescent="0.25">
      <c r="A85" s="1"/>
      <c r="B85" s="26"/>
      <c r="C85" s="8" t="s">
        <v>115</v>
      </c>
      <c r="D85" s="9"/>
      <c r="E85" s="47"/>
      <c r="F85" s="52"/>
      <c r="G85" s="10"/>
    </row>
    <row r="86" spans="1:7" ht="15" x14ac:dyDescent="0.25">
      <c r="A86" s="6"/>
      <c r="B86" s="7"/>
      <c r="C86" s="8" t="s">
        <v>104</v>
      </c>
      <c r="D86" s="12"/>
      <c r="E86" s="48"/>
      <c r="F86" s="53">
        <v>0</v>
      </c>
      <c r="G86" s="13">
        <v>0</v>
      </c>
    </row>
    <row r="87" spans="1:7" ht="15" x14ac:dyDescent="0.25">
      <c r="A87" s="6"/>
      <c r="B87" s="7"/>
      <c r="C87" s="14"/>
      <c r="D87" s="4"/>
      <c r="E87" s="46"/>
      <c r="F87" s="51"/>
      <c r="G87" s="5"/>
    </row>
    <row r="88" spans="1:7" ht="15" x14ac:dyDescent="0.25">
      <c r="A88" s="6"/>
      <c r="B88" s="7"/>
      <c r="C88" s="28" t="s">
        <v>116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1"/>
      <c r="D89" s="4"/>
      <c r="E89" s="46"/>
      <c r="F89" s="51"/>
      <c r="G89" s="5"/>
    </row>
    <row r="90" spans="1:7" ht="15" x14ac:dyDescent="0.25">
      <c r="A90" s="1"/>
      <c r="B90" s="2"/>
      <c r="C90" s="3" t="s">
        <v>117</v>
      </c>
      <c r="D90" s="4"/>
      <c r="E90" s="46"/>
      <c r="F90" s="51"/>
      <c r="G90" s="5"/>
    </row>
    <row r="91" spans="1:7" ht="15" x14ac:dyDescent="0.25">
      <c r="A91" s="6"/>
      <c r="B91" s="7"/>
      <c r="C91" s="8" t="s">
        <v>118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25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7"/>
      <c r="E93" s="46"/>
      <c r="F93" s="51"/>
      <c r="G93" s="5"/>
    </row>
    <row r="94" spans="1:7" ht="15" x14ac:dyDescent="0.25">
      <c r="A94" s="6"/>
      <c r="B94" s="7"/>
      <c r="C94" s="8" t="s">
        <v>119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25"/>
      <c r="E95" s="48"/>
      <c r="F95" s="53">
        <v>0</v>
      </c>
      <c r="G95" s="13">
        <v>0</v>
      </c>
    </row>
    <row r="96" spans="1:7" ht="15" x14ac:dyDescent="0.25">
      <c r="A96" s="6"/>
      <c r="B96" s="7"/>
      <c r="C96" s="14"/>
      <c r="D96" s="7"/>
      <c r="E96" s="46"/>
      <c r="F96" s="51"/>
      <c r="G96" s="5"/>
    </row>
    <row r="97" spans="1:7" ht="15" x14ac:dyDescent="0.25">
      <c r="A97" s="6"/>
      <c r="B97" s="7"/>
      <c r="C97" s="8" t="s">
        <v>120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4"/>
      <c r="D99" s="7"/>
      <c r="E99" s="46"/>
      <c r="F99" s="51"/>
      <c r="G99" s="5"/>
    </row>
    <row r="100" spans="1:7" ht="15" x14ac:dyDescent="0.25">
      <c r="A100" s="6"/>
      <c r="B100" s="7"/>
      <c r="C100" s="8" t="s">
        <v>121</v>
      </c>
      <c r="D100" s="9"/>
      <c r="E100" s="47"/>
      <c r="F100" s="52"/>
      <c r="G100" s="10"/>
    </row>
    <row r="101" spans="1:7" ht="15" x14ac:dyDescent="0.25">
      <c r="A101" s="6">
        <v>1</v>
      </c>
      <c r="B101" s="7"/>
      <c r="C101" s="11" t="s">
        <v>730</v>
      </c>
      <c r="D101" s="15"/>
      <c r="E101" s="46"/>
      <c r="F101" s="51">
        <v>28.9955593</v>
      </c>
      <c r="G101" s="5">
        <v>1.1555751E-2</v>
      </c>
    </row>
    <row r="102" spans="1:7" ht="15" x14ac:dyDescent="0.25">
      <c r="A102" s="6"/>
      <c r="B102" s="7"/>
      <c r="C102" s="8" t="s">
        <v>104</v>
      </c>
      <c r="D102" s="25"/>
      <c r="E102" s="48"/>
      <c r="F102" s="53">
        <v>28.9955593</v>
      </c>
      <c r="G102" s="13">
        <v>1.1555751E-2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25.5" x14ac:dyDescent="0.25">
      <c r="A104" s="6"/>
      <c r="B104" s="7"/>
      <c r="C104" s="24" t="s">
        <v>122</v>
      </c>
      <c r="D104" s="25"/>
      <c r="E104" s="48"/>
      <c r="F104" s="53">
        <v>28.9955593</v>
      </c>
      <c r="G104" s="13">
        <v>1.1555751E-2</v>
      </c>
    </row>
    <row r="105" spans="1:7" ht="15" x14ac:dyDescent="0.25">
      <c r="A105" s="6"/>
      <c r="B105" s="7"/>
      <c r="C105" s="29"/>
      <c r="D105" s="7"/>
      <c r="E105" s="46"/>
      <c r="F105" s="51"/>
      <c r="G105" s="5"/>
    </row>
    <row r="106" spans="1:7" ht="15" x14ac:dyDescent="0.25">
      <c r="A106" s="1"/>
      <c r="B106" s="2"/>
      <c r="C106" s="3" t="s">
        <v>123</v>
      </c>
      <c r="D106" s="4"/>
      <c r="E106" s="46"/>
      <c r="F106" s="51"/>
      <c r="G106" s="5"/>
    </row>
    <row r="107" spans="1:7" ht="25.5" x14ac:dyDescent="0.25">
      <c r="A107" s="6"/>
      <c r="B107" s="7"/>
      <c r="C107" s="8" t="s">
        <v>124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1"/>
      <c r="B110" s="2"/>
      <c r="C110" s="3" t="s">
        <v>125</v>
      </c>
      <c r="D110" s="4"/>
      <c r="E110" s="46"/>
      <c r="F110" s="51"/>
      <c r="G110" s="5"/>
    </row>
    <row r="111" spans="1:7" ht="25.5" x14ac:dyDescent="0.25">
      <c r="A111" s="6"/>
      <c r="B111" s="7"/>
      <c r="C111" s="8" t="s">
        <v>126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25.5" x14ac:dyDescent="0.25">
      <c r="A114" s="6"/>
      <c r="B114" s="7"/>
      <c r="C114" s="8" t="s">
        <v>127</v>
      </c>
      <c r="D114" s="9"/>
      <c r="E114" s="47"/>
      <c r="F114" s="51">
        <v>87.462999999999994</v>
      </c>
      <c r="G114" s="5">
        <v>3.4857084000000003E-2</v>
      </c>
    </row>
    <row r="115" spans="1:7" ht="15" x14ac:dyDescent="0.25">
      <c r="A115" s="6"/>
      <c r="B115" s="7"/>
      <c r="C115" s="8" t="s">
        <v>810</v>
      </c>
      <c r="D115" s="25"/>
      <c r="E115" s="48"/>
      <c r="F115" s="53">
        <v>87.462999999999994</v>
      </c>
      <c r="G115" s="13">
        <v>3.4857084000000003E-2</v>
      </c>
    </row>
    <row r="116" spans="1:7" ht="15" x14ac:dyDescent="0.25">
      <c r="A116" s="6"/>
      <c r="B116" s="7"/>
      <c r="C116" s="14"/>
      <c r="D116" s="7"/>
      <c r="E116" s="46"/>
      <c r="F116" s="56"/>
      <c r="G116" s="27"/>
    </row>
    <row r="117" spans="1:7" ht="25.5" x14ac:dyDescent="0.25">
      <c r="A117" s="6"/>
      <c r="B117" s="7"/>
      <c r="C117" s="29" t="s">
        <v>128</v>
      </c>
      <c r="D117" s="7"/>
      <c r="E117" s="46"/>
      <c r="F117" s="56">
        <v>3.7769958099999998</v>
      </c>
      <c r="G117" s="27">
        <v>1.5052659999999999E-3</v>
      </c>
    </row>
    <row r="118" spans="1:7" ht="15" x14ac:dyDescent="0.25">
      <c r="A118" s="6"/>
      <c r="B118" s="7"/>
      <c r="C118" s="30" t="s">
        <v>129</v>
      </c>
      <c r="D118" s="12"/>
      <c r="E118" s="48"/>
      <c r="F118" s="53">
        <v>2509.1886881099999</v>
      </c>
      <c r="G118" s="13">
        <v>0.99999999999999978</v>
      </c>
    </row>
    <row r="120" spans="1:7" ht="15" x14ac:dyDescent="0.25">
      <c r="B120" s="279"/>
      <c r="C120" s="279"/>
      <c r="D120" s="279"/>
      <c r="E120" s="279"/>
      <c r="F120" s="279"/>
    </row>
    <row r="121" spans="1:7" ht="15" x14ac:dyDescent="0.25">
      <c r="B121" s="279"/>
      <c r="C121" s="279"/>
      <c r="D121" s="279"/>
      <c r="E121" s="279"/>
      <c r="F121" s="279"/>
    </row>
    <row r="123" spans="1:7" ht="15" x14ac:dyDescent="0.25">
      <c r="B123" s="36" t="s">
        <v>131</v>
      </c>
      <c r="C123" s="37"/>
      <c r="D123" s="38"/>
    </row>
    <row r="124" spans="1:7" ht="15" x14ac:dyDescent="0.25">
      <c r="B124" s="39" t="s">
        <v>132</v>
      </c>
      <c r="C124" s="40"/>
      <c r="D124" s="62" t="s">
        <v>133</v>
      </c>
    </row>
    <row r="125" spans="1:7" ht="15" x14ac:dyDescent="0.25">
      <c r="B125" s="39" t="s">
        <v>134</v>
      </c>
      <c r="C125" s="40"/>
      <c r="D125" s="62" t="s">
        <v>133</v>
      </c>
    </row>
    <row r="126" spans="1:7" ht="15" x14ac:dyDescent="0.25">
      <c r="B126" s="41" t="s">
        <v>135</v>
      </c>
      <c r="C126" s="40"/>
      <c r="D126" s="42"/>
    </row>
    <row r="127" spans="1:7" ht="25.5" customHeight="1" x14ac:dyDescent="0.25">
      <c r="B127" s="42"/>
      <c r="C127" s="32" t="s">
        <v>136</v>
      </c>
      <c r="D127" s="33" t="s">
        <v>137</v>
      </c>
    </row>
    <row r="128" spans="1:7" ht="12.75" customHeight="1" x14ac:dyDescent="0.25">
      <c r="B128" s="57" t="s">
        <v>138</v>
      </c>
      <c r="C128" s="58" t="s">
        <v>139</v>
      </c>
      <c r="D128" s="58" t="s">
        <v>140</v>
      </c>
    </row>
    <row r="129" spans="2:4" ht="15" x14ac:dyDescent="0.25">
      <c r="B129" s="42" t="s">
        <v>141</v>
      </c>
      <c r="C129" s="43">
        <v>9.8030000000000008</v>
      </c>
      <c r="D129" s="43">
        <v>8.6006</v>
      </c>
    </row>
    <row r="130" spans="2:4" ht="15" x14ac:dyDescent="0.25">
      <c r="B130" s="42" t="s">
        <v>142</v>
      </c>
      <c r="C130" s="43">
        <v>9.8030000000000008</v>
      </c>
      <c r="D130" s="43">
        <v>8.6006</v>
      </c>
    </row>
    <row r="131" spans="2:4" ht="15" x14ac:dyDescent="0.25">
      <c r="B131" s="42" t="s">
        <v>143</v>
      </c>
      <c r="C131" s="43">
        <v>9.7530999999999999</v>
      </c>
      <c r="D131" s="43">
        <v>8.5548000000000002</v>
      </c>
    </row>
    <row r="132" spans="2:4" ht="15" x14ac:dyDescent="0.25">
      <c r="B132" s="42" t="s">
        <v>144</v>
      </c>
      <c r="C132" s="43">
        <v>9.7530999999999999</v>
      </c>
      <c r="D132" s="43">
        <v>8.5548000000000002</v>
      </c>
    </row>
    <row r="134" spans="2:4" ht="15" x14ac:dyDescent="0.25">
      <c r="B134" s="59" t="s">
        <v>145</v>
      </c>
      <c r="C134" s="44"/>
      <c r="D134" s="60" t="s">
        <v>133</v>
      </c>
    </row>
    <row r="135" spans="2:4" ht="24.75" customHeight="1" x14ac:dyDescent="0.25">
      <c r="B135" s="61"/>
      <c r="C135" s="61"/>
    </row>
    <row r="136" spans="2:4" ht="15" x14ac:dyDescent="0.25">
      <c r="B136" s="63"/>
      <c r="C136" s="65"/>
      <c r="D136"/>
    </row>
    <row r="138" spans="2:4" ht="15" x14ac:dyDescent="0.25">
      <c r="B138" s="41" t="s">
        <v>146</v>
      </c>
      <c r="C138" s="40"/>
      <c r="D138" s="64" t="s">
        <v>133</v>
      </c>
    </row>
    <row r="139" spans="2:4" ht="15" x14ac:dyDescent="0.25">
      <c r="B139" s="41" t="s">
        <v>147</v>
      </c>
      <c r="C139" s="40"/>
      <c r="D139" s="64" t="s">
        <v>133</v>
      </c>
    </row>
    <row r="140" spans="2:4" ht="15" x14ac:dyDescent="0.25">
      <c r="B140" s="41" t="s">
        <v>148</v>
      </c>
      <c r="C140" s="40"/>
      <c r="D140" s="45">
        <v>3.5730257304301236E-3</v>
      </c>
    </row>
    <row r="141" spans="2:4" ht="15" x14ac:dyDescent="0.25">
      <c r="B141" s="41" t="s">
        <v>149</v>
      </c>
      <c r="C141" s="40"/>
      <c r="D141" s="45" t="s">
        <v>133</v>
      </c>
    </row>
  </sheetData>
  <mergeCells count="5">
    <mergeCell ref="A1:G1"/>
    <mergeCell ref="A2:G2"/>
    <mergeCell ref="A3:G3"/>
    <mergeCell ref="B120:F120"/>
    <mergeCell ref="B121:F12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V136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814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26270</v>
      </c>
      <c r="F7" s="51">
        <v>111.54242000000001</v>
      </c>
      <c r="G7" s="5">
        <v>6.2598409999999993E-2</v>
      </c>
    </row>
    <row r="8" spans="1:7" ht="15" x14ac:dyDescent="0.25">
      <c r="A8" s="6">
        <v>2</v>
      </c>
      <c r="B8" s="7" t="s">
        <v>491</v>
      </c>
      <c r="C8" s="11" t="s">
        <v>492</v>
      </c>
      <c r="D8" s="2" t="s">
        <v>215</v>
      </c>
      <c r="E8" s="46">
        <v>13320</v>
      </c>
      <c r="F8" s="51">
        <v>105.71418</v>
      </c>
      <c r="G8" s="5">
        <v>5.9327560000000001E-2</v>
      </c>
    </row>
    <row r="9" spans="1:7" ht="15" x14ac:dyDescent="0.25">
      <c r="A9" s="6">
        <v>3</v>
      </c>
      <c r="B9" s="7" t="s">
        <v>33</v>
      </c>
      <c r="C9" s="11" t="s">
        <v>34</v>
      </c>
      <c r="D9" s="2" t="s">
        <v>13</v>
      </c>
      <c r="E9" s="46">
        <v>4440</v>
      </c>
      <c r="F9" s="51">
        <v>99.973259999999996</v>
      </c>
      <c r="G9" s="5">
        <v>5.6105714000000001E-2</v>
      </c>
    </row>
    <row r="10" spans="1:7" ht="15" x14ac:dyDescent="0.25">
      <c r="A10" s="6">
        <v>4</v>
      </c>
      <c r="B10" s="7" t="s">
        <v>47</v>
      </c>
      <c r="C10" s="11" t="s">
        <v>48</v>
      </c>
      <c r="D10" s="2" t="s">
        <v>13</v>
      </c>
      <c r="E10" s="46">
        <v>26762</v>
      </c>
      <c r="F10" s="51">
        <v>88.903363999999996</v>
      </c>
      <c r="G10" s="5">
        <v>4.9893209000000001E-2</v>
      </c>
    </row>
    <row r="11" spans="1:7" ht="25.5" x14ac:dyDescent="0.25">
      <c r="A11" s="6">
        <v>5</v>
      </c>
      <c r="B11" s="7" t="s">
        <v>17</v>
      </c>
      <c r="C11" s="11" t="s">
        <v>18</v>
      </c>
      <c r="D11" s="2" t="s">
        <v>19</v>
      </c>
      <c r="E11" s="46">
        <v>5527</v>
      </c>
      <c r="F11" s="51">
        <v>76.676070999999993</v>
      </c>
      <c r="G11" s="5">
        <v>4.3031163999999997E-2</v>
      </c>
    </row>
    <row r="12" spans="1:7" ht="25.5" x14ac:dyDescent="0.25">
      <c r="A12" s="6">
        <v>6</v>
      </c>
      <c r="B12" s="7" t="s">
        <v>489</v>
      </c>
      <c r="C12" s="11" t="s">
        <v>490</v>
      </c>
      <c r="D12" s="2" t="s">
        <v>162</v>
      </c>
      <c r="E12" s="46">
        <v>3394</v>
      </c>
      <c r="F12" s="51">
        <v>72.013891999999998</v>
      </c>
      <c r="G12" s="5">
        <v>4.0414714999999997E-2</v>
      </c>
    </row>
    <row r="13" spans="1:7" ht="25.5" x14ac:dyDescent="0.25">
      <c r="A13" s="6">
        <v>7</v>
      </c>
      <c r="B13" s="7" t="s">
        <v>396</v>
      </c>
      <c r="C13" s="11" t="s">
        <v>397</v>
      </c>
      <c r="D13" s="2" t="s">
        <v>37</v>
      </c>
      <c r="E13" s="46">
        <v>25095</v>
      </c>
      <c r="F13" s="51">
        <v>67.806690000000003</v>
      </c>
      <c r="G13" s="5">
        <v>3.8053602999999998E-2</v>
      </c>
    </row>
    <row r="14" spans="1:7" ht="25.5" x14ac:dyDescent="0.25">
      <c r="A14" s="6">
        <v>8</v>
      </c>
      <c r="B14" s="7" t="s">
        <v>40</v>
      </c>
      <c r="C14" s="11" t="s">
        <v>41</v>
      </c>
      <c r="D14" s="2" t="s">
        <v>42</v>
      </c>
      <c r="E14" s="46">
        <v>5659</v>
      </c>
      <c r="F14" s="51">
        <v>65.998087499999997</v>
      </c>
      <c r="G14" s="5">
        <v>3.7038601999999997E-2</v>
      </c>
    </row>
    <row r="15" spans="1:7" ht="25.5" x14ac:dyDescent="0.25">
      <c r="A15" s="6">
        <v>9</v>
      </c>
      <c r="B15" s="7" t="s">
        <v>310</v>
      </c>
      <c r="C15" s="11" t="s">
        <v>311</v>
      </c>
      <c r="D15" s="2" t="s">
        <v>37</v>
      </c>
      <c r="E15" s="46">
        <v>9396</v>
      </c>
      <c r="F15" s="51">
        <v>60.031044000000001</v>
      </c>
      <c r="G15" s="5">
        <v>3.3689854999999998E-2</v>
      </c>
    </row>
    <row r="16" spans="1:7" ht="15" x14ac:dyDescent="0.25">
      <c r="A16" s="6">
        <v>10</v>
      </c>
      <c r="B16" s="7" t="s">
        <v>504</v>
      </c>
      <c r="C16" s="11" t="s">
        <v>505</v>
      </c>
      <c r="D16" s="2" t="s">
        <v>215</v>
      </c>
      <c r="E16" s="46">
        <v>9208</v>
      </c>
      <c r="F16" s="51">
        <v>58.585900000000002</v>
      </c>
      <c r="G16" s="5">
        <v>3.2878828999999998E-2</v>
      </c>
    </row>
    <row r="17" spans="1:7" ht="25.5" x14ac:dyDescent="0.25">
      <c r="A17" s="6">
        <v>11</v>
      </c>
      <c r="B17" s="7" t="s">
        <v>418</v>
      </c>
      <c r="C17" s="11" t="s">
        <v>419</v>
      </c>
      <c r="D17" s="2" t="s">
        <v>37</v>
      </c>
      <c r="E17" s="46">
        <v>16802</v>
      </c>
      <c r="F17" s="51">
        <v>55.581015999999998</v>
      </c>
      <c r="G17" s="5">
        <v>3.1192467000000001E-2</v>
      </c>
    </row>
    <row r="18" spans="1:7" ht="15" x14ac:dyDescent="0.25">
      <c r="A18" s="6">
        <v>12</v>
      </c>
      <c r="B18" s="7" t="s">
        <v>487</v>
      </c>
      <c r="C18" s="11" t="s">
        <v>488</v>
      </c>
      <c r="D18" s="2" t="s">
        <v>13</v>
      </c>
      <c r="E18" s="46">
        <v>3640</v>
      </c>
      <c r="F18" s="51">
        <v>55.311619999999998</v>
      </c>
      <c r="G18" s="5">
        <v>3.1041280000000001E-2</v>
      </c>
    </row>
    <row r="19" spans="1:7" ht="15" x14ac:dyDescent="0.25">
      <c r="A19" s="6">
        <v>13</v>
      </c>
      <c r="B19" s="7" t="s">
        <v>506</v>
      </c>
      <c r="C19" s="11" t="s">
        <v>507</v>
      </c>
      <c r="D19" s="2" t="s">
        <v>16</v>
      </c>
      <c r="E19" s="46">
        <v>6519</v>
      </c>
      <c r="F19" s="51">
        <v>51.392536499999999</v>
      </c>
      <c r="G19" s="5">
        <v>2.8841861999999999E-2</v>
      </c>
    </row>
    <row r="20" spans="1:7" ht="15" x14ac:dyDescent="0.25">
      <c r="A20" s="6">
        <v>14</v>
      </c>
      <c r="B20" s="7" t="s">
        <v>394</v>
      </c>
      <c r="C20" s="11" t="s">
        <v>395</v>
      </c>
      <c r="D20" s="2" t="s">
        <v>13</v>
      </c>
      <c r="E20" s="46">
        <v>6595</v>
      </c>
      <c r="F20" s="51">
        <v>44.456895000000003</v>
      </c>
      <c r="G20" s="5">
        <v>2.4949530000000001E-2</v>
      </c>
    </row>
    <row r="21" spans="1:7" ht="25.5" x14ac:dyDescent="0.25">
      <c r="A21" s="6">
        <v>15</v>
      </c>
      <c r="B21" s="7" t="s">
        <v>390</v>
      </c>
      <c r="C21" s="11" t="s">
        <v>391</v>
      </c>
      <c r="D21" s="2" t="s">
        <v>162</v>
      </c>
      <c r="E21" s="46">
        <v>5463</v>
      </c>
      <c r="F21" s="51">
        <v>43.570156500000003</v>
      </c>
      <c r="G21" s="5">
        <v>2.4451885999999999E-2</v>
      </c>
    </row>
    <row r="22" spans="1:7" ht="15" x14ac:dyDescent="0.25">
      <c r="A22" s="6">
        <v>16</v>
      </c>
      <c r="B22" s="7" t="s">
        <v>332</v>
      </c>
      <c r="C22" s="11" t="s">
        <v>333</v>
      </c>
      <c r="D22" s="2" t="s">
        <v>155</v>
      </c>
      <c r="E22" s="46">
        <v>6023</v>
      </c>
      <c r="F22" s="51">
        <v>34.737652500000003</v>
      </c>
      <c r="G22" s="5">
        <v>1.9495021000000001E-2</v>
      </c>
    </row>
    <row r="23" spans="1:7" ht="15" x14ac:dyDescent="0.25">
      <c r="A23" s="6">
        <v>17</v>
      </c>
      <c r="B23" s="7" t="s">
        <v>435</v>
      </c>
      <c r="C23" s="11" t="s">
        <v>436</v>
      </c>
      <c r="D23" s="2" t="s">
        <v>215</v>
      </c>
      <c r="E23" s="46">
        <v>1511</v>
      </c>
      <c r="F23" s="51">
        <v>33.328127000000002</v>
      </c>
      <c r="G23" s="5">
        <v>1.8703984999999999E-2</v>
      </c>
    </row>
    <row r="24" spans="1:7" ht="25.5" x14ac:dyDescent="0.25">
      <c r="A24" s="6">
        <v>18</v>
      </c>
      <c r="B24" s="7" t="s">
        <v>297</v>
      </c>
      <c r="C24" s="11" t="s">
        <v>298</v>
      </c>
      <c r="D24" s="2" t="s">
        <v>238</v>
      </c>
      <c r="E24" s="46">
        <v>16744</v>
      </c>
      <c r="F24" s="51">
        <v>31.520579999999999</v>
      </c>
      <c r="G24" s="5">
        <v>1.7689577000000001E-2</v>
      </c>
    </row>
    <row r="25" spans="1:7" ht="25.5" x14ac:dyDescent="0.25">
      <c r="A25" s="6">
        <v>19</v>
      </c>
      <c r="B25" s="7" t="s">
        <v>316</v>
      </c>
      <c r="C25" s="11" t="s">
        <v>317</v>
      </c>
      <c r="D25" s="2" t="s">
        <v>37</v>
      </c>
      <c r="E25" s="46">
        <v>12423</v>
      </c>
      <c r="F25" s="51">
        <v>31.256267999999999</v>
      </c>
      <c r="G25" s="5">
        <v>1.7541243000000002E-2</v>
      </c>
    </row>
    <row r="26" spans="1:7" ht="15" x14ac:dyDescent="0.25">
      <c r="A26" s="6">
        <v>20</v>
      </c>
      <c r="B26" s="7" t="s">
        <v>508</v>
      </c>
      <c r="C26" s="11" t="s">
        <v>509</v>
      </c>
      <c r="D26" s="2" t="s">
        <v>269</v>
      </c>
      <c r="E26" s="46">
        <v>3229</v>
      </c>
      <c r="F26" s="51">
        <v>29.403274</v>
      </c>
      <c r="G26" s="5">
        <v>1.6501328999999999E-2</v>
      </c>
    </row>
    <row r="27" spans="1:7" ht="15" x14ac:dyDescent="0.25">
      <c r="A27" s="6">
        <v>21</v>
      </c>
      <c r="B27" s="7" t="s">
        <v>468</v>
      </c>
      <c r="C27" s="11" t="s">
        <v>469</v>
      </c>
      <c r="D27" s="2" t="s">
        <v>241</v>
      </c>
      <c r="E27" s="46">
        <v>19460</v>
      </c>
      <c r="F27" s="51">
        <v>28.674309999999998</v>
      </c>
      <c r="G27" s="5">
        <v>1.6092229E-2</v>
      </c>
    </row>
    <row r="28" spans="1:7" ht="15" x14ac:dyDescent="0.25">
      <c r="A28" s="6">
        <v>22</v>
      </c>
      <c r="B28" s="7" t="s">
        <v>420</v>
      </c>
      <c r="C28" s="11" t="s">
        <v>421</v>
      </c>
      <c r="D28" s="2" t="s">
        <v>226</v>
      </c>
      <c r="E28" s="46">
        <v>5179</v>
      </c>
      <c r="F28" s="51">
        <v>28.484500000000001</v>
      </c>
      <c r="G28" s="5">
        <v>1.5985706999999998E-2</v>
      </c>
    </row>
    <row r="29" spans="1:7" ht="25.5" x14ac:dyDescent="0.25">
      <c r="A29" s="6">
        <v>23</v>
      </c>
      <c r="B29" s="7" t="s">
        <v>510</v>
      </c>
      <c r="C29" s="11" t="s">
        <v>511</v>
      </c>
      <c r="D29" s="2" t="s">
        <v>37</v>
      </c>
      <c r="E29" s="46">
        <v>2100</v>
      </c>
      <c r="F29" s="51">
        <v>24.984749999999998</v>
      </c>
      <c r="G29" s="5">
        <v>1.4021621999999999E-2</v>
      </c>
    </row>
    <row r="30" spans="1:7" ht="25.5" x14ac:dyDescent="0.25">
      <c r="A30" s="6">
        <v>24</v>
      </c>
      <c r="B30" s="7" t="s">
        <v>512</v>
      </c>
      <c r="C30" s="11" t="s">
        <v>513</v>
      </c>
      <c r="D30" s="2" t="s">
        <v>37</v>
      </c>
      <c r="E30" s="46">
        <v>17627</v>
      </c>
      <c r="F30" s="51">
        <v>24.968645500000001</v>
      </c>
      <c r="G30" s="5">
        <v>1.4012584E-2</v>
      </c>
    </row>
    <row r="31" spans="1:7" ht="15" x14ac:dyDescent="0.25">
      <c r="A31" s="6">
        <v>25</v>
      </c>
      <c r="B31" s="7" t="s">
        <v>514</v>
      </c>
      <c r="C31" s="11" t="s">
        <v>515</v>
      </c>
      <c r="D31" s="2" t="s">
        <v>215</v>
      </c>
      <c r="E31" s="46">
        <v>2161</v>
      </c>
      <c r="F31" s="51">
        <v>22.3566255</v>
      </c>
      <c r="G31" s="5">
        <v>1.2546699E-2</v>
      </c>
    </row>
    <row r="32" spans="1:7" ht="15" x14ac:dyDescent="0.25">
      <c r="A32" s="6">
        <v>26</v>
      </c>
      <c r="B32" s="7" t="s">
        <v>209</v>
      </c>
      <c r="C32" s="11" t="s">
        <v>210</v>
      </c>
      <c r="D32" s="2" t="s">
        <v>155</v>
      </c>
      <c r="E32" s="46">
        <v>13000</v>
      </c>
      <c r="F32" s="51">
        <v>21.6645</v>
      </c>
      <c r="G32" s="5">
        <v>1.2158274E-2</v>
      </c>
    </row>
    <row r="33" spans="1:7" ht="15" x14ac:dyDescent="0.25">
      <c r="A33" s="6">
        <v>27</v>
      </c>
      <c r="B33" s="7" t="s">
        <v>299</v>
      </c>
      <c r="C33" s="11" t="s">
        <v>300</v>
      </c>
      <c r="D33" s="2" t="s">
        <v>13</v>
      </c>
      <c r="E33" s="46">
        <v>23259</v>
      </c>
      <c r="F33" s="51">
        <v>21.491316000000001</v>
      </c>
      <c r="G33" s="5">
        <v>1.2061081E-2</v>
      </c>
    </row>
    <row r="34" spans="1:7" ht="15" x14ac:dyDescent="0.25">
      <c r="A34" s="6">
        <v>28</v>
      </c>
      <c r="B34" s="7" t="s">
        <v>336</v>
      </c>
      <c r="C34" s="11" t="s">
        <v>337</v>
      </c>
      <c r="D34" s="2" t="s">
        <v>184</v>
      </c>
      <c r="E34" s="46">
        <v>4850</v>
      </c>
      <c r="F34" s="51">
        <v>21.279375000000002</v>
      </c>
      <c r="G34" s="5">
        <v>1.1942138999999999E-2</v>
      </c>
    </row>
    <row r="35" spans="1:7" ht="25.5" x14ac:dyDescent="0.25">
      <c r="A35" s="6">
        <v>29</v>
      </c>
      <c r="B35" s="7" t="s">
        <v>301</v>
      </c>
      <c r="C35" s="11" t="s">
        <v>302</v>
      </c>
      <c r="D35" s="2" t="s">
        <v>22</v>
      </c>
      <c r="E35" s="46">
        <v>2896</v>
      </c>
      <c r="F35" s="51">
        <v>20.532640000000001</v>
      </c>
      <c r="G35" s="5">
        <v>1.1523066E-2</v>
      </c>
    </row>
    <row r="36" spans="1:7" ht="25.5" x14ac:dyDescent="0.25">
      <c r="A36" s="6">
        <v>30</v>
      </c>
      <c r="B36" s="7" t="s">
        <v>153</v>
      </c>
      <c r="C36" s="11" t="s">
        <v>154</v>
      </c>
      <c r="D36" s="2" t="s">
        <v>155</v>
      </c>
      <c r="E36" s="46">
        <v>3275</v>
      </c>
      <c r="F36" s="51">
        <v>20.396699999999999</v>
      </c>
      <c r="G36" s="5">
        <v>1.1446774999999999E-2</v>
      </c>
    </row>
    <row r="37" spans="1:7" ht="25.5" x14ac:dyDescent="0.25">
      <c r="A37" s="6">
        <v>31</v>
      </c>
      <c r="B37" s="7" t="s">
        <v>165</v>
      </c>
      <c r="C37" s="11" t="s">
        <v>166</v>
      </c>
      <c r="D37" s="2" t="s">
        <v>167</v>
      </c>
      <c r="E37" s="46">
        <v>16688</v>
      </c>
      <c r="F37" s="51">
        <v>19.23292</v>
      </c>
      <c r="G37" s="5">
        <v>1.0793653E-2</v>
      </c>
    </row>
    <row r="38" spans="1:7" ht="15" x14ac:dyDescent="0.25">
      <c r="A38" s="6">
        <v>32</v>
      </c>
      <c r="B38" s="7" t="s">
        <v>516</v>
      </c>
      <c r="C38" s="11" t="s">
        <v>517</v>
      </c>
      <c r="D38" s="2" t="s">
        <v>13</v>
      </c>
      <c r="E38" s="46">
        <v>17664</v>
      </c>
      <c r="F38" s="51">
        <v>18.847487999999998</v>
      </c>
      <c r="G38" s="5">
        <v>1.0577346E-2</v>
      </c>
    </row>
    <row r="39" spans="1:7" ht="25.5" x14ac:dyDescent="0.25">
      <c r="A39" s="6">
        <v>33</v>
      </c>
      <c r="B39" s="7" t="s">
        <v>518</v>
      </c>
      <c r="C39" s="11" t="s">
        <v>519</v>
      </c>
      <c r="D39" s="2" t="s">
        <v>37</v>
      </c>
      <c r="E39" s="46">
        <v>1066</v>
      </c>
      <c r="F39" s="51">
        <v>18.406089000000001</v>
      </c>
      <c r="G39" s="5">
        <v>1.0329629999999999E-2</v>
      </c>
    </row>
    <row r="40" spans="1:7" ht="15" x14ac:dyDescent="0.25">
      <c r="A40" s="6">
        <v>34</v>
      </c>
      <c r="B40" s="7" t="s">
        <v>520</v>
      </c>
      <c r="C40" s="11" t="s">
        <v>521</v>
      </c>
      <c r="D40" s="2" t="s">
        <v>305</v>
      </c>
      <c r="E40" s="46">
        <v>7500</v>
      </c>
      <c r="F40" s="51">
        <v>17.733750000000001</v>
      </c>
      <c r="G40" s="5">
        <v>9.952308E-3</v>
      </c>
    </row>
    <row r="41" spans="1:7" ht="25.5" x14ac:dyDescent="0.25">
      <c r="A41" s="6">
        <v>35</v>
      </c>
      <c r="B41" s="7" t="s">
        <v>448</v>
      </c>
      <c r="C41" s="11" t="s">
        <v>449</v>
      </c>
      <c r="D41" s="2" t="s">
        <v>81</v>
      </c>
      <c r="E41" s="46">
        <v>6711</v>
      </c>
      <c r="F41" s="51">
        <v>17.599597500000002</v>
      </c>
      <c r="G41" s="5">
        <v>9.8770209999999997E-3</v>
      </c>
    </row>
    <row r="42" spans="1:7" ht="25.5" x14ac:dyDescent="0.25">
      <c r="A42" s="6">
        <v>36</v>
      </c>
      <c r="B42" s="7" t="s">
        <v>64</v>
      </c>
      <c r="C42" s="11" t="s">
        <v>65</v>
      </c>
      <c r="D42" s="2" t="s">
        <v>19</v>
      </c>
      <c r="E42" s="46">
        <v>24022</v>
      </c>
      <c r="F42" s="51">
        <v>17.572092999999999</v>
      </c>
      <c r="G42" s="5">
        <v>9.8615850000000008E-3</v>
      </c>
    </row>
    <row r="43" spans="1:7" ht="25.5" x14ac:dyDescent="0.25">
      <c r="A43" s="6">
        <v>37</v>
      </c>
      <c r="B43" s="7" t="s">
        <v>522</v>
      </c>
      <c r="C43" s="11" t="s">
        <v>523</v>
      </c>
      <c r="D43" s="2" t="s">
        <v>42</v>
      </c>
      <c r="E43" s="46">
        <v>12040</v>
      </c>
      <c r="F43" s="51">
        <v>16.771719999999998</v>
      </c>
      <c r="G43" s="5">
        <v>9.4124099999999995E-3</v>
      </c>
    </row>
    <row r="44" spans="1:7" ht="25.5" x14ac:dyDescent="0.25">
      <c r="A44" s="6">
        <v>38</v>
      </c>
      <c r="B44" s="7" t="s">
        <v>94</v>
      </c>
      <c r="C44" s="11" t="s">
        <v>95</v>
      </c>
      <c r="D44" s="2" t="s">
        <v>22</v>
      </c>
      <c r="E44" s="46">
        <v>15886</v>
      </c>
      <c r="F44" s="51">
        <v>16.275207000000002</v>
      </c>
      <c r="G44" s="5">
        <v>9.1337629999999996E-3</v>
      </c>
    </row>
    <row r="45" spans="1:7" ht="38.25" x14ac:dyDescent="0.25">
      <c r="A45" s="6">
        <v>39</v>
      </c>
      <c r="B45" s="7" t="s">
        <v>260</v>
      </c>
      <c r="C45" s="11" t="s">
        <v>261</v>
      </c>
      <c r="D45" s="2" t="s">
        <v>262</v>
      </c>
      <c r="E45" s="46">
        <v>16393</v>
      </c>
      <c r="F45" s="51">
        <v>15.032381000000001</v>
      </c>
      <c r="G45" s="5">
        <v>8.4362810000000003E-3</v>
      </c>
    </row>
    <row r="46" spans="1:7" ht="25.5" x14ac:dyDescent="0.25">
      <c r="A46" s="6">
        <v>40</v>
      </c>
      <c r="B46" s="7" t="s">
        <v>100</v>
      </c>
      <c r="C46" s="11" t="s">
        <v>101</v>
      </c>
      <c r="D46" s="2" t="s">
        <v>30</v>
      </c>
      <c r="E46" s="46">
        <v>25245</v>
      </c>
      <c r="F46" s="51">
        <v>14.869305000000001</v>
      </c>
      <c r="G46" s="5">
        <v>8.3447609999999992E-3</v>
      </c>
    </row>
    <row r="47" spans="1:7" ht="15" x14ac:dyDescent="0.25">
      <c r="A47" s="6">
        <v>41</v>
      </c>
      <c r="B47" s="7" t="s">
        <v>54</v>
      </c>
      <c r="C47" s="11" t="s">
        <v>55</v>
      </c>
      <c r="D47" s="2" t="s">
        <v>56</v>
      </c>
      <c r="E47" s="46">
        <v>10839</v>
      </c>
      <c r="F47" s="51">
        <v>14.643489000000001</v>
      </c>
      <c r="G47" s="5">
        <v>8.2180320000000001E-3</v>
      </c>
    </row>
    <row r="48" spans="1:7" ht="25.5" x14ac:dyDescent="0.25">
      <c r="A48" s="6">
        <v>42</v>
      </c>
      <c r="B48" s="7" t="s">
        <v>274</v>
      </c>
      <c r="C48" s="11" t="s">
        <v>275</v>
      </c>
      <c r="D48" s="2" t="s">
        <v>22</v>
      </c>
      <c r="E48" s="46">
        <v>3700</v>
      </c>
      <c r="F48" s="51">
        <v>14.57615</v>
      </c>
      <c r="G48" s="5">
        <v>8.1802400000000001E-3</v>
      </c>
    </row>
    <row r="49" spans="1:7" ht="25.5" x14ac:dyDescent="0.25">
      <c r="A49" s="6">
        <v>43</v>
      </c>
      <c r="B49" s="7" t="s">
        <v>524</v>
      </c>
      <c r="C49" s="11" t="s">
        <v>525</v>
      </c>
      <c r="D49" s="2" t="s">
        <v>42</v>
      </c>
      <c r="E49" s="46">
        <v>3828</v>
      </c>
      <c r="F49" s="51">
        <v>13.22574</v>
      </c>
      <c r="G49" s="5">
        <v>7.4223809999999996E-3</v>
      </c>
    </row>
    <row r="50" spans="1:7" ht="25.5" x14ac:dyDescent="0.25">
      <c r="A50" s="6">
        <v>44</v>
      </c>
      <c r="B50" s="7" t="s">
        <v>526</v>
      </c>
      <c r="C50" s="11" t="s">
        <v>527</v>
      </c>
      <c r="D50" s="2" t="s">
        <v>37</v>
      </c>
      <c r="E50" s="46">
        <v>1000</v>
      </c>
      <c r="F50" s="51">
        <v>6.9459999999999997</v>
      </c>
      <c r="G50" s="5">
        <v>3.898145E-3</v>
      </c>
    </row>
    <row r="51" spans="1:7" ht="15" x14ac:dyDescent="0.25">
      <c r="A51" s="1"/>
      <c r="B51" s="2"/>
      <c r="C51" s="8" t="s">
        <v>104</v>
      </c>
      <c r="D51" s="12"/>
      <c r="E51" s="48"/>
      <c r="F51" s="53">
        <v>1674.3683255000008</v>
      </c>
      <c r="G51" s="13">
        <v>0.93966757300000026</v>
      </c>
    </row>
    <row r="52" spans="1:7" ht="15" x14ac:dyDescent="0.25">
      <c r="A52" s="6"/>
      <c r="B52" s="7"/>
      <c r="C52" s="14"/>
      <c r="D52" s="15"/>
      <c r="E52" s="46"/>
      <c r="F52" s="51"/>
      <c r="G52" s="5"/>
    </row>
    <row r="53" spans="1:7" ht="15" x14ac:dyDescent="0.25">
      <c r="A53" s="1"/>
      <c r="B53" s="2"/>
      <c r="C53" s="8" t="s">
        <v>105</v>
      </c>
      <c r="D53" s="9"/>
      <c r="E53" s="47"/>
      <c r="F53" s="52"/>
      <c r="G53" s="10"/>
    </row>
    <row r="54" spans="1:7" ht="15" x14ac:dyDescent="0.25">
      <c r="A54" s="1"/>
      <c r="B54" s="2"/>
      <c r="C54" s="8" t="s">
        <v>104</v>
      </c>
      <c r="D54" s="12"/>
      <c r="E54" s="48"/>
      <c r="F54" s="53">
        <v>0</v>
      </c>
      <c r="G54" s="13">
        <v>0</v>
      </c>
    </row>
    <row r="55" spans="1:7" ht="15" x14ac:dyDescent="0.25">
      <c r="A55" s="6"/>
      <c r="B55" s="7"/>
      <c r="C55" s="14"/>
      <c r="D55" s="15"/>
      <c r="E55" s="46"/>
      <c r="F55" s="51"/>
      <c r="G55" s="5"/>
    </row>
    <row r="56" spans="1:7" ht="15" x14ac:dyDescent="0.25">
      <c r="A56" s="16"/>
      <c r="B56" s="17"/>
      <c r="C56" s="8" t="s">
        <v>106</v>
      </c>
      <c r="D56" s="9"/>
      <c r="E56" s="47"/>
      <c r="F56" s="52"/>
      <c r="G56" s="10"/>
    </row>
    <row r="57" spans="1:7" ht="15" x14ac:dyDescent="0.25">
      <c r="A57" s="18"/>
      <c r="B57" s="19"/>
      <c r="C57" s="8" t="s">
        <v>104</v>
      </c>
      <c r="D57" s="20"/>
      <c r="E57" s="49"/>
      <c r="F57" s="54">
        <v>0</v>
      </c>
      <c r="G57" s="21">
        <v>0</v>
      </c>
    </row>
    <row r="58" spans="1:7" ht="15" x14ac:dyDescent="0.25">
      <c r="A58" s="18"/>
      <c r="B58" s="19"/>
      <c r="C58" s="14"/>
      <c r="D58" s="22"/>
      <c r="E58" s="50"/>
      <c r="F58" s="55"/>
      <c r="G58" s="23"/>
    </row>
    <row r="59" spans="1:7" ht="15" x14ac:dyDescent="0.25">
      <c r="A59" s="1"/>
      <c r="B59" s="2"/>
      <c r="C59" s="8" t="s">
        <v>108</v>
      </c>
      <c r="D59" s="9"/>
      <c r="E59" s="47"/>
      <c r="F59" s="52"/>
      <c r="G59" s="10"/>
    </row>
    <row r="60" spans="1:7" ht="15" x14ac:dyDescent="0.25">
      <c r="A60" s="1"/>
      <c r="B60" s="2"/>
      <c r="C60" s="8" t="s">
        <v>104</v>
      </c>
      <c r="D60" s="12"/>
      <c r="E60" s="48"/>
      <c r="F60" s="53">
        <v>0</v>
      </c>
      <c r="G60" s="13">
        <v>0</v>
      </c>
    </row>
    <row r="61" spans="1:7" ht="15" x14ac:dyDescent="0.25">
      <c r="A61" s="1"/>
      <c r="B61" s="2"/>
      <c r="C61" s="14"/>
      <c r="D61" s="4"/>
      <c r="E61" s="46"/>
      <c r="F61" s="51"/>
      <c r="G61" s="5"/>
    </row>
    <row r="62" spans="1:7" ht="15" x14ac:dyDescent="0.25">
      <c r="A62" s="1"/>
      <c r="B62" s="2"/>
      <c r="C62" s="8" t="s">
        <v>109</v>
      </c>
      <c r="D62" s="9"/>
      <c r="E62" s="47"/>
      <c r="F62" s="52"/>
      <c r="G62" s="10"/>
    </row>
    <row r="63" spans="1:7" ht="15" x14ac:dyDescent="0.25">
      <c r="A63" s="1"/>
      <c r="B63" s="2"/>
      <c r="C63" s="8" t="s">
        <v>104</v>
      </c>
      <c r="D63" s="12"/>
      <c r="E63" s="48"/>
      <c r="F63" s="53">
        <v>0</v>
      </c>
      <c r="G63" s="13">
        <v>0</v>
      </c>
    </row>
    <row r="64" spans="1:7" ht="15" x14ac:dyDescent="0.25">
      <c r="A64" s="1"/>
      <c r="B64" s="2"/>
      <c r="C64" s="14"/>
      <c r="D64" s="4"/>
      <c r="E64" s="46"/>
      <c r="F64" s="51"/>
      <c r="G64" s="5"/>
    </row>
    <row r="65" spans="1:7" ht="15" x14ac:dyDescent="0.25">
      <c r="A65" s="1"/>
      <c r="B65" s="2"/>
      <c r="C65" s="8" t="s">
        <v>110</v>
      </c>
      <c r="D65" s="9"/>
      <c r="E65" s="47"/>
      <c r="F65" s="52"/>
      <c r="G65" s="10"/>
    </row>
    <row r="66" spans="1:7" ht="15" x14ac:dyDescent="0.25">
      <c r="A66" s="1"/>
      <c r="B66" s="2"/>
      <c r="C66" s="8" t="s">
        <v>104</v>
      </c>
      <c r="D66" s="12"/>
      <c r="E66" s="48"/>
      <c r="F66" s="53">
        <v>0</v>
      </c>
      <c r="G66" s="13">
        <v>0</v>
      </c>
    </row>
    <row r="67" spans="1:7" ht="15" x14ac:dyDescent="0.25">
      <c r="A67" s="1"/>
      <c r="B67" s="2"/>
      <c r="C67" s="14"/>
      <c r="D67" s="4"/>
      <c r="E67" s="46"/>
      <c r="F67" s="51"/>
      <c r="G67" s="5"/>
    </row>
    <row r="68" spans="1:7" ht="25.5" x14ac:dyDescent="0.25">
      <c r="A68" s="6"/>
      <c r="B68" s="7"/>
      <c r="C68" s="24" t="s">
        <v>111</v>
      </c>
      <c r="D68" s="25"/>
      <c r="E68" s="48"/>
      <c r="F68" s="53">
        <v>1674.3683255000008</v>
      </c>
      <c r="G68" s="13">
        <v>0.93966757300000026</v>
      </c>
    </row>
    <row r="69" spans="1:7" ht="15" x14ac:dyDescent="0.25">
      <c r="A69" s="1"/>
      <c r="B69" s="2"/>
      <c r="C69" s="11"/>
      <c r="D69" s="4"/>
      <c r="E69" s="46"/>
      <c r="F69" s="51"/>
      <c r="G69" s="5"/>
    </row>
    <row r="70" spans="1:7" ht="15" x14ac:dyDescent="0.25">
      <c r="A70" s="1"/>
      <c r="B70" s="2"/>
      <c r="C70" s="3" t="s">
        <v>112</v>
      </c>
      <c r="D70" s="4"/>
      <c r="E70" s="46"/>
      <c r="F70" s="51"/>
      <c r="G70" s="5"/>
    </row>
    <row r="71" spans="1:7" ht="25.5" x14ac:dyDescent="0.25">
      <c r="A71" s="1"/>
      <c r="B71" s="2"/>
      <c r="C71" s="8" t="s">
        <v>10</v>
      </c>
      <c r="D71" s="9"/>
      <c r="E71" s="47"/>
      <c r="F71" s="52"/>
      <c r="G71" s="10"/>
    </row>
    <row r="72" spans="1:7" ht="15" x14ac:dyDescent="0.25">
      <c r="A72" s="6"/>
      <c r="B72" s="7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6"/>
      <c r="B73" s="7"/>
      <c r="C73" s="14"/>
      <c r="D73" s="4"/>
      <c r="E73" s="46"/>
      <c r="F73" s="51"/>
      <c r="G73" s="5"/>
    </row>
    <row r="74" spans="1:7" ht="15" x14ac:dyDescent="0.25">
      <c r="A74" s="1"/>
      <c r="B74" s="26"/>
      <c r="C74" s="8" t="s">
        <v>113</v>
      </c>
      <c r="D74" s="9"/>
      <c r="E74" s="47"/>
      <c r="F74" s="52"/>
      <c r="G74" s="10"/>
    </row>
    <row r="75" spans="1:7" ht="15" x14ac:dyDescent="0.25">
      <c r="A75" s="6"/>
      <c r="B75" s="7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6"/>
      <c r="B76" s="7"/>
      <c r="C76" s="14"/>
      <c r="D76" s="4"/>
      <c r="E76" s="46"/>
      <c r="F76" s="56"/>
      <c r="G76" s="27"/>
    </row>
    <row r="77" spans="1:7" ht="15" x14ac:dyDescent="0.25">
      <c r="A77" s="1"/>
      <c r="B77" s="2"/>
      <c r="C77" s="8" t="s">
        <v>114</v>
      </c>
      <c r="D77" s="9"/>
      <c r="E77" s="47"/>
      <c r="F77" s="52"/>
      <c r="G77" s="10"/>
    </row>
    <row r="78" spans="1:7" ht="15" x14ac:dyDescent="0.25">
      <c r="A78" s="6"/>
      <c r="B78" s="7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25.5" x14ac:dyDescent="0.25">
      <c r="A80" s="1"/>
      <c r="B80" s="26"/>
      <c r="C80" s="8" t="s">
        <v>115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4"/>
      <c r="E82" s="46"/>
      <c r="F82" s="51"/>
      <c r="G82" s="5"/>
    </row>
    <row r="83" spans="1:7" ht="15" x14ac:dyDescent="0.25">
      <c r="A83" s="6"/>
      <c r="B83" s="7"/>
      <c r="C83" s="28" t="s">
        <v>116</v>
      </c>
      <c r="D83" s="25"/>
      <c r="E83" s="48"/>
      <c r="F83" s="53">
        <v>0</v>
      </c>
      <c r="G83" s="13">
        <v>0</v>
      </c>
    </row>
    <row r="84" spans="1:7" ht="15" x14ac:dyDescent="0.25">
      <c r="A84" s="6"/>
      <c r="B84" s="7"/>
      <c r="C84" s="11"/>
      <c r="D84" s="4"/>
      <c r="E84" s="46"/>
      <c r="F84" s="51"/>
      <c r="G84" s="5"/>
    </row>
    <row r="85" spans="1:7" ht="15" x14ac:dyDescent="0.25">
      <c r="A85" s="1"/>
      <c r="B85" s="2"/>
      <c r="C85" s="3" t="s">
        <v>117</v>
      </c>
      <c r="D85" s="4"/>
      <c r="E85" s="46"/>
      <c r="F85" s="51"/>
      <c r="G85" s="5"/>
    </row>
    <row r="86" spans="1:7" ht="15" x14ac:dyDescent="0.25">
      <c r="A86" s="6"/>
      <c r="B86" s="7"/>
      <c r="C86" s="8" t="s">
        <v>118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25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7"/>
      <c r="E88" s="46"/>
      <c r="F88" s="51"/>
      <c r="G88" s="5"/>
    </row>
    <row r="89" spans="1:7" ht="15" x14ac:dyDescent="0.25">
      <c r="A89" s="6"/>
      <c r="B89" s="7"/>
      <c r="C89" s="8" t="s">
        <v>119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25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7"/>
      <c r="E91" s="46"/>
      <c r="F91" s="51"/>
      <c r="G91" s="5"/>
    </row>
    <row r="92" spans="1:7" ht="15" x14ac:dyDescent="0.25">
      <c r="A92" s="6"/>
      <c r="B92" s="7"/>
      <c r="C92" s="8" t="s">
        <v>120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25"/>
      <c r="E93" s="48"/>
      <c r="F93" s="53">
        <v>0</v>
      </c>
      <c r="G93" s="13">
        <v>0</v>
      </c>
    </row>
    <row r="94" spans="1:7" ht="15" x14ac:dyDescent="0.25">
      <c r="A94" s="6"/>
      <c r="B94" s="7"/>
      <c r="C94" s="14"/>
      <c r="D94" s="7"/>
      <c r="E94" s="46"/>
      <c r="F94" s="51"/>
      <c r="G94" s="5"/>
    </row>
    <row r="95" spans="1:7" ht="15" x14ac:dyDescent="0.25">
      <c r="A95" s="6"/>
      <c r="B95" s="7"/>
      <c r="C95" s="8" t="s">
        <v>121</v>
      </c>
      <c r="D95" s="9"/>
      <c r="E95" s="47"/>
      <c r="F95" s="52"/>
      <c r="G95" s="10"/>
    </row>
    <row r="96" spans="1:7" ht="15" x14ac:dyDescent="0.25">
      <c r="A96" s="6">
        <v>1</v>
      </c>
      <c r="B96" s="7"/>
      <c r="C96" s="11" t="s">
        <v>730</v>
      </c>
      <c r="D96" s="15"/>
      <c r="E96" s="46"/>
      <c r="F96" s="51">
        <v>101.98438109999999</v>
      </c>
      <c r="G96" s="5">
        <v>5.723437E-2</v>
      </c>
    </row>
    <row r="97" spans="1:7" ht="15" x14ac:dyDescent="0.25">
      <c r="A97" s="6"/>
      <c r="B97" s="7"/>
      <c r="C97" s="8" t="s">
        <v>104</v>
      </c>
      <c r="D97" s="25"/>
      <c r="E97" s="48"/>
      <c r="F97" s="53">
        <v>101.98438109999999</v>
      </c>
      <c r="G97" s="13">
        <v>5.723437E-2</v>
      </c>
    </row>
    <row r="98" spans="1:7" ht="15" x14ac:dyDescent="0.25">
      <c r="A98" s="6"/>
      <c r="B98" s="7"/>
      <c r="C98" s="14"/>
      <c r="D98" s="7"/>
      <c r="E98" s="46"/>
      <c r="F98" s="51"/>
      <c r="G98" s="5"/>
    </row>
    <row r="99" spans="1:7" ht="25.5" x14ac:dyDescent="0.25">
      <c r="A99" s="6"/>
      <c r="B99" s="7"/>
      <c r="C99" s="24" t="s">
        <v>122</v>
      </c>
      <c r="D99" s="25"/>
      <c r="E99" s="48"/>
      <c r="F99" s="53">
        <v>101.98438109999999</v>
      </c>
      <c r="G99" s="13">
        <v>5.723437E-2</v>
      </c>
    </row>
    <row r="100" spans="1:7" ht="15" x14ac:dyDescent="0.25">
      <c r="A100" s="6"/>
      <c r="B100" s="7"/>
      <c r="C100" s="29"/>
      <c r="D100" s="7"/>
      <c r="E100" s="46"/>
      <c r="F100" s="51"/>
      <c r="G100" s="5"/>
    </row>
    <row r="101" spans="1:7" ht="15" x14ac:dyDescent="0.25">
      <c r="A101" s="1"/>
      <c r="B101" s="2"/>
      <c r="C101" s="3" t="s">
        <v>123</v>
      </c>
      <c r="D101" s="4"/>
      <c r="E101" s="46"/>
      <c r="F101" s="51"/>
      <c r="G101" s="5"/>
    </row>
    <row r="102" spans="1:7" ht="25.5" x14ac:dyDescent="0.25">
      <c r="A102" s="6"/>
      <c r="B102" s="7"/>
      <c r="C102" s="8" t="s">
        <v>124</v>
      </c>
      <c r="D102" s="9"/>
      <c r="E102" s="47"/>
      <c r="F102" s="52"/>
      <c r="G102" s="10"/>
    </row>
    <row r="103" spans="1:7" ht="15" x14ac:dyDescent="0.25">
      <c r="A103" s="6"/>
      <c r="B103" s="7"/>
      <c r="C103" s="8" t="s">
        <v>104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4"/>
      <c r="D104" s="7"/>
      <c r="E104" s="46"/>
      <c r="F104" s="51"/>
      <c r="G104" s="5"/>
    </row>
    <row r="105" spans="1:7" ht="15" x14ac:dyDescent="0.25">
      <c r="A105" s="1"/>
      <c r="B105" s="2"/>
      <c r="C105" s="3" t="s">
        <v>125</v>
      </c>
      <c r="D105" s="4"/>
      <c r="E105" s="46"/>
      <c r="F105" s="51"/>
      <c r="G105" s="5"/>
    </row>
    <row r="106" spans="1:7" ht="25.5" x14ac:dyDescent="0.25">
      <c r="A106" s="6"/>
      <c r="B106" s="7"/>
      <c r="C106" s="8" t="s">
        <v>126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25.5" x14ac:dyDescent="0.25">
      <c r="A109" s="6"/>
      <c r="B109" s="7"/>
      <c r="C109" s="8" t="s">
        <v>127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6"/>
      <c r="G111" s="27"/>
    </row>
    <row r="112" spans="1:7" ht="25.5" x14ac:dyDescent="0.25">
      <c r="A112" s="6"/>
      <c r="B112" s="7"/>
      <c r="C112" s="29" t="s">
        <v>128</v>
      </c>
      <c r="D112" s="7"/>
      <c r="E112" s="46"/>
      <c r="F112" s="56">
        <v>5.5203414100000003</v>
      </c>
      <c r="G112" s="27">
        <v>3.0980550000000002E-3</v>
      </c>
    </row>
    <row r="113" spans="1:7" ht="15" x14ac:dyDescent="0.25">
      <c r="A113" s="6"/>
      <c r="B113" s="7"/>
      <c r="C113" s="30" t="s">
        <v>129</v>
      </c>
      <c r="D113" s="12"/>
      <c r="E113" s="48"/>
      <c r="F113" s="53">
        <v>1781.873048010001</v>
      </c>
      <c r="G113" s="13">
        <v>0.99999999800000028</v>
      </c>
    </row>
    <row r="115" spans="1:7" ht="15" x14ac:dyDescent="0.25">
      <c r="B115" s="279"/>
      <c r="C115" s="279"/>
      <c r="D115" s="279"/>
      <c r="E115" s="279"/>
      <c r="F115" s="279"/>
    </row>
    <row r="116" spans="1:7" ht="15" x14ac:dyDescent="0.25">
      <c r="B116" s="279"/>
      <c r="C116" s="279"/>
      <c r="D116" s="279"/>
      <c r="E116" s="279"/>
      <c r="F116" s="279"/>
    </row>
    <row r="118" spans="1:7" ht="15" x14ac:dyDescent="0.25">
      <c r="B118" s="36" t="s">
        <v>131</v>
      </c>
      <c r="C118" s="37"/>
      <c r="D118" s="38"/>
    </row>
    <row r="119" spans="1:7" ht="15" x14ac:dyDescent="0.25">
      <c r="B119" s="39" t="s">
        <v>132</v>
      </c>
      <c r="C119" s="40"/>
      <c r="D119" s="62" t="s">
        <v>133</v>
      </c>
    </row>
    <row r="120" spans="1:7" ht="15" x14ac:dyDescent="0.25">
      <c r="B120" s="39" t="s">
        <v>134</v>
      </c>
      <c r="C120" s="40"/>
      <c r="D120" s="62" t="s">
        <v>133</v>
      </c>
    </row>
    <row r="121" spans="1:7" ht="15" x14ac:dyDescent="0.25">
      <c r="B121" s="41" t="s">
        <v>135</v>
      </c>
      <c r="C121" s="40"/>
      <c r="D121" s="42"/>
    </row>
    <row r="122" spans="1:7" ht="25.5" customHeight="1" x14ac:dyDescent="0.25">
      <c r="B122" s="42"/>
      <c r="C122" s="32" t="s">
        <v>136</v>
      </c>
      <c r="D122" s="33" t="s">
        <v>137</v>
      </c>
    </row>
    <row r="123" spans="1:7" ht="12.75" customHeight="1" x14ac:dyDescent="0.25">
      <c r="B123" s="57" t="s">
        <v>138</v>
      </c>
      <c r="C123" s="58" t="s">
        <v>139</v>
      </c>
      <c r="D123" s="58" t="s">
        <v>140</v>
      </c>
    </row>
    <row r="124" spans="1:7" ht="15" x14ac:dyDescent="0.25">
      <c r="B124" s="42" t="s">
        <v>141</v>
      </c>
      <c r="C124" s="43">
        <v>13.9251</v>
      </c>
      <c r="D124" s="43">
        <v>12.970700000000001</v>
      </c>
    </row>
    <row r="125" spans="1:7" ht="15" x14ac:dyDescent="0.25">
      <c r="B125" s="42" t="s">
        <v>142</v>
      </c>
      <c r="C125" s="43">
        <v>12.8439</v>
      </c>
      <c r="D125" s="43">
        <v>11.9636</v>
      </c>
    </row>
    <row r="126" spans="1:7" ht="15" x14ac:dyDescent="0.25">
      <c r="B126" s="42" t="s">
        <v>143</v>
      </c>
      <c r="C126" s="43">
        <v>13.678599999999999</v>
      </c>
      <c r="D126" s="43">
        <v>12.736499999999999</v>
      </c>
    </row>
    <row r="127" spans="1:7" ht="15" x14ac:dyDescent="0.25">
      <c r="B127" s="42" t="s">
        <v>144</v>
      </c>
      <c r="C127" s="43">
        <v>12.603899999999999</v>
      </c>
      <c r="D127" s="43">
        <v>11.735900000000001</v>
      </c>
    </row>
    <row r="129" spans="2:4" ht="15" x14ac:dyDescent="0.25">
      <c r="B129" s="59" t="s">
        <v>145</v>
      </c>
      <c r="C129" s="44"/>
      <c r="D129" s="60" t="s">
        <v>133</v>
      </c>
    </row>
    <row r="130" spans="2:4" ht="24.75" customHeight="1" x14ac:dyDescent="0.25">
      <c r="B130" s="61"/>
      <c r="C130" s="61"/>
    </row>
    <row r="131" spans="2:4" ht="15" x14ac:dyDescent="0.25">
      <c r="B131" s="63"/>
      <c r="C131" s="65"/>
      <c r="D131"/>
    </row>
    <row r="133" spans="2:4" ht="15" x14ac:dyDescent="0.25">
      <c r="B133" s="41" t="s">
        <v>146</v>
      </c>
      <c r="C133" s="40"/>
      <c r="D133" s="64" t="s">
        <v>133</v>
      </c>
    </row>
    <row r="134" spans="2:4" ht="15" x14ac:dyDescent="0.25">
      <c r="B134" s="41" t="s">
        <v>147</v>
      </c>
      <c r="C134" s="40"/>
      <c r="D134" s="64" t="s">
        <v>133</v>
      </c>
    </row>
    <row r="135" spans="2:4" ht="15" x14ac:dyDescent="0.25">
      <c r="B135" s="41" t="s">
        <v>148</v>
      </c>
      <c r="C135" s="40"/>
      <c r="D135" s="45">
        <v>1.6753062470267588E-2</v>
      </c>
    </row>
    <row r="136" spans="2:4" ht="15" x14ac:dyDescent="0.25">
      <c r="B136" s="41" t="s">
        <v>149</v>
      </c>
      <c r="C136" s="40"/>
      <c r="D136" s="45" t="s">
        <v>133</v>
      </c>
    </row>
  </sheetData>
  <mergeCells count="5">
    <mergeCell ref="A1:G1"/>
    <mergeCell ref="A2:G2"/>
    <mergeCell ref="A3:G3"/>
    <mergeCell ref="B115:F115"/>
    <mergeCell ref="B116:F1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V134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815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23735</v>
      </c>
      <c r="F7" s="51">
        <v>100.77880999999999</v>
      </c>
      <c r="G7" s="5">
        <v>6.7709167000000001E-2</v>
      </c>
    </row>
    <row r="8" spans="1:7" ht="15" x14ac:dyDescent="0.25">
      <c r="A8" s="6">
        <v>2</v>
      </c>
      <c r="B8" s="7" t="s">
        <v>491</v>
      </c>
      <c r="C8" s="11" t="s">
        <v>492</v>
      </c>
      <c r="D8" s="2" t="s">
        <v>215</v>
      </c>
      <c r="E8" s="46">
        <v>11954</v>
      </c>
      <c r="F8" s="51">
        <v>94.872921000000005</v>
      </c>
      <c r="G8" s="5">
        <v>6.3741241000000004E-2</v>
      </c>
    </row>
    <row r="9" spans="1:7" ht="15" x14ac:dyDescent="0.25">
      <c r="A9" s="6">
        <v>3</v>
      </c>
      <c r="B9" s="7" t="s">
        <v>33</v>
      </c>
      <c r="C9" s="11" t="s">
        <v>34</v>
      </c>
      <c r="D9" s="2" t="s">
        <v>13</v>
      </c>
      <c r="E9" s="46">
        <v>4076</v>
      </c>
      <c r="F9" s="51">
        <v>91.777253999999999</v>
      </c>
      <c r="G9" s="5">
        <v>6.1661388999999997E-2</v>
      </c>
    </row>
    <row r="10" spans="1:7" ht="15" x14ac:dyDescent="0.25">
      <c r="A10" s="6">
        <v>4</v>
      </c>
      <c r="B10" s="7" t="s">
        <v>47</v>
      </c>
      <c r="C10" s="11" t="s">
        <v>48</v>
      </c>
      <c r="D10" s="2" t="s">
        <v>13</v>
      </c>
      <c r="E10" s="46">
        <v>23893</v>
      </c>
      <c r="F10" s="51">
        <v>79.372546</v>
      </c>
      <c r="G10" s="5">
        <v>5.3327171999999999E-2</v>
      </c>
    </row>
    <row r="11" spans="1:7" ht="25.5" x14ac:dyDescent="0.25">
      <c r="A11" s="6">
        <v>5</v>
      </c>
      <c r="B11" s="7" t="s">
        <v>17</v>
      </c>
      <c r="C11" s="11" t="s">
        <v>18</v>
      </c>
      <c r="D11" s="2" t="s">
        <v>19</v>
      </c>
      <c r="E11" s="46">
        <v>4637</v>
      </c>
      <c r="F11" s="51">
        <v>64.329100999999994</v>
      </c>
      <c r="G11" s="5">
        <v>4.3220096E-2</v>
      </c>
    </row>
    <row r="12" spans="1:7" ht="25.5" x14ac:dyDescent="0.25">
      <c r="A12" s="6">
        <v>6</v>
      </c>
      <c r="B12" s="7" t="s">
        <v>40</v>
      </c>
      <c r="C12" s="11" t="s">
        <v>41</v>
      </c>
      <c r="D12" s="2" t="s">
        <v>42</v>
      </c>
      <c r="E12" s="46">
        <v>4809</v>
      </c>
      <c r="F12" s="51">
        <v>56.084962500000003</v>
      </c>
      <c r="G12" s="5">
        <v>3.7681196E-2</v>
      </c>
    </row>
    <row r="13" spans="1:7" ht="15" x14ac:dyDescent="0.25">
      <c r="A13" s="6">
        <v>7</v>
      </c>
      <c r="B13" s="7" t="s">
        <v>504</v>
      </c>
      <c r="C13" s="11" t="s">
        <v>505</v>
      </c>
      <c r="D13" s="2" t="s">
        <v>215</v>
      </c>
      <c r="E13" s="46">
        <v>8372</v>
      </c>
      <c r="F13" s="51">
        <v>53.266849999999998</v>
      </c>
      <c r="G13" s="5">
        <v>3.5787820999999997E-2</v>
      </c>
    </row>
    <row r="14" spans="1:7" ht="25.5" x14ac:dyDescent="0.25">
      <c r="A14" s="6">
        <v>8</v>
      </c>
      <c r="B14" s="7" t="s">
        <v>310</v>
      </c>
      <c r="C14" s="11" t="s">
        <v>311</v>
      </c>
      <c r="D14" s="2" t="s">
        <v>37</v>
      </c>
      <c r="E14" s="46">
        <v>7749</v>
      </c>
      <c r="F14" s="51">
        <v>49.508361000000001</v>
      </c>
      <c r="G14" s="5">
        <v>3.3262646E-2</v>
      </c>
    </row>
    <row r="15" spans="1:7" ht="25.5" x14ac:dyDescent="0.25">
      <c r="A15" s="6">
        <v>9</v>
      </c>
      <c r="B15" s="7" t="s">
        <v>489</v>
      </c>
      <c r="C15" s="11" t="s">
        <v>490</v>
      </c>
      <c r="D15" s="2" t="s">
        <v>162</v>
      </c>
      <c r="E15" s="46">
        <v>2313</v>
      </c>
      <c r="F15" s="51">
        <v>49.077233999999997</v>
      </c>
      <c r="G15" s="5">
        <v>3.2972989000000001E-2</v>
      </c>
    </row>
    <row r="16" spans="1:7" ht="15" x14ac:dyDescent="0.25">
      <c r="A16" s="6">
        <v>10</v>
      </c>
      <c r="B16" s="7" t="s">
        <v>487</v>
      </c>
      <c r="C16" s="11" t="s">
        <v>488</v>
      </c>
      <c r="D16" s="2" t="s">
        <v>13</v>
      </c>
      <c r="E16" s="46">
        <v>3222</v>
      </c>
      <c r="F16" s="51">
        <v>48.959901000000002</v>
      </c>
      <c r="G16" s="5">
        <v>3.2894158E-2</v>
      </c>
    </row>
    <row r="17" spans="1:7" ht="15" x14ac:dyDescent="0.25">
      <c r="A17" s="6">
        <v>11</v>
      </c>
      <c r="B17" s="7" t="s">
        <v>506</v>
      </c>
      <c r="C17" s="11" t="s">
        <v>507</v>
      </c>
      <c r="D17" s="2" t="s">
        <v>16</v>
      </c>
      <c r="E17" s="46">
        <v>5964</v>
      </c>
      <c r="F17" s="51">
        <v>47.017194000000003</v>
      </c>
      <c r="G17" s="5">
        <v>3.1588933E-2</v>
      </c>
    </row>
    <row r="18" spans="1:7" ht="25.5" x14ac:dyDescent="0.25">
      <c r="A18" s="6">
        <v>12</v>
      </c>
      <c r="B18" s="7" t="s">
        <v>418</v>
      </c>
      <c r="C18" s="11" t="s">
        <v>419</v>
      </c>
      <c r="D18" s="2" t="s">
        <v>37</v>
      </c>
      <c r="E18" s="46">
        <v>14139</v>
      </c>
      <c r="F18" s="51">
        <v>46.771811999999997</v>
      </c>
      <c r="G18" s="5">
        <v>3.1424069999999998E-2</v>
      </c>
    </row>
    <row r="19" spans="1:7" ht="25.5" x14ac:dyDescent="0.25">
      <c r="A19" s="6">
        <v>13</v>
      </c>
      <c r="B19" s="7" t="s">
        <v>396</v>
      </c>
      <c r="C19" s="11" t="s">
        <v>397</v>
      </c>
      <c r="D19" s="2" t="s">
        <v>37</v>
      </c>
      <c r="E19" s="46">
        <v>15000</v>
      </c>
      <c r="F19" s="51">
        <v>40.53</v>
      </c>
      <c r="G19" s="5">
        <v>2.7230451999999999E-2</v>
      </c>
    </row>
    <row r="20" spans="1:7" ht="25.5" x14ac:dyDescent="0.25">
      <c r="A20" s="6">
        <v>14</v>
      </c>
      <c r="B20" s="7" t="s">
        <v>390</v>
      </c>
      <c r="C20" s="11" t="s">
        <v>391</v>
      </c>
      <c r="D20" s="2" t="s">
        <v>162</v>
      </c>
      <c r="E20" s="46">
        <v>4767</v>
      </c>
      <c r="F20" s="51">
        <v>38.019208499999998</v>
      </c>
      <c r="G20" s="5">
        <v>2.5543554E-2</v>
      </c>
    </row>
    <row r="21" spans="1:7" ht="15" x14ac:dyDescent="0.25">
      <c r="A21" s="6">
        <v>15</v>
      </c>
      <c r="B21" s="7" t="s">
        <v>394</v>
      </c>
      <c r="C21" s="11" t="s">
        <v>395</v>
      </c>
      <c r="D21" s="2" t="s">
        <v>13</v>
      </c>
      <c r="E21" s="46">
        <v>5604</v>
      </c>
      <c r="F21" s="51">
        <v>37.776564</v>
      </c>
      <c r="G21" s="5">
        <v>2.5380531000000001E-2</v>
      </c>
    </row>
    <row r="22" spans="1:7" ht="15" x14ac:dyDescent="0.25">
      <c r="A22" s="6">
        <v>16</v>
      </c>
      <c r="B22" s="7" t="s">
        <v>435</v>
      </c>
      <c r="C22" s="11" t="s">
        <v>436</v>
      </c>
      <c r="D22" s="2" t="s">
        <v>215</v>
      </c>
      <c r="E22" s="46">
        <v>1426</v>
      </c>
      <c r="F22" s="51">
        <v>31.453282000000002</v>
      </c>
      <c r="G22" s="5">
        <v>2.1132175999999999E-2</v>
      </c>
    </row>
    <row r="23" spans="1:7" ht="25.5" x14ac:dyDescent="0.25">
      <c r="A23" s="6">
        <v>17</v>
      </c>
      <c r="B23" s="7" t="s">
        <v>297</v>
      </c>
      <c r="C23" s="11" t="s">
        <v>298</v>
      </c>
      <c r="D23" s="2" t="s">
        <v>238</v>
      </c>
      <c r="E23" s="46">
        <v>15506</v>
      </c>
      <c r="F23" s="51">
        <v>29.190045000000001</v>
      </c>
      <c r="G23" s="5">
        <v>1.9611599E-2</v>
      </c>
    </row>
    <row r="24" spans="1:7" ht="15" x14ac:dyDescent="0.25">
      <c r="A24" s="6">
        <v>18</v>
      </c>
      <c r="B24" s="7" t="s">
        <v>468</v>
      </c>
      <c r="C24" s="11" t="s">
        <v>469</v>
      </c>
      <c r="D24" s="2" t="s">
        <v>241</v>
      </c>
      <c r="E24" s="46">
        <v>19531</v>
      </c>
      <c r="F24" s="51">
        <v>28.778928499999999</v>
      </c>
      <c r="G24" s="5">
        <v>1.9335386999999999E-2</v>
      </c>
    </row>
    <row r="25" spans="1:7" ht="15" x14ac:dyDescent="0.25">
      <c r="A25" s="6">
        <v>19</v>
      </c>
      <c r="B25" s="7" t="s">
        <v>332</v>
      </c>
      <c r="C25" s="11" t="s">
        <v>333</v>
      </c>
      <c r="D25" s="2" t="s">
        <v>155</v>
      </c>
      <c r="E25" s="46">
        <v>4654</v>
      </c>
      <c r="F25" s="51">
        <v>26.841944999999999</v>
      </c>
      <c r="G25" s="5">
        <v>1.8034007000000001E-2</v>
      </c>
    </row>
    <row r="26" spans="1:7" ht="25.5" x14ac:dyDescent="0.25">
      <c r="A26" s="6">
        <v>20</v>
      </c>
      <c r="B26" s="7" t="s">
        <v>316</v>
      </c>
      <c r="C26" s="11" t="s">
        <v>317</v>
      </c>
      <c r="D26" s="2" t="s">
        <v>37</v>
      </c>
      <c r="E26" s="46">
        <v>10555</v>
      </c>
      <c r="F26" s="51">
        <v>26.556380000000001</v>
      </c>
      <c r="G26" s="5">
        <v>1.7842146999999999E-2</v>
      </c>
    </row>
    <row r="27" spans="1:7" ht="15" x14ac:dyDescent="0.25">
      <c r="A27" s="6">
        <v>21</v>
      </c>
      <c r="B27" s="7" t="s">
        <v>508</v>
      </c>
      <c r="C27" s="11" t="s">
        <v>509</v>
      </c>
      <c r="D27" s="2" t="s">
        <v>269</v>
      </c>
      <c r="E27" s="46">
        <v>2897</v>
      </c>
      <c r="F27" s="51">
        <v>26.380082000000002</v>
      </c>
      <c r="G27" s="5">
        <v>1.7723699999999998E-2</v>
      </c>
    </row>
    <row r="28" spans="1:7" ht="15" x14ac:dyDescent="0.25">
      <c r="A28" s="6">
        <v>22</v>
      </c>
      <c r="B28" s="7" t="s">
        <v>420</v>
      </c>
      <c r="C28" s="11" t="s">
        <v>421</v>
      </c>
      <c r="D28" s="2" t="s">
        <v>226</v>
      </c>
      <c r="E28" s="46">
        <v>4757</v>
      </c>
      <c r="F28" s="51">
        <v>26.163499999999999</v>
      </c>
      <c r="G28" s="5">
        <v>1.7578186999999999E-2</v>
      </c>
    </row>
    <row r="29" spans="1:7" ht="15" x14ac:dyDescent="0.25">
      <c r="A29" s="6">
        <v>23</v>
      </c>
      <c r="B29" s="7" t="s">
        <v>514</v>
      </c>
      <c r="C29" s="11" t="s">
        <v>515</v>
      </c>
      <c r="D29" s="2" t="s">
        <v>215</v>
      </c>
      <c r="E29" s="46">
        <v>2132</v>
      </c>
      <c r="F29" s="51">
        <v>22.056605999999999</v>
      </c>
      <c r="G29" s="5">
        <v>1.4818932999999999E-2</v>
      </c>
    </row>
    <row r="30" spans="1:7" ht="25.5" x14ac:dyDescent="0.25">
      <c r="A30" s="6">
        <v>24</v>
      </c>
      <c r="B30" s="7" t="s">
        <v>510</v>
      </c>
      <c r="C30" s="11" t="s">
        <v>511</v>
      </c>
      <c r="D30" s="2" t="s">
        <v>37</v>
      </c>
      <c r="E30" s="46">
        <v>1832</v>
      </c>
      <c r="F30" s="51">
        <v>21.796220000000002</v>
      </c>
      <c r="G30" s="5">
        <v>1.4643990000000001E-2</v>
      </c>
    </row>
    <row r="31" spans="1:7" ht="25.5" x14ac:dyDescent="0.25">
      <c r="A31" s="6">
        <v>25</v>
      </c>
      <c r="B31" s="7" t="s">
        <v>512</v>
      </c>
      <c r="C31" s="11" t="s">
        <v>513</v>
      </c>
      <c r="D31" s="2" t="s">
        <v>37</v>
      </c>
      <c r="E31" s="46">
        <v>14845</v>
      </c>
      <c r="F31" s="51">
        <v>21.027942500000002</v>
      </c>
      <c r="G31" s="5">
        <v>1.4127816E-2</v>
      </c>
    </row>
    <row r="32" spans="1:7" ht="15" x14ac:dyDescent="0.25">
      <c r="A32" s="6">
        <v>26</v>
      </c>
      <c r="B32" s="7" t="s">
        <v>299</v>
      </c>
      <c r="C32" s="11" t="s">
        <v>300</v>
      </c>
      <c r="D32" s="2" t="s">
        <v>13</v>
      </c>
      <c r="E32" s="46">
        <v>20963</v>
      </c>
      <c r="F32" s="51">
        <v>19.369812</v>
      </c>
      <c r="G32" s="5">
        <v>1.3013785999999999E-2</v>
      </c>
    </row>
    <row r="33" spans="1:7" ht="25.5" x14ac:dyDescent="0.25">
      <c r="A33" s="6">
        <v>27</v>
      </c>
      <c r="B33" s="7" t="s">
        <v>301</v>
      </c>
      <c r="C33" s="11" t="s">
        <v>302</v>
      </c>
      <c r="D33" s="2" t="s">
        <v>22</v>
      </c>
      <c r="E33" s="46">
        <v>2710</v>
      </c>
      <c r="F33" s="51">
        <v>19.213899999999999</v>
      </c>
      <c r="G33" s="5">
        <v>1.2909034999999999E-2</v>
      </c>
    </row>
    <row r="34" spans="1:7" ht="25.5" x14ac:dyDescent="0.25">
      <c r="A34" s="6">
        <v>28</v>
      </c>
      <c r="B34" s="7" t="s">
        <v>153</v>
      </c>
      <c r="C34" s="11" t="s">
        <v>154</v>
      </c>
      <c r="D34" s="2" t="s">
        <v>155</v>
      </c>
      <c r="E34" s="46">
        <v>2858</v>
      </c>
      <c r="F34" s="51">
        <v>17.799624000000001</v>
      </c>
      <c r="G34" s="5">
        <v>1.195884E-2</v>
      </c>
    </row>
    <row r="35" spans="1:7" ht="15" x14ac:dyDescent="0.25">
      <c r="A35" s="6">
        <v>29</v>
      </c>
      <c r="B35" s="7" t="s">
        <v>516</v>
      </c>
      <c r="C35" s="11" t="s">
        <v>517</v>
      </c>
      <c r="D35" s="2" t="s">
        <v>13</v>
      </c>
      <c r="E35" s="46">
        <v>16651</v>
      </c>
      <c r="F35" s="51">
        <v>17.766617</v>
      </c>
      <c r="G35" s="5">
        <v>1.1936664E-2</v>
      </c>
    </row>
    <row r="36" spans="1:7" ht="25.5" x14ac:dyDescent="0.25">
      <c r="A36" s="6">
        <v>30</v>
      </c>
      <c r="B36" s="7" t="s">
        <v>448</v>
      </c>
      <c r="C36" s="11" t="s">
        <v>449</v>
      </c>
      <c r="D36" s="2" t="s">
        <v>81</v>
      </c>
      <c r="E36" s="46">
        <v>6616</v>
      </c>
      <c r="F36" s="51">
        <v>17.350460000000002</v>
      </c>
      <c r="G36" s="5">
        <v>1.1657066000000001E-2</v>
      </c>
    </row>
    <row r="37" spans="1:7" ht="15" x14ac:dyDescent="0.25">
      <c r="A37" s="6">
        <v>31</v>
      </c>
      <c r="B37" s="7" t="s">
        <v>520</v>
      </c>
      <c r="C37" s="11" t="s">
        <v>521</v>
      </c>
      <c r="D37" s="2" t="s">
        <v>305</v>
      </c>
      <c r="E37" s="46">
        <v>7254</v>
      </c>
      <c r="F37" s="51">
        <v>17.152083000000001</v>
      </c>
      <c r="G37" s="5">
        <v>1.1523784E-2</v>
      </c>
    </row>
    <row r="38" spans="1:7" ht="15" x14ac:dyDescent="0.25">
      <c r="A38" s="6">
        <v>32</v>
      </c>
      <c r="B38" s="7" t="s">
        <v>336</v>
      </c>
      <c r="C38" s="11" t="s">
        <v>337</v>
      </c>
      <c r="D38" s="2" t="s">
        <v>184</v>
      </c>
      <c r="E38" s="46">
        <v>3892</v>
      </c>
      <c r="F38" s="51">
        <v>17.076149999999998</v>
      </c>
      <c r="G38" s="5">
        <v>1.1472768E-2</v>
      </c>
    </row>
    <row r="39" spans="1:7" ht="25.5" x14ac:dyDescent="0.25">
      <c r="A39" s="6">
        <v>33</v>
      </c>
      <c r="B39" s="7" t="s">
        <v>522</v>
      </c>
      <c r="C39" s="11" t="s">
        <v>523</v>
      </c>
      <c r="D39" s="2" t="s">
        <v>42</v>
      </c>
      <c r="E39" s="46">
        <v>11385</v>
      </c>
      <c r="F39" s="51">
        <v>15.859305000000001</v>
      </c>
      <c r="G39" s="5">
        <v>1.0655219E-2</v>
      </c>
    </row>
    <row r="40" spans="1:7" ht="25.5" x14ac:dyDescent="0.25">
      <c r="A40" s="6">
        <v>34</v>
      </c>
      <c r="B40" s="7" t="s">
        <v>518</v>
      </c>
      <c r="C40" s="11" t="s">
        <v>519</v>
      </c>
      <c r="D40" s="2" t="s">
        <v>37</v>
      </c>
      <c r="E40" s="46">
        <v>899</v>
      </c>
      <c r="F40" s="51">
        <v>15.5225835</v>
      </c>
      <c r="G40" s="5">
        <v>1.0428990000000001E-2</v>
      </c>
    </row>
    <row r="41" spans="1:7" ht="25.5" x14ac:dyDescent="0.25">
      <c r="A41" s="6">
        <v>35</v>
      </c>
      <c r="B41" s="7" t="s">
        <v>94</v>
      </c>
      <c r="C41" s="11" t="s">
        <v>95</v>
      </c>
      <c r="D41" s="2" t="s">
        <v>22</v>
      </c>
      <c r="E41" s="46">
        <v>15077</v>
      </c>
      <c r="F41" s="51">
        <v>15.446386499999999</v>
      </c>
      <c r="G41" s="5">
        <v>1.0377796E-2</v>
      </c>
    </row>
    <row r="42" spans="1:7" ht="25.5" x14ac:dyDescent="0.25">
      <c r="A42" s="6">
        <v>36</v>
      </c>
      <c r="B42" s="7" t="s">
        <v>64</v>
      </c>
      <c r="C42" s="11" t="s">
        <v>65</v>
      </c>
      <c r="D42" s="2" t="s">
        <v>19</v>
      </c>
      <c r="E42" s="46">
        <v>20964</v>
      </c>
      <c r="F42" s="51">
        <v>15.335165999999999</v>
      </c>
      <c r="G42" s="5">
        <v>1.0303072E-2</v>
      </c>
    </row>
    <row r="43" spans="1:7" ht="25.5" x14ac:dyDescent="0.25">
      <c r="A43" s="6">
        <v>37</v>
      </c>
      <c r="B43" s="7" t="s">
        <v>165</v>
      </c>
      <c r="C43" s="11" t="s">
        <v>166</v>
      </c>
      <c r="D43" s="2" t="s">
        <v>167</v>
      </c>
      <c r="E43" s="46">
        <v>12662</v>
      </c>
      <c r="F43" s="51">
        <v>14.592955</v>
      </c>
      <c r="G43" s="5">
        <v>9.8044110000000007E-3</v>
      </c>
    </row>
    <row r="44" spans="1:7" ht="25.5" x14ac:dyDescent="0.25">
      <c r="A44" s="6">
        <v>38</v>
      </c>
      <c r="B44" s="7" t="s">
        <v>100</v>
      </c>
      <c r="C44" s="11" t="s">
        <v>101</v>
      </c>
      <c r="D44" s="2" t="s">
        <v>30</v>
      </c>
      <c r="E44" s="46">
        <v>23098</v>
      </c>
      <c r="F44" s="51">
        <v>13.604722000000001</v>
      </c>
      <c r="G44" s="5">
        <v>9.1404569999999994E-3</v>
      </c>
    </row>
    <row r="45" spans="1:7" ht="15" x14ac:dyDescent="0.25">
      <c r="A45" s="6">
        <v>39</v>
      </c>
      <c r="B45" s="7" t="s">
        <v>54</v>
      </c>
      <c r="C45" s="11" t="s">
        <v>55</v>
      </c>
      <c r="D45" s="2" t="s">
        <v>56</v>
      </c>
      <c r="E45" s="46">
        <v>9939</v>
      </c>
      <c r="F45" s="51">
        <v>13.427588999999999</v>
      </c>
      <c r="G45" s="5">
        <v>9.0214490000000008E-3</v>
      </c>
    </row>
    <row r="46" spans="1:7" ht="25.5" x14ac:dyDescent="0.25">
      <c r="A46" s="6">
        <v>40</v>
      </c>
      <c r="B46" s="7" t="s">
        <v>524</v>
      </c>
      <c r="C46" s="11" t="s">
        <v>525</v>
      </c>
      <c r="D46" s="2" t="s">
        <v>42</v>
      </c>
      <c r="E46" s="46">
        <v>3555</v>
      </c>
      <c r="F46" s="51">
        <v>12.282525</v>
      </c>
      <c r="G46" s="5">
        <v>8.2521269999999997E-3</v>
      </c>
    </row>
    <row r="47" spans="1:7" ht="38.25" x14ac:dyDescent="0.25">
      <c r="A47" s="6">
        <v>41</v>
      </c>
      <c r="B47" s="7" t="s">
        <v>260</v>
      </c>
      <c r="C47" s="11" t="s">
        <v>261</v>
      </c>
      <c r="D47" s="2" t="s">
        <v>262</v>
      </c>
      <c r="E47" s="46">
        <v>10016</v>
      </c>
      <c r="F47" s="51">
        <v>9.1846720000000008</v>
      </c>
      <c r="G47" s="5">
        <v>6.170806E-3</v>
      </c>
    </row>
    <row r="48" spans="1:7" ht="25.5" x14ac:dyDescent="0.25">
      <c r="A48" s="6">
        <v>42</v>
      </c>
      <c r="B48" s="7" t="s">
        <v>274</v>
      </c>
      <c r="C48" s="11" t="s">
        <v>275</v>
      </c>
      <c r="D48" s="2" t="s">
        <v>22</v>
      </c>
      <c r="E48" s="46">
        <v>2180</v>
      </c>
      <c r="F48" s="51">
        <v>8.5881100000000004</v>
      </c>
      <c r="G48" s="5">
        <v>5.77E-3</v>
      </c>
    </row>
    <row r="49" spans="1:7" ht="15" x14ac:dyDescent="0.25">
      <c r="A49" s="1"/>
      <c r="B49" s="2"/>
      <c r="C49" s="8" t="s">
        <v>104</v>
      </c>
      <c r="D49" s="12"/>
      <c r="E49" s="48"/>
      <c r="F49" s="53">
        <v>1417.9603100000004</v>
      </c>
      <c r="G49" s="13">
        <v>0.95266962700000013</v>
      </c>
    </row>
    <row r="50" spans="1:7" ht="15" x14ac:dyDescent="0.25">
      <c r="A50" s="6"/>
      <c r="B50" s="7"/>
      <c r="C50" s="14"/>
      <c r="D50" s="15"/>
      <c r="E50" s="46"/>
      <c r="F50" s="51"/>
      <c r="G50" s="5"/>
    </row>
    <row r="51" spans="1:7" ht="15" x14ac:dyDescent="0.25">
      <c r="A51" s="1"/>
      <c r="B51" s="2"/>
      <c r="C51" s="8" t="s">
        <v>105</v>
      </c>
      <c r="D51" s="9"/>
      <c r="E51" s="47"/>
      <c r="F51" s="52"/>
      <c r="G51" s="10"/>
    </row>
    <row r="52" spans="1:7" ht="15" x14ac:dyDescent="0.25">
      <c r="A52" s="1"/>
      <c r="B52" s="2"/>
      <c r="C52" s="8" t="s">
        <v>104</v>
      </c>
      <c r="D52" s="12"/>
      <c r="E52" s="48"/>
      <c r="F52" s="53">
        <v>0</v>
      </c>
      <c r="G52" s="13">
        <v>0</v>
      </c>
    </row>
    <row r="53" spans="1:7" ht="15" x14ac:dyDescent="0.25">
      <c r="A53" s="6"/>
      <c r="B53" s="7"/>
      <c r="C53" s="14"/>
      <c r="D53" s="15"/>
      <c r="E53" s="46"/>
      <c r="F53" s="51"/>
      <c r="G53" s="5"/>
    </row>
    <row r="54" spans="1:7" ht="15" x14ac:dyDescent="0.25">
      <c r="A54" s="16"/>
      <c r="B54" s="17"/>
      <c r="C54" s="8" t="s">
        <v>106</v>
      </c>
      <c r="D54" s="9"/>
      <c r="E54" s="47"/>
      <c r="F54" s="52"/>
      <c r="G54" s="10"/>
    </row>
    <row r="55" spans="1:7" ht="15" x14ac:dyDescent="0.25">
      <c r="A55" s="18"/>
      <c r="B55" s="19"/>
      <c r="C55" s="8" t="s">
        <v>104</v>
      </c>
      <c r="D55" s="20"/>
      <c r="E55" s="49"/>
      <c r="F55" s="54">
        <v>0</v>
      </c>
      <c r="G55" s="21">
        <v>0</v>
      </c>
    </row>
    <row r="56" spans="1:7" ht="15" x14ac:dyDescent="0.25">
      <c r="A56" s="18"/>
      <c r="B56" s="19"/>
      <c r="C56" s="14"/>
      <c r="D56" s="22"/>
      <c r="E56" s="50"/>
      <c r="F56" s="55"/>
      <c r="G56" s="23"/>
    </row>
    <row r="57" spans="1:7" ht="15" x14ac:dyDescent="0.25">
      <c r="A57" s="1"/>
      <c r="B57" s="2"/>
      <c r="C57" s="8" t="s">
        <v>108</v>
      </c>
      <c r="D57" s="9"/>
      <c r="E57" s="47"/>
      <c r="F57" s="52"/>
      <c r="G57" s="10"/>
    </row>
    <row r="58" spans="1:7" ht="15" x14ac:dyDescent="0.25">
      <c r="A58" s="1"/>
      <c r="B58" s="2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1"/>
      <c r="B59" s="2"/>
      <c r="C59" s="14"/>
      <c r="D59" s="4"/>
      <c r="E59" s="46"/>
      <c r="F59" s="51"/>
      <c r="G59" s="5"/>
    </row>
    <row r="60" spans="1:7" ht="15" x14ac:dyDescent="0.25">
      <c r="A60" s="1"/>
      <c r="B60" s="2"/>
      <c r="C60" s="8" t="s">
        <v>109</v>
      </c>
      <c r="D60" s="9"/>
      <c r="E60" s="47"/>
      <c r="F60" s="52"/>
      <c r="G60" s="10"/>
    </row>
    <row r="61" spans="1:7" ht="15" x14ac:dyDescent="0.25">
      <c r="A61" s="1"/>
      <c r="B61" s="2"/>
      <c r="C61" s="8" t="s">
        <v>104</v>
      </c>
      <c r="D61" s="12"/>
      <c r="E61" s="48"/>
      <c r="F61" s="53">
        <v>0</v>
      </c>
      <c r="G61" s="13">
        <v>0</v>
      </c>
    </row>
    <row r="62" spans="1:7" ht="15" x14ac:dyDescent="0.25">
      <c r="A62" s="1"/>
      <c r="B62" s="2"/>
      <c r="C62" s="14"/>
      <c r="D62" s="4"/>
      <c r="E62" s="46"/>
      <c r="F62" s="51"/>
      <c r="G62" s="5"/>
    </row>
    <row r="63" spans="1:7" ht="15" x14ac:dyDescent="0.25">
      <c r="A63" s="1"/>
      <c r="B63" s="2"/>
      <c r="C63" s="8" t="s">
        <v>110</v>
      </c>
      <c r="D63" s="9"/>
      <c r="E63" s="47"/>
      <c r="F63" s="52"/>
      <c r="G63" s="10"/>
    </row>
    <row r="64" spans="1:7" ht="15" x14ac:dyDescent="0.25">
      <c r="A64" s="1"/>
      <c r="B64" s="2"/>
      <c r="C64" s="8" t="s">
        <v>104</v>
      </c>
      <c r="D64" s="12"/>
      <c r="E64" s="48"/>
      <c r="F64" s="53">
        <v>0</v>
      </c>
      <c r="G64" s="13">
        <v>0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25.5" x14ac:dyDescent="0.25">
      <c r="A66" s="6"/>
      <c r="B66" s="7"/>
      <c r="C66" s="24" t="s">
        <v>111</v>
      </c>
      <c r="D66" s="25"/>
      <c r="E66" s="48"/>
      <c r="F66" s="53">
        <v>1417.9603100000004</v>
      </c>
      <c r="G66" s="13">
        <v>0.95266962700000013</v>
      </c>
    </row>
    <row r="67" spans="1:7" ht="15" x14ac:dyDescent="0.25">
      <c r="A67" s="1"/>
      <c r="B67" s="2"/>
      <c r="C67" s="11"/>
      <c r="D67" s="4"/>
      <c r="E67" s="46"/>
      <c r="F67" s="51"/>
      <c r="G67" s="5"/>
    </row>
    <row r="68" spans="1:7" ht="15" x14ac:dyDescent="0.25">
      <c r="A68" s="1"/>
      <c r="B68" s="2"/>
      <c r="C68" s="3" t="s">
        <v>112</v>
      </c>
      <c r="D68" s="4"/>
      <c r="E68" s="46"/>
      <c r="F68" s="51"/>
      <c r="G68" s="5"/>
    </row>
    <row r="69" spans="1:7" ht="25.5" x14ac:dyDescent="0.25">
      <c r="A69" s="1"/>
      <c r="B69" s="2"/>
      <c r="C69" s="8" t="s">
        <v>10</v>
      </c>
      <c r="D69" s="9"/>
      <c r="E69" s="47"/>
      <c r="F69" s="52"/>
      <c r="G69" s="10"/>
    </row>
    <row r="70" spans="1:7" ht="15" x14ac:dyDescent="0.25">
      <c r="A70" s="6"/>
      <c r="B70" s="7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6"/>
      <c r="B71" s="7"/>
      <c r="C71" s="14"/>
      <c r="D71" s="4"/>
      <c r="E71" s="46"/>
      <c r="F71" s="51"/>
      <c r="G71" s="5"/>
    </row>
    <row r="72" spans="1:7" ht="15" x14ac:dyDescent="0.25">
      <c r="A72" s="1"/>
      <c r="B72" s="26"/>
      <c r="C72" s="8" t="s">
        <v>113</v>
      </c>
      <c r="D72" s="9"/>
      <c r="E72" s="47"/>
      <c r="F72" s="52"/>
      <c r="G72" s="10"/>
    </row>
    <row r="73" spans="1:7" ht="15" x14ac:dyDescent="0.25">
      <c r="A73" s="6"/>
      <c r="B73" s="7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4"/>
      <c r="E74" s="46"/>
      <c r="F74" s="56"/>
      <c r="G74" s="27"/>
    </row>
    <row r="75" spans="1:7" ht="15" x14ac:dyDescent="0.25">
      <c r="A75" s="1"/>
      <c r="B75" s="2"/>
      <c r="C75" s="8" t="s">
        <v>114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25.5" x14ac:dyDescent="0.25">
      <c r="A78" s="1"/>
      <c r="B78" s="26"/>
      <c r="C78" s="8" t="s">
        <v>115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1"/>
      <c r="G80" s="5"/>
    </row>
    <row r="81" spans="1:7" ht="15" x14ac:dyDescent="0.25">
      <c r="A81" s="6"/>
      <c r="B81" s="7"/>
      <c r="C81" s="28" t="s">
        <v>116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117</v>
      </c>
      <c r="D83" s="4"/>
      <c r="E83" s="46"/>
      <c r="F83" s="51"/>
      <c r="G83" s="5"/>
    </row>
    <row r="84" spans="1:7" ht="15" x14ac:dyDescent="0.25">
      <c r="A84" s="6"/>
      <c r="B84" s="7"/>
      <c r="C84" s="8" t="s">
        <v>118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25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7"/>
      <c r="E86" s="46"/>
      <c r="F86" s="51"/>
      <c r="G86" s="5"/>
    </row>
    <row r="87" spans="1:7" ht="15" x14ac:dyDescent="0.25">
      <c r="A87" s="6"/>
      <c r="B87" s="7"/>
      <c r="C87" s="8" t="s">
        <v>119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7"/>
      <c r="E89" s="46"/>
      <c r="F89" s="51"/>
      <c r="G89" s="5"/>
    </row>
    <row r="90" spans="1:7" ht="15" x14ac:dyDescent="0.25">
      <c r="A90" s="6"/>
      <c r="B90" s="7"/>
      <c r="C90" s="8" t="s">
        <v>120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121</v>
      </c>
      <c r="D93" s="9"/>
      <c r="E93" s="47"/>
      <c r="F93" s="52"/>
      <c r="G93" s="10"/>
    </row>
    <row r="94" spans="1:7" ht="15" x14ac:dyDescent="0.25">
      <c r="A94" s="6">
        <v>1</v>
      </c>
      <c r="B94" s="7"/>
      <c r="C94" s="11" t="s">
        <v>730</v>
      </c>
      <c r="D94" s="15"/>
      <c r="E94" s="46"/>
      <c r="F94" s="51">
        <v>73.988668599999997</v>
      </c>
      <c r="G94" s="5">
        <v>4.9709965000000002E-2</v>
      </c>
    </row>
    <row r="95" spans="1:7" ht="15" x14ac:dyDescent="0.25">
      <c r="A95" s="6"/>
      <c r="B95" s="7"/>
      <c r="C95" s="8" t="s">
        <v>104</v>
      </c>
      <c r="D95" s="25"/>
      <c r="E95" s="48"/>
      <c r="F95" s="53">
        <v>73.988668599999997</v>
      </c>
      <c r="G95" s="13">
        <v>4.9709965000000002E-2</v>
      </c>
    </row>
    <row r="96" spans="1:7" ht="15" x14ac:dyDescent="0.25">
      <c r="A96" s="6"/>
      <c r="B96" s="7"/>
      <c r="C96" s="14"/>
      <c r="D96" s="7"/>
      <c r="E96" s="46"/>
      <c r="F96" s="51"/>
      <c r="G96" s="5"/>
    </row>
    <row r="97" spans="1:7" ht="25.5" x14ac:dyDescent="0.25">
      <c r="A97" s="6"/>
      <c r="B97" s="7"/>
      <c r="C97" s="24" t="s">
        <v>122</v>
      </c>
      <c r="D97" s="25"/>
      <c r="E97" s="48"/>
      <c r="F97" s="53">
        <v>73.988668599999997</v>
      </c>
      <c r="G97" s="13">
        <v>4.9709965000000002E-2</v>
      </c>
    </row>
    <row r="98" spans="1:7" ht="15" x14ac:dyDescent="0.25">
      <c r="A98" s="6"/>
      <c r="B98" s="7"/>
      <c r="C98" s="29"/>
      <c r="D98" s="7"/>
      <c r="E98" s="46"/>
      <c r="F98" s="51"/>
      <c r="G98" s="5"/>
    </row>
    <row r="99" spans="1:7" ht="15" x14ac:dyDescent="0.25">
      <c r="A99" s="1"/>
      <c r="B99" s="2"/>
      <c r="C99" s="3" t="s">
        <v>123</v>
      </c>
      <c r="D99" s="4"/>
      <c r="E99" s="46"/>
      <c r="F99" s="51"/>
      <c r="G99" s="5"/>
    </row>
    <row r="100" spans="1:7" ht="25.5" x14ac:dyDescent="0.25">
      <c r="A100" s="6"/>
      <c r="B100" s="7"/>
      <c r="C100" s="8" t="s">
        <v>124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15" x14ac:dyDescent="0.25">
      <c r="A103" s="1"/>
      <c r="B103" s="2"/>
      <c r="C103" s="3" t="s">
        <v>125</v>
      </c>
      <c r="D103" s="4"/>
      <c r="E103" s="46"/>
      <c r="F103" s="51"/>
      <c r="G103" s="5"/>
    </row>
    <row r="104" spans="1:7" ht="25.5" x14ac:dyDescent="0.25">
      <c r="A104" s="6"/>
      <c r="B104" s="7"/>
      <c r="C104" s="8" t="s">
        <v>126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25.5" x14ac:dyDescent="0.25">
      <c r="A107" s="6"/>
      <c r="B107" s="7"/>
      <c r="C107" s="8" t="s">
        <v>127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6"/>
      <c r="G109" s="27"/>
    </row>
    <row r="110" spans="1:7" ht="25.5" x14ac:dyDescent="0.25">
      <c r="A110" s="6"/>
      <c r="B110" s="7"/>
      <c r="C110" s="29" t="s">
        <v>128</v>
      </c>
      <c r="D110" s="7"/>
      <c r="E110" s="46"/>
      <c r="F110" s="140">
        <v>-3.5418017900000001</v>
      </c>
      <c r="G110" s="141">
        <v>-2.3795919861061797E-3</v>
      </c>
    </row>
    <row r="111" spans="1:7" ht="15" x14ac:dyDescent="0.25">
      <c r="A111" s="6"/>
      <c r="B111" s="7"/>
      <c r="C111" s="30" t="s">
        <v>129</v>
      </c>
      <c r="D111" s="12"/>
      <c r="E111" s="48"/>
      <c r="F111" s="53">
        <v>1488.4071768100002</v>
      </c>
      <c r="G111" s="13">
        <v>1</v>
      </c>
    </row>
    <row r="113" spans="2:6" ht="15" x14ac:dyDescent="0.25">
      <c r="B113" s="279"/>
      <c r="C113" s="279"/>
      <c r="D113" s="279"/>
      <c r="E113" s="279"/>
      <c r="F113" s="279"/>
    </row>
    <row r="114" spans="2:6" ht="15" x14ac:dyDescent="0.25">
      <c r="B114" s="279"/>
      <c r="C114" s="279"/>
      <c r="D114" s="279"/>
      <c r="E114" s="279"/>
      <c r="F114" s="279"/>
    </row>
    <row r="116" spans="2:6" ht="15" x14ac:dyDescent="0.25">
      <c r="B116" s="36" t="s">
        <v>131</v>
      </c>
      <c r="C116" s="37"/>
      <c r="D116" s="38"/>
    </row>
    <row r="117" spans="2:6" ht="15" x14ac:dyDescent="0.25">
      <c r="B117" s="39" t="s">
        <v>132</v>
      </c>
      <c r="C117" s="40"/>
      <c r="D117" s="62" t="s">
        <v>133</v>
      </c>
    </row>
    <row r="118" spans="2:6" ht="15" x14ac:dyDescent="0.25">
      <c r="B118" s="39" t="s">
        <v>134</v>
      </c>
      <c r="C118" s="40"/>
      <c r="D118" s="62" t="s">
        <v>133</v>
      </c>
    </row>
    <row r="119" spans="2:6" ht="15" x14ac:dyDescent="0.25">
      <c r="B119" s="41" t="s">
        <v>135</v>
      </c>
      <c r="C119" s="40"/>
      <c r="D119" s="42"/>
    </row>
    <row r="120" spans="2:6" ht="25.5" customHeight="1" x14ac:dyDescent="0.25">
      <c r="B120" s="42"/>
      <c r="C120" s="32" t="s">
        <v>136</v>
      </c>
      <c r="D120" s="33" t="s">
        <v>137</v>
      </c>
    </row>
    <row r="121" spans="2:6" ht="12.75" customHeight="1" x14ac:dyDescent="0.25">
      <c r="B121" s="57" t="s">
        <v>138</v>
      </c>
      <c r="C121" s="58" t="s">
        <v>139</v>
      </c>
      <c r="D121" s="58" t="s">
        <v>140</v>
      </c>
    </row>
    <row r="122" spans="2:6" ht="15" x14ac:dyDescent="0.25">
      <c r="B122" s="42" t="s">
        <v>141</v>
      </c>
      <c r="C122" s="43">
        <v>15.1014</v>
      </c>
      <c r="D122" s="43">
        <v>14.080399999999999</v>
      </c>
    </row>
    <row r="123" spans="2:6" ht="15" x14ac:dyDescent="0.25">
      <c r="B123" s="42" t="s">
        <v>142</v>
      </c>
      <c r="C123" s="43">
        <v>14.001200000000001</v>
      </c>
      <c r="D123" s="43">
        <v>13.054600000000001</v>
      </c>
    </row>
    <row r="124" spans="2:6" ht="15" x14ac:dyDescent="0.25">
      <c r="B124" s="42" t="s">
        <v>143</v>
      </c>
      <c r="C124" s="43">
        <v>14.831799999999999</v>
      </c>
      <c r="D124" s="43">
        <v>13.8261</v>
      </c>
    </row>
    <row r="125" spans="2:6" ht="15" x14ac:dyDescent="0.25">
      <c r="B125" s="42" t="s">
        <v>144</v>
      </c>
      <c r="C125" s="43">
        <v>13.7437</v>
      </c>
      <c r="D125" s="43">
        <v>12.8117</v>
      </c>
    </row>
    <row r="127" spans="2:6" ht="15" x14ac:dyDescent="0.25">
      <c r="B127" s="59" t="s">
        <v>145</v>
      </c>
      <c r="C127" s="44"/>
      <c r="D127" s="60" t="s">
        <v>133</v>
      </c>
    </row>
    <row r="128" spans="2:6" ht="24.75" customHeight="1" x14ac:dyDescent="0.25">
      <c r="B128" s="61"/>
      <c r="C128" s="61"/>
    </row>
    <row r="129" spans="2:4" ht="15" x14ac:dyDescent="0.25">
      <c r="B129" s="63"/>
      <c r="C129" s="65"/>
      <c r="D129"/>
    </row>
    <row r="131" spans="2:4" ht="15" x14ac:dyDescent="0.25">
      <c r="B131" s="41" t="s">
        <v>146</v>
      </c>
      <c r="C131" s="40"/>
      <c r="D131" s="64" t="s">
        <v>133</v>
      </c>
    </row>
    <row r="132" spans="2:4" ht="15" x14ac:dyDescent="0.25">
      <c r="B132" s="41" t="s">
        <v>147</v>
      </c>
      <c r="C132" s="40"/>
      <c r="D132" s="64" t="s">
        <v>133</v>
      </c>
    </row>
    <row r="133" spans="2:4" ht="15" x14ac:dyDescent="0.25">
      <c r="B133" s="41" t="s">
        <v>148</v>
      </c>
      <c r="C133" s="40"/>
      <c r="D133" s="45">
        <v>1.7188216040570966E-2</v>
      </c>
    </row>
    <row r="134" spans="2:4" ht="15" x14ac:dyDescent="0.25">
      <c r="B134" s="41" t="s">
        <v>149</v>
      </c>
      <c r="C134" s="40"/>
      <c r="D134" s="45" t="s">
        <v>133</v>
      </c>
    </row>
  </sheetData>
  <mergeCells count="5">
    <mergeCell ref="A1:G1"/>
    <mergeCell ref="A2:G2"/>
    <mergeCell ref="A3:G3"/>
    <mergeCell ref="B113:F113"/>
    <mergeCell ref="B114:F114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V15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528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153</v>
      </c>
      <c r="C7" s="11" t="s">
        <v>154</v>
      </c>
      <c r="D7" s="2" t="s">
        <v>155</v>
      </c>
      <c r="E7" s="46">
        <v>68083</v>
      </c>
      <c r="F7" s="51">
        <v>424.02092399999998</v>
      </c>
      <c r="G7" s="5">
        <v>4.3609139999999998E-2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74316</v>
      </c>
      <c r="F8" s="51">
        <v>408.62652600000001</v>
      </c>
      <c r="G8" s="5">
        <v>4.2025878000000003E-2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72653</v>
      </c>
      <c r="F9" s="51">
        <v>348.48011450000001</v>
      </c>
      <c r="G9" s="5">
        <v>3.584002E-2</v>
      </c>
    </row>
    <row r="10" spans="1:7" ht="25.5" x14ac:dyDescent="0.25">
      <c r="A10" s="6">
        <v>4</v>
      </c>
      <c r="B10" s="7" t="s">
        <v>68</v>
      </c>
      <c r="C10" s="11" t="s">
        <v>69</v>
      </c>
      <c r="D10" s="2" t="s">
        <v>19</v>
      </c>
      <c r="E10" s="46">
        <v>286733</v>
      </c>
      <c r="F10" s="51">
        <v>346.66019699999998</v>
      </c>
      <c r="G10" s="5">
        <v>3.5652847000000001E-2</v>
      </c>
    </row>
    <row r="11" spans="1:7" ht="25.5" x14ac:dyDescent="0.25">
      <c r="A11" s="6">
        <v>5</v>
      </c>
      <c r="B11" s="7" t="s">
        <v>250</v>
      </c>
      <c r="C11" s="11" t="s">
        <v>251</v>
      </c>
      <c r="D11" s="2" t="s">
        <v>30</v>
      </c>
      <c r="E11" s="46">
        <v>295852</v>
      </c>
      <c r="F11" s="51">
        <v>301.76904000000002</v>
      </c>
      <c r="G11" s="5">
        <v>3.1035941000000001E-2</v>
      </c>
    </row>
    <row r="12" spans="1:7" ht="15" x14ac:dyDescent="0.25">
      <c r="A12" s="6">
        <v>6</v>
      </c>
      <c r="B12" s="7" t="s">
        <v>151</v>
      </c>
      <c r="C12" s="11" t="s">
        <v>152</v>
      </c>
      <c r="D12" s="2" t="s">
        <v>16</v>
      </c>
      <c r="E12" s="46">
        <v>150969</v>
      </c>
      <c r="F12" s="51">
        <v>292.27598399999999</v>
      </c>
      <c r="G12" s="5">
        <v>3.0059611999999999E-2</v>
      </c>
    </row>
    <row r="13" spans="1:7" ht="38.25" x14ac:dyDescent="0.25">
      <c r="A13" s="6">
        <v>7</v>
      </c>
      <c r="B13" s="7" t="s">
        <v>82</v>
      </c>
      <c r="C13" s="11" t="s">
        <v>83</v>
      </c>
      <c r="D13" s="2" t="s">
        <v>84</v>
      </c>
      <c r="E13" s="46">
        <v>325408</v>
      </c>
      <c r="F13" s="51">
        <v>258.21124800000001</v>
      </c>
      <c r="G13" s="5">
        <v>2.6556166999999999E-2</v>
      </c>
    </row>
    <row r="14" spans="1:7" ht="25.5" x14ac:dyDescent="0.25">
      <c r="A14" s="6">
        <v>8</v>
      </c>
      <c r="B14" s="7" t="s">
        <v>92</v>
      </c>
      <c r="C14" s="11" t="s">
        <v>93</v>
      </c>
      <c r="D14" s="2" t="s">
        <v>22</v>
      </c>
      <c r="E14" s="46">
        <v>58266</v>
      </c>
      <c r="F14" s="51">
        <v>255.525543</v>
      </c>
      <c r="G14" s="5">
        <v>2.6279950999999999E-2</v>
      </c>
    </row>
    <row r="15" spans="1:7" ht="25.5" x14ac:dyDescent="0.25">
      <c r="A15" s="6">
        <v>9</v>
      </c>
      <c r="B15" s="7" t="s">
        <v>196</v>
      </c>
      <c r="C15" s="11" t="s">
        <v>846</v>
      </c>
      <c r="D15" s="2" t="s">
        <v>59</v>
      </c>
      <c r="E15" s="46">
        <v>14795</v>
      </c>
      <c r="F15" s="51">
        <v>242.83033499999999</v>
      </c>
      <c r="G15" s="5">
        <v>2.4974290999999999E-2</v>
      </c>
    </row>
    <row r="16" spans="1:7" ht="15" x14ac:dyDescent="0.25">
      <c r="A16" s="6">
        <v>10</v>
      </c>
      <c r="B16" s="7" t="s">
        <v>160</v>
      </c>
      <c r="C16" s="11" t="s">
        <v>161</v>
      </c>
      <c r="D16" s="2" t="s">
        <v>162</v>
      </c>
      <c r="E16" s="46">
        <v>85995</v>
      </c>
      <c r="F16" s="51">
        <v>226.68281999999999</v>
      </c>
      <c r="G16" s="5">
        <v>2.3313573000000001E-2</v>
      </c>
    </row>
    <row r="17" spans="1:7" ht="15" x14ac:dyDescent="0.25">
      <c r="A17" s="6">
        <v>11</v>
      </c>
      <c r="B17" s="7" t="s">
        <v>49</v>
      </c>
      <c r="C17" s="11" t="s">
        <v>50</v>
      </c>
      <c r="D17" s="2" t="s">
        <v>51</v>
      </c>
      <c r="E17" s="46">
        <v>81983</v>
      </c>
      <c r="F17" s="51">
        <v>214.46752799999999</v>
      </c>
      <c r="G17" s="5">
        <v>2.2057271E-2</v>
      </c>
    </row>
    <row r="18" spans="1:7" ht="25.5" x14ac:dyDescent="0.25">
      <c r="A18" s="6">
        <v>12</v>
      </c>
      <c r="B18" s="7" t="s">
        <v>43</v>
      </c>
      <c r="C18" s="11" t="s">
        <v>44</v>
      </c>
      <c r="D18" s="2" t="s">
        <v>30</v>
      </c>
      <c r="E18" s="46">
        <v>202267</v>
      </c>
      <c r="F18" s="51">
        <v>213.4928185</v>
      </c>
      <c r="G18" s="5">
        <v>2.1957026000000001E-2</v>
      </c>
    </row>
    <row r="19" spans="1:7" ht="25.5" x14ac:dyDescent="0.25">
      <c r="A19" s="6">
        <v>13</v>
      </c>
      <c r="B19" s="7" t="s">
        <v>87</v>
      </c>
      <c r="C19" s="11" t="s">
        <v>88</v>
      </c>
      <c r="D19" s="2" t="s">
        <v>89</v>
      </c>
      <c r="E19" s="46">
        <v>70000</v>
      </c>
      <c r="F19" s="51">
        <v>203.49</v>
      </c>
      <c r="G19" s="5">
        <v>2.0928268999999999E-2</v>
      </c>
    </row>
    <row r="20" spans="1:7" ht="25.5" x14ac:dyDescent="0.25">
      <c r="A20" s="6">
        <v>14</v>
      </c>
      <c r="B20" s="7" t="s">
        <v>90</v>
      </c>
      <c r="C20" s="11" t="s">
        <v>91</v>
      </c>
      <c r="D20" s="2" t="s">
        <v>22</v>
      </c>
      <c r="E20" s="46">
        <v>20270</v>
      </c>
      <c r="F20" s="51">
        <v>202.689865</v>
      </c>
      <c r="G20" s="5">
        <v>2.0845978000000001E-2</v>
      </c>
    </row>
    <row r="21" spans="1:7" ht="25.5" x14ac:dyDescent="0.25">
      <c r="A21" s="6">
        <v>15</v>
      </c>
      <c r="B21" s="7" t="s">
        <v>178</v>
      </c>
      <c r="C21" s="11" t="s">
        <v>179</v>
      </c>
      <c r="D21" s="2" t="s">
        <v>22</v>
      </c>
      <c r="E21" s="46">
        <v>57658</v>
      </c>
      <c r="F21" s="51">
        <v>200.82281399999999</v>
      </c>
      <c r="G21" s="5">
        <v>2.0653958E-2</v>
      </c>
    </row>
    <row r="22" spans="1:7" ht="15" x14ac:dyDescent="0.25">
      <c r="A22" s="6">
        <v>16</v>
      </c>
      <c r="B22" s="7" t="s">
        <v>158</v>
      </c>
      <c r="C22" s="11" t="s">
        <v>159</v>
      </c>
      <c r="D22" s="2" t="s">
        <v>16</v>
      </c>
      <c r="E22" s="46">
        <v>225000</v>
      </c>
      <c r="F22" s="51">
        <v>197.55</v>
      </c>
      <c r="G22" s="5">
        <v>2.031736E-2</v>
      </c>
    </row>
    <row r="23" spans="1:7" ht="25.5" x14ac:dyDescent="0.25">
      <c r="A23" s="6">
        <v>17</v>
      </c>
      <c r="B23" s="7" t="s">
        <v>52</v>
      </c>
      <c r="C23" s="11" t="s">
        <v>53</v>
      </c>
      <c r="D23" s="2" t="s">
        <v>30</v>
      </c>
      <c r="E23" s="46">
        <v>45390</v>
      </c>
      <c r="F23" s="51">
        <v>194.29189500000001</v>
      </c>
      <c r="G23" s="5">
        <v>1.9982275000000001E-2</v>
      </c>
    </row>
    <row r="24" spans="1:7" ht="25.5" x14ac:dyDescent="0.25">
      <c r="A24" s="6">
        <v>18</v>
      </c>
      <c r="B24" s="7" t="s">
        <v>176</v>
      </c>
      <c r="C24" s="11" t="s">
        <v>177</v>
      </c>
      <c r="D24" s="2" t="s">
        <v>30</v>
      </c>
      <c r="E24" s="46">
        <v>19536</v>
      </c>
      <c r="F24" s="51">
        <v>190.12435199999999</v>
      </c>
      <c r="G24" s="5">
        <v>1.9553656999999999E-2</v>
      </c>
    </row>
    <row r="25" spans="1:7" ht="25.5" x14ac:dyDescent="0.25">
      <c r="A25" s="6">
        <v>19</v>
      </c>
      <c r="B25" s="7" t="s">
        <v>171</v>
      </c>
      <c r="C25" s="11" t="s">
        <v>172</v>
      </c>
      <c r="D25" s="2" t="s">
        <v>173</v>
      </c>
      <c r="E25" s="46">
        <v>64047</v>
      </c>
      <c r="F25" s="51">
        <v>188.26615649999999</v>
      </c>
      <c r="G25" s="5">
        <v>1.9362547000000001E-2</v>
      </c>
    </row>
    <row r="26" spans="1:7" ht="15" x14ac:dyDescent="0.25">
      <c r="A26" s="6">
        <v>20</v>
      </c>
      <c r="B26" s="7" t="s">
        <v>218</v>
      </c>
      <c r="C26" s="11" t="s">
        <v>219</v>
      </c>
      <c r="D26" s="2" t="s">
        <v>51</v>
      </c>
      <c r="E26" s="46">
        <v>87000</v>
      </c>
      <c r="F26" s="51">
        <v>185.31</v>
      </c>
      <c r="G26" s="5">
        <v>1.9058517000000001E-2</v>
      </c>
    </row>
    <row r="27" spans="1:7" ht="25.5" x14ac:dyDescent="0.25">
      <c r="A27" s="6">
        <v>21</v>
      </c>
      <c r="B27" s="7" t="s">
        <v>20</v>
      </c>
      <c r="C27" s="11" t="s">
        <v>21</v>
      </c>
      <c r="D27" s="2" t="s">
        <v>22</v>
      </c>
      <c r="E27" s="46">
        <v>27000</v>
      </c>
      <c r="F27" s="51">
        <v>183.27600000000001</v>
      </c>
      <c r="G27" s="5">
        <v>1.8849326E-2</v>
      </c>
    </row>
    <row r="28" spans="1:7" ht="25.5" x14ac:dyDescent="0.25">
      <c r="A28" s="6">
        <v>22</v>
      </c>
      <c r="B28" s="7" t="s">
        <v>189</v>
      </c>
      <c r="C28" s="11" t="s">
        <v>190</v>
      </c>
      <c r="D28" s="2" t="s">
        <v>167</v>
      </c>
      <c r="E28" s="46">
        <v>41115</v>
      </c>
      <c r="F28" s="51">
        <v>181.48160999999999</v>
      </c>
      <c r="G28" s="5">
        <v>1.8664778999999999E-2</v>
      </c>
    </row>
    <row r="29" spans="1:7" ht="15" x14ac:dyDescent="0.25">
      <c r="A29" s="6">
        <v>23</v>
      </c>
      <c r="B29" s="7" t="s">
        <v>191</v>
      </c>
      <c r="C29" s="11" t="s">
        <v>192</v>
      </c>
      <c r="D29" s="2" t="s">
        <v>193</v>
      </c>
      <c r="E29" s="46">
        <v>131178</v>
      </c>
      <c r="F29" s="51">
        <v>174.59791799999999</v>
      </c>
      <c r="G29" s="5">
        <v>1.7956815000000001E-2</v>
      </c>
    </row>
    <row r="30" spans="1:7" ht="15" x14ac:dyDescent="0.25">
      <c r="A30" s="6">
        <v>24</v>
      </c>
      <c r="B30" s="7" t="s">
        <v>203</v>
      </c>
      <c r="C30" s="11" t="s">
        <v>204</v>
      </c>
      <c r="D30" s="2" t="s">
        <v>81</v>
      </c>
      <c r="E30" s="46">
        <v>152208</v>
      </c>
      <c r="F30" s="51">
        <v>163.92801600000001</v>
      </c>
      <c r="G30" s="5">
        <v>1.6859451000000001E-2</v>
      </c>
    </row>
    <row r="31" spans="1:7" ht="15" x14ac:dyDescent="0.25">
      <c r="A31" s="6">
        <v>25</v>
      </c>
      <c r="B31" s="7" t="s">
        <v>182</v>
      </c>
      <c r="C31" s="11" t="s">
        <v>183</v>
      </c>
      <c r="D31" s="2" t="s">
        <v>184</v>
      </c>
      <c r="E31" s="46">
        <v>87513</v>
      </c>
      <c r="F31" s="51">
        <v>163.56179700000001</v>
      </c>
      <c r="G31" s="5">
        <v>1.6821785999999998E-2</v>
      </c>
    </row>
    <row r="32" spans="1:7" ht="51" x14ac:dyDescent="0.25">
      <c r="A32" s="6">
        <v>26</v>
      </c>
      <c r="B32" s="7" t="s">
        <v>233</v>
      </c>
      <c r="C32" s="11" t="s">
        <v>234</v>
      </c>
      <c r="D32" s="2" t="s">
        <v>235</v>
      </c>
      <c r="E32" s="46">
        <v>72200</v>
      </c>
      <c r="F32" s="51">
        <v>163.31639999999999</v>
      </c>
      <c r="G32" s="5">
        <v>1.6796548000000001E-2</v>
      </c>
    </row>
    <row r="33" spans="1:7" ht="25.5" x14ac:dyDescent="0.25">
      <c r="A33" s="6">
        <v>27</v>
      </c>
      <c r="B33" s="7" t="s">
        <v>165</v>
      </c>
      <c r="C33" s="11" t="s">
        <v>166</v>
      </c>
      <c r="D33" s="2" t="s">
        <v>167</v>
      </c>
      <c r="E33" s="46">
        <v>140881</v>
      </c>
      <c r="F33" s="51">
        <v>162.3653525</v>
      </c>
      <c r="G33" s="5">
        <v>1.6698735999999999E-2</v>
      </c>
    </row>
    <row r="34" spans="1:7" ht="15" x14ac:dyDescent="0.25">
      <c r="A34" s="6">
        <v>28</v>
      </c>
      <c r="B34" s="7" t="s">
        <v>201</v>
      </c>
      <c r="C34" s="11" t="s">
        <v>202</v>
      </c>
      <c r="D34" s="2" t="s">
        <v>27</v>
      </c>
      <c r="E34" s="46">
        <v>279679</v>
      </c>
      <c r="F34" s="51">
        <v>156.4804005</v>
      </c>
      <c r="G34" s="5">
        <v>1.6093488E-2</v>
      </c>
    </row>
    <row r="35" spans="1:7" ht="25.5" x14ac:dyDescent="0.25">
      <c r="A35" s="6">
        <v>29</v>
      </c>
      <c r="B35" s="7" t="s">
        <v>64</v>
      </c>
      <c r="C35" s="11" t="s">
        <v>65</v>
      </c>
      <c r="D35" s="2" t="s">
        <v>19</v>
      </c>
      <c r="E35" s="46">
        <v>213143</v>
      </c>
      <c r="F35" s="51">
        <v>155.91410450000001</v>
      </c>
      <c r="G35" s="5">
        <v>1.6035246999999999E-2</v>
      </c>
    </row>
    <row r="36" spans="1:7" ht="51" x14ac:dyDescent="0.25">
      <c r="A36" s="6">
        <v>30</v>
      </c>
      <c r="B36" s="7" t="s">
        <v>248</v>
      </c>
      <c r="C36" s="11" t="s">
        <v>249</v>
      </c>
      <c r="D36" s="2" t="s">
        <v>235</v>
      </c>
      <c r="E36" s="46">
        <v>91923</v>
      </c>
      <c r="F36" s="51">
        <v>151.8108345</v>
      </c>
      <c r="G36" s="5">
        <v>1.5613238999999999E-2</v>
      </c>
    </row>
    <row r="37" spans="1:7" ht="15" x14ac:dyDescent="0.25">
      <c r="A37" s="6">
        <v>31</v>
      </c>
      <c r="B37" s="7" t="s">
        <v>187</v>
      </c>
      <c r="C37" s="11" t="s">
        <v>188</v>
      </c>
      <c r="D37" s="2" t="s">
        <v>162</v>
      </c>
      <c r="E37" s="46">
        <v>15871</v>
      </c>
      <c r="F37" s="51">
        <v>145.62436049999999</v>
      </c>
      <c r="G37" s="5">
        <v>1.4976981E-2</v>
      </c>
    </row>
    <row r="38" spans="1:7" ht="15" x14ac:dyDescent="0.25">
      <c r="A38" s="6">
        <v>32</v>
      </c>
      <c r="B38" s="7" t="s">
        <v>62</v>
      </c>
      <c r="C38" s="11" t="s">
        <v>63</v>
      </c>
      <c r="D38" s="2" t="s">
        <v>16</v>
      </c>
      <c r="E38" s="46">
        <v>132970</v>
      </c>
      <c r="F38" s="51">
        <v>135.49643</v>
      </c>
      <c r="G38" s="5">
        <v>1.3935357000000001E-2</v>
      </c>
    </row>
    <row r="39" spans="1:7" ht="25.5" x14ac:dyDescent="0.25">
      <c r="A39" s="6">
        <v>33</v>
      </c>
      <c r="B39" s="7" t="s">
        <v>85</v>
      </c>
      <c r="C39" s="11" t="s">
        <v>86</v>
      </c>
      <c r="D39" s="2" t="s">
        <v>22</v>
      </c>
      <c r="E39" s="46">
        <v>22520</v>
      </c>
      <c r="F39" s="51">
        <v>133.39722</v>
      </c>
      <c r="G39" s="5">
        <v>1.3719459999999999E-2</v>
      </c>
    </row>
    <row r="40" spans="1:7" ht="15" x14ac:dyDescent="0.25">
      <c r="A40" s="6">
        <v>34</v>
      </c>
      <c r="B40" s="7" t="s">
        <v>75</v>
      </c>
      <c r="C40" s="11" t="s">
        <v>76</v>
      </c>
      <c r="D40" s="2" t="s">
        <v>51</v>
      </c>
      <c r="E40" s="46">
        <v>60000</v>
      </c>
      <c r="F40" s="51">
        <v>132.87</v>
      </c>
      <c r="G40" s="5">
        <v>1.3665237E-2</v>
      </c>
    </row>
    <row r="41" spans="1:7" ht="15" x14ac:dyDescent="0.25">
      <c r="A41" s="6">
        <v>35</v>
      </c>
      <c r="B41" s="7" t="s">
        <v>60</v>
      </c>
      <c r="C41" s="11" t="s">
        <v>61</v>
      </c>
      <c r="D41" s="2" t="s">
        <v>16</v>
      </c>
      <c r="E41" s="46">
        <v>13225</v>
      </c>
      <c r="F41" s="51">
        <v>127.7535</v>
      </c>
      <c r="G41" s="5">
        <v>1.3139022E-2</v>
      </c>
    </row>
    <row r="42" spans="1:7" ht="25.5" x14ac:dyDescent="0.25">
      <c r="A42" s="6">
        <v>36</v>
      </c>
      <c r="B42" s="7" t="s">
        <v>94</v>
      </c>
      <c r="C42" s="11" t="s">
        <v>95</v>
      </c>
      <c r="D42" s="2" t="s">
        <v>22</v>
      </c>
      <c r="E42" s="46">
        <v>123924</v>
      </c>
      <c r="F42" s="51">
        <v>126.960138</v>
      </c>
      <c r="G42" s="5">
        <v>1.3057427E-2</v>
      </c>
    </row>
    <row r="43" spans="1:7" ht="15" x14ac:dyDescent="0.25">
      <c r="A43" s="6">
        <v>37</v>
      </c>
      <c r="B43" s="7" t="s">
        <v>236</v>
      </c>
      <c r="C43" s="11" t="s">
        <v>237</v>
      </c>
      <c r="D43" s="2" t="s">
        <v>238</v>
      </c>
      <c r="E43" s="46">
        <v>20467</v>
      </c>
      <c r="F43" s="51">
        <v>123.13970550000001</v>
      </c>
      <c r="G43" s="5">
        <v>1.2664508999999999E-2</v>
      </c>
    </row>
    <row r="44" spans="1:7" ht="25.5" x14ac:dyDescent="0.25">
      <c r="A44" s="6">
        <v>38</v>
      </c>
      <c r="B44" s="7" t="s">
        <v>205</v>
      </c>
      <c r="C44" s="11" t="s">
        <v>206</v>
      </c>
      <c r="D44" s="2" t="s">
        <v>173</v>
      </c>
      <c r="E44" s="46">
        <v>120007</v>
      </c>
      <c r="F44" s="51">
        <v>121.5070875</v>
      </c>
      <c r="G44" s="5">
        <v>1.2496599000000001E-2</v>
      </c>
    </row>
    <row r="45" spans="1:7" ht="15" x14ac:dyDescent="0.25">
      <c r="A45" s="6">
        <v>39</v>
      </c>
      <c r="B45" s="7" t="s">
        <v>197</v>
      </c>
      <c r="C45" s="11" t="s">
        <v>198</v>
      </c>
      <c r="D45" s="2" t="s">
        <v>162</v>
      </c>
      <c r="E45" s="46">
        <v>41106</v>
      </c>
      <c r="F45" s="51">
        <v>120.99551099999999</v>
      </c>
      <c r="G45" s="5">
        <v>1.2443984999999999E-2</v>
      </c>
    </row>
    <row r="46" spans="1:7" ht="15" x14ac:dyDescent="0.25">
      <c r="A46" s="6">
        <v>40</v>
      </c>
      <c r="B46" s="7" t="s">
        <v>267</v>
      </c>
      <c r="C46" s="11" t="s">
        <v>268</v>
      </c>
      <c r="D46" s="2" t="s">
        <v>269</v>
      </c>
      <c r="E46" s="46">
        <v>15770</v>
      </c>
      <c r="F46" s="51">
        <v>117.42341999999999</v>
      </c>
      <c r="G46" s="5">
        <v>1.2076608000000001E-2</v>
      </c>
    </row>
    <row r="47" spans="1:7" ht="15" x14ac:dyDescent="0.25">
      <c r="A47" s="6">
        <v>41</v>
      </c>
      <c r="B47" s="7" t="s">
        <v>244</v>
      </c>
      <c r="C47" s="11" t="s">
        <v>245</v>
      </c>
      <c r="D47" s="2" t="s">
        <v>162</v>
      </c>
      <c r="E47" s="46">
        <v>21285</v>
      </c>
      <c r="F47" s="51">
        <v>110.2030875</v>
      </c>
      <c r="G47" s="5">
        <v>1.1334021E-2</v>
      </c>
    </row>
    <row r="48" spans="1:7" ht="15" x14ac:dyDescent="0.25">
      <c r="A48" s="6">
        <v>42</v>
      </c>
      <c r="B48" s="7" t="s">
        <v>246</v>
      </c>
      <c r="C48" s="11" t="s">
        <v>247</v>
      </c>
      <c r="D48" s="2" t="s">
        <v>170</v>
      </c>
      <c r="E48" s="46">
        <v>47310</v>
      </c>
      <c r="F48" s="51">
        <v>105.33571499999999</v>
      </c>
      <c r="G48" s="5">
        <v>1.0833428000000001E-2</v>
      </c>
    </row>
    <row r="49" spans="1:7" ht="15" x14ac:dyDescent="0.25">
      <c r="A49" s="6">
        <v>43</v>
      </c>
      <c r="B49" s="7" t="s">
        <v>72</v>
      </c>
      <c r="C49" s="11" t="s">
        <v>845</v>
      </c>
      <c r="D49" s="2" t="s">
        <v>51</v>
      </c>
      <c r="E49" s="46">
        <v>43175</v>
      </c>
      <c r="F49" s="51">
        <v>102.25998749999999</v>
      </c>
      <c r="G49" s="5">
        <v>1.0517099E-2</v>
      </c>
    </row>
    <row r="50" spans="1:7" ht="15" x14ac:dyDescent="0.25">
      <c r="A50" s="6">
        <v>44</v>
      </c>
      <c r="B50" s="7" t="s">
        <v>468</v>
      </c>
      <c r="C50" s="11" t="s">
        <v>469</v>
      </c>
      <c r="D50" s="2" t="s">
        <v>241</v>
      </c>
      <c r="E50" s="46">
        <v>69001</v>
      </c>
      <c r="F50" s="51">
        <v>101.6729735</v>
      </c>
      <c r="G50" s="5">
        <v>1.0456727000000001E-2</v>
      </c>
    </row>
    <row r="51" spans="1:7" ht="15" x14ac:dyDescent="0.25">
      <c r="A51" s="6">
        <v>45</v>
      </c>
      <c r="B51" s="7" t="s">
        <v>254</v>
      </c>
      <c r="C51" s="11" t="s">
        <v>255</v>
      </c>
      <c r="D51" s="2" t="s">
        <v>215</v>
      </c>
      <c r="E51" s="46">
        <v>115696</v>
      </c>
      <c r="F51" s="51">
        <v>91.920472000000004</v>
      </c>
      <c r="G51" s="5">
        <v>9.4537149999999997E-3</v>
      </c>
    </row>
    <row r="52" spans="1:7" ht="15" x14ac:dyDescent="0.25">
      <c r="A52" s="6">
        <v>46</v>
      </c>
      <c r="B52" s="7" t="s">
        <v>163</v>
      </c>
      <c r="C52" s="11" t="s">
        <v>164</v>
      </c>
      <c r="D52" s="2" t="s">
        <v>13</v>
      </c>
      <c r="E52" s="46">
        <v>44625</v>
      </c>
      <c r="F52" s="51">
        <v>87.241874999999993</v>
      </c>
      <c r="G52" s="5">
        <v>8.9725359999999997E-3</v>
      </c>
    </row>
    <row r="53" spans="1:7" ht="15" x14ac:dyDescent="0.25">
      <c r="A53" s="6">
        <v>47</v>
      </c>
      <c r="B53" s="7" t="s">
        <v>222</v>
      </c>
      <c r="C53" s="11" t="s">
        <v>223</v>
      </c>
      <c r="D53" s="2" t="s">
        <v>215</v>
      </c>
      <c r="E53" s="46">
        <v>18213</v>
      </c>
      <c r="F53" s="51">
        <v>84.216911999999994</v>
      </c>
      <c r="G53" s="5">
        <v>8.661429E-3</v>
      </c>
    </row>
    <row r="54" spans="1:7" ht="38.25" x14ac:dyDescent="0.25">
      <c r="A54" s="6">
        <v>48</v>
      </c>
      <c r="B54" s="7" t="s">
        <v>260</v>
      </c>
      <c r="C54" s="11" t="s">
        <v>261</v>
      </c>
      <c r="D54" s="2" t="s">
        <v>262</v>
      </c>
      <c r="E54" s="46">
        <v>83954</v>
      </c>
      <c r="F54" s="51">
        <v>76.985817999999995</v>
      </c>
      <c r="G54" s="5">
        <v>7.9177350000000004E-3</v>
      </c>
    </row>
    <row r="55" spans="1:7" ht="15" x14ac:dyDescent="0.25">
      <c r="A55" s="6">
        <v>49</v>
      </c>
      <c r="B55" s="7" t="s">
        <v>220</v>
      </c>
      <c r="C55" s="11" t="s">
        <v>221</v>
      </c>
      <c r="D55" s="2" t="s">
        <v>193</v>
      </c>
      <c r="E55" s="46">
        <v>37995</v>
      </c>
      <c r="F55" s="51">
        <v>72.912405000000007</v>
      </c>
      <c r="G55" s="5">
        <v>7.4987980000000001E-3</v>
      </c>
    </row>
    <row r="56" spans="1:7" ht="15" x14ac:dyDescent="0.25">
      <c r="A56" s="6">
        <v>50</v>
      </c>
      <c r="B56" s="7" t="s">
        <v>211</v>
      </c>
      <c r="C56" s="11" t="s">
        <v>212</v>
      </c>
      <c r="D56" s="2" t="s">
        <v>162</v>
      </c>
      <c r="E56" s="46">
        <v>90950</v>
      </c>
      <c r="F56" s="51">
        <v>72.305250000000001</v>
      </c>
      <c r="G56" s="5">
        <v>7.4363540000000001E-3</v>
      </c>
    </row>
    <row r="57" spans="1:7" ht="15" x14ac:dyDescent="0.25">
      <c r="A57" s="6">
        <v>51</v>
      </c>
      <c r="B57" s="7" t="s">
        <v>209</v>
      </c>
      <c r="C57" s="11" t="s">
        <v>210</v>
      </c>
      <c r="D57" s="2" t="s">
        <v>155</v>
      </c>
      <c r="E57" s="46">
        <v>39495</v>
      </c>
      <c r="F57" s="51">
        <v>65.818417499999995</v>
      </c>
      <c r="G57" s="5">
        <v>6.7692050000000004E-3</v>
      </c>
    </row>
    <row r="58" spans="1:7" ht="25.5" x14ac:dyDescent="0.25">
      <c r="A58" s="6">
        <v>52</v>
      </c>
      <c r="B58" s="7" t="s">
        <v>216</v>
      </c>
      <c r="C58" s="11" t="s">
        <v>217</v>
      </c>
      <c r="D58" s="2" t="s">
        <v>59</v>
      </c>
      <c r="E58" s="46">
        <v>28807</v>
      </c>
      <c r="F58" s="51">
        <v>65.204644500000001</v>
      </c>
      <c r="G58" s="5">
        <v>6.706081E-3</v>
      </c>
    </row>
    <row r="59" spans="1:7" ht="25.5" x14ac:dyDescent="0.25">
      <c r="A59" s="6">
        <v>53</v>
      </c>
      <c r="B59" s="7" t="s">
        <v>185</v>
      </c>
      <c r="C59" s="11" t="s">
        <v>186</v>
      </c>
      <c r="D59" s="2" t="s">
        <v>59</v>
      </c>
      <c r="E59" s="46">
        <v>48452</v>
      </c>
      <c r="F59" s="51">
        <v>61.170650000000002</v>
      </c>
      <c r="G59" s="5">
        <v>6.2911979999999996E-3</v>
      </c>
    </row>
    <row r="60" spans="1:7" ht="15" x14ac:dyDescent="0.25">
      <c r="A60" s="6">
        <v>54</v>
      </c>
      <c r="B60" s="7" t="s">
        <v>224</v>
      </c>
      <c r="C60" s="11" t="s">
        <v>225</v>
      </c>
      <c r="D60" s="2" t="s">
        <v>226</v>
      </c>
      <c r="E60" s="46">
        <v>5500</v>
      </c>
      <c r="F60" s="51">
        <v>59.534750000000003</v>
      </c>
      <c r="G60" s="5">
        <v>6.1229509999999997E-3</v>
      </c>
    </row>
    <row r="61" spans="1:7" ht="15" x14ac:dyDescent="0.25">
      <c r="A61" s="6">
        <v>55</v>
      </c>
      <c r="B61" s="7" t="s">
        <v>258</v>
      </c>
      <c r="C61" s="11" t="s">
        <v>259</v>
      </c>
      <c r="D61" s="2" t="s">
        <v>193</v>
      </c>
      <c r="E61" s="46">
        <v>67579</v>
      </c>
      <c r="F61" s="51">
        <v>52.103408999999999</v>
      </c>
      <c r="G61" s="5">
        <v>5.3586620000000001E-3</v>
      </c>
    </row>
    <row r="62" spans="1:7" ht="25.5" x14ac:dyDescent="0.25">
      <c r="A62" s="6">
        <v>56</v>
      </c>
      <c r="B62" s="7" t="s">
        <v>274</v>
      </c>
      <c r="C62" s="11" t="s">
        <v>275</v>
      </c>
      <c r="D62" s="2" t="s">
        <v>22</v>
      </c>
      <c r="E62" s="46">
        <v>12589</v>
      </c>
      <c r="F62" s="51">
        <v>49.594365500000002</v>
      </c>
      <c r="G62" s="5">
        <v>5.1006150000000002E-3</v>
      </c>
    </row>
    <row r="63" spans="1:7" ht="15" x14ac:dyDescent="0.25">
      <c r="A63" s="6">
        <v>57</v>
      </c>
      <c r="B63" s="7" t="s">
        <v>102</v>
      </c>
      <c r="C63" s="11" t="s">
        <v>103</v>
      </c>
      <c r="D63" s="2" t="s">
        <v>51</v>
      </c>
      <c r="E63" s="46">
        <v>39001</v>
      </c>
      <c r="F63" s="51">
        <v>42.335585500000001</v>
      </c>
      <c r="G63" s="5">
        <v>4.3540740000000003E-3</v>
      </c>
    </row>
    <row r="64" spans="1:7" ht="25.5" x14ac:dyDescent="0.25">
      <c r="A64" s="6">
        <v>58</v>
      </c>
      <c r="B64" s="7" t="s">
        <v>227</v>
      </c>
      <c r="C64" s="11" t="s">
        <v>228</v>
      </c>
      <c r="D64" s="2" t="s">
        <v>173</v>
      </c>
      <c r="E64" s="46">
        <v>22595</v>
      </c>
      <c r="F64" s="51">
        <v>14.325229999999999</v>
      </c>
      <c r="G64" s="5">
        <v>1.4733019999999999E-3</v>
      </c>
    </row>
    <row r="65" spans="1:7" ht="25.5" x14ac:dyDescent="0.25">
      <c r="A65" s="6">
        <v>59</v>
      </c>
      <c r="B65" s="7" t="s">
        <v>229</v>
      </c>
      <c r="C65" s="11" t="s">
        <v>230</v>
      </c>
      <c r="D65" s="2" t="s">
        <v>37</v>
      </c>
      <c r="E65" s="46">
        <v>81375</v>
      </c>
      <c r="F65" s="51">
        <v>8.3816249999999997</v>
      </c>
      <c r="G65" s="5">
        <v>8.6202200000000005E-4</v>
      </c>
    </row>
    <row r="66" spans="1:7" ht="15" x14ac:dyDescent="0.25">
      <c r="A66" s="1"/>
      <c r="B66" s="2"/>
      <c r="C66" s="8" t="s">
        <v>104</v>
      </c>
      <c r="D66" s="12"/>
      <c r="E66" s="48"/>
      <c r="F66" s="53">
        <v>9361.0111384999982</v>
      </c>
      <c r="G66" s="13">
        <v>0.96274883</v>
      </c>
    </row>
    <row r="67" spans="1:7" ht="15" x14ac:dyDescent="0.25">
      <c r="A67" s="6"/>
      <c r="B67" s="7"/>
      <c r="C67" s="14"/>
      <c r="D67" s="15"/>
      <c r="E67" s="46"/>
      <c r="F67" s="51"/>
      <c r="G67" s="5"/>
    </row>
    <row r="68" spans="1:7" ht="15" x14ac:dyDescent="0.25">
      <c r="A68" s="1"/>
      <c r="B68" s="2"/>
      <c r="C68" s="8" t="s">
        <v>105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6"/>
      <c r="B70" s="7"/>
      <c r="C70" s="14"/>
      <c r="D70" s="15"/>
      <c r="E70" s="46"/>
      <c r="F70" s="51"/>
      <c r="G70" s="5"/>
    </row>
    <row r="71" spans="1:7" ht="15" x14ac:dyDescent="0.25">
      <c r="A71" s="16"/>
      <c r="B71" s="17"/>
      <c r="C71" s="8" t="s">
        <v>106</v>
      </c>
      <c r="D71" s="9"/>
      <c r="E71" s="47"/>
      <c r="F71" s="52"/>
      <c r="G71" s="10"/>
    </row>
    <row r="72" spans="1:7" ht="15" x14ac:dyDescent="0.25">
      <c r="A72" s="18"/>
      <c r="B72" s="19"/>
      <c r="C72" s="8" t="s">
        <v>104</v>
      </c>
      <c r="D72" s="20"/>
      <c r="E72" s="49"/>
      <c r="F72" s="54">
        <v>0</v>
      </c>
      <c r="G72" s="21">
        <v>0</v>
      </c>
    </row>
    <row r="73" spans="1:7" ht="15" x14ac:dyDescent="0.25">
      <c r="A73" s="18"/>
      <c r="B73" s="19"/>
      <c r="C73" s="14"/>
      <c r="D73" s="22"/>
      <c r="E73" s="50"/>
      <c r="F73" s="55"/>
      <c r="G73" s="23"/>
    </row>
    <row r="74" spans="1:7" ht="15" x14ac:dyDescent="0.25">
      <c r="A74" s="1"/>
      <c r="B74" s="2"/>
      <c r="C74" s="8" t="s">
        <v>108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15" x14ac:dyDescent="0.25">
      <c r="A77" s="1"/>
      <c r="B77" s="2"/>
      <c r="C77" s="8" t="s">
        <v>109</v>
      </c>
      <c r="D77" s="9"/>
      <c r="E77" s="47"/>
      <c r="F77" s="52"/>
      <c r="G77" s="10"/>
    </row>
    <row r="78" spans="1:7" ht="15" x14ac:dyDescent="0.25">
      <c r="A78" s="1"/>
      <c r="B78" s="2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1"/>
      <c r="B79" s="2"/>
      <c r="C79" s="14"/>
      <c r="D79" s="4"/>
      <c r="E79" s="46"/>
      <c r="F79" s="51"/>
      <c r="G79" s="5"/>
    </row>
    <row r="80" spans="1:7" ht="15" x14ac:dyDescent="0.25">
      <c r="A80" s="1"/>
      <c r="B80" s="2"/>
      <c r="C80" s="8" t="s">
        <v>110</v>
      </c>
      <c r="D80" s="9"/>
      <c r="E80" s="47"/>
      <c r="F80" s="52"/>
      <c r="G80" s="10"/>
    </row>
    <row r="81" spans="1:7" ht="15" x14ac:dyDescent="0.25">
      <c r="A81" s="1"/>
      <c r="B81" s="2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25.5" x14ac:dyDescent="0.25">
      <c r="A83" s="6"/>
      <c r="B83" s="7"/>
      <c r="C83" s="24" t="s">
        <v>111</v>
      </c>
      <c r="D83" s="25"/>
      <c r="E83" s="48"/>
      <c r="F83" s="53">
        <v>9361.0111384999982</v>
      </c>
      <c r="G83" s="13">
        <v>0.96274883</v>
      </c>
    </row>
    <row r="84" spans="1:7" ht="15" x14ac:dyDescent="0.25">
      <c r="A84" s="1"/>
      <c r="B84" s="2"/>
      <c r="C84" s="11"/>
      <c r="D84" s="4"/>
      <c r="E84" s="46"/>
      <c r="F84" s="51"/>
      <c r="G84" s="5"/>
    </row>
    <row r="85" spans="1:7" ht="15" x14ac:dyDescent="0.25">
      <c r="A85" s="1"/>
      <c r="B85" s="2"/>
      <c r="C85" s="3" t="s">
        <v>112</v>
      </c>
      <c r="D85" s="4"/>
      <c r="E85" s="46"/>
      <c r="F85" s="51"/>
      <c r="G85" s="5"/>
    </row>
    <row r="86" spans="1:7" ht="25.5" x14ac:dyDescent="0.25">
      <c r="A86" s="1"/>
      <c r="B86" s="2"/>
      <c r="C86" s="8" t="s">
        <v>10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6"/>
      <c r="B88" s="7"/>
      <c r="C88" s="14"/>
      <c r="D88" s="4"/>
      <c r="E88" s="46"/>
      <c r="F88" s="51"/>
      <c r="G88" s="5"/>
    </row>
    <row r="89" spans="1:7" ht="15" x14ac:dyDescent="0.25">
      <c r="A89" s="1"/>
      <c r="B89" s="26"/>
      <c r="C89" s="8" t="s">
        <v>113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6"/>
      <c r="G91" s="27"/>
    </row>
    <row r="92" spans="1:7" ht="15" x14ac:dyDescent="0.25">
      <c r="A92" s="1"/>
      <c r="B92" s="2"/>
      <c r="C92" s="8" t="s">
        <v>114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12"/>
      <c r="E93" s="48"/>
      <c r="F93" s="53">
        <v>0</v>
      </c>
      <c r="G93" s="13">
        <v>0</v>
      </c>
    </row>
    <row r="94" spans="1:7" ht="15" x14ac:dyDescent="0.25">
      <c r="A94" s="1"/>
      <c r="B94" s="2"/>
      <c r="C94" s="14"/>
      <c r="D94" s="4"/>
      <c r="E94" s="46"/>
      <c r="F94" s="51"/>
      <c r="G94" s="5"/>
    </row>
    <row r="95" spans="1:7" ht="25.5" x14ac:dyDescent="0.25">
      <c r="A95" s="1"/>
      <c r="B95" s="26"/>
      <c r="C95" s="8" t="s">
        <v>115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12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4"/>
      <c r="E97" s="46"/>
      <c r="F97" s="51"/>
      <c r="G97" s="5"/>
    </row>
    <row r="98" spans="1:7" ht="15" x14ac:dyDescent="0.25">
      <c r="A98" s="6"/>
      <c r="B98" s="7"/>
      <c r="C98" s="28" t="s">
        <v>116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1"/>
      <c r="D99" s="4"/>
      <c r="E99" s="46"/>
      <c r="F99" s="51"/>
      <c r="G99" s="5"/>
    </row>
    <row r="100" spans="1:7" ht="15" x14ac:dyDescent="0.25">
      <c r="A100" s="1"/>
      <c r="B100" s="2"/>
      <c r="C100" s="3" t="s">
        <v>117</v>
      </c>
      <c r="D100" s="4"/>
      <c r="E100" s="46"/>
      <c r="F100" s="51"/>
      <c r="G100" s="5"/>
    </row>
    <row r="101" spans="1:7" ht="15" x14ac:dyDescent="0.25">
      <c r="A101" s="6"/>
      <c r="B101" s="7"/>
      <c r="C101" s="8" t="s">
        <v>118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119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15" x14ac:dyDescent="0.25">
      <c r="A107" s="6"/>
      <c r="B107" s="7"/>
      <c r="C107" s="8" t="s">
        <v>120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6"/>
      <c r="B110" s="7"/>
      <c r="C110" s="8" t="s">
        <v>121</v>
      </c>
      <c r="D110" s="9"/>
      <c r="E110" s="47"/>
      <c r="F110" s="52"/>
      <c r="G110" s="10"/>
    </row>
    <row r="111" spans="1:7" ht="15" x14ac:dyDescent="0.25">
      <c r="A111" s="6">
        <v>1</v>
      </c>
      <c r="B111" s="7"/>
      <c r="C111" s="11" t="s">
        <v>730</v>
      </c>
      <c r="D111" s="15"/>
      <c r="E111" s="46"/>
      <c r="F111" s="51">
        <v>116.98208409999999</v>
      </c>
      <c r="G111" s="5">
        <v>1.2031218E-2</v>
      </c>
    </row>
    <row r="112" spans="1:7" ht="15" x14ac:dyDescent="0.25">
      <c r="A112" s="6"/>
      <c r="B112" s="7"/>
      <c r="C112" s="8" t="s">
        <v>104</v>
      </c>
      <c r="D112" s="25"/>
      <c r="E112" s="48"/>
      <c r="F112" s="53">
        <v>116.98208409999999</v>
      </c>
      <c r="G112" s="13">
        <v>1.2031218E-2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25.5" x14ac:dyDescent="0.25">
      <c r="A114" s="6"/>
      <c r="B114" s="7"/>
      <c r="C114" s="24" t="s">
        <v>122</v>
      </c>
      <c r="D114" s="25"/>
      <c r="E114" s="48"/>
      <c r="F114" s="53">
        <v>116.98208409999999</v>
      </c>
      <c r="G114" s="13">
        <v>1.2031218E-2</v>
      </c>
    </row>
    <row r="115" spans="1:7" ht="15" x14ac:dyDescent="0.25">
      <c r="A115" s="6"/>
      <c r="B115" s="7"/>
      <c r="C115" s="29"/>
      <c r="D115" s="7"/>
      <c r="E115" s="46"/>
      <c r="F115" s="51"/>
      <c r="G115" s="5"/>
    </row>
    <row r="116" spans="1:7" ht="15" x14ac:dyDescent="0.25">
      <c r="A116" s="1"/>
      <c r="B116" s="2"/>
      <c r="C116" s="3" t="s">
        <v>123</v>
      </c>
      <c r="D116" s="4"/>
      <c r="E116" s="46"/>
      <c r="F116" s="51"/>
      <c r="G116" s="5"/>
    </row>
    <row r="117" spans="1:7" ht="25.5" x14ac:dyDescent="0.25">
      <c r="A117" s="6"/>
      <c r="B117" s="7"/>
      <c r="C117" s="8" t="s">
        <v>124</v>
      </c>
      <c r="D117" s="9"/>
      <c r="E117" s="47"/>
      <c r="F117" s="52"/>
      <c r="G117" s="10"/>
    </row>
    <row r="118" spans="1:7" ht="15" x14ac:dyDescent="0.25">
      <c r="A118" s="6"/>
      <c r="B118" s="7"/>
      <c r="C118" s="8" t="s">
        <v>104</v>
      </c>
      <c r="D118" s="25"/>
      <c r="E118" s="48"/>
      <c r="F118" s="53">
        <v>0</v>
      </c>
      <c r="G118" s="13">
        <v>0</v>
      </c>
    </row>
    <row r="119" spans="1:7" ht="15" x14ac:dyDescent="0.25">
      <c r="A119" s="6"/>
      <c r="B119" s="7"/>
      <c r="C119" s="14"/>
      <c r="D119" s="7"/>
      <c r="E119" s="46"/>
      <c r="F119" s="51"/>
      <c r="G119" s="5"/>
    </row>
    <row r="120" spans="1:7" ht="15" x14ac:dyDescent="0.25">
      <c r="A120" s="1"/>
      <c r="B120" s="2"/>
      <c r="C120" s="3" t="s">
        <v>125</v>
      </c>
      <c r="D120" s="4"/>
      <c r="E120" s="46"/>
      <c r="F120" s="51"/>
      <c r="G120" s="5"/>
    </row>
    <row r="121" spans="1:7" ht="25.5" x14ac:dyDescent="0.25">
      <c r="A121" s="6"/>
      <c r="B121" s="7"/>
      <c r="C121" s="8" t="s">
        <v>126</v>
      </c>
      <c r="D121" s="9"/>
      <c r="E121" s="47"/>
      <c r="F121" s="52"/>
      <c r="G121" s="10"/>
    </row>
    <row r="122" spans="1:7" ht="15" x14ac:dyDescent="0.25">
      <c r="A122" s="6"/>
      <c r="B122" s="7"/>
      <c r="C122" s="8" t="s">
        <v>104</v>
      </c>
      <c r="D122" s="25"/>
      <c r="E122" s="48"/>
      <c r="F122" s="53">
        <v>0</v>
      </c>
      <c r="G122" s="13">
        <v>0</v>
      </c>
    </row>
    <row r="123" spans="1:7" ht="15" x14ac:dyDescent="0.25">
      <c r="A123" s="6"/>
      <c r="B123" s="7"/>
      <c r="C123" s="14"/>
      <c r="D123" s="7"/>
      <c r="E123" s="46"/>
      <c r="F123" s="51"/>
      <c r="G123" s="5"/>
    </row>
    <row r="124" spans="1:7" ht="25.5" x14ac:dyDescent="0.25">
      <c r="A124" s="6"/>
      <c r="B124" s="7"/>
      <c r="C124" s="8" t="s">
        <v>127</v>
      </c>
      <c r="D124" s="9"/>
      <c r="E124" s="47"/>
      <c r="F124" s="51">
        <v>239.59200000000001</v>
      </c>
      <c r="G124" s="5">
        <v>2.4641238999999999E-2</v>
      </c>
    </row>
    <row r="125" spans="1:7" ht="15" x14ac:dyDescent="0.25">
      <c r="A125" s="6"/>
      <c r="B125" s="7"/>
      <c r="C125" s="8" t="s">
        <v>810</v>
      </c>
      <c r="D125" s="25"/>
      <c r="E125" s="48"/>
      <c r="F125" s="53">
        <v>239.59200000000001</v>
      </c>
      <c r="G125" s="13">
        <v>2.4641238999999999E-2</v>
      </c>
    </row>
    <row r="126" spans="1:7" ht="15" x14ac:dyDescent="0.25">
      <c r="A126" s="6"/>
      <c r="B126" s="7"/>
      <c r="C126" s="14"/>
      <c r="D126" s="7"/>
      <c r="E126" s="46"/>
      <c r="F126" s="56"/>
      <c r="G126" s="27"/>
    </row>
    <row r="127" spans="1:7" ht="25.5" x14ac:dyDescent="0.25">
      <c r="A127" s="6"/>
      <c r="B127" s="7"/>
      <c r="C127" s="29" t="s">
        <v>128</v>
      </c>
      <c r="D127" s="7"/>
      <c r="E127" s="46"/>
      <c r="F127" s="56">
        <v>5.6269590000000003</v>
      </c>
      <c r="G127" s="27">
        <v>5.7871400000000003E-4</v>
      </c>
    </row>
    <row r="128" spans="1:7" ht="15" x14ac:dyDescent="0.25">
      <c r="A128" s="6"/>
      <c r="B128" s="7"/>
      <c r="C128" s="30" t="s">
        <v>129</v>
      </c>
      <c r="D128" s="12"/>
      <c r="E128" s="48"/>
      <c r="F128" s="53">
        <v>9723.2121815999981</v>
      </c>
      <c r="G128" s="13">
        <v>1.0000000009999999</v>
      </c>
    </row>
    <row r="130" spans="2:6" ht="15" x14ac:dyDescent="0.25">
      <c r="B130" s="279"/>
      <c r="C130" s="279"/>
      <c r="D130" s="279"/>
      <c r="E130" s="279"/>
      <c r="F130" s="279"/>
    </row>
    <row r="131" spans="2:6" ht="15" x14ac:dyDescent="0.25">
      <c r="B131" s="279"/>
      <c r="C131" s="279"/>
      <c r="D131" s="279"/>
      <c r="E131" s="279"/>
      <c r="F131" s="279"/>
    </row>
    <row r="133" spans="2:6" ht="15" x14ac:dyDescent="0.25">
      <c r="B133" s="36" t="s">
        <v>131</v>
      </c>
      <c r="C133" s="37"/>
      <c r="D133" s="38"/>
    </row>
    <row r="134" spans="2:6" ht="15" x14ac:dyDescent="0.25">
      <c r="B134" s="39" t="s">
        <v>132</v>
      </c>
      <c r="C134" s="40"/>
      <c r="D134" s="62" t="s">
        <v>133</v>
      </c>
    </row>
    <row r="135" spans="2:6" ht="15" x14ac:dyDescent="0.25">
      <c r="B135" s="39" t="s">
        <v>134</v>
      </c>
      <c r="C135" s="40"/>
      <c r="D135" s="62" t="s">
        <v>133</v>
      </c>
    </row>
    <row r="136" spans="2:6" ht="15" x14ac:dyDescent="0.25">
      <c r="B136" s="41" t="s">
        <v>135</v>
      </c>
      <c r="C136" s="40"/>
      <c r="D136" s="42"/>
    </row>
    <row r="137" spans="2:6" ht="25.5" customHeight="1" x14ac:dyDescent="0.25">
      <c r="B137" s="42"/>
      <c r="C137" s="32" t="s">
        <v>136</v>
      </c>
      <c r="D137" s="33" t="s">
        <v>137</v>
      </c>
    </row>
    <row r="138" spans="2:6" ht="12.75" customHeight="1" x14ac:dyDescent="0.25">
      <c r="B138" s="57" t="s">
        <v>138</v>
      </c>
      <c r="C138" s="58" t="s">
        <v>139</v>
      </c>
      <c r="D138" s="58" t="s">
        <v>140</v>
      </c>
    </row>
    <row r="139" spans="2:6" ht="15" x14ac:dyDescent="0.25">
      <c r="B139" s="42" t="s">
        <v>141</v>
      </c>
      <c r="C139" s="43">
        <v>10.386900000000001</v>
      </c>
      <c r="D139" s="43">
        <v>9.1005000000000003</v>
      </c>
    </row>
    <row r="140" spans="2:6" ht="15" x14ac:dyDescent="0.25">
      <c r="B140" s="42" t="s">
        <v>142</v>
      </c>
      <c r="C140" s="43">
        <v>9.5670000000000002</v>
      </c>
      <c r="D140" s="43">
        <v>8.3821999999999992</v>
      </c>
    </row>
    <row r="141" spans="2:6" ht="15" x14ac:dyDescent="0.25">
      <c r="B141" s="42" t="s">
        <v>143</v>
      </c>
      <c r="C141" s="43">
        <v>10.1899</v>
      </c>
      <c r="D141" s="43">
        <v>8.9268000000000001</v>
      </c>
    </row>
    <row r="142" spans="2:6" ht="15" x14ac:dyDescent="0.25">
      <c r="B142" s="42" t="s">
        <v>144</v>
      </c>
      <c r="C142" s="43">
        <v>9.3758999999999997</v>
      </c>
      <c r="D142" s="43">
        <v>8.2136999999999993</v>
      </c>
    </row>
    <row r="144" spans="2:6" ht="15" x14ac:dyDescent="0.25">
      <c r="B144" s="59" t="s">
        <v>145</v>
      </c>
      <c r="C144" s="44"/>
      <c r="D144" s="60" t="s">
        <v>133</v>
      </c>
    </row>
    <row r="145" spans="2:4" ht="24.75" customHeight="1" x14ac:dyDescent="0.25">
      <c r="B145" s="61"/>
      <c r="C145" s="61"/>
    </row>
    <row r="146" spans="2:4" ht="15" x14ac:dyDescent="0.25">
      <c r="B146" s="63"/>
      <c r="C146" s="65"/>
      <c r="D146"/>
    </row>
    <row r="148" spans="2:4" ht="15" x14ac:dyDescent="0.25">
      <c r="B148" s="41" t="s">
        <v>146</v>
      </c>
      <c r="C148" s="40"/>
      <c r="D148" s="64" t="s">
        <v>133</v>
      </c>
    </row>
    <row r="149" spans="2:4" ht="15" x14ac:dyDescent="0.25">
      <c r="B149" s="41" t="s">
        <v>147</v>
      </c>
      <c r="C149" s="40"/>
      <c r="D149" s="64" t="s">
        <v>133</v>
      </c>
    </row>
    <row r="150" spans="2:4" ht="15" x14ac:dyDescent="0.25">
      <c r="B150" s="41" t="s">
        <v>148</v>
      </c>
      <c r="C150" s="40"/>
      <c r="D150" s="45">
        <v>1.0668176720811991E-2</v>
      </c>
    </row>
    <row r="151" spans="2:4" ht="15" x14ac:dyDescent="0.25">
      <c r="B151" s="41" t="s">
        <v>149</v>
      </c>
      <c r="C151" s="40"/>
      <c r="D151" s="45" t="s">
        <v>133</v>
      </c>
    </row>
  </sheetData>
  <mergeCells count="5">
    <mergeCell ref="A1:G1"/>
    <mergeCell ref="A2:G2"/>
    <mergeCell ref="A3:G3"/>
    <mergeCell ref="B130:F130"/>
    <mergeCell ref="B131:F13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V153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529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153</v>
      </c>
      <c r="C7" s="11" t="s">
        <v>154</v>
      </c>
      <c r="D7" s="2" t="s">
        <v>155</v>
      </c>
      <c r="E7" s="46">
        <v>27574</v>
      </c>
      <c r="F7" s="51">
        <v>171.73087200000001</v>
      </c>
      <c r="G7" s="5">
        <v>4.2383682999999998E-2</v>
      </c>
    </row>
    <row r="8" spans="1:7" ht="25.5" x14ac:dyDescent="0.25">
      <c r="A8" s="6">
        <v>2</v>
      </c>
      <c r="B8" s="7" t="s">
        <v>23</v>
      </c>
      <c r="C8" s="11" t="s">
        <v>24</v>
      </c>
      <c r="D8" s="2" t="s">
        <v>22</v>
      </c>
      <c r="E8" s="46">
        <v>30200</v>
      </c>
      <c r="F8" s="51">
        <v>166.0547</v>
      </c>
      <c r="G8" s="5">
        <v>4.0982787E-2</v>
      </c>
    </row>
    <row r="9" spans="1:7" ht="25.5" x14ac:dyDescent="0.25">
      <c r="A9" s="6">
        <v>3</v>
      </c>
      <c r="B9" s="7" t="s">
        <v>68</v>
      </c>
      <c r="C9" s="11" t="s">
        <v>69</v>
      </c>
      <c r="D9" s="2" t="s">
        <v>19</v>
      </c>
      <c r="E9" s="46">
        <v>117781</v>
      </c>
      <c r="F9" s="51">
        <v>142.39722900000001</v>
      </c>
      <c r="G9" s="5">
        <v>3.5144053000000001E-2</v>
      </c>
    </row>
    <row r="10" spans="1:7" ht="25.5" x14ac:dyDescent="0.25">
      <c r="A10" s="6">
        <v>4</v>
      </c>
      <c r="B10" s="7" t="s">
        <v>25</v>
      </c>
      <c r="C10" s="11" t="s">
        <v>26</v>
      </c>
      <c r="D10" s="2" t="s">
        <v>27</v>
      </c>
      <c r="E10" s="46">
        <v>29675</v>
      </c>
      <c r="F10" s="51">
        <v>142.33613750000001</v>
      </c>
      <c r="G10" s="5">
        <v>3.5128975999999999E-2</v>
      </c>
    </row>
    <row r="11" spans="1:7" ht="15" x14ac:dyDescent="0.25">
      <c r="A11" s="6">
        <v>5</v>
      </c>
      <c r="B11" s="7" t="s">
        <v>151</v>
      </c>
      <c r="C11" s="11" t="s">
        <v>152</v>
      </c>
      <c r="D11" s="2" t="s">
        <v>16</v>
      </c>
      <c r="E11" s="46">
        <v>65357</v>
      </c>
      <c r="F11" s="51">
        <v>126.53115200000001</v>
      </c>
      <c r="G11" s="5">
        <v>3.1228259000000001E-2</v>
      </c>
    </row>
    <row r="12" spans="1:7" ht="38.25" x14ac:dyDescent="0.25">
      <c r="A12" s="6">
        <v>6</v>
      </c>
      <c r="B12" s="7" t="s">
        <v>82</v>
      </c>
      <c r="C12" s="11" t="s">
        <v>83</v>
      </c>
      <c r="D12" s="2" t="s">
        <v>84</v>
      </c>
      <c r="E12" s="46">
        <v>136511</v>
      </c>
      <c r="F12" s="51">
        <v>108.3214785</v>
      </c>
      <c r="G12" s="5">
        <v>2.6734058000000002E-2</v>
      </c>
    </row>
    <row r="13" spans="1:7" ht="25.5" x14ac:dyDescent="0.25">
      <c r="A13" s="6">
        <v>7</v>
      </c>
      <c r="B13" s="7" t="s">
        <v>196</v>
      </c>
      <c r="C13" s="11" t="s">
        <v>846</v>
      </c>
      <c r="D13" s="2" t="s">
        <v>59</v>
      </c>
      <c r="E13" s="46">
        <v>6223</v>
      </c>
      <c r="F13" s="51">
        <v>102.138099</v>
      </c>
      <c r="G13" s="5">
        <v>2.5207982E-2</v>
      </c>
    </row>
    <row r="14" spans="1:7" ht="15" x14ac:dyDescent="0.25">
      <c r="A14" s="6">
        <v>8</v>
      </c>
      <c r="B14" s="7" t="s">
        <v>160</v>
      </c>
      <c r="C14" s="11" t="s">
        <v>161</v>
      </c>
      <c r="D14" s="2" t="s">
        <v>162</v>
      </c>
      <c r="E14" s="46">
        <v>34710</v>
      </c>
      <c r="F14" s="51">
        <v>91.495559999999998</v>
      </c>
      <c r="G14" s="5">
        <v>2.2581371999999999E-2</v>
      </c>
    </row>
    <row r="15" spans="1:7" ht="25.5" x14ac:dyDescent="0.25">
      <c r="A15" s="6">
        <v>9</v>
      </c>
      <c r="B15" s="7" t="s">
        <v>43</v>
      </c>
      <c r="C15" s="11" t="s">
        <v>44</v>
      </c>
      <c r="D15" s="2" t="s">
        <v>30</v>
      </c>
      <c r="E15" s="46">
        <v>84323</v>
      </c>
      <c r="F15" s="51">
        <v>89.002926500000001</v>
      </c>
      <c r="G15" s="5">
        <v>2.1966183E-2</v>
      </c>
    </row>
    <row r="16" spans="1:7" ht="15" x14ac:dyDescent="0.25">
      <c r="A16" s="6">
        <v>10</v>
      </c>
      <c r="B16" s="7" t="s">
        <v>49</v>
      </c>
      <c r="C16" s="11" t="s">
        <v>50</v>
      </c>
      <c r="D16" s="2" t="s">
        <v>51</v>
      </c>
      <c r="E16" s="46">
        <v>33804</v>
      </c>
      <c r="F16" s="51">
        <v>88.431263999999999</v>
      </c>
      <c r="G16" s="5">
        <v>2.1825094999999999E-2</v>
      </c>
    </row>
    <row r="17" spans="1:7" ht="15" x14ac:dyDescent="0.25">
      <c r="A17" s="6">
        <v>11</v>
      </c>
      <c r="B17" s="7" t="s">
        <v>267</v>
      </c>
      <c r="C17" s="11" t="s">
        <v>268</v>
      </c>
      <c r="D17" s="2" t="s">
        <v>269</v>
      </c>
      <c r="E17" s="46">
        <v>11787</v>
      </c>
      <c r="F17" s="51">
        <v>87.766002</v>
      </c>
      <c r="G17" s="5">
        <v>2.1660907E-2</v>
      </c>
    </row>
    <row r="18" spans="1:7" ht="25.5" x14ac:dyDescent="0.25">
      <c r="A18" s="6">
        <v>12</v>
      </c>
      <c r="B18" s="7" t="s">
        <v>178</v>
      </c>
      <c r="C18" s="11" t="s">
        <v>179</v>
      </c>
      <c r="D18" s="2" t="s">
        <v>22</v>
      </c>
      <c r="E18" s="46">
        <v>24826</v>
      </c>
      <c r="F18" s="51">
        <v>86.468958000000001</v>
      </c>
      <c r="G18" s="5">
        <v>2.1340792000000001E-2</v>
      </c>
    </row>
    <row r="19" spans="1:7" ht="15" x14ac:dyDescent="0.25">
      <c r="A19" s="6">
        <v>13</v>
      </c>
      <c r="B19" s="7" t="s">
        <v>62</v>
      </c>
      <c r="C19" s="11" t="s">
        <v>63</v>
      </c>
      <c r="D19" s="2" t="s">
        <v>16</v>
      </c>
      <c r="E19" s="46">
        <v>84304</v>
      </c>
      <c r="F19" s="51">
        <v>85.905776000000003</v>
      </c>
      <c r="G19" s="5">
        <v>2.1201797000000001E-2</v>
      </c>
    </row>
    <row r="20" spans="1:7" ht="25.5" x14ac:dyDescent="0.25">
      <c r="A20" s="6">
        <v>14</v>
      </c>
      <c r="B20" s="7" t="s">
        <v>171</v>
      </c>
      <c r="C20" s="11" t="s">
        <v>172</v>
      </c>
      <c r="D20" s="2" t="s">
        <v>173</v>
      </c>
      <c r="E20" s="46">
        <v>28776</v>
      </c>
      <c r="F20" s="51">
        <v>84.587052</v>
      </c>
      <c r="G20" s="5">
        <v>2.0876332000000001E-2</v>
      </c>
    </row>
    <row r="21" spans="1:7" ht="25.5" x14ac:dyDescent="0.25">
      <c r="A21" s="6">
        <v>15</v>
      </c>
      <c r="B21" s="7" t="s">
        <v>87</v>
      </c>
      <c r="C21" s="11" t="s">
        <v>88</v>
      </c>
      <c r="D21" s="2" t="s">
        <v>89</v>
      </c>
      <c r="E21" s="46">
        <v>28994</v>
      </c>
      <c r="F21" s="51">
        <v>84.285557999999995</v>
      </c>
      <c r="G21" s="5">
        <v>2.0801923E-2</v>
      </c>
    </row>
    <row r="22" spans="1:7" ht="51" x14ac:dyDescent="0.25">
      <c r="A22" s="6">
        <v>16</v>
      </c>
      <c r="B22" s="7" t="s">
        <v>233</v>
      </c>
      <c r="C22" s="11" t="s">
        <v>234</v>
      </c>
      <c r="D22" s="2" t="s">
        <v>235</v>
      </c>
      <c r="E22" s="46">
        <v>36912</v>
      </c>
      <c r="F22" s="51">
        <v>83.494944000000004</v>
      </c>
      <c r="G22" s="5">
        <v>2.0606797E-2</v>
      </c>
    </row>
    <row r="23" spans="1:7" ht="15" x14ac:dyDescent="0.25">
      <c r="A23" s="6">
        <v>17</v>
      </c>
      <c r="B23" s="7" t="s">
        <v>191</v>
      </c>
      <c r="C23" s="11" t="s">
        <v>192</v>
      </c>
      <c r="D23" s="2" t="s">
        <v>193</v>
      </c>
      <c r="E23" s="46">
        <v>61568</v>
      </c>
      <c r="F23" s="51">
        <v>81.947007999999997</v>
      </c>
      <c r="G23" s="5">
        <v>2.0224762E-2</v>
      </c>
    </row>
    <row r="24" spans="1:7" ht="25.5" x14ac:dyDescent="0.25">
      <c r="A24" s="6">
        <v>18</v>
      </c>
      <c r="B24" s="7" t="s">
        <v>52</v>
      </c>
      <c r="C24" s="11" t="s">
        <v>53</v>
      </c>
      <c r="D24" s="2" t="s">
        <v>30</v>
      </c>
      <c r="E24" s="46">
        <v>18720</v>
      </c>
      <c r="F24" s="51">
        <v>80.130960000000002</v>
      </c>
      <c r="G24" s="5">
        <v>1.9776556000000001E-2</v>
      </c>
    </row>
    <row r="25" spans="1:7" ht="25.5" x14ac:dyDescent="0.25">
      <c r="A25" s="6">
        <v>19</v>
      </c>
      <c r="B25" s="7" t="s">
        <v>176</v>
      </c>
      <c r="C25" s="11" t="s">
        <v>177</v>
      </c>
      <c r="D25" s="2" t="s">
        <v>30</v>
      </c>
      <c r="E25" s="46">
        <v>8188</v>
      </c>
      <c r="F25" s="51">
        <v>79.685615999999996</v>
      </c>
      <c r="G25" s="5">
        <v>1.9666644E-2</v>
      </c>
    </row>
    <row r="26" spans="1:7" ht="15" x14ac:dyDescent="0.25">
      <c r="A26" s="6">
        <v>20</v>
      </c>
      <c r="B26" s="7" t="s">
        <v>158</v>
      </c>
      <c r="C26" s="11" t="s">
        <v>159</v>
      </c>
      <c r="D26" s="2" t="s">
        <v>16</v>
      </c>
      <c r="E26" s="46">
        <v>89778</v>
      </c>
      <c r="F26" s="51">
        <v>78.825084000000004</v>
      </c>
      <c r="G26" s="5">
        <v>1.9454262E-2</v>
      </c>
    </row>
    <row r="27" spans="1:7" ht="25.5" x14ac:dyDescent="0.25">
      <c r="A27" s="6">
        <v>21</v>
      </c>
      <c r="B27" s="7" t="s">
        <v>189</v>
      </c>
      <c r="C27" s="11" t="s">
        <v>190</v>
      </c>
      <c r="D27" s="2" t="s">
        <v>167</v>
      </c>
      <c r="E27" s="46">
        <v>17188</v>
      </c>
      <c r="F27" s="51">
        <v>75.867832000000007</v>
      </c>
      <c r="G27" s="5">
        <v>1.8724403000000001E-2</v>
      </c>
    </row>
    <row r="28" spans="1:7" ht="25.5" x14ac:dyDescent="0.25">
      <c r="A28" s="6">
        <v>22</v>
      </c>
      <c r="B28" s="7" t="s">
        <v>250</v>
      </c>
      <c r="C28" s="11" t="s">
        <v>251</v>
      </c>
      <c r="D28" s="2" t="s">
        <v>30</v>
      </c>
      <c r="E28" s="46">
        <v>73828</v>
      </c>
      <c r="F28" s="51">
        <v>75.304559999999995</v>
      </c>
      <c r="G28" s="5">
        <v>1.8585385999999999E-2</v>
      </c>
    </row>
    <row r="29" spans="1:7" ht="25.5" x14ac:dyDescent="0.25">
      <c r="A29" s="6">
        <v>23</v>
      </c>
      <c r="B29" s="7" t="s">
        <v>92</v>
      </c>
      <c r="C29" s="11" t="s">
        <v>93</v>
      </c>
      <c r="D29" s="2" t="s">
        <v>22</v>
      </c>
      <c r="E29" s="46">
        <v>17109</v>
      </c>
      <c r="F29" s="51">
        <v>75.031519500000002</v>
      </c>
      <c r="G29" s="5">
        <v>1.8517999E-2</v>
      </c>
    </row>
    <row r="30" spans="1:7" ht="25.5" x14ac:dyDescent="0.25">
      <c r="A30" s="6">
        <v>24</v>
      </c>
      <c r="B30" s="7" t="s">
        <v>20</v>
      </c>
      <c r="C30" s="11" t="s">
        <v>21</v>
      </c>
      <c r="D30" s="2" t="s">
        <v>22</v>
      </c>
      <c r="E30" s="46">
        <v>11000</v>
      </c>
      <c r="F30" s="51">
        <v>74.668000000000006</v>
      </c>
      <c r="G30" s="5">
        <v>1.8428281000000001E-2</v>
      </c>
    </row>
    <row r="31" spans="1:7" ht="15" x14ac:dyDescent="0.25">
      <c r="A31" s="6">
        <v>25</v>
      </c>
      <c r="B31" s="7" t="s">
        <v>270</v>
      </c>
      <c r="C31" s="11" t="s">
        <v>271</v>
      </c>
      <c r="D31" s="2" t="s">
        <v>16</v>
      </c>
      <c r="E31" s="46">
        <v>44231</v>
      </c>
      <c r="F31" s="51">
        <v>73.954232000000005</v>
      </c>
      <c r="G31" s="5">
        <v>1.8252121E-2</v>
      </c>
    </row>
    <row r="32" spans="1:7" ht="15" x14ac:dyDescent="0.25">
      <c r="A32" s="6">
        <v>26</v>
      </c>
      <c r="B32" s="7" t="s">
        <v>218</v>
      </c>
      <c r="C32" s="11" t="s">
        <v>219</v>
      </c>
      <c r="D32" s="2" t="s">
        <v>51</v>
      </c>
      <c r="E32" s="46">
        <v>34131</v>
      </c>
      <c r="F32" s="51">
        <v>72.699029999999993</v>
      </c>
      <c r="G32" s="5">
        <v>1.7942334000000001E-2</v>
      </c>
    </row>
    <row r="33" spans="1:7" ht="15" x14ac:dyDescent="0.25">
      <c r="A33" s="6">
        <v>27</v>
      </c>
      <c r="B33" s="7" t="s">
        <v>203</v>
      </c>
      <c r="C33" s="11" t="s">
        <v>204</v>
      </c>
      <c r="D33" s="2" t="s">
        <v>81</v>
      </c>
      <c r="E33" s="46">
        <v>63667</v>
      </c>
      <c r="F33" s="51">
        <v>68.569359000000006</v>
      </c>
      <c r="G33" s="5">
        <v>1.6923119E-2</v>
      </c>
    </row>
    <row r="34" spans="1:7" ht="15" x14ac:dyDescent="0.25">
      <c r="A34" s="6">
        <v>28</v>
      </c>
      <c r="B34" s="7" t="s">
        <v>182</v>
      </c>
      <c r="C34" s="11" t="s">
        <v>183</v>
      </c>
      <c r="D34" s="2" t="s">
        <v>184</v>
      </c>
      <c r="E34" s="46">
        <v>36476</v>
      </c>
      <c r="F34" s="51">
        <v>68.173643999999996</v>
      </c>
      <c r="G34" s="5">
        <v>1.6825455E-2</v>
      </c>
    </row>
    <row r="35" spans="1:7" ht="51" x14ac:dyDescent="0.25">
      <c r="A35" s="6">
        <v>29</v>
      </c>
      <c r="B35" s="7" t="s">
        <v>248</v>
      </c>
      <c r="C35" s="11" t="s">
        <v>249</v>
      </c>
      <c r="D35" s="2" t="s">
        <v>235</v>
      </c>
      <c r="E35" s="46">
        <v>38990</v>
      </c>
      <c r="F35" s="51">
        <v>64.391985000000005</v>
      </c>
      <c r="G35" s="5">
        <v>1.5892131E-2</v>
      </c>
    </row>
    <row r="36" spans="1:7" ht="15" x14ac:dyDescent="0.25">
      <c r="A36" s="6">
        <v>30</v>
      </c>
      <c r="B36" s="7" t="s">
        <v>201</v>
      </c>
      <c r="C36" s="11" t="s">
        <v>202</v>
      </c>
      <c r="D36" s="2" t="s">
        <v>27</v>
      </c>
      <c r="E36" s="46">
        <v>107902</v>
      </c>
      <c r="F36" s="51">
        <v>60.371169000000002</v>
      </c>
      <c r="G36" s="5">
        <v>1.4899781000000001E-2</v>
      </c>
    </row>
    <row r="37" spans="1:7" ht="15" x14ac:dyDescent="0.25">
      <c r="A37" s="6">
        <v>31</v>
      </c>
      <c r="B37" s="7" t="s">
        <v>187</v>
      </c>
      <c r="C37" s="11" t="s">
        <v>188</v>
      </c>
      <c r="D37" s="2" t="s">
        <v>162</v>
      </c>
      <c r="E37" s="46">
        <v>6320</v>
      </c>
      <c r="F37" s="51">
        <v>57.989159999999998</v>
      </c>
      <c r="G37" s="5">
        <v>1.4311895E-2</v>
      </c>
    </row>
    <row r="38" spans="1:7" ht="25.5" x14ac:dyDescent="0.25">
      <c r="A38" s="6">
        <v>32</v>
      </c>
      <c r="B38" s="7" t="s">
        <v>85</v>
      </c>
      <c r="C38" s="11" t="s">
        <v>86</v>
      </c>
      <c r="D38" s="2" t="s">
        <v>22</v>
      </c>
      <c r="E38" s="46">
        <v>9438</v>
      </c>
      <c r="F38" s="51">
        <v>55.905993000000002</v>
      </c>
      <c r="G38" s="5">
        <v>1.3797762999999999E-2</v>
      </c>
    </row>
    <row r="39" spans="1:7" ht="25.5" x14ac:dyDescent="0.25">
      <c r="A39" s="6">
        <v>33</v>
      </c>
      <c r="B39" s="7" t="s">
        <v>64</v>
      </c>
      <c r="C39" s="11" t="s">
        <v>65</v>
      </c>
      <c r="D39" s="2" t="s">
        <v>19</v>
      </c>
      <c r="E39" s="46">
        <v>76425</v>
      </c>
      <c r="F39" s="51">
        <v>55.904887500000001</v>
      </c>
      <c r="G39" s="5">
        <v>1.3797490000000001E-2</v>
      </c>
    </row>
    <row r="40" spans="1:7" ht="25.5" x14ac:dyDescent="0.25">
      <c r="A40" s="6">
        <v>34</v>
      </c>
      <c r="B40" s="7" t="s">
        <v>94</v>
      </c>
      <c r="C40" s="11" t="s">
        <v>95</v>
      </c>
      <c r="D40" s="2" t="s">
        <v>22</v>
      </c>
      <c r="E40" s="46">
        <v>52586</v>
      </c>
      <c r="F40" s="51">
        <v>53.874357000000003</v>
      </c>
      <c r="G40" s="5">
        <v>1.3296349000000001E-2</v>
      </c>
    </row>
    <row r="41" spans="1:7" ht="15" x14ac:dyDescent="0.25">
      <c r="A41" s="6">
        <v>35</v>
      </c>
      <c r="B41" s="7" t="s">
        <v>60</v>
      </c>
      <c r="C41" s="11" t="s">
        <v>61</v>
      </c>
      <c r="D41" s="2" t="s">
        <v>16</v>
      </c>
      <c r="E41" s="46">
        <v>5523</v>
      </c>
      <c r="F41" s="51">
        <v>53.352179999999997</v>
      </c>
      <c r="G41" s="5">
        <v>1.3167474E-2</v>
      </c>
    </row>
    <row r="42" spans="1:7" ht="15" x14ac:dyDescent="0.25">
      <c r="A42" s="6">
        <v>36</v>
      </c>
      <c r="B42" s="7" t="s">
        <v>236</v>
      </c>
      <c r="C42" s="11" t="s">
        <v>237</v>
      </c>
      <c r="D42" s="2" t="s">
        <v>238</v>
      </c>
      <c r="E42" s="46">
        <v>8845</v>
      </c>
      <c r="F42" s="51">
        <v>53.215942499999997</v>
      </c>
      <c r="G42" s="5">
        <v>1.3133851E-2</v>
      </c>
    </row>
    <row r="43" spans="1:7" ht="25.5" x14ac:dyDescent="0.25">
      <c r="A43" s="6">
        <v>37</v>
      </c>
      <c r="B43" s="7" t="s">
        <v>205</v>
      </c>
      <c r="C43" s="11" t="s">
        <v>206</v>
      </c>
      <c r="D43" s="2" t="s">
        <v>173</v>
      </c>
      <c r="E43" s="46">
        <v>49363</v>
      </c>
      <c r="F43" s="51">
        <v>49.980037500000002</v>
      </c>
      <c r="G43" s="5">
        <v>1.2335219999999999E-2</v>
      </c>
    </row>
    <row r="44" spans="1:7" ht="15" x14ac:dyDescent="0.25">
      <c r="A44" s="6">
        <v>38</v>
      </c>
      <c r="B44" s="7" t="s">
        <v>244</v>
      </c>
      <c r="C44" s="11" t="s">
        <v>245</v>
      </c>
      <c r="D44" s="2" t="s">
        <v>162</v>
      </c>
      <c r="E44" s="46">
        <v>8894</v>
      </c>
      <c r="F44" s="51">
        <v>46.048684999999999</v>
      </c>
      <c r="G44" s="5">
        <v>1.136495E-2</v>
      </c>
    </row>
    <row r="45" spans="1:7" ht="15" x14ac:dyDescent="0.25">
      <c r="A45" s="6">
        <v>39</v>
      </c>
      <c r="B45" s="7" t="s">
        <v>246</v>
      </c>
      <c r="C45" s="11" t="s">
        <v>247</v>
      </c>
      <c r="D45" s="2" t="s">
        <v>170</v>
      </c>
      <c r="E45" s="46">
        <v>20011</v>
      </c>
      <c r="F45" s="51">
        <v>44.554491499999997</v>
      </c>
      <c r="G45" s="5">
        <v>1.0996179E-2</v>
      </c>
    </row>
    <row r="46" spans="1:7" ht="25.5" x14ac:dyDescent="0.25">
      <c r="A46" s="6">
        <v>40</v>
      </c>
      <c r="B46" s="7" t="s">
        <v>90</v>
      </c>
      <c r="C46" s="11" t="s">
        <v>91</v>
      </c>
      <c r="D46" s="2" t="s">
        <v>22</v>
      </c>
      <c r="E46" s="46">
        <v>4259</v>
      </c>
      <c r="F46" s="51">
        <v>42.587870500000001</v>
      </c>
      <c r="G46" s="5">
        <v>1.0510811E-2</v>
      </c>
    </row>
    <row r="47" spans="1:7" ht="15" x14ac:dyDescent="0.25">
      <c r="A47" s="6">
        <v>41</v>
      </c>
      <c r="B47" s="7" t="s">
        <v>468</v>
      </c>
      <c r="C47" s="11" t="s">
        <v>469</v>
      </c>
      <c r="D47" s="2" t="s">
        <v>241</v>
      </c>
      <c r="E47" s="46">
        <v>28803</v>
      </c>
      <c r="F47" s="51">
        <v>42.4412205</v>
      </c>
      <c r="G47" s="5">
        <v>1.0474618E-2</v>
      </c>
    </row>
    <row r="48" spans="1:7" ht="15" x14ac:dyDescent="0.25">
      <c r="A48" s="6">
        <v>42</v>
      </c>
      <c r="B48" s="7" t="s">
        <v>72</v>
      </c>
      <c r="C48" s="11" t="s">
        <v>845</v>
      </c>
      <c r="D48" s="2" t="s">
        <v>51</v>
      </c>
      <c r="E48" s="46">
        <v>17708</v>
      </c>
      <c r="F48" s="51">
        <v>41.941398</v>
      </c>
      <c r="G48" s="5">
        <v>1.0351259999999999E-2</v>
      </c>
    </row>
    <row r="49" spans="1:7" ht="25.5" x14ac:dyDescent="0.25">
      <c r="A49" s="6">
        <v>43</v>
      </c>
      <c r="B49" s="7" t="s">
        <v>276</v>
      </c>
      <c r="C49" s="11" t="s">
        <v>277</v>
      </c>
      <c r="D49" s="2" t="s">
        <v>37</v>
      </c>
      <c r="E49" s="46">
        <v>62529</v>
      </c>
      <c r="F49" s="51">
        <v>41.925694499999999</v>
      </c>
      <c r="G49" s="5">
        <v>1.0347383999999999E-2</v>
      </c>
    </row>
    <row r="50" spans="1:7" ht="15" x14ac:dyDescent="0.25">
      <c r="A50" s="6">
        <v>44</v>
      </c>
      <c r="B50" s="7" t="s">
        <v>258</v>
      </c>
      <c r="C50" s="11" t="s">
        <v>259</v>
      </c>
      <c r="D50" s="2" t="s">
        <v>193</v>
      </c>
      <c r="E50" s="46">
        <v>54056</v>
      </c>
      <c r="F50" s="51">
        <v>41.677176000000003</v>
      </c>
      <c r="G50" s="5">
        <v>1.0286049E-2</v>
      </c>
    </row>
    <row r="51" spans="1:7" ht="15" x14ac:dyDescent="0.25">
      <c r="A51" s="6">
        <v>45</v>
      </c>
      <c r="B51" s="7" t="s">
        <v>254</v>
      </c>
      <c r="C51" s="11" t="s">
        <v>255</v>
      </c>
      <c r="D51" s="2" t="s">
        <v>215</v>
      </c>
      <c r="E51" s="46">
        <v>48341</v>
      </c>
      <c r="F51" s="51">
        <v>38.406924500000002</v>
      </c>
      <c r="G51" s="5">
        <v>9.4789420000000006E-3</v>
      </c>
    </row>
    <row r="52" spans="1:7" ht="25.5" x14ac:dyDescent="0.25">
      <c r="A52" s="6">
        <v>46</v>
      </c>
      <c r="B52" s="7" t="s">
        <v>165</v>
      </c>
      <c r="C52" s="11" t="s">
        <v>166</v>
      </c>
      <c r="D52" s="2" t="s">
        <v>167</v>
      </c>
      <c r="E52" s="46">
        <v>31955</v>
      </c>
      <c r="F52" s="51">
        <v>36.828137499999997</v>
      </c>
      <c r="G52" s="5">
        <v>9.0892920000000006E-3</v>
      </c>
    </row>
    <row r="53" spans="1:7" ht="15" x14ac:dyDescent="0.25">
      <c r="A53" s="6">
        <v>47</v>
      </c>
      <c r="B53" s="7" t="s">
        <v>163</v>
      </c>
      <c r="C53" s="11" t="s">
        <v>164</v>
      </c>
      <c r="D53" s="2" t="s">
        <v>13</v>
      </c>
      <c r="E53" s="46">
        <v>18205</v>
      </c>
      <c r="F53" s="51">
        <v>35.590775000000001</v>
      </c>
      <c r="G53" s="5">
        <v>8.783908E-3</v>
      </c>
    </row>
    <row r="54" spans="1:7" ht="15" x14ac:dyDescent="0.25">
      <c r="A54" s="6">
        <v>48</v>
      </c>
      <c r="B54" s="7" t="s">
        <v>222</v>
      </c>
      <c r="C54" s="11" t="s">
        <v>223</v>
      </c>
      <c r="D54" s="2" t="s">
        <v>215</v>
      </c>
      <c r="E54" s="46">
        <v>7683</v>
      </c>
      <c r="F54" s="51">
        <v>35.526192000000002</v>
      </c>
      <c r="G54" s="5">
        <v>8.7679679999999992E-3</v>
      </c>
    </row>
    <row r="55" spans="1:7" ht="15" x14ac:dyDescent="0.25">
      <c r="A55" s="6">
        <v>49</v>
      </c>
      <c r="B55" s="7" t="s">
        <v>272</v>
      </c>
      <c r="C55" s="11" t="s">
        <v>273</v>
      </c>
      <c r="D55" s="2" t="s">
        <v>170</v>
      </c>
      <c r="E55" s="46">
        <v>15604</v>
      </c>
      <c r="F55" s="51">
        <v>35.436684</v>
      </c>
      <c r="G55" s="5">
        <v>8.7458770000000009E-3</v>
      </c>
    </row>
    <row r="56" spans="1:7" ht="25.5" x14ac:dyDescent="0.25">
      <c r="A56" s="6">
        <v>50</v>
      </c>
      <c r="B56" s="7" t="s">
        <v>274</v>
      </c>
      <c r="C56" s="11" t="s">
        <v>275</v>
      </c>
      <c r="D56" s="2" t="s">
        <v>22</v>
      </c>
      <c r="E56" s="46">
        <v>8207</v>
      </c>
      <c r="F56" s="51">
        <v>32.331476500000001</v>
      </c>
      <c r="G56" s="5">
        <v>7.9795030000000006E-3</v>
      </c>
    </row>
    <row r="57" spans="1:7" ht="15" x14ac:dyDescent="0.25">
      <c r="A57" s="6">
        <v>51</v>
      </c>
      <c r="B57" s="7" t="s">
        <v>220</v>
      </c>
      <c r="C57" s="11" t="s">
        <v>221</v>
      </c>
      <c r="D57" s="2" t="s">
        <v>193</v>
      </c>
      <c r="E57" s="46">
        <v>16540</v>
      </c>
      <c r="F57" s="51">
        <v>31.740259999999999</v>
      </c>
      <c r="G57" s="5">
        <v>7.8335890000000002E-3</v>
      </c>
    </row>
    <row r="58" spans="1:7" ht="15" x14ac:dyDescent="0.25">
      <c r="A58" s="6">
        <v>52</v>
      </c>
      <c r="B58" s="7" t="s">
        <v>75</v>
      </c>
      <c r="C58" s="11" t="s">
        <v>76</v>
      </c>
      <c r="D58" s="2" t="s">
        <v>51</v>
      </c>
      <c r="E58" s="46">
        <v>14000</v>
      </c>
      <c r="F58" s="51">
        <v>31.003</v>
      </c>
      <c r="G58" s="5">
        <v>7.6516309999999999E-3</v>
      </c>
    </row>
    <row r="59" spans="1:7" ht="15" x14ac:dyDescent="0.25">
      <c r="A59" s="6">
        <v>53</v>
      </c>
      <c r="B59" s="7" t="s">
        <v>211</v>
      </c>
      <c r="C59" s="11" t="s">
        <v>212</v>
      </c>
      <c r="D59" s="2" t="s">
        <v>162</v>
      </c>
      <c r="E59" s="46">
        <v>37889</v>
      </c>
      <c r="F59" s="51">
        <v>30.121755</v>
      </c>
      <c r="G59" s="5">
        <v>7.4341370000000004E-3</v>
      </c>
    </row>
    <row r="60" spans="1:7" ht="15" x14ac:dyDescent="0.25">
      <c r="A60" s="6">
        <v>54</v>
      </c>
      <c r="B60" s="7" t="s">
        <v>209</v>
      </c>
      <c r="C60" s="11" t="s">
        <v>210</v>
      </c>
      <c r="D60" s="2" t="s">
        <v>155</v>
      </c>
      <c r="E60" s="46">
        <v>16080</v>
      </c>
      <c r="F60" s="51">
        <v>26.797319999999999</v>
      </c>
      <c r="G60" s="5">
        <v>6.6136570000000002E-3</v>
      </c>
    </row>
    <row r="61" spans="1:7" ht="25.5" x14ac:dyDescent="0.25">
      <c r="A61" s="6">
        <v>55</v>
      </c>
      <c r="B61" s="7" t="s">
        <v>216</v>
      </c>
      <c r="C61" s="11" t="s">
        <v>217</v>
      </c>
      <c r="D61" s="2" t="s">
        <v>59</v>
      </c>
      <c r="E61" s="46">
        <v>11760</v>
      </c>
      <c r="F61" s="51">
        <v>26.618760000000002</v>
      </c>
      <c r="G61" s="5">
        <v>6.5695880000000003E-3</v>
      </c>
    </row>
    <row r="62" spans="1:7" ht="15" x14ac:dyDescent="0.25">
      <c r="A62" s="6">
        <v>56</v>
      </c>
      <c r="B62" s="7" t="s">
        <v>224</v>
      </c>
      <c r="C62" s="11" t="s">
        <v>225</v>
      </c>
      <c r="D62" s="2" t="s">
        <v>226</v>
      </c>
      <c r="E62" s="46">
        <v>2338</v>
      </c>
      <c r="F62" s="51">
        <v>25.307680999999999</v>
      </c>
      <c r="G62" s="5">
        <v>6.2460099999999998E-3</v>
      </c>
    </row>
    <row r="63" spans="1:7" ht="15" x14ac:dyDescent="0.25">
      <c r="A63" s="6">
        <v>57</v>
      </c>
      <c r="B63" s="7" t="s">
        <v>102</v>
      </c>
      <c r="C63" s="11" t="s">
        <v>103</v>
      </c>
      <c r="D63" s="2" t="s">
        <v>51</v>
      </c>
      <c r="E63" s="46">
        <v>23034</v>
      </c>
      <c r="F63" s="51">
        <v>25.003406999999999</v>
      </c>
      <c r="G63" s="5">
        <v>6.1709140000000004E-3</v>
      </c>
    </row>
    <row r="64" spans="1:7" ht="38.25" x14ac:dyDescent="0.25">
      <c r="A64" s="6">
        <v>58</v>
      </c>
      <c r="B64" s="7" t="s">
        <v>260</v>
      </c>
      <c r="C64" s="11" t="s">
        <v>261</v>
      </c>
      <c r="D64" s="2" t="s">
        <v>262</v>
      </c>
      <c r="E64" s="46">
        <v>26155</v>
      </c>
      <c r="F64" s="51">
        <v>23.984134999999998</v>
      </c>
      <c r="G64" s="5">
        <v>5.9193550000000003E-3</v>
      </c>
    </row>
    <row r="65" spans="1:7" ht="15" x14ac:dyDescent="0.25">
      <c r="A65" s="6">
        <v>59</v>
      </c>
      <c r="B65" s="7" t="s">
        <v>450</v>
      </c>
      <c r="C65" s="11" t="s">
        <v>451</v>
      </c>
      <c r="D65" s="2" t="s">
        <v>193</v>
      </c>
      <c r="E65" s="46">
        <v>1761</v>
      </c>
      <c r="F65" s="51">
        <v>11.5864995</v>
      </c>
      <c r="G65" s="5">
        <v>2.8595819999999998E-3</v>
      </c>
    </row>
    <row r="66" spans="1:7" ht="25.5" x14ac:dyDescent="0.25">
      <c r="A66" s="6">
        <v>60</v>
      </c>
      <c r="B66" s="7" t="s">
        <v>227</v>
      </c>
      <c r="C66" s="11" t="s">
        <v>228</v>
      </c>
      <c r="D66" s="2" t="s">
        <v>173</v>
      </c>
      <c r="E66" s="46">
        <v>13694</v>
      </c>
      <c r="F66" s="51">
        <v>8.6819959999999998</v>
      </c>
      <c r="G66" s="5">
        <v>2.142742E-3</v>
      </c>
    </row>
    <row r="67" spans="1:7" ht="25.5" x14ac:dyDescent="0.25">
      <c r="A67" s="6">
        <v>61</v>
      </c>
      <c r="B67" s="7" t="s">
        <v>229</v>
      </c>
      <c r="C67" s="11" t="s">
        <v>230</v>
      </c>
      <c r="D67" s="2" t="s">
        <v>37</v>
      </c>
      <c r="E67" s="46">
        <v>32999</v>
      </c>
      <c r="F67" s="51">
        <v>3.3988969999999998</v>
      </c>
      <c r="G67" s="5">
        <v>8.3885800000000005E-4</v>
      </c>
    </row>
    <row r="68" spans="1:7" ht="15" x14ac:dyDescent="0.25">
      <c r="A68" s="1"/>
      <c r="B68" s="2"/>
      <c r="C68" s="8" t="s">
        <v>104</v>
      </c>
      <c r="D68" s="12"/>
      <c r="E68" s="48"/>
      <c r="F68" s="53">
        <v>3910.3307005000011</v>
      </c>
      <c r="G68" s="13">
        <v>0.96508107599999982</v>
      </c>
    </row>
    <row r="69" spans="1:7" ht="15" x14ac:dyDescent="0.25">
      <c r="A69" s="6"/>
      <c r="B69" s="7"/>
      <c r="C69" s="14"/>
      <c r="D69" s="15"/>
      <c r="E69" s="46"/>
      <c r="F69" s="51"/>
      <c r="G69" s="5"/>
    </row>
    <row r="70" spans="1:7" ht="15" x14ac:dyDescent="0.25">
      <c r="A70" s="1"/>
      <c r="B70" s="2"/>
      <c r="C70" s="8" t="s">
        <v>105</v>
      </c>
      <c r="D70" s="9"/>
      <c r="E70" s="47"/>
      <c r="F70" s="52"/>
      <c r="G70" s="10"/>
    </row>
    <row r="71" spans="1:7" ht="15" x14ac:dyDescent="0.25">
      <c r="A71" s="1"/>
      <c r="B71" s="2"/>
      <c r="C71" s="8" t="s">
        <v>104</v>
      </c>
      <c r="D71" s="12"/>
      <c r="E71" s="48"/>
      <c r="F71" s="53">
        <v>0</v>
      </c>
      <c r="G71" s="13">
        <v>0</v>
      </c>
    </row>
    <row r="72" spans="1:7" ht="15" x14ac:dyDescent="0.25">
      <c r="A72" s="6"/>
      <c r="B72" s="7"/>
      <c r="C72" s="14"/>
      <c r="D72" s="15"/>
      <c r="E72" s="46"/>
      <c r="F72" s="51"/>
      <c r="G72" s="5"/>
    </row>
    <row r="73" spans="1:7" ht="15" x14ac:dyDescent="0.25">
      <c r="A73" s="16"/>
      <c r="B73" s="17"/>
      <c r="C73" s="8" t="s">
        <v>106</v>
      </c>
      <c r="D73" s="9"/>
      <c r="E73" s="47"/>
      <c r="F73" s="52"/>
      <c r="G73" s="10"/>
    </row>
    <row r="74" spans="1:7" ht="15" x14ac:dyDescent="0.25">
      <c r="A74" s="18"/>
      <c r="B74" s="19"/>
      <c r="C74" s="8" t="s">
        <v>104</v>
      </c>
      <c r="D74" s="20"/>
      <c r="E74" s="49"/>
      <c r="F74" s="54">
        <v>0</v>
      </c>
      <c r="G74" s="21">
        <v>0</v>
      </c>
    </row>
    <row r="75" spans="1:7" ht="15" x14ac:dyDescent="0.25">
      <c r="A75" s="18"/>
      <c r="B75" s="19"/>
      <c r="C75" s="14"/>
      <c r="D75" s="22"/>
      <c r="E75" s="50"/>
      <c r="F75" s="55"/>
      <c r="G75" s="23"/>
    </row>
    <row r="76" spans="1:7" ht="15" x14ac:dyDescent="0.25">
      <c r="A76" s="1"/>
      <c r="B76" s="2"/>
      <c r="C76" s="8" t="s">
        <v>108</v>
      </c>
      <c r="D76" s="9"/>
      <c r="E76" s="47"/>
      <c r="F76" s="52"/>
      <c r="G76" s="10"/>
    </row>
    <row r="77" spans="1:7" ht="15" x14ac:dyDescent="0.25">
      <c r="A77" s="1"/>
      <c r="B77" s="2"/>
      <c r="C77" s="8" t="s">
        <v>104</v>
      </c>
      <c r="D77" s="12"/>
      <c r="E77" s="48"/>
      <c r="F77" s="53">
        <v>0</v>
      </c>
      <c r="G77" s="13">
        <v>0</v>
      </c>
    </row>
    <row r="78" spans="1:7" ht="15" x14ac:dyDescent="0.25">
      <c r="A78" s="1"/>
      <c r="B78" s="2"/>
      <c r="C78" s="14"/>
      <c r="D78" s="4"/>
      <c r="E78" s="46"/>
      <c r="F78" s="51"/>
      <c r="G78" s="5"/>
    </row>
    <row r="79" spans="1:7" ht="15" x14ac:dyDescent="0.25">
      <c r="A79" s="1"/>
      <c r="B79" s="2"/>
      <c r="C79" s="8" t="s">
        <v>109</v>
      </c>
      <c r="D79" s="9"/>
      <c r="E79" s="47"/>
      <c r="F79" s="52"/>
      <c r="G79" s="10"/>
    </row>
    <row r="80" spans="1:7" ht="15" x14ac:dyDescent="0.25">
      <c r="A80" s="1"/>
      <c r="B80" s="2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1"/>
      <c r="B81" s="2"/>
      <c r="C81" s="14"/>
      <c r="D81" s="4"/>
      <c r="E81" s="46"/>
      <c r="F81" s="51"/>
      <c r="G81" s="5"/>
    </row>
    <row r="82" spans="1:7" ht="15" x14ac:dyDescent="0.25">
      <c r="A82" s="1"/>
      <c r="B82" s="2"/>
      <c r="C82" s="8" t="s">
        <v>110</v>
      </c>
      <c r="D82" s="9"/>
      <c r="E82" s="47"/>
      <c r="F82" s="52"/>
      <c r="G82" s="10"/>
    </row>
    <row r="83" spans="1:7" ht="15" x14ac:dyDescent="0.25">
      <c r="A83" s="1"/>
      <c r="B83" s="2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25.5" x14ac:dyDescent="0.25">
      <c r="A85" s="6"/>
      <c r="B85" s="7"/>
      <c r="C85" s="24" t="s">
        <v>111</v>
      </c>
      <c r="D85" s="25"/>
      <c r="E85" s="48"/>
      <c r="F85" s="53">
        <v>3910.3307005000011</v>
      </c>
      <c r="G85" s="13">
        <v>0.96508107599999982</v>
      </c>
    </row>
    <row r="86" spans="1:7" ht="15" x14ac:dyDescent="0.25">
      <c r="A86" s="1"/>
      <c r="B86" s="2"/>
      <c r="C86" s="11"/>
      <c r="D86" s="4"/>
      <c r="E86" s="46"/>
      <c r="F86" s="51"/>
      <c r="G86" s="5"/>
    </row>
    <row r="87" spans="1:7" ht="15" x14ac:dyDescent="0.25">
      <c r="A87" s="1"/>
      <c r="B87" s="2"/>
      <c r="C87" s="3" t="s">
        <v>112</v>
      </c>
      <c r="D87" s="4"/>
      <c r="E87" s="46"/>
      <c r="F87" s="51"/>
      <c r="G87" s="5"/>
    </row>
    <row r="88" spans="1:7" ht="25.5" x14ac:dyDescent="0.25">
      <c r="A88" s="1"/>
      <c r="B88" s="2"/>
      <c r="C88" s="8" t="s">
        <v>10</v>
      </c>
      <c r="D88" s="9"/>
      <c r="E88" s="47"/>
      <c r="F88" s="52"/>
      <c r="G88" s="10"/>
    </row>
    <row r="89" spans="1:7" ht="15" x14ac:dyDescent="0.25">
      <c r="A89" s="6"/>
      <c r="B89" s="7"/>
      <c r="C89" s="8" t="s">
        <v>104</v>
      </c>
      <c r="D89" s="12"/>
      <c r="E89" s="48"/>
      <c r="F89" s="53">
        <v>0</v>
      </c>
      <c r="G89" s="13">
        <v>0</v>
      </c>
    </row>
    <row r="90" spans="1:7" ht="15" x14ac:dyDescent="0.25">
      <c r="A90" s="6"/>
      <c r="B90" s="7"/>
      <c r="C90" s="14"/>
      <c r="D90" s="4"/>
      <c r="E90" s="46"/>
      <c r="F90" s="51"/>
      <c r="G90" s="5"/>
    </row>
    <row r="91" spans="1:7" ht="15" x14ac:dyDescent="0.25">
      <c r="A91" s="1"/>
      <c r="B91" s="26"/>
      <c r="C91" s="8" t="s">
        <v>113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12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4"/>
      <c r="E93" s="46"/>
      <c r="F93" s="56"/>
      <c r="G93" s="27"/>
    </row>
    <row r="94" spans="1:7" ht="15" x14ac:dyDescent="0.25">
      <c r="A94" s="1"/>
      <c r="B94" s="2"/>
      <c r="C94" s="8" t="s">
        <v>114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12"/>
      <c r="E95" s="48"/>
      <c r="F95" s="53">
        <v>0</v>
      </c>
      <c r="G95" s="13">
        <v>0</v>
      </c>
    </row>
    <row r="96" spans="1:7" ht="15" x14ac:dyDescent="0.25">
      <c r="A96" s="1"/>
      <c r="B96" s="2"/>
      <c r="C96" s="14"/>
      <c r="D96" s="4"/>
      <c r="E96" s="46"/>
      <c r="F96" s="51"/>
      <c r="G96" s="5"/>
    </row>
    <row r="97" spans="1:7" ht="25.5" x14ac:dyDescent="0.25">
      <c r="A97" s="1"/>
      <c r="B97" s="26"/>
      <c r="C97" s="8" t="s">
        <v>115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12"/>
      <c r="E98" s="48"/>
      <c r="F98" s="53">
        <v>0</v>
      </c>
      <c r="G98" s="13">
        <v>0</v>
      </c>
    </row>
    <row r="99" spans="1:7" ht="15" x14ac:dyDescent="0.25">
      <c r="A99" s="6"/>
      <c r="B99" s="7"/>
      <c r="C99" s="14"/>
      <c r="D99" s="4"/>
      <c r="E99" s="46"/>
      <c r="F99" s="51"/>
      <c r="G99" s="5"/>
    </row>
    <row r="100" spans="1:7" ht="15" x14ac:dyDescent="0.25">
      <c r="A100" s="6"/>
      <c r="B100" s="7"/>
      <c r="C100" s="28" t="s">
        <v>116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1"/>
      <c r="D101" s="4"/>
      <c r="E101" s="46"/>
      <c r="F101" s="51"/>
      <c r="G101" s="5"/>
    </row>
    <row r="102" spans="1:7" ht="15" x14ac:dyDescent="0.25">
      <c r="A102" s="1"/>
      <c r="B102" s="2"/>
      <c r="C102" s="3" t="s">
        <v>117</v>
      </c>
      <c r="D102" s="4"/>
      <c r="E102" s="46"/>
      <c r="F102" s="51"/>
      <c r="G102" s="5"/>
    </row>
    <row r="103" spans="1:7" ht="15" x14ac:dyDescent="0.25">
      <c r="A103" s="6"/>
      <c r="B103" s="7"/>
      <c r="C103" s="8" t="s">
        <v>118</v>
      </c>
      <c r="D103" s="9"/>
      <c r="E103" s="47"/>
      <c r="F103" s="52"/>
      <c r="G103" s="10"/>
    </row>
    <row r="104" spans="1:7" ht="15" x14ac:dyDescent="0.25">
      <c r="A104" s="6"/>
      <c r="B104" s="7"/>
      <c r="C104" s="8" t="s">
        <v>104</v>
      </c>
      <c r="D104" s="25"/>
      <c r="E104" s="48"/>
      <c r="F104" s="53">
        <v>0</v>
      </c>
      <c r="G104" s="13">
        <v>0</v>
      </c>
    </row>
    <row r="105" spans="1:7" ht="15" x14ac:dyDescent="0.25">
      <c r="A105" s="6"/>
      <c r="B105" s="7"/>
      <c r="C105" s="14"/>
      <c r="D105" s="7"/>
      <c r="E105" s="46"/>
      <c r="F105" s="51"/>
      <c r="G105" s="5"/>
    </row>
    <row r="106" spans="1:7" ht="15" x14ac:dyDescent="0.25">
      <c r="A106" s="6"/>
      <c r="B106" s="7"/>
      <c r="C106" s="8" t="s">
        <v>119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6"/>
      <c r="B109" s="7"/>
      <c r="C109" s="8" t="s">
        <v>120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15" x14ac:dyDescent="0.25">
      <c r="A112" s="6"/>
      <c r="B112" s="7"/>
      <c r="C112" s="8" t="s">
        <v>121</v>
      </c>
      <c r="D112" s="9"/>
      <c r="E112" s="47"/>
      <c r="F112" s="52"/>
      <c r="G112" s="10"/>
    </row>
    <row r="113" spans="1:7" ht="15" x14ac:dyDescent="0.25">
      <c r="A113" s="6">
        <v>1</v>
      </c>
      <c r="B113" s="7"/>
      <c r="C113" s="11" t="s">
        <v>730</v>
      </c>
      <c r="D113" s="15"/>
      <c r="E113" s="46"/>
      <c r="F113" s="51">
        <v>36.994334299999998</v>
      </c>
      <c r="G113" s="5">
        <v>9.1303100000000009E-3</v>
      </c>
    </row>
    <row r="114" spans="1:7" ht="15" x14ac:dyDescent="0.25">
      <c r="A114" s="6"/>
      <c r="B114" s="7"/>
      <c r="C114" s="8" t="s">
        <v>104</v>
      </c>
      <c r="D114" s="25"/>
      <c r="E114" s="48"/>
      <c r="F114" s="53">
        <v>36.994334299999998</v>
      </c>
      <c r="G114" s="13">
        <v>9.1303100000000009E-3</v>
      </c>
    </row>
    <row r="115" spans="1:7" ht="15" x14ac:dyDescent="0.25">
      <c r="A115" s="6"/>
      <c r="B115" s="7"/>
      <c r="C115" s="14"/>
      <c r="D115" s="7"/>
      <c r="E115" s="46"/>
      <c r="F115" s="51"/>
      <c r="G115" s="5"/>
    </row>
    <row r="116" spans="1:7" ht="25.5" x14ac:dyDescent="0.25">
      <c r="A116" s="6"/>
      <c r="B116" s="7"/>
      <c r="C116" s="24" t="s">
        <v>122</v>
      </c>
      <c r="D116" s="25"/>
      <c r="E116" s="48"/>
      <c r="F116" s="53">
        <v>36.994334299999998</v>
      </c>
      <c r="G116" s="13">
        <v>9.1303100000000009E-3</v>
      </c>
    </row>
    <row r="117" spans="1:7" ht="15" x14ac:dyDescent="0.25">
      <c r="A117" s="6"/>
      <c r="B117" s="7"/>
      <c r="C117" s="29"/>
      <c r="D117" s="7"/>
      <c r="E117" s="46"/>
      <c r="F117" s="51"/>
      <c r="G117" s="5"/>
    </row>
    <row r="118" spans="1:7" ht="15" x14ac:dyDescent="0.25">
      <c r="A118" s="1"/>
      <c r="B118" s="2"/>
      <c r="C118" s="3" t="s">
        <v>123</v>
      </c>
      <c r="D118" s="4"/>
      <c r="E118" s="46"/>
      <c r="F118" s="51"/>
      <c r="G118" s="5"/>
    </row>
    <row r="119" spans="1:7" ht="25.5" x14ac:dyDescent="0.25">
      <c r="A119" s="6"/>
      <c r="B119" s="7"/>
      <c r="C119" s="8" t="s">
        <v>124</v>
      </c>
      <c r="D119" s="9"/>
      <c r="E119" s="47"/>
      <c r="F119" s="52"/>
      <c r="G119" s="10"/>
    </row>
    <row r="120" spans="1:7" ht="15" x14ac:dyDescent="0.25">
      <c r="A120" s="6"/>
      <c r="B120" s="7"/>
      <c r="C120" s="8" t="s">
        <v>104</v>
      </c>
      <c r="D120" s="25"/>
      <c r="E120" s="48"/>
      <c r="F120" s="53">
        <v>0</v>
      </c>
      <c r="G120" s="13">
        <v>0</v>
      </c>
    </row>
    <row r="121" spans="1:7" ht="15" x14ac:dyDescent="0.25">
      <c r="A121" s="6"/>
      <c r="B121" s="7"/>
      <c r="C121" s="14"/>
      <c r="D121" s="7"/>
      <c r="E121" s="46"/>
      <c r="F121" s="51"/>
      <c r="G121" s="5"/>
    </row>
    <row r="122" spans="1:7" ht="15" x14ac:dyDescent="0.25">
      <c r="A122" s="1"/>
      <c r="B122" s="2"/>
      <c r="C122" s="3" t="s">
        <v>125</v>
      </c>
      <c r="D122" s="4"/>
      <c r="E122" s="46"/>
      <c r="F122" s="51"/>
      <c r="G122" s="5"/>
    </row>
    <row r="123" spans="1:7" ht="25.5" x14ac:dyDescent="0.25">
      <c r="A123" s="6"/>
      <c r="B123" s="7"/>
      <c r="C123" s="8" t="s">
        <v>126</v>
      </c>
      <c r="D123" s="9"/>
      <c r="E123" s="47"/>
      <c r="F123" s="52"/>
      <c r="G123" s="10"/>
    </row>
    <row r="124" spans="1:7" ht="15" x14ac:dyDescent="0.25">
      <c r="A124" s="6"/>
      <c r="B124" s="7"/>
      <c r="C124" s="8" t="s">
        <v>104</v>
      </c>
      <c r="D124" s="25"/>
      <c r="E124" s="48"/>
      <c r="F124" s="53">
        <v>0</v>
      </c>
      <c r="G124" s="13">
        <v>0</v>
      </c>
    </row>
    <row r="125" spans="1:7" ht="15" x14ac:dyDescent="0.25">
      <c r="A125" s="6"/>
      <c r="B125" s="7"/>
      <c r="C125" s="14"/>
      <c r="D125" s="7"/>
      <c r="E125" s="46"/>
      <c r="F125" s="51"/>
      <c r="G125" s="5"/>
    </row>
    <row r="126" spans="1:7" ht="25.5" x14ac:dyDescent="0.25">
      <c r="A126" s="6"/>
      <c r="B126" s="7"/>
      <c r="C126" s="8" t="s">
        <v>127</v>
      </c>
      <c r="D126" s="9"/>
      <c r="E126" s="47"/>
      <c r="F126" s="51">
        <v>100.128</v>
      </c>
      <c r="G126" s="5">
        <v>2.4711884E-2</v>
      </c>
    </row>
    <row r="127" spans="1:7" ht="15" x14ac:dyDescent="0.25">
      <c r="A127" s="6"/>
      <c r="B127" s="7"/>
      <c r="C127" s="8" t="s">
        <v>810</v>
      </c>
      <c r="D127" s="25"/>
      <c r="E127" s="48"/>
      <c r="F127" s="53">
        <v>100.128</v>
      </c>
      <c r="G127" s="13">
        <v>2.4711884E-2</v>
      </c>
    </row>
    <row r="128" spans="1:7" ht="15" x14ac:dyDescent="0.25">
      <c r="A128" s="6"/>
      <c r="B128" s="7"/>
      <c r="C128" s="14"/>
      <c r="D128" s="7"/>
      <c r="E128" s="46"/>
      <c r="F128" s="56"/>
      <c r="G128" s="27"/>
    </row>
    <row r="129" spans="1:7" ht="25.5" x14ac:dyDescent="0.25">
      <c r="A129" s="6"/>
      <c r="B129" s="7"/>
      <c r="C129" s="29" t="s">
        <v>128</v>
      </c>
      <c r="D129" s="7"/>
      <c r="E129" s="46"/>
      <c r="F129" s="56">
        <v>4.3627049800000002</v>
      </c>
      <c r="G129" s="27">
        <v>1.0767280000000001E-3</v>
      </c>
    </row>
    <row r="130" spans="1:7" ht="15" x14ac:dyDescent="0.25">
      <c r="A130" s="6"/>
      <c r="B130" s="7"/>
      <c r="C130" s="30" t="s">
        <v>129</v>
      </c>
      <c r="D130" s="12"/>
      <c r="E130" s="48"/>
      <c r="F130" s="53">
        <v>4051.815739780001</v>
      </c>
      <c r="G130" s="13">
        <v>0.99999999799999983</v>
      </c>
    </row>
    <row r="132" spans="1:7" ht="15" x14ac:dyDescent="0.25">
      <c r="B132" s="279"/>
      <c r="C132" s="279"/>
      <c r="D132" s="279"/>
      <c r="E132" s="279"/>
      <c r="F132" s="279"/>
    </row>
    <row r="133" spans="1:7" ht="15" x14ac:dyDescent="0.25">
      <c r="B133" s="279"/>
      <c r="C133" s="279"/>
      <c r="D133" s="279"/>
      <c r="E133" s="279"/>
      <c r="F133" s="279"/>
    </row>
    <row r="135" spans="1:7" ht="15" x14ac:dyDescent="0.25">
      <c r="B135" s="36" t="s">
        <v>131</v>
      </c>
      <c r="C135" s="37"/>
      <c r="D135" s="38"/>
    </row>
    <row r="136" spans="1:7" ht="15" x14ac:dyDescent="0.25">
      <c r="B136" s="39" t="s">
        <v>132</v>
      </c>
      <c r="C136" s="40"/>
      <c r="D136" s="62" t="s">
        <v>133</v>
      </c>
    </row>
    <row r="137" spans="1:7" ht="15" x14ac:dyDescent="0.25">
      <c r="B137" s="39" t="s">
        <v>134</v>
      </c>
      <c r="C137" s="40"/>
      <c r="D137" s="62" t="s">
        <v>133</v>
      </c>
    </row>
    <row r="138" spans="1:7" ht="15" x14ac:dyDescent="0.25">
      <c r="B138" s="41" t="s">
        <v>135</v>
      </c>
      <c r="C138" s="40"/>
      <c r="D138" s="42"/>
    </row>
    <row r="139" spans="1:7" ht="25.5" customHeight="1" x14ac:dyDescent="0.25">
      <c r="B139" s="42"/>
      <c r="C139" s="32" t="s">
        <v>136</v>
      </c>
      <c r="D139" s="33" t="s">
        <v>137</v>
      </c>
    </row>
    <row r="140" spans="1:7" ht="12.75" customHeight="1" x14ac:dyDescent="0.25">
      <c r="B140" s="57" t="s">
        <v>138</v>
      </c>
      <c r="C140" s="58" t="s">
        <v>139</v>
      </c>
      <c r="D140" s="58" t="s">
        <v>140</v>
      </c>
    </row>
    <row r="141" spans="1:7" ht="15" x14ac:dyDescent="0.25">
      <c r="B141" s="42" t="s">
        <v>141</v>
      </c>
      <c r="C141" s="43">
        <v>8.7352000000000007</v>
      </c>
      <c r="D141" s="43">
        <v>7.6567999999999996</v>
      </c>
    </row>
    <row r="142" spans="1:7" ht="15" x14ac:dyDescent="0.25">
      <c r="B142" s="42" t="s">
        <v>142</v>
      </c>
      <c r="C142" s="43">
        <v>8.7352000000000007</v>
      </c>
      <c r="D142" s="43">
        <v>7.6567999999999996</v>
      </c>
    </row>
    <row r="143" spans="1:7" ht="15" x14ac:dyDescent="0.25">
      <c r="B143" s="42" t="s">
        <v>143</v>
      </c>
      <c r="C143" s="43">
        <v>8.6012000000000004</v>
      </c>
      <c r="D143" s="43">
        <v>7.5385</v>
      </c>
    </row>
    <row r="144" spans="1:7" ht="15" x14ac:dyDescent="0.25">
      <c r="B144" s="42" t="s">
        <v>144</v>
      </c>
      <c r="C144" s="43">
        <v>8.6012000000000004</v>
      </c>
      <c r="D144" s="43">
        <v>7.5385</v>
      </c>
    </row>
    <row r="146" spans="2:4" ht="15" x14ac:dyDescent="0.25">
      <c r="B146" s="59" t="s">
        <v>145</v>
      </c>
      <c r="C146" s="44"/>
      <c r="D146" s="60" t="s">
        <v>133</v>
      </c>
    </row>
    <row r="147" spans="2:4" ht="24.75" customHeight="1" x14ac:dyDescent="0.25">
      <c r="B147" s="61"/>
      <c r="C147" s="61"/>
    </row>
    <row r="148" spans="2:4" ht="15" x14ac:dyDescent="0.25">
      <c r="B148" s="63"/>
      <c r="C148" s="65"/>
      <c r="D148"/>
    </row>
    <row r="150" spans="2:4" ht="15" x14ac:dyDescent="0.25">
      <c r="B150" s="41" t="s">
        <v>146</v>
      </c>
      <c r="C150" s="40"/>
      <c r="D150" s="64" t="s">
        <v>133</v>
      </c>
    </row>
    <row r="151" spans="2:4" ht="15" x14ac:dyDescent="0.25">
      <c r="B151" s="41" t="s">
        <v>147</v>
      </c>
      <c r="C151" s="40"/>
      <c r="D151" s="64" t="s">
        <v>133</v>
      </c>
    </row>
    <row r="152" spans="2:4" ht="15" x14ac:dyDescent="0.25">
      <c r="B152" s="41" t="s">
        <v>148</v>
      </c>
      <c r="C152" s="40"/>
      <c r="D152" s="45">
        <v>1.1348487646363436E-2</v>
      </c>
    </row>
    <row r="153" spans="2:4" ht="15" x14ac:dyDescent="0.25">
      <c r="B153" s="41" t="s">
        <v>149</v>
      </c>
      <c r="C153" s="40"/>
      <c r="D153" s="45" t="s">
        <v>133</v>
      </c>
    </row>
  </sheetData>
  <mergeCells count="5">
    <mergeCell ref="A1:G1"/>
    <mergeCell ref="A2:G2"/>
    <mergeCell ref="A3:G3"/>
    <mergeCell ref="B132:F132"/>
    <mergeCell ref="B133:F133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V156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530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153</v>
      </c>
      <c r="C7" s="11" t="s">
        <v>154</v>
      </c>
      <c r="D7" s="2" t="s">
        <v>155</v>
      </c>
      <c r="E7" s="46">
        <v>24906</v>
      </c>
      <c r="F7" s="51">
        <v>155.11456799999999</v>
      </c>
      <c r="G7" s="5">
        <v>3.8546321000000001E-2</v>
      </c>
    </row>
    <row r="8" spans="1:7" ht="25.5" x14ac:dyDescent="0.25">
      <c r="A8" s="6">
        <v>2</v>
      </c>
      <c r="B8" s="7" t="s">
        <v>68</v>
      </c>
      <c r="C8" s="11" t="s">
        <v>69</v>
      </c>
      <c r="D8" s="2" t="s">
        <v>19</v>
      </c>
      <c r="E8" s="46">
        <v>113678</v>
      </c>
      <c r="F8" s="51">
        <v>137.436702</v>
      </c>
      <c r="G8" s="5">
        <v>3.4153331000000002E-2</v>
      </c>
    </row>
    <row r="9" spans="1:7" ht="25.5" x14ac:dyDescent="0.25">
      <c r="A9" s="6">
        <v>3</v>
      </c>
      <c r="B9" s="7" t="s">
        <v>25</v>
      </c>
      <c r="C9" s="11" t="s">
        <v>26</v>
      </c>
      <c r="D9" s="2" t="s">
        <v>27</v>
      </c>
      <c r="E9" s="46">
        <v>28281</v>
      </c>
      <c r="F9" s="51">
        <v>135.64981649999999</v>
      </c>
      <c r="G9" s="5">
        <v>3.3709285999999998E-2</v>
      </c>
    </row>
    <row r="10" spans="1:7" ht="15" x14ac:dyDescent="0.25">
      <c r="A10" s="6">
        <v>4</v>
      </c>
      <c r="B10" s="7" t="s">
        <v>151</v>
      </c>
      <c r="C10" s="11" t="s">
        <v>152</v>
      </c>
      <c r="D10" s="2" t="s">
        <v>16</v>
      </c>
      <c r="E10" s="46">
        <v>65595</v>
      </c>
      <c r="F10" s="51">
        <v>126.99191999999999</v>
      </c>
      <c r="G10" s="5">
        <v>3.1557779000000001E-2</v>
      </c>
    </row>
    <row r="11" spans="1:7" ht="25.5" x14ac:dyDescent="0.25">
      <c r="A11" s="6">
        <v>5</v>
      </c>
      <c r="B11" s="7" t="s">
        <v>23</v>
      </c>
      <c r="C11" s="11" t="s">
        <v>24</v>
      </c>
      <c r="D11" s="2" t="s">
        <v>22</v>
      </c>
      <c r="E11" s="46">
        <v>22133</v>
      </c>
      <c r="F11" s="51">
        <v>121.6983005</v>
      </c>
      <c r="G11" s="5">
        <v>3.0242303000000002E-2</v>
      </c>
    </row>
    <row r="12" spans="1:7" ht="25.5" x14ac:dyDescent="0.25">
      <c r="A12" s="6">
        <v>6</v>
      </c>
      <c r="B12" s="7" t="s">
        <v>92</v>
      </c>
      <c r="C12" s="11" t="s">
        <v>93</v>
      </c>
      <c r="D12" s="2" t="s">
        <v>22</v>
      </c>
      <c r="E12" s="46">
        <v>24447</v>
      </c>
      <c r="F12" s="51">
        <v>107.21231849999999</v>
      </c>
      <c r="G12" s="5">
        <v>2.6642503000000001E-2</v>
      </c>
    </row>
    <row r="13" spans="1:7" ht="15" x14ac:dyDescent="0.25">
      <c r="A13" s="6">
        <v>7</v>
      </c>
      <c r="B13" s="7" t="s">
        <v>281</v>
      </c>
      <c r="C13" s="11" t="s">
        <v>282</v>
      </c>
      <c r="D13" s="2" t="s">
        <v>56</v>
      </c>
      <c r="E13" s="46">
        <v>152417</v>
      </c>
      <c r="F13" s="51">
        <v>103.8721855</v>
      </c>
      <c r="G13" s="5">
        <v>2.5812472999999999E-2</v>
      </c>
    </row>
    <row r="14" spans="1:7" ht="25.5" x14ac:dyDescent="0.25">
      <c r="A14" s="6">
        <v>8</v>
      </c>
      <c r="B14" s="7" t="s">
        <v>90</v>
      </c>
      <c r="C14" s="11" t="s">
        <v>91</v>
      </c>
      <c r="D14" s="2" t="s">
        <v>22</v>
      </c>
      <c r="E14" s="46">
        <v>10300</v>
      </c>
      <c r="F14" s="51">
        <v>102.99485</v>
      </c>
      <c r="G14" s="5">
        <v>2.5594453E-2</v>
      </c>
    </row>
    <row r="15" spans="1:7" ht="25.5" x14ac:dyDescent="0.25">
      <c r="A15" s="6">
        <v>9</v>
      </c>
      <c r="B15" s="7" t="s">
        <v>43</v>
      </c>
      <c r="C15" s="11" t="s">
        <v>44</v>
      </c>
      <c r="D15" s="2" t="s">
        <v>30</v>
      </c>
      <c r="E15" s="46">
        <v>84502</v>
      </c>
      <c r="F15" s="51">
        <v>89.191861000000003</v>
      </c>
      <c r="G15" s="5">
        <v>2.2164379000000001E-2</v>
      </c>
    </row>
    <row r="16" spans="1:7" ht="15" x14ac:dyDescent="0.25">
      <c r="A16" s="6">
        <v>10</v>
      </c>
      <c r="B16" s="7" t="s">
        <v>160</v>
      </c>
      <c r="C16" s="11" t="s">
        <v>161</v>
      </c>
      <c r="D16" s="2" t="s">
        <v>162</v>
      </c>
      <c r="E16" s="46">
        <v>33452</v>
      </c>
      <c r="F16" s="51">
        <v>88.179472000000004</v>
      </c>
      <c r="G16" s="5">
        <v>2.1912798000000001E-2</v>
      </c>
    </row>
    <row r="17" spans="1:7" ht="25.5" x14ac:dyDescent="0.25">
      <c r="A17" s="6">
        <v>11</v>
      </c>
      <c r="B17" s="7" t="s">
        <v>196</v>
      </c>
      <c r="C17" s="11" t="s">
        <v>846</v>
      </c>
      <c r="D17" s="2" t="s">
        <v>59</v>
      </c>
      <c r="E17" s="46">
        <v>5363</v>
      </c>
      <c r="F17" s="51">
        <v>88.022919000000002</v>
      </c>
      <c r="G17" s="5">
        <v>2.1873894000000001E-2</v>
      </c>
    </row>
    <row r="18" spans="1:7" ht="15" x14ac:dyDescent="0.25">
      <c r="A18" s="6">
        <v>12</v>
      </c>
      <c r="B18" s="7" t="s">
        <v>218</v>
      </c>
      <c r="C18" s="11" t="s">
        <v>219</v>
      </c>
      <c r="D18" s="2" t="s">
        <v>51</v>
      </c>
      <c r="E18" s="46">
        <v>41124</v>
      </c>
      <c r="F18" s="51">
        <v>87.594120000000004</v>
      </c>
      <c r="G18" s="5">
        <v>2.1767337000000001E-2</v>
      </c>
    </row>
    <row r="19" spans="1:7" ht="25.5" x14ac:dyDescent="0.25">
      <c r="A19" s="6">
        <v>13</v>
      </c>
      <c r="B19" s="7" t="s">
        <v>178</v>
      </c>
      <c r="C19" s="11" t="s">
        <v>179</v>
      </c>
      <c r="D19" s="2" t="s">
        <v>22</v>
      </c>
      <c r="E19" s="46">
        <v>24546</v>
      </c>
      <c r="F19" s="51">
        <v>85.493718000000001</v>
      </c>
      <c r="G19" s="5">
        <v>2.1245382E-2</v>
      </c>
    </row>
    <row r="20" spans="1:7" ht="51" x14ac:dyDescent="0.25">
      <c r="A20" s="6">
        <v>14</v>
      </c>
      <c r="B20" s="7" t="s">
        <v>233</v>
      </c>
      <c r="C20" s="11" t="s">
        <v>234</v>
      </c>
      <c r="D20" s="2" t="s">
        <v>235</v>
      </c>
      <c r="E20" s="46">
        <v>36333</v>
      </c>
      <c r="F20" s="51">
        <v>82.185246000000006</v>
      </c>
      <c r="G20" s="5">
        <v>2.0423218999999999E-2</v>
      </c>
    </row>
    <row r="21" spans="1:7" ht="25.5" x14ac:dyDescent="0.25">
      <c r="A21" s="6">
        <v>15</v>
      </c>
      <c r="B21" s="7" t="s">
        <v>176</v>
      </c>
      <c r="C21" s="11" t="s">
        <v>177</v>
      </c>
      <c r="D21" s="2" t="s">
        <v>30</v>
      </c>
      <c r="E21" s="46">
        <v>8318</v>
      </c>
      <c r="F21" s="51">
        <v>80.950776000000005</v>
      </c>
      <c r="G21" s="5">
        <v>2.0116451E-2</v>
      </c>
    </row>
    <row r="22" spans="1:7" ht="15" x14ac:dyDescent="0.25">
      <c r="A22" s="6">
        <v>16</v>
      </c>
      <c r="B22" s="7" t="s">
        <v>62</v>
      </c>
      <c r="C22" s="11" t="s">
        <v>63</v>
      </c>
      <c r="D22" s="2" t="s">
        <v>16</v>
      </c>
      <c r="E22" s="46">
        <v>77859</v>
      </c>
      <c r="F22" s="51">
        <v>79.338320999999993</v>
      </c>
      <c r="G22" s="5">
        <v>1.9715752E-2</v>
      </c>
    </row>
    <row r="23" spans="1:7" ht="25.5" x14ac:dyDescent="0.25">
      <c r="A23" s="6">
        <v>17</v>
      </c>
      <c r="B23" s="7" t="s">
        <v>87</v>
      </c>
      <c r="C23" s="11" t="s">
        <v>88</v>
      </c>
      <c r="D23" s="2" t="s">
        <v>89</v>
      </c>
      <c r="E23" s="46">
        <v>27204</v>
      </c>
      <c r="F23" s="51">
        <v>79.082027999999994</v>
      </c>
      <c r="G23" s="5">
        <v>1.9652063000000001E-2</v>
      </c>
    </row>
    <row r="24" spans="1:7" ht="25.5" x14ac:dyDescent="0.25">
      <c r="A24" s="6">
        <v>18</v>
      </c>
      <c r="B24" s="7" t="s">
        <v>52</v>
      </c>
      <c r="C24" s="11" t="s">
        <v>53</v>
      </c>
      <c r="D24" s="2" t="s">
        <v>30</v>
      </c>
      <c r="E24" s="46">
        <v>18340</v>
      </c>
      <c r="F24" s="51">
        <v>78.504369999999994</v>
      </c>
      <c r="G24" s="5">
        <v>1.9508513000000002E-2</v>
      </c>
    </row>
    <row r="25" spans="1:7" ht="25.5" x14ac:dyDescent="0.25">
      <c r="A25" s="6">
        <v>19</v>
      </c>
      <c r="B25" s="7" t="s">
        <v>171</v>
      </c>
      <c r="C25" s="11" t="s">
        <v>172</v>
      </c>
      <c r="D25" s="2" t="s">
        <v>173</v>
      </c>
      <c r="E25" s="46">
        <v>26541</v>
      </c>
      <c r="F25" s="51">
        <v>78.017269499999998</v>
      </c>
      <c r="G25" s="5">
        <v>1.9387468000000001E-2</v>
      </c>
    </row>
    <row r="26" spans="1:7" ht="15" x14ac:dyDescent="0.25">
      <c r="A26" s="6">
        <v>20</v>
      </c>
      <c r="B26" s="7" t="s">
        <v>267</v>
      </c>
      <c r="C26" s="11" t="s">
        <v>268</v>
      </c>
      <c r="D26" s="2" t="s">
        <v>269</v>
      </c>
      <c r="E26" s="46">
        <v>10405</v>
      </c>
      <c r="F26" s="51">
        <v>77.475629999999995</v>
      </c>
      <c r="G26" s="5">
        <v>1.9252868999999999E-2</v>
      </c>
    </row>
    <row r="27" spans="1:7" ht="25.5" x14ac:dyDescent="0.25">
      <c r="A27" s="6">
        <v>21</v>
      </c>
      <c r="B27" s="7" t="s">
        <v>189</v>
      </c>
      <c r="C27" s="11" t="s">
        <v>190</v>
      </c>
      <c r="D27" s="2" t="s">
        <v>167</v>
      </c>
      <c r="E27" s="46">
        <v>17134</v>
      </c>
      <c r="F27" s="51">
        <v>75.629475999999997</v>
      </c>
      <c r="G27" s="5">
        <v>1.8794096E-2</v>
      </c>
    </row>
    <row r="28" spans="1:7" ht="15" x14ac:dyDescent="0.25">
      <c r="A28" s="6">
        <v>22</v>
      </c>
      <c r="B28" s="7" t="s">
        <v>270</v>
      </c>
      <c r="C28" s="11" t="s">
        <v>271</v>
      </c>
      <c r="D28" s="2" t="s">
        <v>16</v>
      </c>
      <c r="E28" s="46">
        <v>41761</v>
      </c>
      <c r="F28" s="51">
        <v>69.824392000000003</v>
      </c>
      <c r="G28" s="5">
        <v>1.7351518999999999E-2</v>
      </c>
    </row>
    <row r="29" spans="1:7" ht="25.5" x14ac:dyDescent="0.25">
      <c r="A29" s="6">
        <v>23</v>
      </c>
      <c r="B29" s="7" t="s">
        <v>85</v>
      </c>
      <c r="C29" s="11" t="s">
        <v>86</v>
      </c>
      <c r="D29" s="2" t="s">
        <v>22</v>
      </c>
      <c r="E29" s="46">
        <v>11533</v>
      </c>
      <c r="F29" s="51">
        <v>68.315725499999999</v>
      </c>
      <c r="G29" s="5">
        <v>1.6976611999999999E-2</v>
      </c>
    </row>
    <row r="30" spans="1:7" ht="15" x14ac:dyDescent="0.25">
      <c r="A30" s="6">
        <v>24</v>
      </c>
      <c r="B30" s="7" t="s">
        <v>182</v>
      </c>
      <c r="C30" s="11" t="s">
        <v>183</v>
      </c>
      <c r="D30" s="2" t="s">
        <v>184</v>
      </c>
      <c r="E30" s="46">
        <v>36490</v>
      </c>
      <c r="F30" s="51">
        <v>68.199809999999999</v>
      </c>
      <c r="G30" s="5">
        <v>1.6947806999999999E-2</v>
      </c>
    </row>
    <row r="31" spans="1:7" ht="15" x14ac:dyDescent="0.25">
      <c r="A31" s="6">
        <v>25</v>
      </c>
      <c r="B31" s="7" t="s">
        <v>168</v>
      </c>
      <c r="C31" s="11" t="s">
        <v>169</v>
      </c>
      <c r="D31" s="2" t="s">
        <v>170</v>
      </c>
      <c r="E31" s="46">
        <v>35220</v>
      </c>
      <c r="F31" s="51">
        <v>67.094099999999997</v>
      </c>
      <c r="G31" s="5">
        <v>1.6673034999999999E-2</v>
      </c>
    </row>
    <row r="32" spans="1:7" ht="15" x14ac:dyDescent="0.25">
      <c r="A32" s="6">
        <v>26</v>
      </c>
      <c r="B32" s="7" t="s">
        <v>187</v>
      </c>
      <c r="C32" s="11" t="s">
        <v>188</v>
      </c>
      <c r="D32" s="2" t="s">
        <v>162</v>
      </c>
      <c r="E32" s="46">
        <v>6703</v>
      </c>
      <c r="F32" s="51">
        <v>61.503376500000002</v>
      </c>
      <c r="G32" s="5">
        <v>1.5283728E-2</v>
      </c>
    </row>
    <row r="33" spans="1:7" ht="15" x14ac:dyDescent="0.25">
      <c r="A33" s="6">
        <v>27</v>
      </c>
      <c r="B33" s="7" t="s">
        <v>49</v>
      </c>
      <c r="C33" s="11" t="s">
        <v>50</v>
      </c>
      <c r="D33" s="2" t="s">
        <v>51</v>
      </c>
      <c r="E33" s="46">
        <v>23383</v>
      </c>
      <c r="F33" s="51">
        <v>61.169927999999999</v>
      </c>
      <c r="G33" s="5">
        <v>1.5200864999999999E-2</v>
      </c>
    </row>
    <row r="34" spans="1:7" ht="51" x14ac:dyDescent="0.25">
      <c r="A34" s="6">
        <v>28</v>
      </c>
      <c r="B34" s="7" t="s">
        <v>248</v>
      </c>
      <c r="C34" s="11" t="s">
        <v>249</v>
      </c>
      <c r="D34" s="2" t="s">
        <v>235</v>
      </c>
      <c r="E34" s="46">
        <v>36855</v>
      </c>
      <c r="F34" s="51">
        <v>60.866032500000003</v>
      </c>
      <c r="G34" s="5">
        <v>1.5125347000000001E-2</v>
      </c>
    </row>
    <row r="35" spans="1:7" ht="15" x14ac:dyDescent="0.25">
      <c r="A35" s="6">
        <v>29</v>
      </c>
      <c r="B35" s="7" t="s">
        <v>468</v>
      </c>
      <c r="C35" s="11" t="s">
        <v>469</v>
      </c>
      <c r="D35" s="2" t="s">
        <v>241</v>
      </c>
      <c r="E35" s="46">
        <v>40937</v>
      </c>
      <c r="F35" s="51">
        <v>60.320669500000001</v>
      </c>
      <c r="G35" s="5">
        <v>1.4989822999999999E-2</v>
      </c>
    </row>
    <row r="36" spans="1:7" ht="25.5" x14ac:dyDescent="0.25">
      <c r="A36" s="6">
        <v>30</v>
      </c>
      <c r="B36" s="7" t="s">
        <v>194</v>
      </c>
      <c r="C36" s="11" t="s">
        <v>195</v>
      </c>
      <c r="D36" s="2" t="s">
        <v>37</v>
      </c>
      <c r="E36" s="46">
        <v>17398</v>
      </c>
      <c r="F36" s="51">
        <v>58.883530999999998</v>
      </c>
      <c r="G36" s="5">
        <v>1.4632691E-2</v>
      </c>
    </row>
    <row r="37" spans="1:7" ht="25.5" x14ac:dyDescent="0.25">
      <c r="A37" s="6">
        <v>31</v>
      </c>
      <c r="B37" s="7" t="s">
        <v>64</v>
      </c>
      <c r="C37" s="11" t="s">
        <v>65</v>
      </c>
      <c r="D37" s="2" t="s">
        <v>19</v>
      </c>
      <c r="E37" s="46">
        <v>76923</v>
      </c>
      <c r="F37" s="51">
        <v>56.269174499999998</v>
      </c>
      <c r="G37" s="5">
        <v>1.3983017E-2</v>
      </c>
    </row>
    <row r="38" spans="1:7" ht="15" x14ac:dyDescent="0.25">
      <c r="A38" s="6">
        <v>32</v>
      </c>
      <c r="B38" s="7" t="s">
        <v>60</v>
      </c>
      <c r="C38" s="11" t="s">
        <v>61</v>
      </c>
      <c r="D38" s="2" t="s">
        <v>16</v>
      </c>
      <c r="E38" s="46">
        <v>5552</v>
      </c>
      <c r="F38" s="51">
        <v>53.63232</v>
      </c>
      <c r="G38" s="5">
        <v>1.3327752999999999E-2</v>
      </c>
    </row>
    <row r="39" spans="1:7" ht="15" x14ac:dyDescent="0.25">
      <c r="A39" s="6">
        <v>33</v>
      </c>
      <c r="B39" s="7" t="s">
        <v>236</v>
      </c>
      <c r="C39" s="11" t="s">
        <v>237</v>
      </c>
      <c r="D39" s="2" t="s">
        <v>238</v>
      </c>
      <c r="E39" s="46">
        <v>8912</v>
      </c>
      <c r="F39" s="51">
        <v>53.619047999999999</v>
      </c>
      <c r="G39" s="5">
        <v>1.3324455000000001E-2</v>
      </c>
    </row>
    <row r="40" spans="1:7" ht="15" x14ac:dyDescent="0.25">
      <c r="A40" s="6">
        <v>34</v>
      </c>
      <c r="B40" s="7" t="s">
        <v>191</v>
      </c>
      <c r="C40" s="11" t="s">
        <v>192</v>
      </c>
      <c r="D40" s="2" t="s">
        <v>193</v>
      </c>
      <c r="E40" s="46">
        <v>40248</v>
      </c>
      <c r="F40" s="51">
        <v>53.570087999999998</v>
      </c>
      <c r="G40" s="5">
        <v>1.3312288E-2</v>
      </c>
    </row>
    <row r="41" spans="1:7" ht="25.5" x14ac:dyDescent="0.25">
      <c r="A41" s="6">
        <v>35</v>
      </c>
      <c r="B41" s="7" t="s">
        <v>94</v>
      </c>
      <c r="C41" s="11" t="s">
        <v>95</v>
      </c>
      <c r="D41" s="2" t="s">
        <v>22</v>
      </c>
      <c r="E41" s="46">
        <v>52177</v>
      </c>
      <c r="F41" s="51">
        <v>53.455336500000001</v>
      </c>
      <c r="G41" s="5">
        <v>1.3283771999999999E-2</v>
      </c>
    </row>
    <row r="42" spans="1:7" ht="15" x14ac:dyDescent="0.25">
      <c r="A42" s="6">
        <v>36</v>
      </c>
      <c r="B42" s="7" t="s">
        <v>203</v>
      </c>
      <c r="C42" s="11" t="s">
        <v>204</v>
      </c>
      <c r="D42" s="2" t="s">
        <v>81</v>
      </c>
      <c r="E42" s="46">
        <v>44190</v>
      </c>
      <c r="F42" s="51">
        <v>47.59263</v>
      </c>
      <c r="G42" s="5">
        <v>1.1826876E-2</v>
      </c>
    </row>
    <row r="43" spans="1:7" ht="38.25" x14ac:dyDescent="0.25">
      <c r="A43" s="6">
        <v>37</v>
      </c>
      <c r="B43" s="7" t="s">
        <v>82</v>
      </c>
      <c r="C43" s="11" t="s">
        <v>83</v>
      </c>
      <c r="D43" s="2" t="s">
        <v>84</v>
      </c>
      <c r="E43" s="46">
        <v>59259</v>
      </c>
      <c r="F43" s="51">
        <v>47.022016499999999</v>
      </c>
      <c r="G43" s="5">
        <v>1.1685077E-2</v>
      </c>
    </row>
    <row r="44" spans="1:7" ht="15" x14ac:dyDescent="0.25">
      <c r="A44" s="6">
        <v>38</v>
      </c>
      <c r="B44" s="7" t="s">
        <v>158</v>
      </c>
      <c r="C44" s="11" t="s">
        <v>159</v>
      </c>
      <c r="D44" s="2" t="s">
        <v>16</v>
      </c>
      <c r="E44" s="46">
        <v>52696</v>
      </c>
      <c r="F44" s="51">
        <v>46.267088000000001</v>
      </c>
      <c r="G44" s="5">
        <v>1.1497476E-2</v>
      </c>
    </row>
    <row r="45" spans="1:7" ht="15" x14ac:dyDescent="0.25">
      <c r="A45" s="6">
        <v>39</v>
      </c>
      <c r="B45" s="7" t="s">
        <v>244</v>
      </c>
      <c r="C45" s="11" t="s">
        <v>245</v>
      </c>
      <c r="D45" s="2" t="s">
        <v>162</v>
      </c>
      <c r="E45" s="46">
        <v>8699</v>
      </c>
      <c r="F45" s="51">
        <v>45.039072500000003</v>
      </c>
      <c r="G45" s="5">
        <v>1.1192311E-2</v>
      </c>
    </row>
    <row r="46" spans="1:7" ht="15" x14ac:dyDescent="0.25">
      <c r="A46" s="6">
        <v>40</v>
      </c>
      <c r="B46" s="7" t="s">
        <v>246</v>
      </c>
      <c r="C46" s="11" t="s">
        <v>247</v>
      </c>
      <c r="D46" s="2" t="s">
        <v>170</v>
      </c>
      <c r="E46" s="46">
        <v>19619</v>
      </c>
      <c r="F46" s="51">
        <v>43.681703499999998</v>
      </c>
      <c r="G46" s="5">
        <v>1.0855002000000001E-2</v>
      </c>
    </row>
    <row r="47" spans="1:7" ht="25.5" x14ac:dyDescent="0.25">
      <c r="A47" s="6">
        <v>41</v>
      </c>
      <c r="B47" s="7" t="s">
        <v>45</v>
      </c>
      <c r="C47" s="11" t="s">
        <v>46</v>
      </c>
      <c r="D47" s="2" t="s">
        <v>22</v>
      </c>
      <c r="E47" s="46">
        <v>6884</v>
      </c>
      <c r="F47" s="51">
        <v>42.123196</v>
      </c>
      <c r="G47" s="5">
        <v>1.0467709E-2</v>
      </c>
    </row>
    <row r="48" spans="1:7" ht="25.5" x14ac:dyDescent="0.25">
      <c r="A48" s="6">
        <v>42</v>
      </c>
      <c r="B48" s="7" t="s">
        <v>216</v>
      </c>
      <c r="C48" s="11" t="s">
        <v>217</v>
      </c>
      <c r="D48" s="2" t="s">
        <v>59</v>
      </c>
      <c r="E48" s="46">
        <v>18315</v>
      </c>
      <c r="F48" s="51">
        <v>41.456002499999997</v>
      </c>
      <c r="G48" s="5">
        <v>1.0301909999999999E-2</v>
      </c>
    </row>
    <row r="49" spans="1:7" ht="25.5" x14ac:dyDescent="0.25">
      <c r="A49" s="6">
        <v>43</v>
      </c>
      <c r="B49" s="7" t="s">
        <v>484</v>
      </c>
      <c r="C49" s="11" t="s">
        <v>485</v>
      </c>
      <c r="D49" s="2" t="s">
        <v>30</v>
      </c>
      <c r="E49" s="46">
        <v>3424</v>
      </c>
      <c r="F49" s="51">
        <v>41.045200000000001</v>
      </c>
      <c r="G49" s="5">
        <v>1.0199824999999999E-2</v>
      </c>
    </row>
    <row r="50" spans="1:7" ht="25.5" x14ac:dyDescent="0.25">
      <c r="A50" s="6">
        <v>44</v>
      </c>
      <c r="B50" s="7" t="s">
        <v>276</v>
      </c>
      <c r="C50" s="11" t="s">
        <v>277</v>
      </c>
      <c r="D50" s="2" t="s">
        <v>37</v>
      </c>
      <c r="E50" s="46">
        <v>60000</v>
      </c>
      <c r="F50" s="51">
        <v>40.229999999999997</v>
      </c>
      <c r="G50" s="5">
        <v>9.9972459999999996E-3</v>
      </c>
    </row>
    <row r="51" spans="1:7" ht="15" x14ac:dyDescent="0.25">
      <c r="A51" s="6">
        <v>45</v>
      </c>
      <c r="B51" s="7" t="s">
        <v>72</v>
      </c>
      <c r="C51" s="11" t="s">
        <v>845</v>
      </c>
      <c r="D51" s="2" t="s">
        <v>51</v>
      </c>
      <c r="E51" s="46">
        <v>16933</v>
      </c>
      <c r="F51" s="51">
        <v>40.105810499999997</v>
      </c>
      <c r="G51" s="5">
        <v>9.9663849999999995E-3</v>
      </c>
    </row>
    <row r="52" spans="1:7" ht="15" x14ac:dyDescent="0.25">
      <c r="A52" s="6">
        <v>46</v>
      </c>
      <c r="B52" s="7" t="s">
        <v>254</v>
      </c>
      <c r="C52" s="11" t="s">
        <v>255</v>
      </c>
      <c r="D52" s="2" t="s">
        <v>215</v>
      </c>
      <c r="E52" s="46">
        <v>48651</v>
      </c>
      <c r="F52" s="51">
        <v>38.653219499999999</v>
      </c>
      <c r="G52" s="5">
        <v>9.6054120000000007E-3</v>
      </c>
    </row>
    <row r="53" spans="1:7" ht="15" x14ac:dyDescent="0.25">
      <c r="A53" s="6">
        <v>47</v>
      </c>
      <c r="B53" s="7" t="s">
        <v>450</v>
      </c>
      <c r="C53" s="11" t="s">
        <v>451</v>
      </c>
      <c r="D53" s="2" t="s">
        <v>193</v>
      </c>
      <c r="E53" s="46">
        <v>5619</v>
      </c>
      <c r="F53" s="51">
        <v>36.9702105</v>
      </c>
      <c r="G53" s="5">
        <v>9.1871810000000009E-3</v>
      </c>
    </row>
    <row r="54" spans="1:7" ht="15" x14ac:dyDescent="0.25">
      <c r="A54" s="6">
        <v>48</v>
      </c>
      <c r="B54" s="7" t="s">
        <v>75</v>
      </c>
      <c r="C54" s="11" t="s">
        <v>76</v>
      </c>
      <c r="D54" s="2" t="s">
        <v>51</v>
      </c>
      <c r="E54" s="46">
        <v>16556</v>
      </c>
      <c r="F54" s="51">
        <v>36.663262000000003</v>
      </c>
      <c r="G54" s="5">
        <v>9.1109030000000001E-3</v>
      </c>
    </row>
    <row r="55" spans="1:7" ht="15" x14ac:dyDescent="0.25">
      <c r="A55" s="6">
        <v>49</v>
      </c>
      <c r="B55" s="7" t="s">
        <v>222</v>
      </c>
      <c r="C55" s="11" t="s">
        <v>223</v>
      </c>
      <c r="D55" s="2" t="s">
        <v>215</v>
      </c>
      <c r="E55" s="46">
        <v>7722</v>
      </c>
      <c r="F55" s="51">
        <v>35.706527999999999</v>
      </c>
      <c r="G55" s="5">
        <v>8.8731529999999999E-3</v>
      </c>
    </row>
    <row r="56" spans="1:7" ht="15" x14ac:dyDescent="0.25">
      <c r="A56" s="6">
        <v>50</v>
      </c>
      <c r="B56" s="7" t="s">
        <v>163</v>
      </c>
      <c r="C56" s="11" t="s">
        <v>164</v>
      </c>
      <c r="D56" s="2" t="s">
        <v>13</v>
      </c>
      <c r="E56" s="46">
        <v>17764</v>
      </c>
      <c r="F56" s="51">
        <v>34.728619999999999</v>
      </c>
      <c r="G56" s="5">
        <v>8.6301409999999992E-3</v>
      </c>
    </row>
    <row r="57" spans="1:7" ht="15" x14ac:dyDescent="0.25">
      <c r="A57" s="6">
        <v>51</v>
      </c>
      <c r="B57" s="7" t="s">
        <v>272</v>
      </c>
      <c r="C57" s="11" t="s">
        <v>273</v>
      </c>
      <c r="D57" s="2" t="s">
        <v>170</v>
      </c>
      <c r="E57" s="46">
        <v>14676</v>
      </c>
      <c r="F57" s="51">
        <v>33.329196000000003</v>
      </c>
      <c r="G57" s="5">
        <v>8.2823810000000001E-3</v>
      </c>
    </row>
    <row r="58" spans="1:7" ht="15" x14ac:dyDescent="0.25">
      <c r="A58" s="6">
        <v>52</v>
      </c>
      <c r="B58" s="7" t="s">
        <v>201</v>
      </c>
      <c r="C58" s="11" t="s">
        <v>202</v>
      </c>
      <c r="D58" s="2" t="s">
        <v>27</v>
      </c>
      <c r="E58" s="46">
        <v>59449</v>
      </c>
      <c r="F58" s="51">
        <v>33.261715500000001</v>
      </c>
      <c r="G58" s="5">
        <v>8.2656110000000008E-3</v>
      </c>
    </row>
    <row r="59" spans="1:7" ht="25.5" x14ac:dyDescent="0.25">
      <c r="A59" s="6">
        <v>53</v>
      </c>
      <c r="B59" s="7" t="s">
        <v>274</v>
      </c>
      <c r="C59" s="11" t="s">
        <v>275</v>
      </c>
      <c r="D59" s="2" t="s">
        <v>22</v>
      </c>
      <c r="E59" s="46">
        <v>7905</v>
      </c>
      <c r="F59" s="51">
        <v>31.141747500000001</v>
      </c>
      <c r="G59" s="5">
        <v>7.7387949999999997E-3</v>
      </c>
    </row>
    <row r="60" spans="1:7" ht="15" x14ac:dyDescent="0.25">
      <c r="A60" s="6">
        <v>54</v>
      </c>
      <c r="B60" s="7" t="s">
        <v>211</v>
      </c>
      <c r="C60" s="11" t="s">
        <v>212</v>
      </c>
      <c r="D60" s="2" t="s">
        <v>162</v>
      </c>
      <c r="E60" s="46">
        <v>37882</v>
      </c>
      <c r="F60" s="51">
        <v>30.11619</v>
      </c>
      <c r="G60" s="5">
        <v>7.483941E-3</v>
      </c>
    </row>
    <row r="61" spans="1:7" ht="15" x14ac:dyDescent="0.25">
      <c r="A61" s="6">
        <v>55</v>
      </c>
      <c r="B61" s="7" t="s">
        <v>209</v>
      </c>
      <c r="C61" s="11" t="s">
        <v>210</v>
      </c>
      <c r="D61" s="2" t="s">
        <v>155</v>
      </c>
      <c r="E61" s="46">
        <v>15555</v>
      </c>
      <c r="F61" s="51">
        <v>25.922407499999998</v>
      </c>
      <c r="G61" s="5">
        <v>6.4417770000000001E-3</v>
      </c>
    </row>
    <row r="62" spans="1:7" ht="15" x14ac:dyDescent="0.25">
      <c r="A62" s="6">
        <v>56</v>
      </c>
      <c r="B62" s="7" t="s">
        <v>224</v>
      </c>
      <c r="C62" s="11" t="s">
        <v>225</v>
      </c>
      <c r="D62" s="2" t="s">
        <v>226</v>
      </c>
      <c r="E62" s="46">
        <v>2354</v>
      </c>
      <c r="F62" s="51">
        <v>25.480872999999999</v>
      </c>
      <c r="G62" s="5">
        <v>6.3320549999999996E-3</v>
      </c>
    </row>
    <row r="63" spans="1:7" ht="15" x14ac:dyDescent="0.25">
      <c r="A63" s="6">
        <v>57</v>
      </c>
      <c r="B63" s="7" t="s">
        <v>258</v>
      </c>
      <c r="C63" s="11" t="s">
        <v>259</v>
      </c>
      <c r="D63" s="2" t="s">
        <v>193</v>
      </c>
      <c r="E63" s="46">
        <v>32984</v>
      </c>
      <c r="F63" s="51">
        <v>25.430664</v>
      </c>
      <c r="G63" s="5">
        <v>6.3195769999999998E-3</v>
      </c>
    </row>
    <row r="64" spans="1:7" ht="25.5" x14ac:dyDescent="0.25">
      <c r="A64" s="6">
        <v>58</v>
      </c>
      <c r="B64" s="7" t="s">
        <v>185</v>
      </c>
      <c r="C64" s="11" t="s">
        <v>186</v>
      </c>
      <c r="D64" s="2" t="s">
        <v>59</v>
      </c>
      <c r="E64" s="46">
        <v>18961</v>
      </c>
      <c r="F64" s="51">
        <v>23.9382625</v>
      </c>
      <c r="G64" s="5">
        <v>5.9487120000000001E-3</v>
      </c>
    </row>
    <row r="65" spans="1:7" ht="15" x14ac:dyDescent="0.25">
      <c r="A65" s="6">
        <v>59</v>
      </c>
      <c r="B65" s="7" t="s">
        <v>220</v>
      </c>
      <c r="C65" s="11" t="s">
        <v>221</v>
      </c>
      <c r="D65" s="2" t="s">
        <v>193</v>
      </c>
      <c r="E65" s="46">
        <v>11778</v>
      </c>
      <c r="F65" s="51">
        <v>22.601982</v>
      </c>
      <c r="G65" s="5">
        <v>5.6166439999999996E-3</v>
      </c>
    </row>
    <row r="66" spans="1:7" ht="15" x14ac:dyDescent="0.25">
      <c r="A66" s="6">
        <v>60</v>
      </c>
      <c r="B66" s="7" t="s">
        <v>102</v>
      </c>
      <c r="C66" s="11" t="s">
        <v>103</v>
      </c>
      <c r="D66" s="2" t="s">
        <v>51</v>
      </c>
      <c r="E66" s="46">
        <v>19930</v>
      </c>
      <c r="F66" s="51">
        <v>21.634015000000002</v>
      </c>
      <c r="G66" s="5">
        <v>5.3761019999999998E-3</v>
      </c>
    </row>
    <row r="67" spans="1:7" ht="38.25" x14ac:dyDescent="0.25">
      <c r="A67" s="6">
        <v>61</v>
      </c>
      <c r="B67" s="7" t="s">
        <v>260</v>
      </c>
      <c r="C67" s="11" t="s">
        <v>261</v>
      </c>
      <c r="D67" s="2" t="s">
        <v>262</v>
      </c>
      <c r="E67" s="46">
        <v>11719</v>
      </c>
      <c r="F67" s="51">
        <v>10.746323</v>
      </c>
      <c r="G67" s="5">
        <v>2.6704860000000001E-3</v>
      </c>
    </row>
    <row r="68" spans="1:7" ht="25.5" x14ac:dyDescent="0.25">
      <c r="A68" s="6">
        <v>62</v>
      </c>
      <c r="B68" s="7" t="s">
        <v>227</v>
      </c>
      <c r="C68" s="11" t="s">
        <v>228</v>
      </c>
      <c r="D68" s="2" t="s">
        <v>173</v>
      </c>
      <c r="E68" s="46">
        <v>12909</v>
      </c>
      <c r="F68" s="51">
        <v>8.1843059999999994</v>
      </c>
      <c r="G68" s="5">
        <v>2.0338190000000001E-3</v>
      </c>
    </row>
    <row r="69" spans="1:7" ht="25.5" x14ac:dyDescent="0.25">
      <c r="A69" s="6">
        <v>63</v>
      </c>
      <c r="B69" s="7" t="s">
        <v>229</v>
      </c>
      <c r="C69" s="11" t="s">
        <v>230</v>
      </c>
      <c r="D69" s="2" t="s">
        <v>37</v>
      </c>
      <c r="E69" s="46">
        <v>42928</v>
      </c>
      <c r="F69" s="51">
        <v>4.4215840000000002</v>
      </c>
      <c r="G69" s="5">
        <v>1.0987740000000001E-3</v>
      </c>
    </row>
    <row r="70" spans="1:7" ht="15" x14ac:dyDescent="0.25">
      <c r="A70" s="6">
        <v>64</v>
      </c>
      <c r="B70" s="7" t="s">
        <v>264</v>
      </c>
      <c r="C70" s="11" t="s">
        <v>265</v>
      </c>
      <c r="D70" s="2" t="s">
        <v>162</v>
      </c>
      <c r="E70" s="46">
        <v>1687</v>
      </c>
      <c r="F70" s="51">
        <v>1.1294465</v>
      </c>
      <c r="G70" s="5">
        <v>2.8067000000000001E-4</v>
      </c>
    </row>
    <row r="71" spans="1:7" ht="15" x14ac:dyDescent="0.25">
      <c r="A71" s="1"/>
      <c r="B71" s="2"/>
      <c r="C71" s="8" t="s">
        <v>104</v>
      </c>
      <c r="D71" s="12"/>
      <c r="E71" s="48"/>
      <c r="F71" s="53">
        <v>3821.9826715000008</v>
      </c>
      <c r="G71" s="13">
        <v>0.94977133299999983</v>
      </c>
    </row>
    <row r="72" spans="1:7" ht="15" x14ac:dyDescent="0.25">
      <c r="A72" s="6"/>
      <c r="B72" s="7"/>
      <c r="C72" s="14"/>
      <c r="D72" s="15"/>
      <c r="E72" s="46"/>
      <c r="F72" s="51"/>
      <c r="G72" s="5"/>
    </row>
    <row r="73" spans="1:7" ht="15" x14ac:dyDescent="0.25">
      <c r="A73" s="1"/>
      <c r="B73" s="2"/>
      <c r="C73" s="8" t="s">
        <v>105</v>
      </c>
      <c r="D73" s="9"/>
      <c r="E73" s="47"/>
      <c r="F73" s="52"/>
      <c r="G73" s="10"/>
    </row>
    <row r="74" spans="1:7" ht="15" x14ac:dyDescent="0.25">
      <c r="A74" s="1"/>
      <c r="B74" s="2"/>
      <c r="C74" s="8" t="s">
        <v>104</v>
      </c>
      <c r="D74" s="12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15"/>
      <c r="E75" s="46"/>
      <c r="F75" s="51"/>
      <c r="G75" s="5"/>
    </row>
    <row r="76" spans="1:7" ht="15" x14ac:dyDescent="0.25">
      <c r="A76" s="16"/>
      <c r="B76" s="17"/>
      <c r="C76" s="8" t="s">
        <v>106</v>
      </c>
      <c r="D76" s="9"/>
      <c r="E76" s="47"/>
      <c r="F76" s="52"/>
      <c r="G76" s="10"/>
    </row>
    <row r="77" spans="1:7" ht="15" x14ac:dyDescent="0.25">
      <c r="A77" s="18"/>
      <c r="B77" s="19"/>
      <c r="C77" s="8" t="s">
        <v>104</v>
      </c>
      <c r="D77" s="20"/>
      <c r="E77" s="49"/>
      <c r="F77" s="54">
        <v>0</v>
      </c>
      <c r="G77" s="21">
        <v>0</v>
      </c>
    </row>
    <row r="78" spans="1:7" ht="15" x14ac:dyDescent="0.25">
      <c r="A78" s="18"/>
      <c r="B78" s="19"/>
      <c r="C78" s="14"/>
      <c r="D78" s="22"/>
      <c r="E78" s="50"/>
      <c r="F78" s="55"/>
      <c r="G78" s="23"/>
    </row>
    <row r="79" spans="1:7" ht="15" x14ac:dyDescent="0.25">
      <c r="A79" s="1"/>
      <c r="B79" s="2"/>
      <c r="C79" s="8" t="s">
        <v>108</v>
      </c>
      <c r="D79" s="9"/>
      <c r="E79" s="47"/>
      <c r="F79" s="52"/>
      <c r="G79" s="10"/>
    </row>
    <row r="80" spans="1:7" ht="15" x14ac:dyDescent="0.25">
      <c r="A80" s="1"/>
      <c r="B80" s="2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1"/>
      <c r="B81" s="2"/>
      <c r="C81" s="14"/>
      <c r="D81" s="4"/>
      <c r="E81" s="46"/>
      <c r="F81" s="51"/>
      <c r="G81" s="5"/>
    </row>
    <row r="82" spans="1:7" ht="15" x14ac:dyDescent="0.25">
      <c r="A82" s="1"/>
      <c r="B82" s="2"/>
      <c r="C82" s="8" t="s">
        <v>109</v>
      </c>
      <c r="D82" s="9"/>
      <c r="E82" s="47"/>
      <c r="F82" s="52"/>
      <c r="G82" s="10"/>
    </row>
    <row r="83" spans="1:7" ht="15" x14ac:dyDescent="0.25">
      <c r="A83" s="1"/>
      <c r="B83" s="2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15" x14ac:dyDescent="0.25">
      <c r="A85" s="1"/>
      <c r="B85" s="2"/>
      <c r="C85" s="8" t="s">
        <v>110</v>
      </c>
      <c r="D85" s="9"/>
      <c r="E85" s="47"/>
      <c r="F85" s="52"/>
      <c r="G85" s="10"/>
    </row>
    <row r="86" spans="1:7" ht="15" x14ac:dyDescent="0.25">
      <c r="A86" s="1"/>
      <c r="B86" s="2"/>
      <c r="C86" s="8" t="s">
        <v>104</v>
      </c>
      <c r="D86" s="12"/>
      <c r="E86" s="48"/>
      <c r="F86" s="53">
        <v>0</v>
      </c>
      <c r="G86" s="13">
        <v>0</v>
      </c>
    </row>
    <row r="87" spans="1:7" ht="15" x14ac:dyDescent="0.25">
      <c r="A87" s="1"/>
      <c r="B87" s="2"/>
      <c r="C87" s="14"/>
      <c r="D87" s="4"/>
      <c r="E87" s="46"/>
      <c r="F87" s="51"/>
      <c r="G87" s="5"/>
    </row>
    <row r="88" spans="1:7" ht="25.5" x14ac:dyDescent="0.25">
      <c r="A88" s="6"/>
      <c r="B88" s="7"/>
      <c r="C88" s="24" t="s">
        <v>111</v>
      </c>
      <c r="D88" s="25"/>
      <c r="E88" s="48"/>
      <c r="F88" s="53">
        <v>3821.9826715000008</v>
      </c>
      <c r="G88" s="13">
        <v>0.94977133299999983</v>
      </c>
    </row>
    <row r="89" spans="1:7" ht="15" x14ac:dyDescent="0.25">
      <c r="A89" s="1"/>
      <c r="B89" s="2"/>
      <c r="C89" s="11"/>
      <c r="D89" s="4"/>
      <c r="E89" s="46"/>
      <c r="F89" s="51"/>
      <c r="G89" s="5"/>
    </row>
    <row r="90" spans="1:7" ht="15" x14ac:dyDescent="0.25">
      <c r="A90" s="1"/>
      <c r="B90" s="2"/>
      <c r="C90" s="3" t="s">
        <v>112</v>
      </c>
      <c r="D90" s="4"/>
      <c r="E90" s="46"/>
      <c r="F90" s="51"/>
      <c r="G90" s="5"/>
    </row>
    <row r="91" spans="1:7" ht="25.5" x14ac:dyDescent="0.25">
      <c r="A91" s="1"/>
      <c r="B91" s="2"/>
      <c r="C91" s="8" t="s">
        <v>10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12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4"/>
      <c r="E93" s="46"/>
      <c r="F93" s="51"/>
      <c r="G93" s="5"/>
    </row>
    <row r="94" spans="1:7" ht="15" x14ac:dyDescent="0.25">
      <c r="A94" s="1"/>
      <c r="B94" s="26"/>
      <c r="C94" s="8" t="s">
        <v>113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12"/>
      <c r="E95" s="48"/>
      <c r="F95" s="53">
        <v>0</v>
      </c>
      <c r="G95" s="13">
        <v>0</v>
      </c>
    </row>
    <row r="96" spans="1:7" ht="15" x14ac:dyDescent="0.25">
      <c r="A96" s="6"/>
      <c r="B96" s="7"/>
      <c r="C96" s="14"/>
      <c r="D96" s="4"/>
      <c r="E96" s="46"/>
      <c r="F96" s="56"/>
      <c r="G96" s="27"/>
    </row>
    <row r="97" spans="1:7" ht="15" x14ac:dyDescent="0.25">
      <c r="A97" s="1"/>
      <c r="B97" s="2"/>
      <c r="C97" s="8" t="s">
        <v>114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12"/>
      <c r="E98" s="48"/>
      <c r="F98" s="53">
        <v>0</v>
      </c>
      <c r="G98" s="13">
        <v>0</v>
      </c>
    </row>
    <row r="99" spans="1:7" ht="15" x14ac:dyDescent="0.25">
      <c r="A99" s="1"/>
      <c r="B99" s="2"/>
      <c r="C99" s="14"/>
      <c r="D99" s="4"/>
      <c r="E99" s="46"/>
      <c r="F99" s="51"/>
      <c r="G99" s="5"/>
    </row>
    <row r="100" spans="1:7" ht="25.5" x14ac:dyDescent="0.25">
      <c r="A100" s="1"/>
      <c r="B100" s="26"/>
      <c r="C100" s="8" t="s">
        <v>115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12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4"/>
      <c r="E102" s="46"/>
      <c r="F102" s="51"/>
      <c r="G102" s="5"/>
    </row>
    <row r="103" spans="1:7" ht="15" x14ac:dyDescent="0.25">
      <c r="A103" s="6"/>
      <c r="B103" s="7"/>
      <c r="C103" s="28" t="s">
        <v>116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1"/>
      <c r="D104" s="4"/>
      <c r="E104" s="46"/>
      <c r="F104" s="51"/>
      <c r="G104" s="5"/>
    </row>
    <row r="105" spans="1:7" ht="15" x14ac:dyDescent="0.25">
      <c r="A105" s="1"/>
      <c r="B105" s="2"/>
      <c r="C105" s="3" t="s">
        <v>117</v>
      </c>
      <c r="D105" s="4"/>
      <c r="E105" s="46"/>
      <c r="F105" s="51"/>
      <c r="G105" s="5"/>
    </row>
    <row r="106" spans="1:7" ht="15" x14ac:dyDescent="0.25">
      <c r="A106" s="6"/>
      <c r="B106" s="7"/>
      <c r="C106" s="8" t="s">
        <v>118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6"/>
      <c r="B109" s="7"/>
      <c r="C109" s="8" t="s">
        <v>119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15" x14ac:dyDescent="0.25">
      <c r="A112" s="6"/>
      <c r="B112" s="7"/>
      <c r="C112" s="8" t="s">
        <v>120</v>
      </c>
      <c r="D112" s="9"/>
      <c r="E112" s="47"/>
      <c r="F112" s="52"/>
      <c r="G112" s="10"/>
    </row>
    <row r="113" spans="1:7" ht="15" x14ac:dyDescent="0.25">
      <c r="A113" s="6"/>
      <c r="B113" s="7"/>
      <c r="C113" s="8" t="s">
        <v>104</v>
      </c>
      <c r="D113" s="25"/>
      <c r="E113" s="48"/>
      <c r="F113" s="53">
        <v>0</v>
      </c>
      <c r="G113" s="13">
        <v>0</v>
      </c>
    </row>
    <row r="114" spans="1:7" ht="15" x14ac:dyDescent="0.25">
      <c r="A114" s="6"/>
      <c r="B114" s="7"/>
      <c r="C114" s="14"/>
      <c r="D114" s="7"/>
      <c r="E114" s="46"/>
      <c r="F114" s="51"/>
      <c r="G114" s="5"/>
    </row>
    <row r="115" spans="1:7" ht="15" x14ac:dyDescent="0.25">
      <c r="A115" s="6"/>
      <c r="B115" s="7"/>
      <c r="C115" s="8" t="s">
        <v>121</v>
      </c>
      <c r="D115" s="9"/>
      <c r="E115" s="47"/>
      <c r="F115" s="52"/>
      <c r="G115" s="10"/>
    </row>
    <row r="116" spans="1:7" ht="15" x14ac:dyDescent="0.25">
      <c r="A116" s="6">
        <v>1</v>
      </c>
      <c r="B116" s="7"/>
      <c r="C116" s="11" t="s">
        <v>730</v>
      </c>
      <c r="D116" s="15"/>
      <c r="E116" s="46"/>
      <c r="F116" s="51">
        <v>97.984993599999996</v>
      </c>
      <c r="G116" s="5">
        <v>2.4349492E-2</v>
      </c>
    </row>
    <row r="117" spans="1:7" ht="15" x14ac:dyDescent="0.25">
      <c r="A117" s="6"/>
      <c r="B117" s="7"/>
      <c r="C117" s="8" t="s">
        <v>104</v>
      </c>
      <c r="D117" s="25"/>
      <c r="E117" s="48"/>
      <c r="F117" s="53">
        <v>97.984993599999996</v>
      </c>
      <c r="G117" s="13">
        <v>2.4349492E-2</v>
      </c>
    </row>
    <row r="118" spans="1:7" ht="15" x14ac:dyDescent="0.25">
      <c r="A118" s="6"/>
      <c r="B118" s="7"/>
      <c r="C118" s="14"/>
      <c r="D118" s="7"/>
      <c r="E118" s="46"/>
      <c r="F118" s="51"/>
      <c r="G118" s="5"/>
    </row>
    <row r="119" spans="1:7" ht="25.5" x14ac:dyDescent="0.25">
      <c r="A119" s="6"/>
      <c r="B119" s="7"/>
      <c r="C119" s="24" t="s">
        <v>122</v>
      </c>
      <c r="D119" s="25"/>
      <c r="E119" s="48"/>
      <c r="F119" s="53">
        <v>97.984993599999996</v>
      </c>
      <c r="G119" s="13">
        <v>2.4349492E-2</v>
      </c>
    </row>
    <row r="120" spans="1:7" ht="15" x14ac:dyDescent="0.25">
      <c r="A120" s="6"/>
      <c r="B120" s="7"/>
      <c r="C120" s="29"/>
      <c r="D120" s="7"/>
      <c r="E120" s="46"/>
      <c r="F120" s="51"/>
      <c r="G120" s="5"/>
    </row>
    <row r="121" spans="1:7" ht="15" x14ac:dyDescent="0.25">
      <c r="A121" s="1"/>
      <c r="B121" s="2"/>
      <c r="C121" s="3" t="s">
        <v>123</v>
      </c>
      <c r="D121" s="4"/>
      <c r="E121" s="46"/>
      <c r="F121" s="51"/>
      <c r="G121" s="5"/>
    </row>
    <row r="122" spans="1:7" ht="25.5" x14ac:dyDescent="0.25">
      <c r="A122" s="6"/>
      <c r="B122" s="7"/>
      <c r="C122" s="8" t="s">
        <v>124</v>
      </c>
      <c r="D122" s="9"/>
      <c r="E122" s="47"/>
      <c r="F122" s="52"/>
      <c r="G122" s="10"/>
    </row>
    <row r="123" spans="1:7" ht="15" x14ac:dyDescent="0.25">
      <c r="A123" s="6"/>
      <c r="B123" s="7"/>
      <c r="C123" s="8" t="s">
        <v>104</v>
      </c>
      <c r="D123" s="25"/>
      <c r="E123" s="48"/>
      <c r="F123" s="53">
        <v>0</v>
      </c>
      <c r="G123" s="13">
        <v>0</v>
      </c>
    </row>
    <row r="124" spans="1:7" ht="15" x14ac:dyDescent="0.25">
      <c r="A124" s="6"/>
      <c r="B124" s="7"/>
      <c r="C124" s="14"/>
      <c r="D124" s="7"/>
      <c r="E124" s="46"/>
      <c r="F124" s="51"/>
      <c r="G124" s="5"/>
    </row>
    <row r="125" spans="1:7" ht="15" x14ac:dyDescent="0.25">
      <c r="A125" s="1"/>
      <c r="B125" s="2"/>
      <c r="C125" s="3" t="s">
        <v>125</v>
      </c>
      <c r="D125" s="4"/>
      <c r="E125" s="46"/>
      <c r="F125" s="51"/>
      <c r="G125" s="5"/>
    </row>
    <row r="126" spans="1:7" ht="25.5" x14ac:dyDescent="0.25">
      <c r="A126" s="6"/>
      <c r="B126" s="7"/>
      <c r="C126" s="8" t="s">
        <v>126</v>
      </c>
      <c r="D126" s="9"/>
      <c r="E126" s="47"/>
      <c r="F126" s="52"/>
      <c r="G126" s="10"/>
    </row>
    <row r="127" spans="1:7" ht="15" x14ac:dyDescent="0.25">
      <c r="A127" s="6"/>
      <c r="B127" s="7"/>
      <c r="C127" s="8" t="s">
        <v>104</v>
      </c>
      <c r="D127" s="25"/>
      <c r="E127" s="48"/>
      <c r="F127" s="53">
        <v>0</v>
      </c>
      <c r="G127" s="13">
        <v>0</v>
      </c>
    </row>
    <row r="128" spans="1:7" ht="15" x14ac:dyDescent="0.25">
      <c r="A128" s="6"/>
      <c r="B128" s="7"/>
      <c r="C128" s="14"/>
      <c r="D128" s="7"/>
      <c r="E128" s="46"/>
      <c r="F128" s="51"/>
      <c r="G128" s="5"/>
    </row>
    <row r="129" spans="1:7" ht="25.5" x14ac:dyDescent="0.25">
      <c r="A129" s="6"/>
      <c r="B129" s="7"/>
      <c r="C129" s="8" t="s">
        <v>127</v>
      </c>
      <c r="D129" s="9"/>
      <c r="E129" s="47"/>
      <c r="F129" s="51">
        <v>99.978999999999999</v>
      </c>
      <c r="G129" s="5">
        <v>2.4845006999999999E-2</v>
      </c>
    </row>
    <row r="130" spans="1:7" ht="15" x14ac:dyDescent="0.25">
      <c r="A130" s="6"/>
      <c r="B130" s="7"/>
      <c r="C130" s="8" t="s">
        <v>810</v>
      </c>
      <c r="D130" s="25"/>
      <c r="E130" s="48"/>
      <c r="F130" s="53">
        <v>99.978999999999999</v>
      </c>
      <c r="G130" s="13">
        <v>2.4845006999999999E-2</v>
      </c>
    </row>
    <row r="131" spans="1:7" ht="15" x14ac:dyDescent="0.25">
      <c r="A131" s="6"/>
      <c r="B131" s="7"/>
      <c r="C131" s="14"/>
      <c r="D131" s="7"/>
      <c r="E131" s="46"/>
      <c r="F131" s="56"/>
      <c r="G131" s="27"/>
    </row>
    <row r="132" spans="1:7" ht="25.5" x14ac:dyDescent="0.25">
      <c r="A132" s="6"/>
      <c r="B132" s="7"/>
      <c r="C132" s="29" t="s">
        <v>128</v>
      </c>
      <c r="D132" s="7"/>
      <c r="E132" s="46"/>
      <c r="F132" s="56">
        <v>4.1616041900000003</v>
      </c>
      <c r="G132" s="27">
        <v>1.034168E-3</v>
      </c>
    </row>
    <row r="133" spans="1:7" ht="15" x14ac:dyDescent="0.25">
      <c r="A133" s="6"/>
      <c r="B133" s="7"/>
      <c r="C133" s="30" t="s">
        <v>129</v>
      </c>
      <c r="D133" s="12"/>
      <c r="E133" s="48"/>
      <c r="F133" s="53">
        <v>4024.1082692900009</v>
      </c>
      <c r="G133" s="13">
        <v>0.99999999999999989</v>
      </c>
    </row>
    <row r="135" spans="1:7" ht="15" x14ac:dyDescent="0.25">
      <c r="B135" s="279"/>
      <c r="C135" s="279"/>
      <c r="D135" s="279"/>
      <c r="E135" s="279"/>
      <c r="F135" s="279"/>
    </row>
    <row r="136" spans="1:7" ht="15" x14ac:dyDescent="0.25">
      <c r="B136" s="279"/>
      <c r="C136" s="279"/>
      <c r="D136" s="279"/>
      <c r="E136" s="279"/>
      <c r="F136" s="279"/>
    </row>
    <row r="138" spans="1:7" ht="15" x14ac:dyDescent="0.25">
      <c r="B138" s="36" t="s">
        <v>131</v>
      </c>
      <c r="C138" s="37"/>
      <c r="D138" s="38"/>
    </row>
    <row r="139" spans="1:7" ht="15" x14ac:dyDescent="0.25">
      <c r="B139" s="39" t="s">
        <v>132</v>
      </c>
      <c r="C139" s="40"/>
      <c r="D139" s="62" t="s">
        <v>133</v>
      </c>
    </row>
    <row r="140" spans="1:7" ht="15" x14ac:dyDescent="0.25">
      <c r="B140" s="39" t="s">
        <v>134</v>
      </c>
      <c r="C140" s="40"/>
      <c r="D140" s="62" t="s">
        <v>133</v>
      </c>
    </row>
    <row r="141" spans="1:7" ht="15" x14ac:dyDescent="0.25">
      <c r="B141" s="41" t="s">
        <v>135</v>
      </c>
      <c r="C141" s="40"/>
      <c r="D141" s="42"/>
    </row>
    <row r="142" spans="1:7" ht="25.5" customHeight="1" x14ac:dyDescent="0.25">
      <c r="B142" s="42"/>
      <c r="C142" s="32" t="s">
        <v>136</v>
      </c>
      <c r="D142" s="33" t="s">
        <v>137</v>
      </c>
    </row>
    <row r="143" spans="1:7" ht="12.75" customHeight="1" x14ac:dyDescent="0.25">
      <c r="B143" s="57" t="s">
        <v>138</v>
      </c>
      <c r="C143" s="58" t="s">
        <v>139</v>
      </c>
      <c r="D143" s="58" t="s">
        <v>140</v>
      </c>
    </row>
    <row r="144" spans="1:7" ht="15" x14ac:dyDescent="0.25">
      <c r="B144" s="42" t="s">
        <v>141</v>
      </c>
      <c r="C144" s="43">
        <v>8.4850999999999992</v>
      </c>
      <c r="D144" s="43">
        <v>7.3985000000000003</v>
      </c>
    </row>
    <row r="145" spans="2:4" ht="15" x14ac:dyDescent="0.25">
      <c r="B145" s="42" t="s">
        <v>142</v>
      </c>
      <c r="C145" s="43">
        <v>8.4850999999999992</v>
      </c>
      <c r="D145" s="43">
        <v>7.3985000000000003</v>
      </c>
    </row>
    <row r="146" spans="2:4" ht="15" x14ac:dyDescent="0.25">
      <c r="B146" s="42" t="s">
        <v>143</v>
      </c>
      <c r="C146" s="43">
        <v>8.3751999999999995</v>
      </c>
      <c r="D146" s="43">
        <v>7.3007</v>
      </c>
    </row>
    <row r="147" spans="2:4" ht="15" x14ac:dyDescent="0.25">
      <c r="B147" s="42" t="s">
        <v>144</v>
      </c>
      <c r="C147" s="43">
        <v>8.3751999999999995</v>
      </c>
      <c r="D147" s="43">
        <v>7.3007</v>
      </c>
    </row>
    <row r="149" spans="2:4" ht="15" x14ac:dyDescent="0.25">
      <c r="B149" s="59" t="s">
        <v>145</v>
      </c>
      <c r="C149" s="44"/>
      <c r="D149" s="60" t="s">
        <v>133</v>
      </c>
    </row>
    <row r="150" spans="2:4" ht="24.75" customHeight="1" x14ac:dyDescent="0.25">
      <c r="B150" s="61"/>
      <c r="C150" s="61"/>
    </row>
    <row r="151" spans="2:4" ht="15" x14ac:dyDescent="0.25">
      <c r="B151" s="63"/>
      <c r="C151" s="65"/>
      <c r="D151"/>
    </row>
    <row r="153" spans="2:4" ht="15" x14ac:dyDescent="0.25">
      <c r="B153" s="41" t="s">
        <v>146</v>
      </c>
      <c r="C153" s="40"/>
      <c r="D153" s="64" t="s">
        <v>133</v>
      </c>
    </row>
    <row r="154" spans="2:4" ht="15" x14ac:dyDescent="0.25">
      <c r="B154" s="41" t="s">
        <v>147</v>
      </c>
      <c r="C154" s="40"/>
      <c r="D154" s="64" t="s">
        <v>133</v>
      </c>
    </row>
    <row r="155" spans="2:4" ht="15" x14ac:dyDescent="0.25">
      <c r="B155" s="41" t="s">
        <v>148</v>
      </c>
      <c r="C155" s="40"/>
      <c r="D155" s="45">
        <v>1.4211038128894349E-2</v>
      </c>
    </row>
    <row r="156" spans="2:4" ht="15" x14ac:dyDescent="0.25">
      <c r="B156" s="41" t="s">
        <v>149</v>
      </c>
      <c r="C156" s="40"/>
      <c r="D156" s="45" t="s">
        <v>133</v>
      </c>
    </row>
  </sheetData>
  <mergeCells count="5">
    <mergeCell ref="A1:G1"/>
    <mergeCell ref="A2:G2"/>
    <mergeCell ref="A3:G3"/>
    <mergeCell ref="B135:F135"/>
    <mergeCell ref="B136:F13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V153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531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153</v>
      </c>
      <c r="C7" s="11" t="s">
        <v>154</v>
      </c>
      <c r="D7" s="2" t="s">
        <v>155</v>
      </c>
      <c r="E7" s="46">
        <v>22952</v>
      </c>
      <c r="F7" s="51">
        <v>142.94505599999999</v>
      </c>
      <c r="G7" s="5">
        <v>4.0399938000000003E-2</v>
      </c>
    </row>
    <row r="8" spans="1:7" ht="25.5" x14ac:dyDescent="0.25">
      <c r="A8" s="6">
        <v>2</v>
      </c>
      <c r="B8" s="7" t="s">
        <v>25</v>
      </c>
      <c r="C8" s="11" t="s">
        <v>26</v>
      </c>
      <c r="D8" s="2" t="s">
        <v>27</v>
      </c>
      <c r="E8" s="46">
        <v>29129</v>
      </c>
      <c r="F8" s="51">
        <v>139.71724850000001</v>
      </c>
      <c r="G8" s="5">
        <v>3.9487676999999999E-2</v>
      </c>
    </row>
    <row r="9" spans="1:7" ht="25.5" x14ac:dyDescent="0.25">
      <c r="A9" s="6">
        <v>3</v>
      </c>
      <c r="B9" s="7" t="s">
        <v>68</v>
      </c>
      <c r="C9" s="11" t="s">
        <v>69</v>
      </c>
      <c r="D9" s="2" t="s">
        <v>19</v>
      </c>
      <c r="E9" s="46">
        <v>101250</v>
      </c>
      <c r="F9" s="51">
        <v>122.41125</v>
      </c>
      <c r="G9" s="5">
        <v>3.4596557999999999E-2</v>
      </c>
    </row>
    <row r="10" spans="1:7" ht="15" x14ac:dyDescent="0.25">
      <c r="A10" s="6">
        <v>4</v>
      </c>
      <c r="B10" s="7" t="s">
        <v>151</v>
      </c>
      <c r="C10" s="11" t="s">
        <v>152</v>
      </c>
      <c r="D10" s="2" t="s">
        <v>16</v>
      </c>
      <c r="E10" s="46">
        <v>57947</v>
      </c>
      <c r="F10" s="51">
        <v>112.18539199999999</v>
      </c>
      <c r="G10" s="5">
        <v>3.1706468000000002E-2</v>
      </c>
    </row>
    <row r="11" spans="1:7" ht="25.5" x14ac:dyDescent="0.25">
      <c r="A11" s="6">
        <v>5</v>
      </c>
      <c r="B11" s="7" t="s">
        <v>274</v>
      </c>
      <c r="C11" s="11" t="s">
        <v>275</v>
      </c>
      <c r="D11" s="2" t="s">
        <v>22</v>
      </c>
      <c r="E11" s="46">
        <v>25568</v>
      </c>
      <c r="F11" s="51">
        <v>100.72513600000001</v>
      </c>
      <c r="G11" s="5">
        <v>2.8467506E-2</v>
      </c>
    </row>
    <row r="12" spans="1:7" ht="25.5" x14ac:dyDescent="0.25">
      <c r="A12" s="6">
        <v>6</v>
      </c>
      <c r="B12" s="7" t="s">
        <v>92</v>
      </c>
      <c r="C12" s="11" t="s">
        <v>93</v>
      </c>
      <c r="D12" s="2" t="s">
        <v>22</v>
      </c>
      <c r="E12" s="46">
        <v>22423</v>
      </c>
      <c r="F12" s="51">
        <v>98.336066500000001</v>
      </c>
      <c r="G12" s="5">
        <v>2.7792293999999999E-2</v>
      </c>
    </row>
    <row r="13" spans="1:7" ht="25.5" x14ac:dyDescent="0.25">
      <c r="A13" s="6">
        <v>7</v>
      </c>
      <c r="B13" s="7" t="s">
        <v>90</v>
      </c>
      <c r="C13" s="11" t="s">
        <v>91</v>
      </c>
      <c r="D13" s="2" t="s">
        <v>22</v>
      </c>
      <c r="E13" s="46">
        <v>9300</v>
      </c>
      <c r="F13" s="51">
        <v>92.995350000000002</v>
      </c>
      <c r="G13" s="5">
        <v>2.628287E-2</v>
      </c>
    </row>
    <row r="14" spans="1:7" ht="15" x14ac:dyDescent="0.25">
      <c r="A14" s="6">
        <v>8</v>
      </c>
      <c r="B14" s="7" t="s">
        <v>281</v>
      </c>
      <c r="C14" s="11" t="s">
        <v>282</v>
      </c>
      <c r="D14" s="2" t="s">
        <v>56</v>
      </c>
      <c r="E14" s="46">
        <v>136241</v>
      </c>
      <c r="F14" s="51">
        <v>92.8482415</v>
      </c>
      <c r="G14" s="5">
        <v>2.6241293999999998E-2</v>
      </c>
    </row>
    <row r="15" spans="1:7" ht="15" x14ac:dyDescent="0.25">
      <c r="A15" s="6">
        <v>9</v>
      </c>
      <c r="B15" s="7" t="s">
        <v>160</v>
      </c>
      <c r="C15" s="11" t="s">
        <v>161</v>
      </c>
      <c r="D15" s="2" t="s">
        <v>162</v>
      </c>
      <c r="E15" s="46">
        <v>30344</v>
      </c>
      <c r="F15" s="51">
        <v>79.986784</v>
      </c>
      <c r="G15" s="5">
        <v>2.2606316000000001E-2</v>
      </c>
    </row>
    <row r="16" spans="1:7" ht="15" x14ac:dyDescent="0.25">
      <c r="A16" s="6">
        <v>10</v>
      </c>
      <c r="B16" s="7" t="s">
        <v>218</v>
      </c>
      <c r="C16" s="11" t="s">
        <v>219</v>
      </c>
      <c r="D16" s="2" t="s">
        <v>51</v>
      </c>
      <c r="E16" s="46">
        <v>37163</v>
      </c>
      <c r="F16" s="51">
        <v>79.15719</v>
      </c>
      <c r="G16" s="5">
        <v>2.2371851000000002E-2</v>
      </c>
    </row>
    <row r="17" spans="1:7" ht="25.5" x14ac:dyDescent="0.25">
      <c r="A17" s="6">
        <v>11</v>
      </c>
      <c r="B17" s="7" t="s">
        <v>43</v>
      </c>
      <c r="C17" s="11" t="s">
        <v>44</v>
      </c>
      <c r="D17" s="2" t="s">
        <v>30</v>
      </c>
      <c r="E17" s="46">
        <v>74699</v>
      </c>
      <c r="F17" s="51">
        <v>78.844794500000006</v>
      </c>
      <c r="G17" s="5">
        <v>2.2283560000000001E-2</v>
      </c>
    </row>
    <row r="18" spans="1:7" ht="25.5" x14ac:dyDescent="0.25">
      <c r="A18" s="6">
        <v>12</v>
      </c>
      <c r="B18" s="7" t="s">
        <v>178</v>
      </c>
      <c r="C18" s="11" t="s">
        <v>179</v>
      </c>
      <c r="D18" s="2" t="s">
        <v>22</v>
      </c>
      <c r="E18" s="46">
        <v>22018</v>
      </c>
      <c r="F18" s="51">
        <v>76.688693999999998</v>
      </c>
      <c r="G18" s="5">
        <v>2.1674190999999999E-2</v>
      </c>
    </row>
    <row r="19" spans="1:7" ht="25.5" x14ac:dyDescent="0.25">
      <c r="A19" s="6">
        <v>13</v>
      </c>
      <c r="B19" s="7" t="s">
        <v>174</v>
      </c>
      <c r="C19" s="11" t="s">
        <v>175</v>
      </c>
      <c r="D19" s="2" t="s">
        <v>22</v>
      </c>
      <c r="E19" s="46">
        <v>25078</v>
      </c>
      <c r="F19" s="51">
        <v>73.955022</v>
      </c>
      <c r="G19" s="5">
        <v>2.0901585E-2</v>
      </c>
    </row>
    <row r="20" spans="1:7" ht="51" x14ac:dyDescent="0.25">
      <c r="A20" s="6">
        <v>14</v>
      </c>
      <c r="B20" s="7" t="s">
        <v>233</v>
      </c>
      <c r="C20" s="11" t="s">
        <v>234</v>
      </c>
      <c r="D20" s="2" t="s">
        <v>235</v>
      </c>
      <c r="E20" s="46">
        <v>31833</v>
      </c>
      <c r="F20" s="51">
        <v>72.006246000000004</v>
      </c>
      <c r="G20" s="5">
        <v>2.0350811E-2</v>
      </c>
    </row>
    <row r="21" spans="1:7" ht="25.5" x14ac:dyDescent="0.25">
      <c r="A21" s="6">
        <v>15</v>
      </c>
      <c r="B21" s="7" t="s">
        <v>176</v>
      </c>
      <c r="C21" s="11" t="s">
        <v>177</v>
      </c>
      <c r="D21" s="2" t="s">
        <v>30</v>
      </c>
      <c r="E21" s="46">
        <v>7360</v>
      </c>
      <c r="F21" s="51">
        <v>71.627520000000004</v>
      </c>
      <c r="G21" s="5">
        <v>2.0243773999999999E-2</v>
      </c>
    </row>
    <row r="22" spans="1:7" ht="25.5" x14ac:dyDescent="0.25">
      <c r="A22" s="6">
        <v>16</v>
      </c>
      <c r="B22" s="7" t="s">
        <v>171</v>
      </c>
      <c r="C22" s="11" t="s">
        <v>172</v>
      </c>
      <c r="D22" s="2" t="s">
        <v>173</v>
      </c>
      <c r="E22" s="46">
        <v>24335</v>
      </c>
      <c r="F22" s="51">
        <v>71.532732499999995</v>
      </c>
      <c r="G22" s="5">
        <v>2.0216984E-2</v>
      </c>
    </row>
    <row r="23" spans="1:7" ht="25.5" x14ac:dyDescent="0.25">
      <c r="A23" s="6">
        <v>17</v>
      </c>
      <c r="B23" s="7" t="s">
        <v>52</v>
      </c>
      <c r="C23" s="11" t="s">
        <v>53</v>
      </c>
      <c r="D23" s="2" t="s">
        <v>30</v>
      </c>
      <c r="E23" s="46">
        <v>16700</v>
      </c>
      <c r="F23" s="51">
        <v>71.484350000000006</v>
      </c>
      <c r="G23" s="5">
        <v>2.0203309999999999E-2</v>
      </c>
    </row>
    <row r="24" spans="1:7" ht="15" x14ac:dyDescent="0.25">
      <c r="A24" s="6">
        <v>18</v>
      </c>
      <c r="B24" s="7" t="s">
        <v>62</v>
      </c>
      <c r="C24" s="11" t="s">
        <v>63</v>
      </c>
      <c r="D24" s="2" t="s">
        <v>16</v>
      </c>
      <c r="E24" s="46">
        <v>69927</v>
      </c>
      <c r="F24" s="51">
        <v>71.255612999999997</v>
      </c>
      <c r="G24" s="5">
        <v>2.0138663000000001E-2</v>
      </c>
    </row>
    <row r="25" spans="1:7" ht="25.5" x14ac:dyDescent="0.25">
      <c r="A25" s="6">
        <v>19</v>
      </c>
      <c r="B25" s="7" t="s">
        <v>87</v>
      </c>
      <c r="C25" s="11" t="s">
        <v>88</v>
      </c>
      <c r="D25" s="2" t="s">
        <v>89</v>
      </c>
      <c r="E25" s="46">
        <v>23000</v>
      </c>
      <c r="F25" s="51">
        <v>66.861000000000004</v>
      </c>
      <c r="G25" s="5">
        <v>1.8896632999999999E-2</v>
      </c>
    </row>
    <row r="26" spans="1:7" ht="25.5" x14ac:dyDescent="0.25">
      <c r="A26" s="6">
        <v>20</v>
      </c>
      <c r="B26" s="7" t="s">
        <v>189</v>
      </c>
      <c r="C26" s="11" t="s">
        <v>190</v>
      </c>
      <c r="D26" s="2" t="s">
        <v>167</v>
      </c>
      <c r="E26" s="46">
        <v>15130</v>
      </c>
      <c r="F26" s="51">
        <v>66.783820000000006</v>
      </c>
      <c r="G26" s="5">
        <v>1.887482E-2</v>
      </c>
    </row>
    <row r="27" spans="1:7" ht="15" x14ac:dyDescent="0.25">
      <c r="A27" s="6">
        <v>21</v>
      </c>
      <c r="B27" s="7" t="s">
        <v>270</v>
      </c>
      <c r="C27" s="11" t="s">
        <v>271</v>
      </c>
      <c r="D27" s="2" t="s">
        <v>16</v>
      </c>
      <c r="E27" s="46">
        <v>38196</v>
      </c>
      <c r="F27" s="51">
        <v>63.863712</v>
      </c>
      <c r="G27" s="5">
        <v>1.8049521999999998E-2</v>
      </c>
    </row>
    <row r="28" spans="1:7" ht="15" x14ac:dyDescent="0.25">
      <c r="A28" s="6">
        <v>22</v>
      </c>
      <c r="B28" s="7" t="s">
        <v>163</v>
      </c>
      <c r="C28" s="11" t="s">
        <v>164</v>
      </c>
      <c r="D28" s="2" t="s">
        <v>13</v>
      </c>
      <c r="E28" s="46">
        <v>32083</v>
      </c>
      <c r="F28" s="51">
        <v>62.722265</v>
      </c>
      <c r="G28" s="5">
        <v>1.772692E-2</v>
      </c>
    </row>
    <row r="29" spans="1:7" ht="15" x14ac:dyDescent="0.25">
      <c r="A29" s="6">
        <v>23</v>
      </c>
      <c r="B29" s="7" t="s">
        <v>168</v>
      </c>
      <c r="C29" s="11" t="s">
        <v>169</v>
      </c>
      <c r="D29" s="2" t="s">
        <v>170</v>
      </c>
      <c r="E29" s="46">
        <v>31940</v>
      </c>
      <c r="F29" s="51">
        <v>60.845700000000001</v>
      </c>
      <c r="G29" s="5">
        <v>1.7196554999999999E-2</v>
      </c>
    </row>
    <row r="30" spans="1:7" ht="15" x14ac:dyDescent="0.25">
      <c r="A30" s="6">
        <v>24</v>
      </c>
      <c r="B30" s="7" t="s">
        <v>182</v>
      </c>
      <c r="C30" s="11" t="s">
        <v>183</v>
      </c>
      <c r="D30" s="2" t="s">
        <v>184</v>
      </c>
      <c r="E30" s="46">
        <v>32284</v>
      </c>
      <c r="F30" s="51">
        <v>60.338796000000002</v>
      </c>
      <c r="G30" s="5">
        <v>1.7053291000000002E-2</v>
      </c>
    </row>
    <row r="31" spans="1:7" ht="15" x14ac:dyDescent="0.25">
      <c r="A31" s="6">
        <v>25</v>
      </c>
      <c r="B31" s="7" t="s">
        <v>187</v>
      </c>
      <c r="C31" s="11" t="s">
        <v>188</v>
      </c>
      <c r="D31" s="2" t="s">
        <v>162</v>
      </c>
      <c r="E31" s="46">
        <v>6229</v>
      </c>
      <c r="F31" s="51">
        <v>57.154189500000001</v>
      </c>
      <c r="G31" s="5">
        <v>1.6153239E-2</v>
      </c>
    </row>
    <row r="32" spans="1:7" ht="15" x14ac:dyDescent="0.25">
      <c r="A32" s="6">
        <v>26</v>
      </c>
      <c r="B32" s="7" t="s">
        <v>49</v>
      </c>
      <c r="C32" s="11" t="s">
        <v>50</v>
      </c>
      <c r="D32" s="2" t="s">
        <v>51</v>
      </c>
      <c r="E32" s="46">
        <v>21686</v>
      </c>
      <c r="F32" s="51">
        <v>56.730575999999999</v>
      </c>
      <c r="G32" s="5">
        <v>1.6033515000000002E-2</v>
      </c>
    </row>
    <row r="33" spans="1:7" ht="15" x14ac:dyDescent="0.25">
      <c r="A33" s="6">
        <v>27</v>
      </c>
      <c r="B33" s="7" t="s">
        <v>468</v>
      </c>
      <c r="C33" s="11" t="s">
        <v>469</v>
      </c>
      <c r="D33" s="2" t="s">
        <v>241</v>
      </c>
      <c r="E33" s="46">
        <v>36209</v>
      </c>
      <c r="F33" s="51">
        <v>53.353961499999997</v>
      </c>
      <c r="G33" s="5">
        <v>1.5079198E-2</v>
      </c>
    </row>
    <row r="34" spans="1:7" ht="51" x14ac:dyDescent="0.25">
      <c r="A34" s="6">
        <v>28</v>
      </c>
      <c r="B34" s="7" t="s">
        <v>248</v>
      </c>
      <c r="C34" s="11" t="s">
        <v>249</v>
      </c>
      <c r="D34" s="2" t="s">
        <v>235</v>
      </c>
      <c r="E34" s="46">
        <v>32152</v>
      </c>
      <c r="F34" s="51">
        <v>53.099027999999997</v>
      </c>
      <c r="G34" s="5">
        <v>1.5007147E-2</v>
      </c>
    </row>
    <row r="35" spans="1:7" ht="25.5" x14ac:dyDescent="0.25">
      <c r="A35" s="6">
        <v>29</v>
      </c>
      <c r="B35" s="7" t="s">
        <v>64</v>
      </c>
      <c r="C35" s="11" t="s">
        <v>65</v>
      </c>
      <c r="D35" s="2" t="s">
        <v>19</v>
      </c>
      <c r="E35" s="46">
        <v>69312</v>
      </c>
      <c r="F35" s="51">
        <v>50.701728000000003</v>
      </c>
      <c r="G35" s="5">
        <v>1.4329608000000001E-2</v>
      </c>
    </row>
    <row r="36" spans="1:7" ht="15" x14ac:dyDescent="0.25">
      <c r="A36" s="6">
        <v>30</v>
      </c>
      <c r="B36" s="7" t="s">
        <v>191</v>
      </c>
      <c r="C36" s="11" t="s">
        <v>192</v>
      </c>
      <c r="D36" s="2" t="s">
        <v>193</v>
      </c>
      <c r="E36" s="46">
        <v>37187</v>
      </c>
      <c r="F36" s="51">
        <v>49.495896999999999</v>
      </c>
      <c r="G36" s="5">
        <v>1.3988810000000001E-2</v>
      </c>
    </row>
    <row r="37" spans="1:7" ht="25.5" x14ac:dyDescent="0.25">
      <c r="A37" s="6">
        <v>31</v>
      </c>
      <c r="B37" s="7" t="s">
        <v>94</v>
      </c>
      <c r="C37" s="11" t="s">
        <v>95</v>
      </c>
      <c r="D37" s="2" t="s">
        <v>22</v>
      </c>
      <c r="E37" s="46">
        <v>48130</v>
      </c>
      <c r="F37" s="51">
        <v>49.309184999999999</v>
      </c>
      <c r="G37" s="5">
        <v>1.393604E-2</v>
      </c>
    </row>
    <row r="38" spans="1:7" ht="25.5" x14ac:dyDescent="0.25">
      <c r="A38" s="6">
        <v>32</v>
      </c>
      <c r="B38" s="7" t="s">
        <v>85</v>
      </c>
      <c r="C38" s="11" t="s">
        <v>86</v>
      </c>
      <c r="D38" s="2" t="s">
        <v>22</v>
      </c>
      <c r="E38" s="46">
        <v>8247</v>
      </c>
      <c r="F38" s="51">
        <v>48.851104499999998</v>
      </c>
      <c r="G38" s="5">
        <v>1.3806575E-2</v>
      </c>
    </row>
    <row r="39" spans="1:7" ht="25.5" x14ac:dyDescent="0.25">
      <c r="A39" s="6">
        <v>33</v>
      </c>
      <c r="B39" s="7" t="s">
        <v>194</v>
      </c>
      <c r="C39" s="11" t="s">
        <v>195</v>
      </c>
      <c r="D39" s="2" t="s">
        <v>37</v>
      </c>
      <c r="E39" s="46">
        <v>14229</v>
      </c>
      <c r="F39" s="51">
        <v>48.158050500000002</v>
      </c>
      <c r="G39" s="5">
        <v>1.36107E-2</v>
      </c>
    </row>
    <row r="40" spans="1:7" ht="15" x14ac:dyDescent="0.25">
      <c r="A40" s="6">
        <v>34</v>
      </c>
      <c r="B40" s="7" t="s">
        <v>236</v>
      </c>
      <c r="C40" s="11" t="s">
        <v>237</v>
      </c>
      <c r="D40" s="2" t="s">
        <v>238</v>
      </c>
      <c r="E40" s="46">
        <v>7886</v>
      </c>
      <c r="F40" s="51">
        <v>47.446119000000003</v>
      </c>
      <c r="G40" s="5">
        <v>1.340949E-2</v>
      </c>
    </row>
    <row r="41" spans="1:7" ht="15" x14ac:dyDescent="0.25">
      <c r="A41" s="6">
        <v>35</v>
      </c>
      <c r="B41" s="7" t="s">
        <v>60</v>
      </c>
      <c r="C41" s="11" t="s">
        <v>61</v>
      </c>
      <c r="D41" s="2" t="s">
        <v>16</v>
      </c>
      <c r="E41" s="46">
        <v>4900</v>
      </c>
      <c r="F41" s="51">
        <v>47.334000000000003</v>
      </c>
      <c r="G41" s="5">
        <v>1.3377801999999999E-2</v>
      </c>
    </row>
    <row r="42" spans="1:7" ht="25.5" x14ac:dyDescent="0.25">
      <c r="A42" s="6">
        <v>36</v>
      </c>
      <c r="B42" s="7" t="s">
        <v>20</v>
      </c>
      <c r="C42" s="11" t="s">
        <v>21</v>
      </c>
      <c r="D42" s="2" t="s">
        <v>22</v>
      </c>
      <c r="E42" s="46">
        <v>6946</v>
      </c>
      <c r="F42" s="51">
        <v>47.149448</v>
      </c>
      <c r="G42" s="5">
        <v>1.3325643E-2</v>
      </c>
    </row>
    <row r="43" spans="1:7" ht="15" x14ac:dyDescent="0.25">
      <c r="A43" s="6">
        <v>37</v>
      </c>
      <c r="B43" s="7" t="s">
        <v>203</v>
      </c>
      <c r="C43" s="11" t="s">
        <v>204</v>
      </c>
      <c r="D43" s="2" t="s">
        <v>81</v>
      </c>
      <c r="E43" s="46">
        <v>39581</v>
      </c>
      <c r="F43" s="51">
        <v>42.628737000000001</v>
      </c>
      <c r="G43" s="5">
        <v>1.2047973999999999E-2</v>
      </c>
    </row>
    <row r="44" spans="1:7" ht="15" x14ac:dyDescent="0.25">
      <c r="A44" s="6">
        <v>38</v>
      </c>
      <c r="B44" s="7" t="s">
        <v>197</v>
      </c>
      <c r="C44" s="11" t="s">
        <v>198</v>
      </c>
      <c r="D44" s="2" t="s">
        <v>162</v>
      </c>
      <c r="E44" s="46">
        <v>14456</v>
      </c>
      <c r="F44" s="51">
        <v>42.551236000000003</v>
      </c>
      <c r="G44" s="5">
        <v>1.202607E-2</v>
      </c>
    </row>
    <row r="45" spans="1:7" ht="38.25" x14ac:dyDescent="0.25">
      <c r="A45" s="6">
        <v>39</v>
      </c>
      <c r="B45" s="7" t="s">
        <v>82</v>
      </c>
      <c r="C45" s="11" t="s">
        <v>83</v>
      </c>
      <c r="D45" s="2" t="s">
        <v>84</v>
      </c>
      <c r="E45" s="46">
        <v>52000</v>
      </c>
      <c r="F45" s="51">
        <v>41.262</v>
      </c>
      <c r="G45" s="5">
        <v>1.1661698999999999E-2</v>
      </c>
    </row>
    <row r="46" spans="1:7" ht="15" x14ac:dyDescent="0.25">
      <c r="A46" s="6">
        <v>40</v>
      </c>
      <c r="B46" s="7" t="s">
        <v>244</v>
      </c>
      <c r="C46" s="11" t="s">
        <v>245</v>
      </c>
      <c r="D46" s="2" t="s">
        <v>162</v>
      </c>
      <c r="E46" s="46">
        <v>7964</v>
      </c>
      <c r="F46" s="51">
        <v>41.233609999999999</v>
      </c>
      <c r="G46" s="5">
        <v>1.1653675E-2</v>
      </c>
    </row>
    <row r="47" spans="1:7" ht="25.5" x14ac:dyDescent="0.25">
      <c r="A47" s="6">
        <v>41</v>
      </c>
      <c r="B47" s="7" t="s">
        <v>276</v>
      </c>
      <c r="C47" s="11" t="s">
        <v>277</v>
      </c>
      <c r="D47" s="2" t="s">
        <v>37</v>
      </c>
      <c r="E47" s="46">
        <v>60000</v>
      </c>
      <c r="F47" s="51">
        <v>40.229999999999997</v>
      </c>
      <c r="G47" s="5">
        <v>1.1370029E-2</v>
      </c>
    </row>
    <row r="48" spans="1:7" ht="15" x14ac:dyDescent="0.25">
      <c r="A48" s="6">
        <v>42</v>
      </c>
      <c r="B48" s="7" t="s">
        <v>246</v>
      </c>
      <c r="C48" s="11" t="s">
        <v>247</v>
      </c>
      <c r="D48" s="2" t="s">
        <v>170</v>
      </c>
      <c r="E48" s="46">
        <v>17672</v>
      </c>
      <c r="F48" s="51">
        <v>39.346708</v>
      </c>
      <c r="G48" s="5">
        <v>1.1120389E-2</v>
      </c>
    </row>
    <row r="49" spans="1:7" ht="25.5" x14ac:dyDescent="0.25">
      <c r="A49" s="6">
        <v>43</v>
      </c>
      <c r="B49" s="7" t="s">
        <v>216</v>
      </c>
      <c r="C49" s="11" t="s">
        <v>217</v>
      </c>
      <c r="D49" s="2" t="s">
        <v>59</v>
      </c>
      <c r="E49" s="46">
        <v>16672</v>
      </c>
      <c r="F49" s="51">
        <v>37.737071999999998</v>
      </c>
      <c r="G49" s="5">
        <v>1.0665464E-2</v>
      </c>
    </row>
    <row r="50" spans="1:7" ht="25.5" x14ac:dyDescent="0.25">
      <c r="A50" s="6">
        <v>44</v>
      </c>
      <c r="B50" s="7" t="s">
        <v>196</v>
      </c>
      <c r="C50" s="11" t="s">
        <v>846</v>
      </c>
      <c r="D50" s="2" t="s">
        <v>59</v>
      </c>
      <c r="E50" s="46">
        <v>2285</v>
      </c>
      <c r="F50" s="51">
        <v>37.503704999999997</v>
      </c>
      <c r="G50" s="5">
        <v>1.0599509E-2</v>
      </c>
    </row>
    <row r="51" spans="1:7" ht="25.5" x14ac:dyDescent="0.25">
      <c r="A51" s="6">
        <v>45</v>
      </c>
      <c r="B51" s="7" t="s">
        <v>45</v>
      </c>
      <c r="C51" s="11" t="s">
        <v>46</v>
      </c>
      <c r="D51" s="2" t="s">
        <v>22</v>
      </c>
      <c r="E51" s="46">
        <v>6082</v>
      </c>
      <c r="F51" s="51">
        <v>37.215758000000001</v>
      </c>
      <c r="G51" s="5">
        <v>1.0518127E-2</v>
      </c>
    </row>
    <row r="52" spans="1:7" ht="15" x14ac:dyDescent="0.25">
      <c r="A52" s="6">
        <v>46</v>
      </c>
      <c r="B52" s="7" t="s">
        <v>72</v>
      </c>
      <c r="C52" s="11" t="s">
        <v>845</v>
      </c>
      <c r="D52" s="2" t="s">
        <v>51</v>
      </c>
      <c r="E52" s="46">
        <v>15702</v>
      </c>
      <c r="F52" s="51">
        <v>37.190187000000002</v>
      </c>
      <c r="G52" s="5">
        <v>1.05109E-2</v>
      </c>
    </row>
    <row r="53" spans="1:7" ht="15" x14ac:dyDescent="0.25">
      <c r="A53" s="6">
        <v>47</v>
      </c>
      <c r="B53" s="7" t="s">
        <v>254</v>
      </c>
      <c r="C53" s="11" t="s">
        <v>255</v>
      </c>
      <c r="D53" s="2" t="s">
        <v>215</v>
      </c>
      <c r="E53" s="46">
        <v>42885</v>
      </c>
      <c r="F53" s="51">
        <v>34.072132500000002</v>
      </c>
      <c r="G53" s="5">
        <v>9.6296579999999993E-3</v>
      </c>
    </row>
    <row r="54" spans="1:7" ht="15" x14ac:dyDescent="0.25">
      <c r="A54" s="6">
        <v>48</v>
      </c>
      <c r="B54" s="7" t="s">
        <v>75</v>
      </c>
      <c r="C54" s="11" t="s">
        <v>76</v>
      </c>
      <c r="D54" s="2" t="s">
        <v>51</v>
      </c>
      <c r="E54" s="46">
        <v>15303</v>
      </c>
      <c r="F54" s="51">
        <v>33.888493500000003</v>
      </c>
      <c r="G54" s="5">
        <v>9.5777569999999992E-3</v>
      </c>
    </row>
    <row r="55" spans="1:7" ht="15" x14ac:dyDescent="0.25">
      <c r="A55" s="6">
        <v>49</v>
      </c>
      <c r="B55" s="7" t="s">
        <v>222</v>
      </c>
      <c r="C55" s="11" t="s">
        <v>223</v>
      </c>
      <c r="D55" s="2" t="s">
        <v>215</v>
      </c>
      <c r="E55" s="46">
        <v>6837</v>
      </c>
      <c r="F55" s="51">
        <v>31.614287999999998</v>
      </c>
      <c r="G55" s="5">
        <v>8.9350079999999995E-3</v>
      </c>
    </row>
    <row r="56" spans="1:7" ht="15" x14ac:dyDescent="0.25">
      <c r="A56" s="6">
        <v>50</v>
      </c>
      <c r="B56" s="7" t="s">
        <v>272</v>
      </c>
      <c r="C56" s="11" t="s">
        <v>273</v>
      </c>
      <c r="D56" s="2" t="s">
        <v>170</v>
      </c>
      <c r="E56" s="46">
        <v>13432</v>
      </c>
      <c r="F56" s="51">
        <v>30.504072000000001</v>
      </c>
      <c r="G56" s="5">
        <v>8.6212330000000007E-3</v>
      </c>
    </row>
    <row r="57" spans="1:7" ht="15" x14ac:dyDescent="0.25">
      <c r="A57" s="6">
        <v>51</v>
      </c>
      <c r="B57" s="7" t="s">
        <v>283</v>
      </c>
      <c r="C57" s="11" t="s">
        <v>284</v>
      </c>
      <c r="D57" s="2" t="s">
        <v>155</v>
      </c>
      <c r="E57" s="46">
        <v>16648</v>
      </c>
      <c r="F57" s="51">
        <v>29.533552</v>
      </c>
      <c r="G57" s="5">
        <v>8.3469389999999994E-3</v>
      </c>
    </row>
    <row r="58" spans="1:7" ht="15" x14ac:dyDescent="0.25">
      <c r="A58" s="6">
        <v>52</v>
      </c>
      <c r="B58" s="7" t="s">
        <v>201</v>
      </c>
      <c r="C58" s="11" t="s">
        <v>202</v>
      </c>
      <c r="D58" s="2" t="s">
        <v>27</v>
      </c>
      <c r="E58" s="46">
        <v>52651</v>
      </c>
      <c r="F58" s="51">
        <v>29.4582345</v>
      </c>
      <c r="G58" s="5">
        <v>8.3256519999999994E-3</v>
      </c>
    </row>
    <row r="59" spans="1:7" ht="15" x14ac:dyDescent="0.25">
      <c r="A59" s="6">
        <v>53</v>
      </c>
      <c r="B59" s="7" t="s">
        <v>220</v>
      </c>
      <c r="C59" s="11" t="s">
        <v>221</v>
      </c>
      <c r="D59" s="2" t="s">
        <v>193</v>
      </c>
      <c r="E59" s="46">
        <v>15030</v>
      </c>
      <c r="F59" s="51">
        <v>28.842569999999998</v>
      </c>
      <c r="G59" s="5">
        <v>8.1516499999999999E-3</v>
      </c>
    </row>
    <row r="60" spans="1:7" ht="15" x14ac:dyDescent="0.25">
      <c r="A60" s="6">
        <v>54</v>
      </c>
      <c r="B60" s="7" t="s">
        <v>211</v>
      </c>
      <c r="C60" s="11" t="s">
        <v>212</v>
      </c>
      <c r="D60" s="2" t="s">
        <v>162</v>
      </c>
      <c r="E60" s="46">
        <v>33563</v>
      </c>
      <c r="F60" s="51">
        <v>26.682585</v>
      </c>
      <c r="G60" s="5">
        <v>7.5411829999999999E-3</v>
      </c>
    </row>
    <row r="61" spans="1:7" ht="15" x14ac:dyDescent="0.25">
      <c r="A61" s="6">
        <v>55</v>
      </c>
      <c r="B61" s="7" t="s">
        <v>209</v>
      </c>
      <c r="C61" s="11" t="s">
        <v>210</v>
      </c>
      <c r="D61" s="2" t="s">
        <v>155</v>
      </c>
      <c r="E61" s="46">
        <v>15046</v>
      </c>
      <c r="F61" s="51">
        <v>25.074159000000002</v>
      </c>
      <c r="G61" s="5">
        <v>7.0866000000000002E-3</v>
      </c>
    </row>
    <row r="62" spans="1:7" ht="15" x14ac:dyDescent="0.25">
      <c r="A62" s="6">
        <v>56</v>
      </c>
      <c r="B62" s="7" t="s">
        <v>258</v>
      </c>
      <c r="C62" s="11" t="s">
        <v>259</v>
      </c>
      <c r="D62" s="2" t="s">
        <v>193</v>
      </c>
      <c r="E62" s="46">
        <v>30096</v>
      </c>
      <c r="F62" s="51">
        <v>23.204015999999999</v>
      </c>
      <c r="G62" s="5">
        <v>6.5580500000000002E-3</v>
      </c>
    </row>
    <row r="63" spans="1:7" ht="15" x14ac:dyDescent="0.25">
      <c r="A63" s="6">
        <v>57</v>
      </c>
      <c r="B63" s="7" t="s">
        <v>224</v>
      </c>
      <c r="C63" s="11" t="s">
        <v>225</v>
      </c>
      <c r="D63" s="2" t="s">
        <v>226</v>
      </c>
      <c r="E63" s="46">
        <v>2037</v>
      </c>
      <c r="F63" s="51">
        <v>22.0495065</v>
      </c>
      <c r="G63" s="5">
        <v>6.2317559999999998E-3</v>
      </c>
    </row>
    <row r="64" spans="1:7" ht="25.5" x14ac:dyDescent="0.25">
      <c r="A64" s="6">
        <v>58</v>
      </c>
      <c r="B64" s="7" t="s">
        <v>185</v>
      </c>
      <c r="C64" s="11" t="s">
        <v>186</v>
      </c>
      <c r="D64" s="2" t="s">
        <v>59</v>
      </c>
      <c r="E64" s="46">
        <v>17026</v>
      </c>
      <c r="F64" s="51">
        <v>21.495325000000001</v>
      </c>
      <c r="G64" s="5">
        <v>6.0751299999999998E-3</v>
      </c>
    </row>
    <row r="65" spans="1:7" ht="15" x14ac:dyDescent="0.25">
      <c r="A65" s="6">
        <v>59</v>
      </c>
      <c r="B65" s="7" t="s">
        <v>102</v>
      </c>
      <c r="C65" s="11" t="s">
        <v>103</v>
      </c>
      <c r="D65" s="2" t="s">
        <v>51</v>
      </c>
      <c r="E65" s="46">
        <v>17996</v>
      </c>
      <c r="F65" s="51">
        <v>19.534658</v>
      </c>
      <c r="G65" s="5">
        <v>5.5209949999999999E-3</v>
      </c>
    </row>
    <row r="66" spans="1:7" ht="38.25" x14ac:dyDescent="0.25">
      <c r="A66" s="6">
        <v>60</v>
      </c>
      <c r="B66" s="7" t="s">
        <v>260</v>
      </c>
      <c r="C66" s="11" t="s">
        <v>261</v>
      </c>
      <c r="D66" s="2" t="s">
        <v>262</v>
      </c>
      <c r="E66" s="46">
        <v>9826</v>
      </c>
      <c r="F66" s="51">
        <v>9.0104419999999994</v>
      </c>
      <c r="G66" s="5">
        <v>2.5465819999999999E-3</v>
      </c>
    </row>
    <row r="67" spans="1:7" ht="25.5" x14ac:dyDescent="0.25">
      <c r="A67" s="6">
        <v>61</v>
      </c>
      <c r="B67" s="7" t="s">
        <v>227</v>
      </c>
      <c r="C67" s="11" t="s">
        <v>228</v>
      </c>
      <c r="D67" s="2" t="s">
        <v>173</v>
      </c>
      <c r="E67" s="46">
        <v>10966</v>
      </c>
      <c r="F67" s="51">
        <v>6.9524439999999998</v>
      </c>
      <c r="G67" s="5">
        <v>1.9649390000000002E-3</v>
      </c>
    </row>
    <row r="68" spans="1:7" ht="15" x14ac:dyDescent="0.25">
      <c r="A68" s="1"/>
      <c r="B68" s="2"/>
      <c r="C68" s="8" t="s">
        <v>104</v>
      </c>
      <c r="D68" s="12"/>
      <c r="E68" s="48"/>
      <c r="F68" s="53">
        <v>3407.7167574999999</v>
      </c>
      <c r="G68" s="13">
        <v>0.96310812600000029</v>
      </c>
    </row>
    <row r="69" spans="1:7" ht="15" x14ac:dyDescent="0.25">
      <c r="A69" s="6"/>
      <c r="B69" s="7"/>
      <c r="C69" s="14"/>
      <c r="D69" s="15"/>
      <c r="E69" s="46"/>
      <c r="F69" s="51"/>
      <c r="G69" s="5"/>
    </row>
    <row r="70" spans="1:7" ht="15" x14ac:dyDescent="0.25">
      <c r="A70" s="1"/>
      <c r="B70" s="2"/>
      <c r="C70" s="8" t="s">
        <v>105</v>
      </c>
      <c r="D70" s="9"/>
      <c r="E70" s="47"/>
      <c r="F70" s="52"/>
      <c r="G70" s="10"/>
    </row>
    <row r="71" spans="1:7" ht="15" x14ac:dyDescent="0.25">
      <c r="A71" s="1"/>
      <c r="B71" s="2"/>
      <c r="C71" s="8" t="s">
        <v>104</v>
      </c>
      <c r="D71" s="12"/>
      <c r="E71" s="48"/>
      <c r="F71" s="53">
        <v>0</v>
      </c>
      <c r="G71" s="13">
        <v>0</v>
      </c>
    </row>
    <row r="72" spans="1:7" ht="15" x14ac:dyDescent="0.25">
      <c r="A72" s="6"/>
      <c r="B72" s="7"/>
      <c r="C72" s="14"/>
      <c r="D72" s="15"/>
      <c r="E72" s="46"/>
      <c r="F72" s="51"/>
      <c r="G72" s="5"/>
    </row>
    <row r="73" spans="1:7" ht="15" x14ac:dyDescent="0.25">
      <c r="A73" s="16"/>
      <c r="B73" s="17"/>
      <c r="C73" s="8" t="s">
        <v>106</v>
      </c>
      <c r="D73" s="9"/>
      <c r="E73" s="47"/>
      <c r="F73" s="52"/>
      <c r="G73" s="10"/>
    </row>
    <row r="74" spans="1:7" ht="15" x14ac:dyDescent="0.25">
      <c r="A74" s="18"/>
      <c r="B74" s="19"/>
      <c r="C74" s="8" t="s">
        <v>104</v>
      </c>
      <c r="D74" s="20"/>
      <c r="E74" s="49"/>
      <c r="F74" s="54">
        <v>0</v>
      </c>
      <c r="G74" s="21">
        <v>0</v>
      </c>
    </row>
    <row r="75" spans="1:7" ht="15" x14ac:dyDescent="0.25">
      <c r="A75" s="18"/>
      <c r="B75" s="19"/>
      <c r="C75" s="14"/>
      <c r="D75" s="22"/>
      <c r="E75" s="50"/>
      <c r="F75" s="55"/>
      <c r="G75" s="23"/>
    </row>
    <row r="76" spans="1:7" ht="15" x14ac:dyDescent="0.25">
      <c r="A76" s="1"/>
      <c r="B76" s="2"/>
      <c r="C76" s="8" t="s">
        <v>108</v>
      </c>
      <c r="D76" s="9"/>
      <c r="E76" s="47"/>
      <c r="F76" s="52"/>
      <c r="G76" s="10"/>
    </row>
    <row r="77" spans="1:7" ht="15" x14ac:dyDescent="0.25">
      <c r="A77" s="1"/>
      <c r="B77" s="2"/>
      <c r="C77" s="8" t="s">
        <v>104</v>
      </c>
      <c r="D77" s="12"/>
      <c r="E77" s="48"/>
      <c r="F77" s="53">
        <v>0</v>
      </c>
      <c r="G77" s="13">
        <v>0</v>
      </c>
    </row>
    <row r="78" spans="1:7" ht="15" x14ac:dyDescent="0.25">
      <c r="A78" s="1"/>
      <c r="B78" s="2"/>
      <c r="C78" s="14"/>
      <c r="D78" s="4"/>
      <c r="E78" s="46"/>
      <c r="F78" s="51"/>
      <c r="G78" s="5"/>
    </row>
    <row r="79" spans="1:7" ht="15" x14ac:dyDescent="0.25">
      <c r="A79" s="1"/>
      <c r="B79" s="2"/>
      <c r="C79" s="8" t="s">
        <v>109</v>
      </c>
      <c r="D79" s="9"/>
      <c r="E79" s="47"/>
      <c r="F79" s="52"/>
      <c r="G79" s="10"/>
    </row>
    <row r="80" spans="1:7" ht="15" x14ac:dyDescent="0.25">
      <c r="A80" s="1"/>
      <c r="B80" s="2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1"/>
      <c r="B81" s="2"/>
      <c r="C81" s="14"/>
      <c r="D81" s="4"/>
      <c r="E81" s="46"/>
      <c r="F81" s="51"/>
      <c r="G81" s="5"/>
    </row>
    <row r="82" spans="1:7" ht="15" x14ac:dyDescent="0.25">
      <c r="A82" s="1"/>
      <c r="B82" s="2"/>
      <c r="C82" s="8" t="s">
        <v>110</v>
      </c>
      <c r="D82" s="9"/>
      <c r="E82" s="47"/>
      <c r="F82" s="52"/>
      <c r="G82" s="10"/>
    </row>
    <row r="83" spans="1:7" ht="15" x14ac:dyDescent="0.25">
      <c r="A83" s="1"/>
      <c r="B83" s="2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25.5" x14ac:dyDescent="0.25">
      <c r="A85" s="6"/>
      <c r="B85" s="7"/>
      <c r="C85" s="24" t="s">
        <v>111</v>
      </c>
      <c r="D85" s="25"/>
      <c r="E85" s="48"/>
      <c r="F85" s="53">
        <v>3407.7167574999999</v>
      </c>
      <c r="G85" s="13">
        <v>0.96310812600000029</v>
      </c>
    </row>
    <row r="86" spans="1:7" ht="15" x14ac:dyDescent="0.25">
      <c r="A86" s="1"/>
      <c r="B86" s="2"/>
      <c r="C86" s="11"/>
      <c r="D86" s="4"/>
      <c r="E86" s="46"/>
      <c r="F86" s="51"/>
      <c r="G86" s="5"/>
    </row>
    <row r="87" spans="1:7" ht="15" x14ac:dyDescent="0.25">
      <c r="A87" s="1"/>
      <c r="B87" s="2"/>
      <c r="C87" s="3" t="s">
        <v>112</v>
      </c>
      <c r="D87" s="4"/>
      <c r="E87" s="46"/>
      <c r="F87" s="51"/>
      <c r="G87" s="5"/>
    </row>
    <row r="88" spans="1:7" ht="25.5" x14ac:dyDescent="0.25">
      <c r="A88" s="1"/>
      <c r="B88" s="2"/>
      <c r="C88" s="8" t="s">
        <v>10</v>
      </c>
      <c r="D88" s="9"/>
      <c r="E88" s="47"/>
      <c r="F88" s="52"/>
      <c r="G88" s="10"/>
    </row>
    <row r="89" spans="1:7" ht="15" x14ac:dyDescent="0.25">
      <c r="A89" s="6"/>
      <c r="B89" s="7"/>
      <c r="C89" s="8" t="s">
        <v>104</v>
      </c>
      <c r="D89" s="12"/>
      <c r="E89" s="48"/>
      <c r="F89" s="53">
        <v>0</v>
      </c>
      <c r="G89" s="13">
        <v>0</v>
      </c>
    </row>
    <row r="90" spans="1:7" ht="15" x14ac:dyDescent="0.25">
      <c r="A90" s="6"/>
      <c r="B90" s="7"/>
      <c r="C90" s="14"/>
      <c r="D90" s="4"/>
      <c r="E90" s="46"/>
      <c r="F90" s="51"/>
      <c r="G90" s="5"/>
    </row>
    <row r="91" spans="1:7" ht="15" x14ac:dyDescent="0.25">
      <c r="A91" s="1"/>
      <c r="B91" s="26"/>
      <c r="C91" s="8" t="s">
        <v>113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12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4"/>
      <c r="E93" s="46"/>
      <c r="F93" s="56"/>
      <c r="G93" s="27"/>
    </row>
    <row r="94" spans="1:7" ht="15" x14ac:dyDescent="0.25">
      <c r="A94" s="1"/>
      <c r="B94" s="2"/>
      <c r="C94" s="8" t="s">
        <v>114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12"/>
      <c r="E95" s="48"/>
      <c r="F95" s="53">
        <v>0</v>
      </c>
      <c r="G95" s="13">
        <v>0</v>
      </c>
    </row>
    <row r="96" spans="1:7" ht="15" x14ac:dyDescent="0.25">
      <c r="A96" s="1"/>
      <c r="B96" s="2"/>
      <c r="C96" s="14"/>
      <c r="D96" s="4"/>
      <c r="E96" s="46"/>
      <c r="F96" s="51"/>
      <c r="G96" s="5"/>
    </row>
    <row r="97" spans="1:7" ht="25.5" x14ac:dyDescent="0.25">
      <c r="A97" s="1"/>
      <c r="B97" s="26"/>
      <c r="C97" s="8" t="s">
        <v>115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12"/>
      <c r="E98" s="48"/>
      <c r="F98" s="53">
        <v>0</v>
      </c>
      <c r="G98" s="13">
        <v>0</v>
      </c>
    </row>
    <row r="99" spans="1:7" ht="15" x14ac:dyDescent="0.25">
      <c r="A99" s="6"/>
      <c r="B99" s="7"/>
      <c r="C99" s="14"/>
      <c r="D99" s="4"/>
      <c r="E99" s="46"/>
      <c r="F99" s="51"/>
      <c r="G99" s="5"/>
    </row>
    <row r="100" spans="1:7" ht="15" x14ac:dyDescent="0.25">
      <c r="A100" s="6"/>
      <c r="B100" s="7"/>
      <c r="C100" s="28" t="s">
        <v>116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1"/>
      <c r="D101" s="4"/>
      <c r="E101" s="46"/>
      <c r="F101" s="51"/>
      <c r="G101" s="5"/>
    </row>
    <row r="102" spans="1:7" ht="15" x14ac:dyDescent="0.25">
      <c r="A102" s="1"/>
      <c r="B102" s="2"/>
      <c r="C102" s="3" t="s">
        <v>117</v>
      </c>
      <c r="D102" s="4"/>
      <c r="E102" s="46"/>
      <c r="F102" s="51"/>
      <c r="G102" s="5"/>
    </row>
    <row r="103" spans="1:7" ht="15" x14ac:dyDescent="0.25">
      <c r="A103" s="6"/>
      <c r="B103" s="7"/>
      <c r="C103" s="8" t="s">
        <v>118</v>
      </c>
      <c r="D103" s="9"/>
      <c r="E103" s="47"/>
      <c r="F103" s="52"/>
      <c r="G103" s="10"/>
    </row>
    <row r="104" spans="1:7" ht="15" x14ac:dyDescent="0.25">
      <c r="A104" s="6"/>
      <c r="B104" s="7"/>
      <c r="C104" s="8" t="s">
        <v>104</v>
      </c>
      <c r="D104" s="25"/>
      <c r="E104" s="48"/>
      <c r="F104" s="53">
        <v>0</v>
      </c>
      <c r="G104" s="13">
        <v>0</v>
      </c>
    </row>
    <row r="105" spans="1:7" ht="15" x14ac:dyDescent="0.25">
      <c r="A105" s="6"/>
      <c r="B105" s="7"/>
      <c r="C105" s="14"/>
      <c r="D105" s="7"/>
      <c r="E105" s="46"/>
      <c r="F105" s="51"/>
      <c r="G105" s="5"/>
    </row>
    <row r="106" spans="1:7" ht="15" x14ac:dyDescent="0.25">
      <c r="A106" s="6"/>
      <c r="B106" s="7"/>
      <c r="C106" s="8" t="s">
        <v>119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6"/>
      <c r="B109" s="7"/>
      <c r="C109" s="8" t="s">
        <v>120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15" x14ac:dyDescent="0.25">
      <c r="A112" s="6"/>
      <c r="B112" s="7"/>
      <c r="C112" s="8" t="s">
        <v>121</v>
      </c>
      <c r="D112" s="9"/>
      <c r="E112" s="47"/>
      <c r="F112" s="52"/>
      <c r="G112" s="10"/>
    </row>
    <row r="113" spans="1:7" ht="15" x14ac:dyDescent="0.25">
      <c r="A113" s="6">
        <v>1</v>
      </c>
      <c r="B113" s="7"/>
      <c r="C113" s="11" t="s">
        <v>730</v>
      </c>
      <c r="D113" s="15"/>
      <c r="E113" s="46"/>
      <c r="F113" s="51">
        <v>34.994640599999997</v>
      </c>
      <c r="G113" s="5">
        <v>9.8903830000000009E-3</v>
      </c>
    </row>
    <row r="114" spans="1:7" ht="15" x14ac:dyDescent="0.25">
      <c r="A114" s="6"/>
      <c r="B114" s="7"/>
      <c r="C114" s="8" t="s">
        <v>104</v>
      </c>
      <c r="D114" s="25"/>
      <c r="E114" s="48"/>
      <c r="F114" s="53">
        <v>34.994640599999997</v>
      </c>
      <c r="G114" s="13">
        <v>9.8903830000000009E-3</v>
      </c>
    </row>
    <row r="115" spans="1:7" ht="15" x14ac:dyDescent="0.25">
      <c r="A115" s="6"/>
      <c r="B115" s="7"/>
      <c r="C115" s="14"/>
      <c r="D115" s="7"/>
      <c r="E115" s="46"/>
      <c r="F115" s="51"/>
      <c r="G115" s="5"/>
    </row>
    <row r="116" spans="1:7" ht="25.5" x14ac:dyDescent="0.25">
      <c r="A116" s="6"/>
      <c r="B116" s="7"/>
      <c r="C116" s="24" t="s">
        <v>122</v>
      </c>
      <c r="D116" s="25"/>
      <c r="E116" s="48"/>
      <c r="F116" s="53">
        <v>34.994640599999997</v>
      </c>
      <c r="G116" s="13">
        <v>9.8903830000000009E-3</v>
      </c>
    </row>
    <row r="117" spans="1:7" ht="15" x14ac:dyDescent="0.25">
      <c r="A117" s="6"/>
      <c r="B117" s="7"/>
      <c r="C117" s="29"/>
      <c r="D117" s="7"/>
      <c r="E117" s="46"/>
      <c r="F117" s="51"/>
      <c r="G117" s="5"/>
    </row>
    <row r="118" spans="1:7" ht="15" x14ac:dyDescent="0.25">
      <c r="A118" s="1"/>
      <c r="B118" s="2"/>
      <c r="C118" s="3" t="s">
        <v>123</v>
      </c>
      <c r="D118" s="4"/>
      <c r="E118" s="46"/>
      <c r="F118" s="51"/>
      <c r="G118" s="5"/>
    </row>
    <row r="119" spans="1:7" ht="25.5" x14ac:dyDescent="0.25">
      <c r="A119" s="6"/>
      <c r="B119" s="7"/>
      <c r="C119" s="8" t="s">
        <v>124</v>
      </c>
      <c r="D119" s="9"/>
      <c r="E119" s="47"/>
      <c r="F119" s="52"/>
      <c r="G119" s="10"/>
    </row>
    <row r="120" spans="1:7" ht="15" x14ac:dyDescent="0.25">
      <c r="A120" s="6"/>
      <c r="B120" s="7"/>
      <c r="C120" s="8" t="s">
        <v>104</v>
      </c>
      <c r="D120" s="25"/>
      <c r="E120" s="48"/>
      <c r="F120" s="53">
        <v>0</v>
      </c>
      <c r="G120" s="13">
        <v>0</v>
      </c>
    </row>
    <row r="121" spans="1:7" ht="15" x14ac:dyDescent="0.25">
      <c r="A121" s="6"/>
      <c r="B121" s="7"/>
      <c r="C121" s="14"/>
      <c r="D121" s="7"/>
      <c r="E121" s="46"/>
      <c r="F121" s="51"/>
      <c r="G121" s="5"/>
    </row>
    <row r="122" spans="1:7" ht="15" x14ac:dyDescent="0.25">
      <c r="A122" s="1"/>
      <c r="B122" s="2"/>
      <c r="C122" s="3" t="s">
        <v>125</v>
      </c>
      <c r="D122" s="4"/>
      <c r="E122" s="46"/>
      <c r="F122" s="51"/>
      <c r="G122" s="5"/>
    </row>
    <row r="123" spans="1:7" ht="25.5" x14ac:dyDescent="0.25">
      <c r="A123" s="6"/>
      <c r="B123" s="7"/>
      <c r="C123" s="8" t="s">
        <v>126</v>
      </c>
      <c r="D123" s="9"/>
      <c r="E123" s="47"/>
      <c r="F123" s="52"/>
      <c r="G123" s="10"/>
    </row>
    <row r="124" spans="1:7" ht="15" x14ac:dyDescent="0.25">
      <c r="A124" s="6"/>
      <c r="B124" s="7"/>
      <c r="C124" s="8" t="s">
        <v>104</v>
      </c>
      <c r="D124" s="25"/>
      <c r="E124" s="48"/>
      <c r="F124" s="53">
        <v>0</v>
      </c>
      <c r="G124" s="13">
        <v>0</v>
      </c>
    </row>
    <row r="125" spans="1:7" ht="15" x14ac:dyDescent="0.25">
      <c r="A125" s="6"/>
      <c r="B125" s="7"/>
      <c r="C125" s="14"/>
      <c r="D125" s="7"/>
      <c r="E125" s="46"/>
      <c r="F125" s="51"/>
      <c r="G125" s="5"/>
    </row>
    <row r="126" spans="1:7" ht="25.5" x14ac:dyDescent="0.25">
      <c r="A126" s="6"/>
      <c r="B126" s="7"/>
      <c r="C126" s="8" t="s">
        <v>127</v>
      </c>
      <c r="D126" s="9"/>
      <c r="E126" s="47"/>
      <c r="F126" s="51">
        <v>88.058999999999997</v>
      </c>
      <c r="G126" s="5">
        <v>2.4887731E-2</v>
      </c>
    </row>
    <row r="127" spans="1:7" ht="15" x14ac:dyDescent="0.25">
      <c r="A127" s="6"/>
      <c r="B127" s="7"/>
      <c r="C127" s="8" t="s">
        <v>810</v>
      </c>
      <c r="D127" s="25"/>
      <c r="E127" s="48"/>
      <c r="F127" s="53">
        <v>88.058999999999997</v>
      </c>
      <c r="G127" s="13">
        <v>2.4887731E-2</v>
      </c>
    </row>
    <row r="128" spans="1:7" ht="15" x14ac:dyDescent="0.25">
      <c r="A128" s="6"/>
      <c r="B128" s="7"/>
      <c r="C128" s="14"/>
      <c r="D128" s="7"/>
      <c r="E128" s="46"/>
      <c r="F128" s="56"/>
      <c r="G128" s="27"/>
    </row>
    <row r="129" spans="1:7" ht="25.5" x14ac:dyDescent="0.25">
      <c r="A129" s="6"/>
      <c r="B129" s="7"/>
      <c r="C129" s="29" t="s">
        <v>128</v>
      </c>
      <c r="D129" s="7"/>
      <c r="E129" s="46"/>
      <c r="F129" s="56">
        <v>7.4790001100000003</v>
      </c>
      <c r="G129" s="27">
        <v>2.113757E-3</v>
      </c>
    </row>
    <row r="130" spans="1:7" ht="15" x14ac:dyDescent="0.25">
      <c r="A130" s="6"/>
      <c r="B130" s="7"/>
      <c r="C130" s="30" t="s">
        <v>129</v>
      </c>
      <c r="D130" s="12"/>
      <c r="E130" s="48"/>
      <c r="F130" s="53">
        <v>3538.24939821</v>
      </c>
      <c r="G130" s="13">
        <v>0.9999999970000002</v>
      </c>
    </row>
    <row r="132" spans="1:7" ht="15" x14ac:dyDescent="0.25">
      <c r="B132" s="279"/>
      <c r="C132" s="279"/>
      <c r="D132" s="279"/>
      <c r="E132" s="279"/>
      <c r="F132" s="279"/>
    </row>
    <row r="133" spans="1:7" ht="15" x14ac:dyDescent="0.25">
      <c r="B133" s="279"/>
      <c r="C133" s="279"/>
      <c r="D133" s="279"/>
      <c r="E133" s="279"/>
      <c r="F133" s="279"/>
    </row>
    <row r="135" spans="1:7" ht="15" x14ac:dyDescent="0.25">
      <c r="B135" s="36" t="s">
        <v>131</v>
      </c>
      <c r="C135" s="37"/>
      <c r="D135" s="38"/>
    </row>
    <row r="136" spans="1:7" ht="15" x14ac:dyDescent="0.25">
      <c r="B136" s="39" t="s">
        <v>132</v>
      </c>
      <c r="C136" s="40"/>
      <c r="D136" s="62" t="s">
        <v>133</v>
      </c>
    </row>
    <row r="137" spans="1:7" ht="15" x14ac:dyDescent="0.25">
      <c r="B137" s="39" t="s">
        <v>134</v>
      </c>
      <c r="C137" s="40"/>
      <c r="D137" s="62" t="s">
        <v>133</v>
      </c>
    </row>
    <row r="138" spans="1:7" ht="15" x14ac:dyDescent="0.25">
      <c r="B138" s="41" t="s">
        <v>135</v>
      </c>
      <c r="C138" s="40"/>
      <c r="D138" s="42"/>
    </row>
    <row r="139" spans="1:7" ht="25.5" customHeight="1" x14ac:dyDescent="0.25">
      <c r="B139" s="42"/>
      <c r="C139" s="32" t="s">
        <v>136</v>
      </c>
      <c r="D139" s="33" t="s">
        <v>137</v>
      </c>
    </row>
    <row r="140" spans="1:7" ht="12.75" customHeight="1" x14ac:dyDescent="0.25">
      <c r="B140" s="57" t="s">
        <v>138</v>
      </c>
      <c r="C140" s="58" t="s">
        <v>139</v>
      </c>
      <c r="D140" s="58" t="s">
        <v>140</v>
      </c>
    </row>
    <row r="141" spans="1:7" ht="15" x14ac:dyDescent="0.25">
      <c r="B141" s="42" t="s">
        <v>141</v>
      </c>
      <c r="C141" s="43">
        <v>8.1318999999999999</v>
      </c>
      <c r="D141" s="43">
        <v>7.0373999999999999</v>
      </c>
    </row>
    <row r="142" spans="1:7" ht="15" x14ac:dyDescent="0.25">
      <c r="B142" s="42" t="s">
        <v>142</v>
      </c>
      <c r="C142" s="43">
        <v>8.1318999999999999</v>
      </c>
      <c r="D142" s="43">
        <v>7.0373999999999999</v>
      </c>
    </row>
    <row r="143" spans="1:7" ht="15" x14ac:dyDescent="0.25">
      <c r="B143" s="42" t="s">
        <v>143</v>
      </c>
      <c r="C143" s="43">
        <v>7.8742000000000001</v>
      </c>
      <c r="D143" s="43">
        <v>6.8127000000000004</v>
      </c>
    </row>
    <row r="144" spans="1:7" ht="15" x14ac:dyDescent="0.25">
      <c r="B144" s="42" t="s">
        <v>144</v>
      </c>
      <c r="C144" s="43">
        <v>7.8742000000000001</v>
      </c>
      <c r="D144" s="43">
        <v>6.8127000000000004</v>
      </c>
    </row>
    <row r="146" spans="2:4" ht="15" x14ac:dyDescent="0.25">
      <c r="B146" s="59" t="s">
        <v>145</v>
      </c>
      <c r="C146" s="44"/>
      <c r="D146" s="60" t="s">
        <v>133</v>
      </c>
    </row>
    <row r="147" spans="2:4" ht="24.75" customHeight="1" x14ac:dyDescent="0.25">
      <c r="B147" s="61"/>
      <c r="C147" s="61"/>
    </row>
    <row r="148" spans="2:4" ht="15" x14ac:dyDescent="0.25">
      <c r="B148" s="63"/>
      <c r="C148" s="65"/>
      <c r="D148"/>
    </row>
    <row r="150" spans="2:4" ht="15" x14ac:dyDescent="0.25">
      <c r="B150" s="41" t="s">
        <v>146</v>
      </c>
      <c r="C150" s="40"/>
      <c r="D150" s="64" t="s">
        <v>133</v>
      </c>
    </row>
    <row r="151" spans="2:4" ht="15" x14ac:dyDescent="0.25">
      <c r="B151" s="41" t="s">
        <v>147</v>
      </c>
      <c r="C151" s="40"/>
      <c r="D151" s="64" t="s">
        <v>133</v>
      </c>
    </row>
    <row r="152" spans="2:4" ht="15" x14ac:dyDescent="0.25">
      <c r="B152" s="41" t="s">
        <v>148</v>
      </c>
      <c r="C152" s="40"/>
      <c r="D152" s="45">
        <v>1.1999122851200566E-2</v>
      </c>
    </row>
    <row r="153" spans="2:4" ht="15" x14ac:dyDescent="0.25">
      <c r="B153" s="41" t="s">
        <v>149</v>
      </c>
      <c r="C153" s="40"/>
      <c r="D153" s="45" t="s">
        <v>133</v>
      </c>
    </row>
  </sheetData>
  <mergeCells count="5">
    <mergeCell ref="A1:G1"/>
    <mergeCell ref="A2:G2"/>
    <mergeCell ref="A3:G3"/>
    <mergeCell ref="B132:F132"/>
    <mergeCell ref="B133:F13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V140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816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14</v>
      </c>
      <c r="C7" s="11" t="s">
        <v>15</v>
      </c>
      <c r="D7" s="2" t="s">
        <v>16</v>
      </c>
      <c r="E7" s="46">
        <v>29606</v>
      </c>
      <c r="F7" s="51">
        <v>218.018584</v>
      </c>
      <c r="G7" s="5">
        <v>4.5368837000000002E-2</v>
      </c>
    </row>
    <row r="8" spans="1:7" ht="25.5" x14ac:dyDescent="0.25">
      <c r="A8" s="6">
        <v>2</v>
      </c>
      <c r="B8" s="7" t="s">
        <v>390</v>
      </c>
      <c r="C8" s="11" t="s">
        <v>391</v>
      </c>
      <c r="D8" s="2" t="s">
        <v>162</v>
      </c>
      <c r="E8" s="46">
        <v>23892</v>
      </c>
      <c r="F8" s="51">
        <v>190.550646</v>
      </c>
      <c r="G8" s="5">
        <v>3.9652864000000003E-2</v>
      </c>
    </row>
    <row r="9" spans="1:7" ht="25.5" x14ac:dyDescent="0.25">
      <c r="A9" s="6">
        <v>3</v>
      </c>
      <c r="B9" s="7" t="s">
        <v>31</v>
      </c>
      <c r="C9" s="11" t="s">
        <v>32</v>
      </c>
      <c r="D9" s="2" t="s">
        <v>30</v>
      </c>
      <c r="E9" s="46">
        <v>17275</v>
      </c>
      <c r="F9" s="51">
        <v>189.94726249999999</v>
      </c>
      <c r="G9" s="5">
        <v>3.9527302E-2</v>
      </c>
    </row>
    <row r="10" spans="1:7" ht="15" x14ac:dyDescent="0.25">
      <c r="A10" s="6">
        <v>4</v>
      </c>
      <c r="B10" s="7" t="s">
        <v>291</v>
      </c>
      <c r="C10" s="11" t="s">
        <v>292</v>
      </c>
      <c r="D10" s="2" t="s">
        <v>238</v>
      </c>
      <c r="E10" s="46">
        <v>43120</v>
      </c>
      <c r="F10" s="51">
        <v>171.46668</v>
      </c>
      <c r="G10" s="5">
        <v>3.5681562999999999E-2</v>
      </c>
    </row>
    <row r="11" spans="1:7" ht="15" x14ac:dyDescent="0.25">
      <c r="A11" s="6">
        <v>5</v>
      </c>
      <c r="B11" s="7" t="s">
        <v>532</v>
      </c>
      <c r="C11" s="11" t="s">
        <v>533</v>
      </c>
      <c r="D11" s="2" t="s">
        <v>162</v>
      </c>
      <c r="E11" s="46">
        <v>2261</v>
      </c>
      <c r="F11" s="51">
        <v>160.48238850000001</v>
      </c>
      <c r="G11" s="5">
        <v>3.3395774000000003E-2</v>
      </c>
    </row>
    <row r="12" spans="1:7" ht="15" x14ac:dyDescent="0.25">
      <c r="A12" s="6">
        <v>6</v>
      </c>
      <c r="B12" s="7" t="s">
        <v>412</v>
      </c>
      <c r="C12" s="11" t="s">
        <v>413</v>
      </c>
      <c r="D12" s="2" t="s">
        <v>162</v>
      </c>
      <c r="E12" s="46">
        <v>4847</v>
      </c>
      <c r="F12" s="51">
        <v>157.62686350000001</v>
      </c>
      <c r="G12" s="5">
        <v>3.2801549999999999E-2</v>
      </c>
    </row>
    <row r="13" spans="1:7" ht="25.5" x14ac:dyDescent="0.25">
      <c r="A13" s="6">
        <v>7</v>
      </c>
      <c r="B13" s="7" t="s">
        <v>392</v>
      </c>
      <c r="C13" s="11" t="s">
        <v>393</v>
      </c>
      <c r="D13" s="2" t="s">
        <v>37</v>
      </c>
      <c r="E13" s="46">
        <v>12413</v>
      </c>
      <c r="F13" s="51">
        <v>149.11116250000001</v>
      </c>
      <c r="G13" s="5">
        <v>3.1029464999999999E-2</v>
      </c>
    </row>
    <row r="14" spans="1:7" ht="25.5" x14ac:dyDescent="0.25">
      <c r="A14" s="6">
        <v>8</v>
      </c>
      <c r="B14" s="7" t="s">
        <v>429</v>
      </c>
      <c r="C14" s="11" t="s">
        <v>430</v>
      </c>
      <c r="D14" s="2" t="s">
        <v>30</v>
      </c>
      <c r="E14" s="46">
        <v>12783</v>
      </c>
      <c r="F14" s="51">
        <v>146.3333925</v>
      </c>
      <c r="G14" s="5">
        <v>3.0451421999999999E-2</v>
      </c>
    </row>
    <row r="15" spans="1:7" ht="25.5" x14ac:dyDescent="0.25">
      <c r="A15" s="6">
        <v>9</v>
      </c>
      <c r="B15" s="7" t="s">
        <v>310</v>
      </c>
      <c r="C15" s="11" t="s">
        <v>311</v>
      </c>
      <c r="D15" s="2" t="s">
        <v>37</v>
      </c>
      <c r="E15" s="46">
        <v>22692</v>
      </c>
      <c r="F15" s="51">
        <v>144.97918799999999</v>
      </c>
      <c r="G15" s="5">
        <v>3.0169616999999999E-2</v>
      </c>
    </row>
    <row r="16" spans="1:7" ht="15" x14ac:dyDescent="0.25">
      <c r="A16" s="6">
        <v>10</v>
      </c>
      <c r="B16" s="7" t="s">
        <v>312</v>
      </c>
      <c r="C16" s="11" t="s">
        <v>313</v>
      </c>
      <c r="D16" s="2" t="s">
        <v>13</v>
      </c>
      <c r="E16" s="46">
        <v>74430</v>
      </c>
      <c r="F16" s="51">
        <v>144.17090999999999</v>
      </c>
      <c r="G16" s="5">
        <v>3.0001417999999998E-2</v>
      </c>
    </row>
    <row r="17" spans="1:7" ht="25.5" x14ac:dyDescent="0.25">
      <c r="A17" s="6">
        <v>11</v>
      </c>
      <c r="B17" s="7" t="s">
        <v>388</v>
      </c>
      <c r="C17" s="11" t="s">
        <v>389</v>
      </c>
      <c r="D17" s="2" t="s">
        <v>59</v>
      </c>
      <c r="E17" s="46">
        <v>56954</v>
      </c>
      <c r="F17" s="51">
        <v>130.965723</v>
      </c>
      <c r="G17" s="5">
        <v>2.7253467999999999E-2</v>
      </c>
    </row>
    <row r="18" spans="1:7" ht="25.5" x14ac:dyDescent="0.25">
      <c r="A18" s="6">
        <v>12</v>
      </c>
      <c r="B18" s="7" t="s">
        <v>406</v>
      </c>
      <c r="C18" s="11" t="s">
        <v>407</v>
      </c>
      <c r="D18" s="2" t="s">
        <v>162</v>
      </c>
      <c r="E18" s="46">
        <v>10514</v>
      </c>
      <c r="F18" s="51">
        <v>126.94077900000001</v>
      </c>
      <c r="G18" s="5">
        <v>2.6415892999999999E-2</v>
      </c>
    </row>
    <row r="19" spans="1:7" ht="25.5" x14ac:dyDescent="0.25">
      <c r="A19" s="6">
        <v>13</v>
      </c>
      <c r="B19" s="7" t="s">
        <v>306</v>
      </c>
      <c r="C19" s="11" t="s">
        <v>307</v>
      </c>
      <c r="D19" s="2" t="s">
        <v>59</v>
      </c>
      <c r="E19" s="46">
        <v>7797</v>
      </c>
      <c r="F19" s="51">
        <v>121.2004665</v>
      </c>
      <c r="G19" s="5">
        <v>2.5221356E-2</v>
      </c>
    </row>
    <row r="20" spans="1:7" ht="25.5" x14ac:dyDescent="0.25">
      <c r="A20" s="6">
        <v>14</v>
      </c>
      <c r="B20" s="7" t="s">
        <v>316</v>
      </c>
      <c r="C20" s="11" t="s">
        <v>317</v>
      </c>
      <c r="D20" s="2" t="s">
        <v>37</v>
      </c>
      <c r="E20" s="46">
        <v>45381</v>
      </c>
      <c r="F20" s="51">
        <v>114.178596</v>
      </c>
      <c r="G20" s="5">
        <v>2.3760131E-2</v>
      </c>
    </row>
    <row r="21" spans="1:7" ht="25.5" x14ac:dyDescent="0.25">
      <c r="A21" s="6">
        <v>15</v>
      </c>
      <c r="B21" s="7" t="s">
        <v>318</v>
      </c>
      <c r="C21" s="11" t="s">
        <v>319</v>
      </c>
      <c r="D21" s="2" t="s">
        <v>162</v>
      </c>
      <c r="E21" s="46">
        <v>43770</v>
      </c>
      <c r="F21" s="51">
        <v>113.648805</v>
      </c>
      <c r="G21" s="5">
        <v>2.3649883999999999E-2</v>
      </c>
    </row>
    <row r="22" spans="1:7" ht="15" x14ac:dyDescent="0.25">
      <c r="A22" s="6">
        <v>16</v>
      </c>
      <c r="B22" s="7" t="s">
        <v>303</v>
      </c>
      <c r="C22" s="11" t="s">
        <v>304</v>
      </c>
      <c r="D22" s="2" t="s">
        <v>305</v>
      </c>
      <c r="E22" s="46">
        <v>36531</v>
      </c>
      <c r="F22" s="51">
        <v>110.725461</v>
      </c>
      <c r="G22" s="5">
        <v>2.3041546999999999E-2</v>
      </c>
    </row>
    <row r="23" spans="1:7" ht="25.5" x14ac:dyDescent="0.25">
      <c r="A23" s="6">
        <v>17</v>
      </c>
      <c r="B23" s="7" t="s">
        <v>156</v>
      </c>
      <c r="C23" s="11" t="s">
        <v>157</v>
      </c>
      <c r="D23" s="2" t="s">
        <v>59</v>
      </c>
      <c r="E23" s="46">
        <v>45421</v>
      </c>
      <c r="F23" s="51">
        <v>105.740088</v>
      </c>
      <c r="G23" s="5">
        <v>2.200411E-2</v>
      </c>
    </row>
    <row r="24" spans="1:7" ht="25.5" x14ac:dyDescent="0.25">
      <c r="A24" s="6">
        <v>18</v>
      </c>
      <c r="B24" s="7" t="s">
        <v>326</v>
      </c>
      <c r="C24" s="11" t="s">
        <v>327</v>
      </c>
      <c r="D24" s="2" t="s">
        <v>37</v>
      </c>
      <c r="E24" s="46">
        <v>32997</v>
      </c>
      <c r="F24" s="51">
        <v>105.623397</v>
      </c>
      <c r="G24" s="5">
        <v>2.1979827E-2</v>
      </c>
    </row>
    <row r="25" spans="1:7" ht="15" x14ac:dyDescent="0.25">
      <c r="A25" s="6">
        <v>19</v>
      </c>
      <c r="B25" s="7" t="s">
        <v>203</v>
      </c>
      <c r="C25" s="11" t="s">
        <v>204</v>
      </c>
      <c r="D25" s="2" t="s">
        <v>81</v>
      </c>
      <c r="E25" s="46">
        <v>97206</v>
      </c>
      <c r="F25" s="51">
        <v>104.690862</v>
      </c>
      <c r="G25" s="5">
        <v>2.1785769999999999E-2</v>
      </c>
    </row>
    <row r="26" spans="1:7" ht="15" x14ac:dyDescent="0.25">
      <c r="A26" s="6">
        <v>20</v>
      </c>
      <c r="B26" s="7" t="s">
        <v>534</v>
      </c>
      <c r="C26" s="11" t="s">
        <v>535</v>
      </c>
      <c r="D26" s="2" t="s">
        <v>51</v>
      </c>
      <c r="E26" s="46">
        <v>18791</v>
      </c>
      <c r="F26" s="51">
        <v>103.275336</v>
      </c>
      <c r="G26" s="5">
        <v>2.1491204E-2</v>
      </c>
    </row>
    <row r="27" spans="1:7" ht="51" x14ac:dyDescent="0.25">
      <c r="A27" s="6">
        <v>21</v>
      </c>
      <c r="B27" s="7" t="s">
        <v>320</v>
      </c>
      <c r="C27" s="11" t="s">
        <v>321</v>
      </c>
      <c r="D27" s="2" t="s">
        <v>235</v>
      </c>
      <c r="E27" s="46">
        <v>60895</v>
      </c>
      <c r="F27" s="51">
        <v>100.8725675</v>
      </c>
      <c r="G27" s="5">
        <v>2.0991197E-2</v>
      </c>
    </row>
    <row r="28" spans="1:7" ht="25.5" x14ac:dyDescent="0.25">
      <c r="A28" s="6">
        <v>22</v>
      </c>
      <c r="B28" s="7" t="s">
        <v>17</v>
      </c>
      <c r="C28" s="11" t="s">
        <v>18</v>
      </c>
      <c r="D28" s="2" t="s">
        <v>19</v>
      </c>
      <c r="E28" s="46">
        <v>6909</v>
      </c>
      <c r="F28" s="51">
        <v>95.848557</v>
      </c>
      <c r="G28" s="5">
        <v>1.994572E-2</v>
      </c>
    </row>
    <row r="29" spans="1:7" ht="25.5" x14ac:dyDescent="0.25">
      <c r="A29" s="6">
        <v>23</v>
      </c>
      <c r="B29" s="7" t="s">
        <v>297</v>
      </c>
      <c r="C29" s="11" t="s">
        <v>298</v>
      </c>
      <c r="D29" s="2" t="s">
        <v>238</v>
      </c>
      <c r="E29" s="46">
        <v>49383</v>
      </c>
      <c r="F29" s="51">
        <v>92.963497500000003</v>
      </c>
      <c r="G29" s="5">
        <v>1.9345350000000001E-2</v>
      </c>
    </row>
    <row r="30" spans="1:7" ht="15" x14ac:dyDescent="0.25">
      <c r="A30" s="6">
        <v>24</v>
      </c>
      <c r="B30" s="7" t="s">
        <v>363</v>
      </c>
      <c r="C30" s="11" t="s">
        <v>364</v>
      </c>
      <c r="D30" s="2" t="s">
        <v>365</v>
      </c>
      <c r="E30" s="46">
        <v>3005</v>
      </c>
      <c r="F30" s="51">
        <v>92.196404999999999</v>
      </c>
      <c r="G30" s="5">
        <v>1.9185720999999999E-2</v>
      </c>
    </row>
    <row r="31" spans="1:7" ht="25.5" x14ac:dyDescent="0.25">
      <c r="A31" s="6">
        <v>25</v>
      </c>
      <c r="B31" s="7" t="s">
        <v>308</v>
      </c>
      <c r="C31" s="11" t="s">
        <v>309</v>
      </c>
      <c r="D31" s="2" t="s">
        <v>22</v>
      </c>
      <c r="E31" s="46">
        <v>2143</v>
      </c>
      <c r="F31" s="51">
        <v>89.580614499999996</v>
      </c>
      <c r="G31" s="5">
        <v>1.8641385E-2</v>
      </c>
    </row>
    <row r="32" spans="1:7" ht="15" x14ac:dyDescent="0.25">
      <c r="A32" s="6">
        <v>26</v>
      </c>
      <c r="B32" s="7" t="s">
        <v>338</v>
      </c>
      <c r="C32" s="11" t="s">
        <v>339</v>
      </c>
      <c r="D32" s="2" t="s">
        <v>162</v>
      </c>
      <c r="E32" s="46">
        <v>21095</v>
      </c>
      <c r="F32" s="51">
        <v>88.008340000000004</v>
      </c>
      <c r="G32" s="5">
        <v>1.8314200999999999E-2</v>
      </c>
    </row>
    <row r="33" spans="1:7" ht="15" x14ac:dyDescent="0.25">
      <c r="A33" s="6">
        <v>27</v>
      </c>
      <c r="B33" s="7" t="s">
        <v>366</v>
      </c>
      <c r="C33" s="11" t="s">
        <v>367</v>
      </c>
      <c r="D33" s="2" t="s">
        <v>162</v>
      </c>
      <c r="E33" s="46">
        <v>86029</v>
      </c>
      <c r="F33" s="51">
        <v>85.211724500000003</v>
      </c>
      <c r="G33" s="5">
        <v>1.7732234999999999E-2</v>
      </c>
    </row>
    <row r="34" spans="1:7" ht="15" x14ac:dyDescent="0.25">
      <c r="A34" s="6">
        <v>28</v>
      </c>
      <c r="B34" s="7" t="s">
        <v>330</v>
      </c>
      <c r="C34" s="11" t="s">
        <v>331</v>
      </c>
      <c r="D34" s="2" t="s">
        <v>215</v>
      </c>
      <c r="E34" s="46">
        <v>5581</v>
      </c>
      <c r="F34" s="51">
        <v>80.425000499999996</v>
      </c>
      <c r="G34" s="5">
        <v>1.6736135999999999E-2</v>
      </c>
    </row>
    <row r="35" spans="1:7" ht="25.5" x14ac:dyDescent="0.25">
      <c r="A35" s="6">
        <v>29</v>
      </c>
      <c r="B35" s="7" t="s">
        <v>536</v>
      </c>
      <c r="C35" s="11" t="s">
        <v>537</v>
      </c>
      <c r="D35" s="2" t="s">
        <v>19</v>
      </c>
      <c r="E35" s="46">
        <v>537345</v>
      </c>
      <c r="F35" s="51">
        <v>80.333077500000002</v>
      </c>
      <c r="G35" s="5">
        <v>1.6717007999999998E-2</v>
      </c>
    </row>
    <row r="36" spans="1:7" ht="15" x14ac:dyDescent="0.25">
      <c r="A36" s="6">
        <v>30</v>
      </c>
      <c r="B36" s="7" t="s">
        <v>322</v>
      </c>
      <c r="C36" s="11" t="s">
        <v>323</v>
      </c>
      <c r="D36" s="2" t="s">
        <v>162</v>
      </c>
      <c r="E36" s="46">
        <v>15493</v>
      </c>
      <c r="F36" s="51">
        <v>80.315712000000005</v>
      </c>
      <c r="G36" s="5">
        <v>1.6713393999999999E-2</v>
      </c>
    </row>
    <row r="37" spans="1:7" ht="15" x14ac:dyDescent="0.25">
      <c r="A37" s="6">
        <v>31</v>
      </c>
      <c r="B37" s="7" t="s">
        <v>60</v>
      </c>
      <c r="C37" s="11" t="s">
        <v>61</v>
      </c>
      <c r="D37" s="2" t="s">
        <v>16</v>
      </c>
      <c r="E37" s="46">
        <v>8058</v>
      </c>
      <c r="F37" s="51">
        <v>77.840280000000007</v>
      </c>
      <c r="G37" s="5">
        <v>1.6198265999999999E-2</v>
      </c>
    </row>
    <row r="38" spans="1:7" ht="15" x14ac:dyDescent="0.25">
      <c r="A38" s="6">
        <v>32</v>
      </c>
      <c r="B38" s="7" t="s">
        <v>299</v>
      </c>
      <c r="C38" s="11" t="s">
        <v>300</v>
      </c>
      <c r="D38" s="2" t="s">
        <v>13</v>
      </c>
      <c r="E38" s="46">
        <v>80284</v>
      </c>
      <c r="F38" s="51">
        <v>74.182416000000003</v>
      </c>
      <c r="G38" s="5">
        <v>1.5437078E-2</v>
      </c>
    </row>
    <row r="39" spans="1:7" ht="15" x14ac:dyDescent="0.25">
      <c r="A39" s="6">
        <v>33</v>
      </c>
      <c r="B39" s="7" t="s">
        <v>314</v>
      </c>
      <c r="C39" s="11" t="s">
        <v>315</v>
      </c>
      <c r="D39" s="2" t="s">
        <v>170</v>
      </c>
      <c r="E39" s="46">
        <v>1214</v>
      </c>
      <c r="F39" s="51">
        <v>73.754142000000002</v>
      </c>
      <c r="G39" s="5">
        <v>1.5347955999999999E-2</v>
      </c>
    </row>
    <row r="40" spans="1:7" ht="25.5" x14ac:dyDescent="0.25">
      <c r="A40" s="6">
        <v>34</v>
      </c>
      <c r="B40" s="7" t="s">
        <v>357</v>
      </c>
      <c r="C40" s="11" t="s">
        <v>358</v>
      </c>
      <c r="D40" s="2" t="s">
        <v>162</v>
      </c>
      <c r="E40" s="46">
        <v>23874</v>
      </c>
      <c r="F40" s="51">
        <v>72.767951999999994</v>
      </c>
      <c r="G40" s="5">
        <v>1.5142734E-2</v>
      </c>
    </row>
    <row r="41" spans="1:7" ht="15" x14ac:dyDescent="0.25">
      <c r="A41" s="6">
        <v>35</v>
      </c>
      <c r="B41" s="7" t="s">
        <v>508</v>
      </c>
      <c r="C41" s="11" t="s">
        <v>509</v>
      </c>
      <c r="D41" s="2" t="s">
        <v>269</v>
      </c>
      <c r="E41" s="46">
        <v>7602</v>
      </c>
      <c r="F41" s="51">
        <v>69.223811999999995</v>
      </c>
      <c r="G41" s="5">
        <v>1.4405212000000001E-2</v>
      </c>
    </row>
    <row r="42" spans="1:7" ht="25.5" x14ac:dyDescent="0.25">
      <c r="A42" s="6">
        <v>36</v>
      </c>
      <c r="B42" s="7" t="s">
        <v>476</v>
      </c>
      <c r="C42" s="11" t="s">
        <v>477</v>
      </c>
      <c r="D42" s="2" t="s">
        <v>42</v>
      </c>
      <c r="E42" s="46">
        <v>52944</v>
      </c>
      <c r="F42" s="51">
        <v>64.221072000000007</v>
      </c>
      <c r="G42" s="5">
        <v>1.3364160999999999E-2</v>
      </c>
    </row>
    <row r="43" spans="1:7" ht="25.5" x14ac:dyDescent="0.25">
      <c r="A43" s="6">
        <v>37</v>
      </c>
      <c r="B43" s="7" t="s">
        <v>293</v>
      </c>
      <c r="C43" s="11" t="s">
        <v>294</v>
      </c>
      <c r="D43" s="2" t="s">
        <v>167</v>
      </c>
      <c r="E43" s="46">
        <v>4646</v>
      </c>
      <c r="F43" s="51">
        <v>62.795335999999999</v>
      </c>
      <c r="G43" s="5">
        <v>1.3067469999999999E-2</v>
      </c>
    </row>
    <row r="44" spans="1:7" ht="15" x14ac:dyDescent="0.25">
      <c r="A44" s="6">
        <v>38</v>
      </c>
      <c r="B44" s="7" t="s">
        <v>54</v>
      </c>
      <c r="C44" s="11" t="s">
        <v>55</v>
      </c>
      <c r="D44" s="2" t="s">
        <v>56</v>
      </c>
      <c r="E44" s="46">
        <v>46114</v>
      </c>
      <c r="F44" s="51">
        <v>62.300013999999997</v>
      </c>
      <c r="G44" s="5">
        <v>1.2964396E-2</v>
      </c>
    </row>
    <row r="45" spans="1:7" ht="15" x14ac:dyDescent="0.25">
      <c r="A45" s="6">
        <v>39</v>
      </c>
      <c r="B45" s="7" t="s">
        <v>295</v>
      </c>
      <c r="C45" s="11" t="s">
        <v>296</v>
      </c>
      <c r="D45" s="2" t="s">
        <v>170</v>
      </c>
      <c r="E45" s="46">
        <v>2684</v>
      </c>
      <c r="F45" s="51">
        <v>56.938375999999998</v>
      </c>
      <c r="G45" s="5">
        <v>1.1848658999999999E-2</v>
      </c>
    </row>
    <row r="46" spans="1:7" ht="15" x14ac:dyDescent="0.25">
      <c r="A46" s="6">
        <v>40</v>
      </c>
      <c r="B46" s="7" t="s">
        <v>264</v>
      </c>
      <c r="C46" s="11" t="s">
        <v>265</v>
      </c>
      <c r="D46" s="2" t="s">
        <v>162</v>
      </c>
      <c r="E46" s="46">
        <v>82442</v>
      </c>
      <c r="F46" s="51">
        <v>55.194918999999999</v>
      </c>
      <c r="G46" s="5">
        <v>1.1485853000000001E-2</v>
      </c>
    </row>
    <row r="47" spans="1:7" ht="15" x14ac:dyDescent="0.25">
      <c r="A47" s="6">
        <v>41</v>
      </c>
      <c r="B47" s="7" t="s">
        <v>336</v>
      </c>
      <c r="C47" s="11" t="s">
        <v>337</v>
      </c>
      <c r="D47" s="2" t="s">
        <v>184</v>
      </c>
      <c r="E47" s="46">
        <v>11986</v>
      </c>
      <c r="F47" s="51">
        <v>52.588574999999999</v>
      </c>
      <c r="G47" s="5">
        <v>1.0943481999999999E-2</v>
      </c>
    </row>
    <row r="48" spans="1:7" ht="15" x14ac:dyDescent="0.25">
      <c r="A48" s="6">
        <v>42</v>
      </c>
      <c r="B48" s="7" t="s">
        <v>538</v>
      </c>
      <c r="C48" s="11" t="s">
        <v>539</v>
      </c>
      <c r="D48" s="2" t="s">
        <v>170</v>
      </c>
      <c r="E48" s="46">
        <v>43406</v>
      </c>
      <c r="F48" s="51">
        <v>46.335904999999997</v>
      </c>
      <c r="G48" s="5">
        <v>9.6423250000000002E-3</v>
      </c>
    </row>
    <row r="49" spans="1:7" ht="15" x14ac:dyDescent="0.25">
      <c r="A49" s="6">
        <v>43</v>
      </c>
      <c r="B49" s="7" t="s">
        <v>359</v>
      </c>
      <c r="C49" s="11" t="s">
        <v>360</v>
      </c>
      <c r="D49" s="2" t="s">
        <v>27</v>
      </c>
      <c r="E49" s="46">
        <v>74332</v>
      </c>
      <c r="F49" s="51">
        <v>45.008026000000001</v>
      </c>
      <c r="G49" s="5">
        <v>9.3659989999999999E-3</v>
      </c>
    </row>
    <row r="50" spans="1:7" ht="15" x14ac:dyDescent="0.25">
      <c r="A50" s="6">
        <v>44</v>
      </c>
      <c r="B50" s="7" t="s">
        <v>361</v>
      </c>
      <c r="C50" s="11" t="s">
        <v>362</v>
      </c>
      <c r="D50" s="2" t="s">
        <v>162</v>
      </c>
      <c r="E50" s="46">
        <v>15664</v>
      </c>
      <c r="F50" s="51">
        <v>34.163184000000001</v>
      </c>
      <c r="G50" s="5">
        <v>7.1092289999999999E-3</v>
      </c>
    </row>
    <row r="51" spans="1:7" ht="15" x14ac:dyDescent="0.25">
      <c r="A51" s="6">
        <v>45</v>
      </c>
      <c r="B51" s="7" t="s">
        <v>373</v>
      </c>
      <c r="C51" s="11" t="s">
        <v>374</v>
      </c>
      <c r="D51" s="2" t="s">
        <v>13</v>
      </c>
      <c r="E51" s="46">
        <v>54010</v>
      </c>
      <c r="F51" s="51">
        <v>33.972290000000001</v>
      </c>
      <c r="G51" s="5">
        <v>7.0695039999999999E-3</v>
      </c>
    </row>
    <row r="52" spans="1:7" ht="15" x14ac:dyDescent="0.25">
      <c r="A52" s="6">
        <v>46</v>
      </c>
      <c r="B52" s="7" t="s">
        <v>375</v>
      </c>
      <c r="C52" s="11" t="s">
        <v>376</v>
      </c>
      <c r="D52" s="2" t="s">
        <v>162</v>
      </c>
      <c r="E52" s="46">
        <v>667</v>
      </c>
      <c r="F52" s="51">
        <v>7.1232598500000002</v>
      </c>
      <c r="G52" s="5">
        <v>1.482323E-3</v>
      </c>
    </row>
    <row r="53" spans="1:7" ht="15" x14ac:dyDescent="0.25">
      <c r="A53" s="6">
        <v>47</v>
      </c>
      <c r="B53" s="7" t="s">
        <v>377</v>
      </c>
      <c r="C53" s="11" t="s">
        <v>378</v>
      </c>
      <c r="D53" s="2" t="s">
        <v>162</v>
      </c>
      <c r="E53" s="46">
        <v>4670</v>
      </c>
      <c r="F53" s="51">
        <v>5.5129349999999997</v>
      </c>
      <c r="G53" s="5">
        <v>1.1472209999999999E-3</v>
      </c>
    </row>
    <row r="54" spans="1:7" ht="15" x14ac:dyDescent="0.25">
      <c r="A54" s="6">
        <v>48</v>
      </c>
      <c r="B54" s="7" t="s">
        <v>379</v>
      </c>
      <c r="C54" s="11" t="s">
        <v>380</v>
      </c>
      <c r="D54" s="2" t="s">
        <v>162</v>
      </c>
      <c r="E54" s="46">
        <v>4670</v>
      </c>
      <c r="F54" s="51">
        <v>1.0178265</v>
      </c>
      <c r="G54" s="5">
        <v>2.1180600000000001E-4</v>
      </c>
    </row>
    <row r="55" spans="1:7" ht="15" x14ac:dyDescent="0.25">
      <c r="A55" s="1"/>
      <c r="B55" s="2"/>
      <c r="C55" s="8" t="s">
        <v>104</v>
      </c>
      <c r="D55" s="12"/>
      <c r="E55" s="48"/>
      <c r="F55" s="53">
        <v>4590.3724073500007</v>
      </c>
      <c r="G55" s="13">
        <v>0.95523902300000008</v>
      </c>
    </row>
    <row r="56" spans="1:7" ht="15" x14ac:dyDescent="0.25">
      <c r="A56" s="6"/>
      <c r="B56" s="7"/>
      <c r="C56" s="14"/>
      <c r="D56" s="15"/>
      <c r="E56" s="46"/>
      <c r="F56" s="51"/>
      <c r="G56" s="5"/>
    </row>
    <row r="57" spans="1:7" ht="15" x14ac:dyDescent="0.25">
      <c r="A57" s="1"/>
      <c r="B57" s="2"/>
      <c r="C57" s="8" t="s">
        <v>105</v>
      </c>
      <c r="D57" s="9"/>
      <c r="E57" s="47"/>
      <c r="F57" s="52"/>
      <c r="G57" s="10"/>
    </row>
    <row r="58" spans="1:7" ht="15" x14ac:dyDescent="0.25">
      <c r="A58" s="1"/>
      <c r="B58" s="2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6"/>
      <c r="B59" s="7"/>
      <c r="C59" s="14"/>
      <c r="D59" s="15"/>
      <c r="E59" s="46"/>
      <c r="F59" s="51"/>
      <c r="G59" s="5"/>
    </row>
    <row r="60" spans="1:7" ht="15" x14ac:dyDescent="0.25">
      <c r="A60" s="16"/>
      <c r="B60" s="17"/>
      <c r="C60" s="8" t="s">
        <v>106</v>
      </c>
      <c r="D60" s="9"/>
      <c r="E60" s="47"/>
      <c r="F60" s="52"/>
      <c r="G60" s="10"/>
    </row>
    <row r="61" spans="1:7" ht="15" x14ac:dyDescent="0.25">
      <c r="A61" s="18"/>
      <c r="B61" s="19"/>
      <c r="C61" s="8" t="s">
        <v>104</v>
      </c>
      <c r="D61" s="20"/>
      <c r="E61" s="49"/>
      <c r="F61" s="54">
        <v>0</v>
      </c>
      <c r="G61" s="21">
        <v>0</v>
      </c>
    </row>
    <row r="62" spans="1:7" ht="15" x14ac:dyDescent="0.25">
      <c r="A62" s="18"/>
      <c r="B62" s="19"/>
      <c r="C62" s="14"/>
      <c r="D62" s="22"/>
      <c r="E62" s="50"/>
      <c r="F62" s="55"/>
      <c r="G62" s="23"/>
    </row>
    <row r="63" spans="1:7" ht="15" x14ac:dyDescent="0.25">
      <c r="A63" s="1"/>
      <c r="B63" s="2"/>
      <c r="C63" s="8" t="s">
        <v>108</v>
      </c>
      <c r="D63" s="9"/>
      <c r="E63" s="47"/>
      <c r="F63" s="52"/>
      <c r="G63" s="10"/>
    </row>
    <row r="64" spans="1:7" ht="15" x14ac:dyDescent="0.25">
      <c r="A64" s="1"/>
      <c r="B64" s="2"/>
      <c r="C64" s="8" t="s">
        <v>104</v>
      </c>
      <c r="D64" s="12"/>
      <c r="E64" s="48"/>
      <c r="F64" s="53">
        <v>0</v>
      </c>
      <c r="G64" s="13">
        <v>0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15" x14ac:dyDescent="0.25">
      <c r="A66" s="1"/>
      <c r="B66" s="2"/>
      <c r="C66" s="8" t="s">
        <v>109</v>
      </c>
      <c r="D66" s="9"/>
      <c r="E66" s="47"/>
      <c r="F66" s="52"/>
      <c r="G66" s="10"/>
    </row>
    <row r="67" spans="1:7" ht="15" x14ac:dyDescent="0.25">
      <c r="A67" s="1"/>
      <c r="B67" s="2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1"/>
      <c r="B68" s="2"/>
      <c r="C68" s="14"/>
      <c r="D68" s="4"/>
      <c r="E68" s="46"/>
      <c r="F68" s="51"/>
      <c r="G68" s="5"/>
    </row>
    <row r="69" spans="1:7" ht="15" x14ac:dyDescent="0.25">
      <c r="A69" s="1"/>
      <c r="B69" s="2"/>
      <c r="C69" s="8" t="s">
        <v>110</v>
      </c>
      <c r="D69" s="9"/>
      <c r="E69" s="47"/>
      <c r="F69" s="52"/>
      <c r="G69" s="10"/>
    </row>
    <row r="70" spans="1:7" ht="15" x14ac:dyDescent="0.25">
      <c r="A70" s="1"/>
      <c r="B70" s="2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1"/>
      <c r="B71" s="2"/>
      <c r="C71" s="14"/>
      <c r="D71" s="4"/>
      <c r="E71" s="46"/>
      <c r="F71" s="51"/>
      <c r="G71" s="5"/>
    </row>
    <row r="72" spans="1:7" ht="25.5" x14ac:dyDescent="0.25">
      <c r="A72" s="6"/>
      <c r="B72" s="7"/>
      <c r="C72" s="24" t="s">
        <v>111</v>
      </c>
      <c r="D72" s="25"/>
      <c r="E72" s="48"/>
      <c r="F72" s="53">
        <v>4590.3724073500007</v>
      </c>
      <c r="G72" s="13">
        <v>0.95523902300000008</v>
      </c>
    </row>
    <row r="73" spans="1:7" ht="15" x14ac:dyDescent="0.25">
      <c r="A73" s="1"/>
      <c r="B73" s="2"/>
      <c r="C73" s="11"/>
      <c r="D73" s="4"/>
      <c r="E73" s="46"/>
      <c r="F73" s="51"/>
      <c r="G73" s="5"/>
    </row>
    <row r="74" spans="1:7" ht="15" x14ac:dyDescent="0.25">
      <c r="A74" s="1"/>
      <c r="B74" s="2"/>
      <c r="C74" s="3" t="s">
        <v>112</v>
      </c>
      <c r="D74" s="4"/>
      <c r="E74" s="46"/>
      <c r="F74" s="51"/>
      <c r="G74" s="5"/>
    </row>
    <row r="75" spans="1:7" ht="25.5" x14ac:dyDescent="0.25">
      <c r="A75" s="1"/>
      <c r="B75" s="2"/>
      <c r="C75" s="8" t="s">
        <v>10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6"/>
      <c r="B77" s="7"/>
      <c r="C77" s="14"/>
      <c r="D77" s="4"/>
      <c r="E77" s="46"/>
      <c r="F77" s="51"/>
      <c r="G77" s="5"/>
    </row>
    <row r="78" spans="1:7" ht="15" x14ac:dyDescent="0.25">
      <c r="A78" s="1"/>
      <c r="B78" s="26"/>
      <c r="C78" s="8" t="s">
        <v>113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6"/>
      <c r="G80" s="27"/>
    </row>
    <row r="81" spans="1:7" ht="15" x14ac:dyDescent="0.25">
      <c r="A81" s="1"/>
      <c r="B81" s="2"/>
      <c r="C81" s="8" t="s">
        <v>114</v>
      </c>
      <c r="D81" s="9"/>
      <c r="E81" s="47"/>
      <c r="F81" s="52"/>
      <c r="G81" s="10"/>
    </row>
    <row r="82" spans="1:7" ht="15" x14ac:dyDescent="0.25">
      <c r="A82" s="6"/>
      <c r="B82" s="7"/>
      <c r="C82" s="8" t="s">
        <v>104</v>
      </c>
      <c r="D82" s="12"/>
      <c r="E82" s="48"/>
      <c r="F82" s="53">
        <v>0</v>
      </c>
      <c r="G82" s="13">
        <v>0</v>
      </c>
    </row>
    <row r="83" spans="1:7" ht="15" x14ac:dyDescent="0.25">
      <c r="A83" s="1"/>
      <c r="B83" s="2"/>
      <c r="C83" s="14"/>
      <c r="D83" s="4"/>
      <c r="E83" s="46"/>
      <c r="F83" s="51"/>
      <c r="G83" s="5"/>
    </row>
    <row r="84" spans="1:7" ht="25.5" x14ac:dyDescent="0.25">
      <c r="A84" s="1"/>
      <c r="B84" s="26"/>
      <c r="C84" s="8" t="s">
        <v>115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4"/>
      <c r="E86" s="46"/>
      <c r="F86" s="51"/>
      <c r="G86" s="5"/>
    </row>
    <row r="87" spans="1:7" ht="15" x14ac:dyDescent="0.25">
      <c r="A87" s="6"/>
      <c r="B87" s="7"/>
      <c r="C87" s="28" t="s">
        <v>116</v>
      </c>
      <c r="D87" s="25"/>
      <c r="E87" s="48"/>
      <c r="F87" s="53">
        <v>0</v>
      </c>
      <c r="G87" s="13">
        <v>0</v>
      </c>
    </row>
    <row r="88" spans="1:7" ht="15" x14ac:dyDescent="0.25">
      <c r="A88" s="6"/>
      <c r="B88" s="7"/>
      <c r="C88" s="11"/>
      <c r="D88" s="4"/>
      <c r="E88" s="46"/>
      <c r="F88" s="51"/>
      <c r="G88" s="5"/>
    </row>
    <row r="89" spans="1:7" ht="15" x14ac:dyDescent="0.25">
      <c r="A89" s="1"/>
      <c r="B89" s="2"/>
      <c r="C89" s="3" t="s">
        <v>117</v>
      </c>
      <c r="D89" s="4"/>
      <c r="E89" s="46"/>
      <c r="F89" s="51"/>
      <c r="G89" s="5"/>
    </row>
    <row r="90" spans="1:7" ht="15" x14ac:dyDescent="0.25">
      <c r="A90" s="6"/>
      <c r="B90" s="7"/>
      <c r="C90" s="8" t="s">
        <v>118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119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25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15" x14ac:dyDescent="0.25">
      <c r="A96" s="6"/>
      <c r="B96" s="7"/>
      <c r="C96" s="8" t="s">
        <v>120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25"/>
      <c r="E97" s="48"/>
      <c r="F97" s="53">
        <v>0</v>
      </c>
      <c r="G97" s="13">
        <v>0</v>
      </c>
    </row>
    <row r="98" spans="1:7" ht="15" x14ac:dyDescent="0.25">
      <c r="A98" s="6"/>
      <c r="B98" s="7"/>
      <c r="C98" s="14"/>
      <c r="D98" s="7"/>
      <c r="E98" s="46"/>
      <c r="F98" s="51"/>
      <c r="G98" s="5"/>
    </row>
    <row r="99" spans="1:7" ht="15" x14ac:dyDescent="0.25">
      <c r="A99" s="6"/>
      <c r="B99" s="7"/>
      <c r="C99" s="8" t="s">
        <v>121</v>
      </c>
      <c r="D99" s="9"/>
      <c r="E99" s="47"/>
      <c r="F99" s="52"/>
      <c r="G99" s="10"/>
    </row>
    <row r="100" spans="1:7" ht="15" x14ac:dyDescent="0.25">
      <c r="A100" s="6">
        <v>1</v>
      </c>
      <c r="B100" s="7"/>
      <c r="C100" s="11" t="s">
        <v>730</v>
      </c>
      <c r="D100" s="15"/>
      <c r="E100" s="46"/>
      <c r="F100" s="51">
        <v>209.9678433</v>
      </c>
      <c r="G100" s="5">
        <v>4.3693508999999998E-2</v>
      </c>
    </row>
    <row r="101" spans="1:7" ht="15" x14ac:dyDescent="0.25">
      <c r="A101" s="6"/>
      <c r="B101" s="7"/>
      <c r="C101" s="8" t="s">
        <v>104</v>
      </c>
      <c r="D101" s="25"/>
      <c r="E101" s="48"/>
      <c r="F101" s="53">
        <v>209.9678433</v>
      </c>
      <c r="G101" s="13">
        <v>4.3693508999999998E-2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25.5" x14ac:dyDescent="0.25">
      <c r="A103" s="6"/>
      <c r="B103" s="7"/>
      <c r="C103" s="24" t="s">
        <v>122</v>
      </c>
      <c r="D103" s="25"/>
      <c r="E103" s="48"/>
      <c r="F103" s="53">
        <v>209.9678433</v>
      </c>
      <c r="G103" s="13">
        <v>4.3693508999999998E-2</v>
      </c>
    </row>
    <row r="104" spans="1:7" ht="15" x14ac:dyDescent="0.25">
      <c r="A104" s="6"/>
      <c r="B104" s="7"/>
      <c r="C104" s="29"/>
      <c r="D104" s="7"/>
      <c r="E104" s="46"/>
      <c r="F104" s="51"/>
      <c r="G104" s="5"/>
    </row>
    <row r="105" spans="1:7" ht="15" x14ac:dyDescent="0.25">
      <c r="A105" s="1"/>
      <c r="B105" s="2"/>
      <c r="C105" s="3" t="s">
        <v>123</v>
      </c>
      <c r="D105" s="4"/>
      <c r="E105" s="46"/>
      <c r="F105" s="51"/>
      <c r="G105" s="5"/>
    </row>
    <row r="106" spans="1:7" ht="25.5" x14ac:dyDescent="0.25">
      <c r="A106" s="6"/>
      <c r="B106" s="7"/>
      <c r="C106" s="8" t="s">
        <v>124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1"/>
      <c r="B109" s="2"/>
      <c r="C109" s="3" t="s">
        <v>125</v>
      </c>
      <c r="D109" s="4"/>
      <c r="E109" s="46"/>
      <c r="F109" s="51"/>
      <c r="G109" s="5"/>
    </row>
    <row r="110" spans="1:7" ht="25.5" x14ac:dyDescent="0.25">
      <c r="A110" s="6"/>
      <c r="B110" s="7"/>
      <c r="C110" s="8" t="s">
        <v>126</v>
      </c>
      <c r="D110" s="9"/>
      <c r="E110" s="47"/>
      <c r="F110" s="52"/>
      <c r="G110" s="10"/>
    </row>
    <row r="111" spans="1:7" ht="15" x14ac:dyDescent="0.25">
      <c r="A111" s="6"/>
      <c r="B111" s="7"/>
      <c r="C111" s="8" t="s">
        <v>104</v>
      </c>
      <c r="D111" s="25"/>
      <c r="E111" s="48"/>
      <c r="F111" s="53">
        <v>0</v>
      </c>
      <c r="G111" s="13">
        <v>0</v>
      </c>
    </row>
    <row r="112" spans="1:7" ht="15" x14ac:dyDescent="0.25">
      <c r="A112" s="6"/>
      <c r="B112" s="7"/>
      <c r="C112" s="14"/>
      <c r="D112" s="7"/>
      <c r="E112" s="46"/>
      <c r="F112" s="51"/>
      <c r="G112" s="5"/>
    </row>
    <row r="113" spans="1:7" ht="25.5" x14ac:dyDescent="0.25">
      <c r="A113" s="6"/>
      <c r="B113" s="7"/>
      <c r="C113" s="8" t="s">
        <v>127</v>
      </c>
      <c r="D113" s="9"/>
      <c r="E113" s="47"/>
      <c r="F113" s="52"/>
      <c r="G113" s="10"/>
    </row>
    <row r="114" spans="1:7" ht="15" x14ac:dyDescent="0.25">
      <c r="A114" s="6"/>
      <c r="B114" s="7"/>
      <c r="C114" s="8" t="s">
        <v>104</v>
      </c>
      <c r="D114" s="25"/>
      <c r="E114" s="48"/>
      <c r="F114" s="53">
        <v>0</v>
      </c>
      <c r="G114" s="13">
        <v>0</v>
      </c>
    </row>
    <row r="115" spans="1:7" ht="15" x14ac:dyDescent="0.25">
      <c r="A115" s="6"/>
      <c r="B115" s="7"/>
      <c r="C115" s="14"/>
      <c r="D115" s="7"/>
      <c r="E115" s="46"/>
      <c r="F115" s="56"/>
      <c r="G115" s="27"/>
    </row>
    <row r="116" spans="1:7" ht="25.5" x14ac:dyDescent="0.25">
      <c r="A116" s="6"/>
      <c r="B116" s="7"/>
      <c r="C116" s="29" t="s">
        <v>128</v>
      </c>
      <c r="D116" s="7"/>
      <c r="E116" s="46"/>
      <c r="F116" s="56">
        <v>5.1296868</v>
      </c>
      <c r="G116" s="27">
        <v>1.067468E-3</v>
      </c>
    </row>
    <row r="117" spans="1:7" ht="15" x14ac:dyDescent="0.25">
      <c r="A117" s="6"/>
      <c r="B117" s="7"/>
      <c r="C117" s="30" t="s">
        <v>129</v>
      </c>
      <c r="D117" s="12"/>
      <c r="E117" s="48"/>
      <c r="F117" s="53">
        <v>4805.4699374500005</v>
      </c>
      <c r="G117" s="13">
        <v>1</v>
      </c>
    </row>
    <row r="119" spans="1:7" ht="15" x14ac:dyDescent="0.25">
      <c r="B119" s="279"/>
      <c r="C119" s="279"/>
      <c r="D119" s="279"/>
      <c r="E119" s="279"/>
      <c r="F119" s="279"/>
    </row>
    <row r="120" spans="1:7" ht="15" x14ac:dyDescent="0.25">
      <c r="B120" s="279"/>
      <c r="C120" s="279"/>
      <c r="D120" s="279"/>
      <c r="E120" s="279"/>
      <c r="F120" s="279"/>
    </row>
    <row r="122" spans="1:7" ht="15" x14ac:dyDescent="0.25">
      <c r="B122" s="36" t="s">
        <v>131</v>
      </c>
      <c r="C122" s="37"/>
      <c r="D122" s="38"/>
    </row>
    <row r="123" spans="1:7" ht="15" x14ac:dyDescent="0.25">
      <c r="B123" s="39" t="s">
        <v>132</v>
      </c>
      <c r="C123" s="40"/>
      <c r="D123" s="62" t="s">
        <v>133</v>
      </c>
    </row>
    <row r="124" spans="1:7" ht="15" x14ac:dyDescent="0.25">
      <c r="B124" s="39" t="s">
        <v>134</v>
      </c>
      <c r="C124" s="40"/>
      <c r="D124" s="62" t="s">
        <v>133</v>
      </c>
    </row>
    <row r="125" spans="1:7" ht="15" x14ac:dyDescent="0.25">
      <c r="B125" s="41" t="s">
        <v>135</v>
      </c>
      <c r="C125" s="40"/>
      <c r="D125" s="42"/>
    </row>
    <row r="126" spans="1:7" ht="25.5" customHeight="1" x14ac:dyDescent="0.25">
      <c r="B126" s="42"/>
      <c r="C126" s="32" t="s">
        <v>136</v>
      </c>
      <c r="D126" s="33" t="s">
        <v>137</v>
      </c>
    </row>
    <row r="127" spans="1:7" ht="12.75" customHeight="1" x14ac:dyDescent="0.25">
      <c r="B127" s="57" t="s">
        <v>138</v>
      </c>
      <c r="C127" s="58" t="s">
        <v>139</v>
      </c>
      <c r="D127" s="58" t="s">
        <v>140</v>
      </c>
    </row>
    <row r="128" spans="1:7" ht="15" x14ac:dyDescent="0.25">
      <c r="B128" s="42" t="s">
        <v>141</v>
      </c>
      <c r="C128" s="43">
        <v>14.541399999999999</v>
      </c>
      <c r="D128" s="43">
        <v>13.6264</v>
      </c>
    </row>
    <row r="129" spans="2:4" ht="15" x14ac:dyDescent="0.25">
      <c r="B129" s="42" t="s">
        <v>142</v>
      </c>
      <c r="C129" s="43">
        <v>12.473699999999999</v>
      </c>
      <c r="D129" s="43">
        <v>11.688800000000001</v>
      </c>
    </row>
    <row r="130" spans="2:4" ht="15" x14ac:dyDescent="0.25">
      <c r="B130" s="42" t="s">
        <v>143</v>
      </c>
      <c r="C130" s="43">
        <v>14.280799999999999</v>
      </c>
      <c r="D130" s="43">
        <v>13.375400000000001</v>
      </c>
    </row>
    <row r="131" spans="2:4" ht="15" x14ac:dyDescent="0.25">
      <c r="B131" s="42" t="s">
        <v>144</v>
      </c>
      <c r="C131" s="43">
        <v>12.204599999999999</v>
      </c>
      <c r="D131" s="43">
        <v>11.4308</v>
      </c>
    </row>
    <row r="133" spans="2:4" ht="15" x14ac:dyDescent="0.25">
      <c r="B133" s="59" t="s">
        <v>145</v>
      </c>
      <c r="C133" s="44"/>
      <c r="D133" s="60" t="s">
        <v>133</v>
      </c>
    </row>
    <row r="134" spans="2:4" ht="24.75" customHeight="1" x14ac:dyDescent="0.25">
      <c r="B134" s="61"/>
      <c r="C134" s="61"/>
    </row>
    <row r="135" spans="2:4" ht="15" x14ac:dyDescent="0.25">
      <c r="B135" s="63"/>
      <c r="C135" s="65"/>
      <c r="D135"/>
    </row>
    <row r="137" spans="2:4" ht="15" x14ac:dyDescent="0.25">
      <c r="B137" s="41" t="s">
        <v>146</v>
      </c>
      <c r="C137" s="40"/>
      <c r="D137" s="64" t="s">
        <v>133</v>
      </c>
    </row>
    <row r="138" spans="2:4" ht="15" x14ac:dyDescent="0.25">
      <c r="B138" s="41" t="s">
        <v>147</v>
      </c>
      <c r="C138" s="40"/>
      <c r="D138" s="64" t="s">
        <v>133</v>
      </c>
    </row>
    <row r="139" spans="2:4" ht="15" x14ac:dyDescent="0.25">
      <c r="B139" s="41" t="s">
        <v>148</v>
      </c>
      <c r="C139" s="40"/>
      <c r="D139" s="45">
        <v>2.9802935660035338E-2</v>
      </c>
    </row>
    <row r="140" spans="2:4" ht="15" x14ac:dyDescent="0.25">
      <c r="B140" s="41" t="s">
        <v>149</v>
      </c>
      <c r="C140" s="40"/>
      <c r="D140" s="45" t="s">
        <v>133</v>
      </c>
    </row>
  </sheetData>
  <mergeCells count="5">
    <mergeCell ref="A1:G1"/>
    <mergeCell ref="A2:G2"/>
    <mergeCell ref="A3:G3"/>
    <mergeCell ref="B119:F119"/>
    <mergeCell ref="B120:F120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V140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817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14</v>
      </c>
      <c r="C7" s="11" t="s">
        <v>15</v>
      </c>
      <c r="D7" s="2" t="s">
        <v>16</v>
      </c>
      <c r="E7" s="46">
        <v>31050</v>
      </c>
      <c r="F7" s="51">
        <v>228.65219999999999</v>
      </c>
      <c r="G7" s="5">
        <v>4.5328844E-2</v>
      </c>
    </row>
    <row r="8" spans="1:7" ht="25.5" x14ac:dyDescent="0.25">
      <c r="A8" s="6">
        <v>2</v>
      </c>
      <c r="B8" s="7" t="s">
        <v>31</v>
      </c>
      <c r="C8" s="11" t="s">
        <v>32</v>
      </c>
      <c r="D8" s="2" t="s">
        <v>30</v>
      </c>
      <c r="E8" s="46">
        <v>18184</v>
      </c>
      <c r="F8" s="51">
        <v>199.942172</v>
      </c>
      <c r="G8" s="5">
        <v>3.9637263999999998E-2</v>
      </c>
    </row>
    <row r="9" spans="1:7" ht="25.5" x14ac:dyDescent="0.25">
      <c r="A9" s="6">
        <v>3</v>
      </c>
      <c r="B9" s="7" t="s">
        <v>390</v>
      </c>
      <c r="C9" s="11" t="s">
        <v>391</v>
      </c>
      <c r="D9" s="2" t="s">
        <v>162</v>
      </c>
      <c r="E9" s="46">
        <v>25068</v>
      </c>
      <c r="F9" s="51">
        <v>199.929834</v>
      </c>
      <c r="G9" s="5">
        <v>3.9634818000000002E-2</v>
      </c>
    </row>
    <row r="10" spans="1:7" ht="15" x14ac:dyDescent="0.25">
      <c r="A10" s="6">
        <v>4</v>
      </c>
      <c r="B10" s="7" t="s">
        <v>291</v>
      </c>
      <c r="C10" s="11" t="s">
        <v>292</v>
      </c>
      <c r="D10" s="2" t="s">
        <v>238</v>
      </c>
      <c r="E10" s="46">
        <v>44685</v>
      </c>
      <c r="F10" s="51">
        <v>177.68990249999999</v>
      </c>
      <c r="G10" s="5">
        <v>3.5225893000000001E-2</v>
      </c>
    </row>
    <row r="11" spans="1:7" ht="15" x14ac:dyDescent="0.25">
      <c r="A11" s="6">
        <v>5</v>
      </c>
      <c r="B11" s="7" t="s">
        <v>532</v>
      </c>
      <c r="C11" s="11" t="s">
        <v>533</v>
      </c>
      <c r="D11" s="2" t="s">
        <v>162</v>
      </c>
      <c r="E11" s="46">
        <v>2370</v>
      </c>
      <c r="F11" s="51">
        <v>168.21904499999999</v>
      </c>
      <c r="G11" s="5">
        <v>3.3348356000000003E-2</v>
      </c>
    </row>
    <row r="12" spans="1:7" ht="15" x14ac:dyDescent="0.25">
      <c r="A12" s="6">
        <v>6</v>
      </c>
      <c r="B12" s="7" t="s">
        <v>412</v>
      </c>
      <c r="C12" s="11" t="s">
        <v>413</v>
      </c>
      <c r="D12" s="2" t="s">
        <v>162</v>
      </c>
      <c r="E12" s="46">
        <v>5104</v>
      </c>
      <c r="F12" s="51">
        <v>165.984632</v>
      </c>
      <c r="G12" s="5">
        <v>3.2905398000000002E-2</v>
      </c>
    </row>
    <row r="13" spans="1:7" ht="25.5" x14ac:dyDescent="0.25">
      <c r="A13" s="6">
        <v>7</v>
      </c>
      <c r="B13" s="7" t="s">
        <v>392</v>
      </c>
      <c r="C13" s="11" t="s">
        <v>393</v>
      </c>
      <c r="D13" s="2" t="s">
        <v>37</v>
      </c>
      <c r="E13" s="46">
        <v>13035</v>
      </c>
      <c r="F13" s="51">
        <v>156.58293750000001</v>
      </c>
      <c r="G13" s="5">
        <v>3.1041571E-2</v>
      </c>
    </row>
    <row r="14" spans="1:7" ht="25.5" x14ac:dyDescent="0.25">
      <c r="A14" s="6">
        <v>8</v>
      </c>
      <c r="B14" s="7" t="s">
        <v>429</v>
      </c>
      <c r="C14" s="11" t="s">
        <v>430</v>
      </c>
      <c r="D14" s="2" t="s">
        <v>30</v>
      </c>
      <c r="E14" s="46">
        <v>13390</v>
      </c>
      <c r="F14" s="51">
        <v>153.282025</v>
      </c>
      <c r="G14" s="5">
        <v>3.0387187E-2</v>
      </c>
    </row>
    <row r="15" spans="1:7" ht="25.5" x14ac:dyDescent="0.25">
      <c r="A15" s="6">
        <v>9</v>
      </c>
      <c r="B15" s="7" t="s">
        <v>310</v>
      </c>
      <c r="C15" s="11" t="s">
        <v>311</v>
      </c>
      <c r="D15" s="2" t="s">
        <v>37</v>
      </c>
      <c r="E15" s="46">
        <v>23826</v>
      </c>
      <c r="F15" s="51">
        <v>152.22431399999999</v>
      </c>
      <c r="G15" s="5">
        <v>3.0177501999999998E-2</v>
      </c>
    </row>
    <row r="16" spans="1:7" ht="15" x14ac:dyDescent="0.25">
      <c r="A16" s="6">
        <v>10</v>
      </c>
      <c r="B16" s="7" t="s">
        <v>312</v>
      </c>
      <c r="C16" s="11" t="s">
        <v>313</v>
      </c>
      <c r="D16" s="2" t="s">
        <v>13</v>
      </c>
      <c r="E16" s="46">
        <v>78202</v>
      </c>
      <c r="F16" s="51">
        <v>151.47727399999999</v>
      </c>
      <c r="G16" s="5">
        <v>3.0029406000000002E-2</v>
      </c>
    </row>
    <row r="17" spans="1:7" ht="25.5" x14ac:dyDescent="0.25">
      <c r="A17" s="6">
        <v>11</v>
      </c>
      <c r="B17" s="7" t="s">
        <v>388</v>
      </c>
      <c r="C17" s="11" t="s">
        <v>389</v>
      </c>
      <c r="D17" s="2" t="s">
        <v>59</v>
      </c>
      <c r="E17" s="46">
        <v>59789</v>
      </c>
      <c r="F17" s="51">
        <v>137.48480549999999</v>
      </c>
      <c r="G17" s="5">
        <v>2.7255488000000001E-2</v>
      </c>
    </row>
    <row r="18" spans="1:7" ht="25.5" x14ac:dyDescent="0.25">
      <c r="A18" s="6">
        <v>12</v>
      </c>
      <c r="B18" s="7" t="s">
        <v>406</v>
      </c>
      <c r="C18" s="11" t="s">
        <v>407</v>
      </c>
      <c r="D18" s="2" t="s">
        <v>162</v>
      </c>
      <c r="E18" s="46">
        <v>10951</v>
      </c>
      <c r="F18" s="51">
        <v>132.21689850000001</v>
      </c>
      <c r="G18" s="5">
        <v>2.6211159000000001E-2</v>
      </c>
    </row>
    <row r="19" spans="1:7" ht="25.5" x14ac:dyDescent="0.25">
      <c r="A19" s="6">
        <v>13</v>
      </c>
      <c r="B19" s="7" t="s">
        <v>306</v>
      </c>
      <c r="C19" s="11" t="s">
        <v>307</v>
      </c>
      <c r="D19" s="2" t="s">
        <v>59</v>
      </c>
      <c r="E19" s="46">
        <v>8217</v>
      </c>
      <c r="F19" s="51">
        <v>127.7291565</v>
      </c>
      <c r="G19" s="5">
        <v>2.5321493E-2</v>
      </c>
    </row>
    <row r="20" spans="1:7" ht="25.5" x14ac:dyDescent="0.25">
      <c r="A20" s="6">
        <v>14</v>
      </c>
      <c r="B20" s="7" t="s">
        <v>318</v>
      </c>
      <c r="C20" s="11" t="s">
        <v>319</v>
      </c>
      <c r="D20" s="2" t="s">
        <v>162</v>
      </c>
      <c r="E20" s="46">
        <v>46145</v>
      </c>
      <c r="F20" s="51">
        <v>119.8154925</v>
      </c>
      <c r="G20" s="5">
        <v>2.3752658999999999E-2</v>
      </c>
    </row>
    <row r="21" spans="1:7" ht="25.5" x14ac:dyDescent="0.25">
      <c r="A21" s="6">
        <v>15</v>
      </c>
      <c r="B21" s="7" t="s">
        <v>316</v>
      </c>
      <c r="C21" s="11" t="s">
        <v>317</v>
      </c>
      <c r="D21" s="2" t="s">
        <v>37</v>
      </c>
      <c r="E21" s="46">
        <v>47595</v>
      </c>
      <c r="F21" s="51">
        <v>119.74902</v>
      </c>
      <c r="G21" s="5">
        <v>2.3739481999999999E-2</v>
      </c>
    </row>
    <row r="22" spans="1:7" ht="15" x14ac:dyDescent="0.25">
      <c r="A22" s="6">
        <v>16</v>
      </c>
      <c r="B22" s="7" t="s">
        <v>303</v>
      </c>
      <c r="C22" s="11" t="s">
        <v>304</v>
      </c>
      <c r="D22" s="2" t="s">
        <v>305</v>
      </c>
      <c r="E22" s="46">
        <v>37105</v>
      </c>
      <c r="F22" s="51">
        <v>112.465255</v>
      </c>
      <c r="G22" s="5">
        <v>2.2295522000000002E-2</v>
      </c>
    </row>
    <row r="23" spans="1:7" ht="25.5" x14ac:dyDescent="0.25">
      <c r="A23" s="6">
        <v>17</v>
      </c>
      <c r="B23" s="7" t="s">
        <v>326</v>
      </c>
      <c r="C23" s="11" t="s">
        <v>327</v>
      </c>
      <c r="D23" s="2" t="s">
        <v>37</v>
      </c>
      <c r="E23" s="46">
        <v>34616</v>
      </c>
      <c r="F23" s="51">
        <v>110.80581599999999</v>
      </c>
      <c r="G23" s="5">
        <v>2.1966547999999999E-2</v>
      </c>
    </row>
    <row r="24" spans="1:7" ht="25.5" x14ac:dyDescent="0.25">
      <c r="A24" s="6">
        <v>18</v>
      </c>
      <c r="B24" s="7" t="s">
        <v>156</v>
      </c>
      <c r="C24" s="11" t="s">
        <v>157</v>
      </c>
      <c r="D24" s="2" t="s">
        <v>59</v>
      </c>
      <c r="E24" s="46">
        <v>47527</v>
      </c>
      <c r="F24" s="51">
        <v>110.64285599999999</v>
      </c>
      <c r="G24" s="5">
        <v>2.1934242999999999E-2</v>
      </c>
    </row>
    <row r="25" spans="1:7" ht="15" x14ac:dyDescent="0.25">
      <c r="A25" s="6">
        <v>19</v>
      </c>
      <c r="B25" s="7" t="s">
        <v>203</v>
      </c>
      <c r="C25" s="11" t="s">
        <v>204</v>
      </c>
      <c r="D25" s="2" t="s">
        <v>81</v>
      </c>
      <c r="E25" s="46">
        <v>101536</v>
      </c>
      <c r="F25" s="51">
        <v>109.35427199999999</v>
      </c>
      <c r="G25" s="5">
        <v>2.1678789E-2</v>
      </c>
    </row>
    <row r="26" spans="1:7" ht="15" x14ac:dyDescent="0.25">
      <c r="A26" s="6">
        <v>20</v>
      </c>
      <c r="B26" s="7" t="s">
        <v>534</v>
      </c>
      <c r="C26" s="11" t="s">
        <v>535</v>
      </c>
      <c r="D26" s="2" t="s">
        <v>51</v>
      </c>
      <c r="E26" s="46">
        <v>19711</v>
      </c>
      <c r="F26" s="51">
        <v>108.331656</v>
      </c>
      <c r="G26" s="5">
        <v>2.1476062000000001E-2</v>
      </c>
    </row>
    <row r="27" spans="1:7" ht="51" x14ac:dyDescent="0.25">
      <c r="A27" s="6">
        <v>21</v>
      </c>
      <c r="B27" s="7" t="s">
        <v>320</v>
      </c>
      <c r="C27" s="11" t="s">
        <v>321</v>
      </c>
      <c r="D27" s="2" t="s">
        <v>235</v>
      </c>
      <c r="E27" s="46">
        <v>63751</v>
      </c>
      <c r="F27" s="51">
        <v>105.6035315</v>
      </c>
      <c r="G27" s="5">
        <v>2.0935228E-2</v>
      </c>
    </row>
    <row r="28" spans="1:7" ht="25.5" x14ac:dyDescent="0.25">
      <c r="A28" s="6">
        <v>22</v>
      </c>
      <c r="B28" s="7" t="s">
        <v>17</v>
      </c>
      <c r="C28" s="11" t="s">
        <v>18</v>
      </c>
      <c r="D28" s="2" t="s">
        <v>19</v>
      </c>
      <c r="E28" s="46">
        <v>7252</v>
      </c>
      <c r="F28" s="51">
        <v>100.606996</v>
      </c>
      <c r="G28" s="5">
        <v>1.9944697000000001E-2</v>
      </c>
    </row>
    <row r="29" spans="1:7" ht="25.5" x14ac:dyDescent="0.25">
      <c r="A29" s="6">
        <v>23</v>
      </c>
      <c r="B29" s="7" t="s">
        <v>297</v>
      </c>
      <c r="C29" s="11" t="s">
        <v>298</v>
      </c>
      <c r="D29" s="2" t="s">
        <v>238</v>
      </c>
      <c r="E29" s="46">
        <v>52105</v>
      </c>
      <c r="F29" s="51">
        <v>98.087662499999993</v>
      </c>
      <c r="G29" s="5">
        <v>1.9445255000000002E-2</v>
      </c>
    </row>
    <row r="30" spans="1:7" ht="15" x14ac:dyDescent="0.25">
      <c r="A30" s="6">
        <v>24</v>
      </c>
      <c r="B30" s="7" t="s">
        <v>363</v>
      </c>
      <c r="C30" s="11" t="s">
        <v>364</v>
      </c>
      <c r="D30" s="2" t="s">
        <v>365</v>
      </c>
      <c r="E30" s="46">
        <v>3149</v>
      </c>
      <c r="F30" s="51">
        <v>96.614469</v>
      </c>
      <c r="G30" s="5">
        <v>1.9153204E-2</v>
      </c>
    </row>
    <row r="31" spans="1:7" ht="25.5" x14ac:dyDescent="0.25">
      <c r="A31" s="6">
        <v>25</v>
      </c>
      <c r="B31" s="7" t="s">
        <v>308</v>
      </c>
      <c r="C31" s="11" t="s">
        <v>309</v>
      </c>
      <c r="D31" s="2" t="s">
        <v>22</v>
      </c>
      <c r="E31" s="46">
        <v>2261</v>
      </c>
      <c r="F31" s="51">
        <v>94.513191500000005</v>
      </c>
      <c r="G31" s="5">
        <v>1.8736638999999999E-2</v>
      </c>
    </row>
    <row r="32" spans="1:7" ht="15" x14ac:dyDescent="0.25">
      <c r="A32" s="6">
        <v>26</v>
      </c>
      <c r="B32" s="7" t="s">
        <v>366</v>
      </c>
      <c r="C32" s="11" t="s">
        <v>367</v>
      </c>
      <c r="D32" s="2" t="s">
        <v>162</v>
      </c>
      <c r="E32" s="46">
        <v>90289</v>
      </c>
      <c r="F32" s="51">
        <v>89.431254499999994</v>
      </c>
      <c r="G32" s="5">
        <v>1.7729176999999999E-2</v>
      </c>
    </row>
    <row r="33" spans="1:7" ht="15" x14ac:dyDescent="0.25">
      <c r="A33" s="6">
        <v>27</v>
      </c>
      <c r="B33" s="7" t="s">
        <v>338</v>
      </c>
      <c r="C33" s="11" t="s">
        <v>339</v>
      </c>
      <c r="D33" s="2" t="s">
        <v>162</v>
      </c>
      <c r="E33" s="46">
        <v>21089</v>
      </c>
      <c r="F33" s="51">
        <v>87.983307999999994</v>
      </c>
      <c r="G33" s="5">
        <v>1.7442131E-2</v>
      </c>
    </row>
    <row r="34" spans="1:7" ht="15" x14ac:dyDescent="0.25">
      <c r="A34" s="6">
        <v>28</v>
      </c>
      <c r="B34" s="7" t="s">
        <v>330</v>
      </c>
      <c r="C34" s="11" t="s">
        <v>331</v>
      </c>
      <c r="D34" s="2" t="s">
        <v>215</v>
      </c>
      <c r="E34" s="46">
        <v>5879</v>
      </c>
      <c r="F34" s="51">
        <v>84.719329500000001</v>
      </c>
      <c r="G34" s="5">
        <v>1.6795068E-2</v>
      </c>
    </row>
    <row r="35" spans="1:7" ht="15" x14ac:dyDescent="0.25">
      <c r="A35" s="6">
        <v>29</v>
      </c>
      <c r="B35" s="7" t="s">
        <v>322</v>
      </c>
      <c r="C35" s="11" t="s">
        <v>323</v>
      </c>
      <c r="D35" s="2" t="s">
        <v>162</v>
      </c>
      <c r="E35" s="46">
        <v>16274</v>
      </c>
      <c r="F35" s="51">
        <v>84.364416000000006</v>
      </c>
      <c r="G35" s="5">
        <v>1.6724709000000001E-2</v>
      </c>
    </row>
    <row r="36" spans="1:7" ht="25.5" x14ac:dyDescent="0.25">
      <c r="A36" s="6">
        <v>30</v>
      </c>
      <c r="B36" s="7" t="s">
        <v>536</v>
      </c>
      <c r="C36" s="11" t="s">
        <v>537</v>
      </c>
      <c r="D36" s="2" t="s">
        <v>19</v>
      </c>
      <c r="E36" s="46">
        <v>561462</v>
      </c>
      <c r="F36" s="51">
        <v>83.938569000000001</v>
      </c>
      <c r="G36" s="5">
        <v>1.6640287E-2</v>
      </c>
    </row>
    <row r="37" spans="1:7" ht="15" x14ac:dyDescent="0.25">
      <c r="A37" s="6">
        <v>31</v>
      </c>
      <c r="B37" s="7" t="s">
        <v>60</v>
      </c>
      <c r="C37" s="11" t="s">
        <v>61</v>
      </c>
      <c r="D37" s="2" t="s">
        <v>16</v>
      </c>
      <c r="E37" s="46">
        <v>8495</v>
      </c>
      <c r="F37" s="51">
        <v>82.061700000000002</v>
      </c>
      <c r="G37" s="5">
        <v>1.6268210000000002E-2</v>
      </c>
    </row>
    <row r="38" spans="1:7" ht="15" x14ac:dyDescent="0.25">
      <c r="A38" s="6">
        <v>32</v>
      </c>
      <c r="B38" s="7" t="s">
        <v>299</v>
      </c>
      <c r="C38" s="11" t="s">
        <v>300</v>
      </c>
      <c r="D38" s="2" t="s">
        <v>13</v>
      </c>
      <c r="E38" s="46">
        <v>84278</v>
      </c>
      <c r="F38" s="51">
        <v>77.872872000000001</v>
      </c>
      <c r="G38" s="5">
        <v>1.5437802E-2</v>
      </c>
    </row>
    <row r="39" spans="1:7" ht="15" x14ac:dyDescent="0.25">
      <c r="A39" s="6">
        <v>33</v>
      </c>
      <c r="B39" s="7" t="s">
        <v>314</v>
      </c>
      <c r="C39" s="11" t="s">
        <v>315</v>
      </c>
      <c r="D39" s="2" t="s">
        <v>170</v>
      </c>
      <c r="E39" s="46">
        <v>1274</v>
      </c>
      <c r="F39" s="51">
        <v>77.399321999999998</v>
      </c>
      <c r="G39" s="5">
        <v>1.5343923000000001E-2</v>
      </c>
    </row>
    <row r="40" spans="1:7" ht="25.5" x14ac:dyDescent="0.25">
      <c r="A40" s="6">
        <v>34</v>
      </c>
      <c r="B40" s="7" t="s">
        <v>357</v>
      </c>
      <c r="C40" s="11" t="s">
        <v>358</v>
      </c>
      <c r="D40" s="2" t="s">
        <v>162</v>
      </c>
      <c r="E40" s="46">
        <v>24353</v>
      </c>
      <c r="F40" s="51">
        <v>74.227943999999994</v>
      </c>
      <c r="G40" s="5">
        <v>1.4715218E-2</v>
      </c>
    </row>
    <row r="41" spans="1:7" ht="15" x14ac:dyDescent="0.25">
      <c r="A41" s="6">
        <v>35</v>
      </c>
      <c r="B41" s="7" t="s">
        <v>508</v>
      </c>
      <c r="C41" s="11" t="s">
        <v>509</v>
      </c>
      <c r="D41" s="2" t="s">
        <v>269</v>
      </c>
      <c r="E41" s="46">
        <v>8060</v>
      </c>
      <c r="F41" s="51">
        <v>73.394360000000006</v>
      </c>
      <c r="G41" s="5">
        <v>1.4549965E-2</v>
      </c>
    </row>
    <row r="42" spans="1:7" ht="25.5" x14ac:dyDescent="0.25">
      <c r="A42" s="6">
        <v>36</v>
      </c>
      <c r="B42" s="7" t="s">
        <v>293</v>
      </c>
      <c r="C42" s="11" t="s">
        <v>294</v>
      </c>
      <c r="D42" s="2" t="s">
        <v>167</v>
      </c>
      <c r="E42" s="46">
        <v>4917</v>
      </c>
      <c r="F42" s="51">
        <v>66.458172000000005</v>
      </c>
      <c r="G42" s="5">
        <v>1.317491E-2</v>
      </c>
    </row>
    <row r="43" spans="1:7" ht="15" x14ac:dyDescent="0.25">
      <c r="A43" s="6">
        <v>37</v>
      </c>
      <c r="B43" s="7" t="s">
        <v>54</v>
      </c>
      <c r="C43" s="11" t="s">
        <v>55</v>
      </c>
      <c r="D43" s="2" t="s">
        <v>56</v>
      </c>
      <c r="E43" s="46">
        <v>48381</v>
      </c>
      <c r="F43" s="51">
        <v>65.362730999999997</v>
      </c>
      <c r="G43" s="5">
        <v>1.2957745999999999E-2</v>
      </c>
    </row>
    <row r="44" spans="1:7" ht="25.5" x14ac:dyDescent="0.25">
      <c r="A44" s="6">
        <v>38</v>
      </c>
      <c r="B44" s="7" t="s">
        <v>476</v>
      </c>
      <c r="C44" s="11" t="s">
        <v>477</v>
      </c>
      <c r="D44" s="2" t="s">
        <v>42</v>
      </c>
      <c r="E44" s="46">
        <v>52822</v>
      </c>
      <c r="F44" s="51">
        <v>64.073086000000004</v>
      </c>
      <c r="G44" s="5">
        <v>1.2702082E-2</v>
      </c>
    </row>
    <row r="45" spans="1:7" ht="15" x14ac:dyDescent="0.25">
      <c r="A45" s="6">
        <v>39</v>
      </c>
      <c r="B45" s="7" t="s">
        <v>295</v>
      </c>
      <c r="C45" s="11" t="s">
        <v>296</v>
      </c>
      <c r="D45" s="2" t="s">
        <v>170</v>
      </c>
      <c r="E45" s="46">
        <v>2818</v>
      </c>
      <c r="F45" s="51">
        <v>59.781052000000003</v>
      </c>
      <c r="G45" s="5">
        <v>1.1851212999999999E-2</v>
      </c>
    </row>
    <row r="46" spans="1:7" ht="15" x14ac:dyDescent="0.25">
      <c r="A46" s="6">
        <v>40</v>
      </c>
      <c r="B46" s="7" t="s">
        <v>264</v>
      </c>
      <c r="C46" s="11" t="s">
        <v>265</v>
      </c>
      <c r="D46" s="2" t="s">
        <v>162</v>
      </c>
      <c r="E46" s="46">
        <v>87578</v>
      </c>
      <c r="F46" s="51">
        <v>58.633471</v>
      </c>
      <c r="G46" s="5">
        <v>1.1623713000000001E-2</v>
      </c>
    </row>
    <row r="47" spans="1:7" ht="15" x14ac:dyDescent="0.25">
      <c r="A47" s="6">
        <v>41</v>
      </c>
      <c r="B47" s="7" t="s">
        <v>336</v>
      </c>
      <c r="C47" s="11" t="s">
        <v>337</v>
      </c>
      <c r="D47" s="2" t="s">
        <v>184</v>
      </c>
      <c r="E47" s="46">
        <v>12600</v>
      </c>
      <c r="F47" s="51">
        <v>55.282499999999999</v>
      </c>
      <c r="G47" s="5">
        <v>1.0959404000000001E-2</v>
      </c>
    </row>
    <row r="48" spans="1:7" ht="15" x14ac:dyDescent="0.25">
      <c r="A48" s="6">
        <v>42</v>
      </c>
      <c r="B48" s="7" t="s">
        <v>538</v>
      </c>
      <c r="C48" s="11" t="s">
        <v>539</v>
      </c>
      <c r="D48" s="2" t="s">
        <v>170</v>
      </c>
      <c r="E48" s="46">
        <v>45135</v>
      </c>
      <c r="F48" s="51">
        <v>48.1816125</v>
      </c>
      <c r="G48" s="5">
        <v>9.5516980000000008E-3</v>
      </c>
    </row>
    <row r="49" spans="1:7" ht="15" x14ac:dyDescent="0.25">
      <c r="A49" s="6">
        <v>43</v>
      </c>
      <c r="B49" s="7" t="s">
        <v>359</v>
      </c>
      <c r="C49" s="11" t="s">
        <v>360</v>
      </c>
      <c r="D49" s="2" t="s">
        <v>27</v>
      </c>
      <c r="E49" s="46">
        <v>78021</v>
      </c>
      <c r="F49" s="51">
        <v>47.241715499999998</v>
      </c>
      <c r="G49" s="5">
        <v>9.3653699999999996E-3</v>
      </c>
    </row>
    <row r="50" spans="1:7" ht="15" x14ac:dyDescent="0.25">
      <c r="A50" s="6">
        <v>44</v>
      </c>
      <c r="B50" s="7" t="s">
        <v>361</v>
      </c>
      <c r="C50" s="11" t="s">
        <v>362</v>
      </c>
      <c r="D50" s="2" t="s">
        <v>162</v>
      </c>
      <c r="E50" s="46">
        <v>16423</v>
      </c>
      <c r="F50" s="51">
        <v>35.818562999999997</v>
      </c>
      <c r="G50" s="5">
        <v>7.1008019999999998E-3</v>
      </c>
    </row>
    <row r="51" spans="1:7" ht="15" x14ac:dyDescent="0.25">
      <c r="A51" s="6">
        <v>45</v>
      </c>
      <c r="B51" s="7" t="s">
        <v>373</v>
      </c>
      <c r="C51" s="11" t="s">
        <v>374</v>
      </c>
      <c r="D51" s="2" t="s">
        <v>13</v>
      </c>
      <c r="E51" s="46">
        <v>55958</v>
      </c>
      <c r="F51" s="51">
        <v>35.197581999999997</v>
      </c>
      <c r="G51" s="5">
        <v>6.9776969999999997E-3</v>
      </c>
    </row>
    <row r="52" spans="1:7" ht="15" x14ac:dyDescent="0.25">
      <c r="A52" s="6">
        <v>46</v>
      </c>
      <c r="B52" s="7" t="s">
        <v>375</v>
      </c>
      <c r="C52" s="11" t="s">
        <v>376</v>
      </c>
      <c r="D52" s="2" t="s">
        <v>162</v>
      </c>
      <c r="E52" s="46">
        <v>700</v>
      </c>
      <c r="F52" s="51">
        <v>7.4756850000000004</v>
      </c>
      <c r="G52" s="5">
        <v>1.482007E-3</v>
      </c>
    </row>
    <row r="53" spans="1:7" ht="15" x14ac:dyDescent="0.25">
      <c r="A53" s="6">
        <v>47</v>
      </c>
      <c r="B53" s="7" t="s">
        <v>377</v>
      </c>
      <c r="C53" s="11" t="s">
        <v>378</v>
      </c>
      <c r="D53" s="2" t="s">
        <v>162</v>
      </c>
      <c r="E53" s="46">
        <v>4902</v>
      </c>
      <c r="F53" s="51">
        <v>5.7868110000000001</v>
      </c>
      <c r="G53" s="5">
        <v>1.1471980000000001E-3</v>
      </c>
    </row>
    <row r="54" spans="1:7" ht="15" x14ac:dyDescent="0.25">
      <c r="A54" s="6">
        <v>48</v>
      </c>
      <c r="B54" s="7" t="s">
        <v>379</v>
      </c>
      <c r="C54" s="11" t="s">
        <v>380</v>
      </c>
      <c r="D54" s="2" t="s">
        <v>162</v>
      </c>
      <c r="E54" s="46">
        <v>4902</v>
      </c>
      <c r="F54" s="51">
        <v>1.0683909</v>
      </c>
      <c r="G54" s="5">
        <v>2.11802E-4</v>
      </c>
    </row>
    <row r="55" spans="1:7" ht="15" x14ac:dyDescent="0.25">
      <c r="A55" s="1"/>
      <c r="B55" s="2"/>
      <c r="C55" s="8" t="s">
        <v>104</v>
      </c>
      <c r="D55" s="12"/>
      <c r="E55" s="48"/>
      <c r="F55" s="53">
        <v>4803.7598614000008</v>
      </c>
      <c r="G55" s="13">
        <v>0.95231483899999991</v>
      </c>
    </row>
    <row r="56" spans="1:7" ht="15" x14ac:dyDescent="0.25">
      <c r="A56" s="6"/>
      <c r="B56" s="7"/>
      <c r="C56" s="14"/>
      <c r="D56" s="15"/>
      <c r="E56" s="46"/>
      <c r="F56" s="51"/>
      <c r="G56" s="5"/>
    </row>
    <row r="57" spans="1:7" ht="15" x14ac:dyDescent="0.25">
      <c r="A57" s="1"/>
      <c r="B57" s="2"/>
      <c r="C57" s="8" t="s">
        <v>105</v>
      </c>
      <c r="D57" s="9"/>
      <c r="E57" s="47"/>
      <c r="F57" s="52"/>
      <c r="G57" s="10"/>
    </row>
    <row r="58" spans="1:7" ht="15" x14ac:dyDescent="0.25">
      <c r="A58" s="1"/>
      <c r="B58" s="2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6"/>
      <c r="B59" s="7"/>
      <c r="C59" s="14"/>
      <c r="D59" s="15"/>
      <c r="E59" s="46"/>
      <c r="F59" s="51"/>
      <c r="G59" s="5"/>
    </row>
    <row r="60" spans="1:7" ht="15" x14ac:dyDescent="0.25">
      <c r="A60" s="16"/>
      <c r="B60" s="17"/>
      <c r="C60" s="8" t="s">
        <v>106</v>
      </c>
      <c r="D60" s="9"/>
      <c r="E60" s="47"/>
      <c r="F60" s="52"/>
      <c r="G60" s="10"/>
    </row>
    <row r="61" spans="1:7" ht="15" x14ac:dyDescent="0.25">
      <c r="A61" s="18"/>
      <c r="B61" s="19"/>
      <c r="C61" s="8" t="s">
        <v>104</v>
      </c>
      <c r="D61" s="20"/>
      <c r="E61" s="49"/>
      <c r="F61" s="54">
        <v>0</v>
      </c>
      <c r="G61" s="21">
        <v>0</v>
      </c>
    </row>
    <row r="62" spans="1:7" ht="15" x14ac:dyDescent="0.25">
      <c r="A62" s="18"/>
      <c r="B62" s="19"/>
      <c r="C62" s="14"/>
      <c r="D62" s="22"/>
      <c r="E62" s="50"/>
      <c r="F62" s="55"/>
      <c r="G62" s="23"/>
    </row>
    <row r="63" spans="1:7" ht="15" x14ac:dyDescent="0.25">
      <c r="A63" s="1"/>
      <c r="B63" s="2"/>
      <c r="C63" s="8" t="s">
        <v>108</v>
      </c>
      <c r="D63" s="9"/>
      <c r="E63" s="47"/>
      <c r="F63" s="52"/>
      <c r="G63" s="10"/>
    </row>
    <row r="64" spans="1:7" ht="15" x14ac:dyDescent="0.25">
      <c r="A64" s="1"/>
      <c r="B64" s="2"/>
      <c r="C64" s="8" t="s">
        <v>104</v>
      </c>
      <c r="D64" s="12"/>
      <c r="E64" s="48"/>
      <c r="F64" s="53">
        <v>0</v>
      </c>
      <c r="G64" s="13">
        <v>0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15" x14ac:dyDescent="0.25">
      <c r="A66" s="1"/>
      <c r="B66" s="2"/>
      <c r="C66" s="8" t="s">
        <v>109</v>
      </c>
      <c r="D66" s="9"/>
      <c r="E66" s="47"/>
      <c r="F66" s="52"/>
      <c r="G66" s="10"/>
    </row>
    <row r="67" spans="1:7" ht="15" x14ac:dyDescent="0.25">
      <c r="A67" s="1"/>
      <c r="B67" s="2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1"/>
      <c r="B68" s="2"/>
      <c r="C68" s="14"/>
      <c r="D68" s="4"/>
      <c r="E68" s="46"/>
      <c r="F68" s="51"/>
      <c r="G68" s="5"/>
    </row>
    <row r="69" spans="1:7" ht="15" x14ac:dyDescent="0.25">
      <c r="A69" s="1"/>
      <c r="B69" s="2"/>
      <c r="C69" s="8" t="s">
        <v>110</v>
      </c>
      <c r="D69" s="9"/>
      <c r="E69" s="47"/>
      <c r="F69" s="52"/>
      <c r="G69" s="10"/>
    </row>
    <row r="70" spans="1:7" ht="15" x14ac:dyDescent="0.25">
      <c r="A70" s="1"/>
      <c r="B70" s="2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1"/>
      <c r="B71" s="2"/>
      <c r="C71" s="14"/>
      <c r="D71" s="4"/>
      <c r="E71" s="46"/>
      <c r="F71" s="51"/>
      <c r="G71" s="5"/>
    </row>
    <row r="72" spans="1:7" ht="25.5" x14ac:dyDescent="0.25">
      <c r="A72" s="6"/>
      <c r="B72" s="7"/>
      <c r="C72" s="24" t="s">
        <v>111</v>
      </c>
      <c r="D72" s="25"/>
      <c r="E72" s="48"/>
      <c r="F72" s="53">
        <v>4803.7598614000008</v>
      </c>
      <c r="G72" s="13">
        <v>0.95231483899999991</v>
      </c>
    </row>
    <row r="73" spans="1:7" ht="15" x14ac:dyDescent="0.25">
      <c r="A73" s="1"/>
      <c r="B73" s="2"/>
      <c r="C73" s="11"/>
      <c r="D73" s="4"/>
      <c r="E73" s="46"/>
      <c r="F73" s="51"/>
      <c r="G73" s="5"/>
    </row>
    <row r="74" spans="1:7" ht="15" x14ac:dyDescent="0.25">
      <c r="A74" s="1"/>
      <c r="B74" s="2"/>
      <c r="C74" s="3" t="s">
        <v>112</v>
      </c>
      <c r="D74" s="4"/>
      <c r="E74" s="46"/>
      <c r="F74" s="51"/>
      <c r="G74" s="5"/>
    </row>
    <row r="75" spans="1:7" ht="25.5" x14ac:dyDescent="0.25">
      <c r="A75" s="1"/>
      <c r="B75" s="2"/>
      <c r="C75" s="8" t="s">
        <v>10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6"/>
      <c r="B77" s="7"/>
      <c r="C77" s="14"/>
      <c r="D77" s="4"/>
      <c r="E77" s="46"/>
      <c r="F77" s="51"/>
      <c r="G77" s="5"/>
    </row>
    <row r="78" spans="1:7" ht="15" x14ac:dyDescent="0.25">
      <c r="A78" s="1"/>
      <c r="B78" s="26"/>
      <c r="C78" s="8" t="s">
        <v>113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6"/>
      <c r="G80" s="27"/>
    </row>
    <row r="81" spans="1:7" ht="15" x14ac:dyDescent="0.25">
      <c r="A81" s="1"/>
      <c r="B81" s="2"/>
      <c r="C81" s="8" t="s">
        <v>114</v>
      </c>
      <c r="D81" s="9"/>
      <c r="E81" s="47"/>
      <c r="F81" s="52"/>
      <c r="G81" s="10"/>
    </row>
    <row r="82" spans="1:7" ht="15" x14ac:dyDescent="0.25">
      <c r="A82" s="6"/>
      <c r="B82" s="7"/>
      <c r="C82" s="8" t="s">
        <v>104</v>
      </c>
      <c r="D82" s="12"/>
      <c r="E82" s="48"/>
      <c r="F82" s="53">
        <v>0</v>
      </c>
      <c r="G82" s="13">
        <v>0</v>
      </c>
    </row>
    <row r="83" spans="1:7" ht="15" x14ac:dyDescent="0.25">
      <c r="A83" s="1"/>
      <c r="B83" s="2"/>
      <c r="C83" s="14"/>
      <c r="D83" s="4"/>
      <c r="E83" s="46"/>
      <c r="F83" s="51"/>
      <c r="G83" s="5"/>
    </row>
    <row r="84" spans="1:7" ht="25.5" x14ac:dyDescent="0.25">
      <c r="A84" s="1"/>
      <c r="B84" s="26"/>
      <c r="C84" s="8" t="s">
        <v>115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4"/>
      <c r="E86" s="46"/>
      <c r="F86" s="51"/>
      <c r="G86" s="5"/>
    </row>
    <row r="87" spans="1:7" ht="15" x14ac:dyDescent="0.25">
      <c r="A87" s="6"/>
      <c r="B87" s="7"/>
      <c r="C87" s="28" t="s">
        <v>116</v>
      </c>
      <c r="D87" s="25"/>
      <c r="E87" s="48"/>
      <c r="F87" s="53">
        <v>0</v>
      </c>
      <c r="G87" s="13">
        <v>0</v>
      </c>
    </row>
    <row r="88" spans="1:7" ht="15" x14ac:dyDescent="0.25">
      <c r="A88" s="6"/>
      <c r="B88" s="7"/>
      <c r="C88" s="11"/>
      <c r="D88" s="4"/>
      <c r="E88" s="46"/>
      <c r="F88" s="51"/>
      <c r="G88" s="5"/>
    </row>
    <row r="89" spans="1:7" ht="15" x14ac:dyDescent="0.25">
      <c r="A89" s="1"/>
      <c r="B89" s="2"/>
      <c r="C89" s="3" t="s">
        <v>117</v>
      </c>
      <c r="D89" s="4"/>
      <c r="E89" s="46"/>
      <c r="F89" s="51"/>
      <c r="G89" s="5"/>
    </row>
    <row r="90" spans="1:7" ht="15" x14ac:dyDescent="0.25">
      <c r="A90" s="6"/>
      <c r="B90" s="7"/>
      <c r="C90" s="8" t="s">
        <v>118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119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25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15" x14ac:dyDescent="0.25">
      <c r="A96" s="6"/>
      <c r="B96" s="7"/>
      <c r="C96" s="8" t="s">
        <v>120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25"/>
      <c r="E97" s="48"/>
      <c r="F97" s="53">
        <v>0</v>
      </c>
      <c r="G97" s="13">
        <v>0</v>
      </c>
    </row>
    <row r="98" spans="1:7" ht="15" x14ac:dyDescent="0.25">
      <c r="A98" s="6"/>
      <c r="B98" s="7"/>
      <c r="C98" s="14"/>
      <c r="D98" s="7"/>
      <c r="E98" s="46"/>
      <c r="F98" s="51"/>
      <c r="G98" s="5"/>
    </row>
    <row r="99" spans="1:7" ht="15" x14ac:dyDescent="0.25">
      <c r="A99" s="6"/>
      <c r="B99" s="7"/>
      <c r="C99" s="8" t="s">
        <v>121</v>
      </c>
      <c r="D99" s="9"/>
      <c r="E99" s="47"/>
      <c r="F99" s="52"/>
      <c r="G99" s="10"/>
    </row>
    <row r="100" spans="1:7" ht="15" x14ac:dyDescent="0.25">
      <c r="A100" s="6">
        <v>1</v>
      </c>
      <c r="B100" s="7"/>
      <c r="C100" s="11" t="s">
        <v>730</v>
      </c>
      <c r="D100" s="15"/>
      <c r="E100" s="46"/>
      <c r="F100" s="51">
        <v>232.96432139999999</v>
      </c>
      <c r="G100" s="5">
        <v>4.6183694999999997E-2</v>
      </c>
    </row>
    <row r="101" spans="1:7" ht="15" x14ac:dyDescent="0.25">
      <c r="A101" s="6"/>
      <c r="B101" s="7"/>
      <c r="C101" s="8" t="s">
        <v>104</v>
      </c>
      <c r="D101" s="25"/>
      <c r="E101" s="48"/>
      <c r="F101" s="53">
        <v>232.96432139999999</v>
      </c>
      <c r="G101" s="13">
        <v>4.6183694999999997E-2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25.5" x14ac:dyDescent="0.25">
      <c r="A103" s="6"/>
      <c r="B103" s="7"/>
      <c r="C103" s="24" t="s">
        <v>122</v>
      </c>
      <c r="D103" s="25"/>
      <c r="E103" s="48"/>
      <c r="F103" s="53">
        <v>232.96432139999999</v>
      </c>
      <c r="G103" s="13">
        <v>4.6183694999999997E-2</v>
      </c>
    </row>
    <row r="104" spans="1:7" ht="15" x14ac:dyDescent="0.25">
      <c r="A104" s="6"/>
      <c r="B104" s="7"/>
      <c r="C104" s="29"/>
      <c r="D104" s="7"/>
      <c r="E104" s="46"/>
      <c r="F104" s="51"/>
      <c r="G104" s="5"/>
    </row>
    <row r="105" spans="1:7" ht="15" x14ac:dyDescent="0.25">
      <c r="A105" s="1"/>
      <c r="B105" s="2"/>
      <c r="C105" s="3" t="s">
        <v>123</v>
      </c>
      <c r="D105" s="4"/>
      <c r="E105" s="46"/>
      <c r="F105" s="51"/>
      <c r="G105" s="5"/>
    </row>
    <row r="106" spans="1:7" ht="25.5" x14ac:dyDescent="0.25">
      <c r="A106" s="6"/>
      <c r="B106" s="7"/>
      <c r="C106" s="8" t="s">
        <v>124</v>
      </c>
      <c r="D106" s="9"/>
      <c r="E106" s="47"/>
      <c r="F106" s="52"/>
      <c r="G106" s="10"/>
    </row>
    <row r="107" spans="1:7" ht="15" x14ac:dyDescent="0.25">
      <c r="A107" s="6"/>
      <c r="B107" s="7"/>
      <c r="C107" s="8" t="s">
        <v>104</v>
      </c>
      <c r="D107" s="25"/>
      <c r="E107" s="48"/>
      <c r="F107" s="53">
        <v>0</v>
      </c>
      <c r="G107" s="13">
        <v>0</v>
      </c>
    </row>
    <row r="108" spans="1:7" ht="15" x14ac:dyDescent="0.25">
      <c r="A108" s="6"/>
      <c r="B108" s="7"/>
      <c r="C108" s="14"/>
      <c r="D108" s="7"/>
      <c r="E108" s="46"/>
      <c r="F108" s="51"/>
      <c r="G108" s="5"/>
    </row>
    <row r="109" spans="1:7" ht="15" x14ac:dyDescent="0.25">
      <c r="A109" s="1"/>
      <c r="B109" s="2"/>
      <c r="C109" s="3" t="s">
        <v>125</v>
      </c>
      <c r="D109" s="4"/>
      <c r="E109" s="46"/>
      <c r="F109" s="51"/>
      <c r="G109" s="5"/>
    </row>
    <row r="110" spans="1:7" ht="25.5" x14ac:dyDescent="0.25">
      <c r="A110" s="6"/>
      <c r="B110" s="7"/>
      <c r="C110" s="8" t="s">
        <v>126</v>
      </c>
      <c r="D110" s="9"/>
      <c r="E110" s="47"/>
      <c r="F110" s="52"/>
      <c r="G110" s="10"/>
    </row>
    <row r="111" spans="1:7" ht="15" x14ac:dyDescent="0.25">
      <c r="A111" s="6"/>
      <c r="B111" s="7"/>
      <c r="C111" s="8" t="s">
        <v>104</v>
      </c>
      <c r="D111" s="25"/>
      <c r="E111" s="48"/>
      <c r="F111" s="53">
        <v>0</v>
      </c>
      <c r="G111" s="13">
        <v>0</v>
      </c>
    </row>
    <row r="112" spans="1:7" ht="15" x14ac:dyDescent="0.25">
      <c r="A112" s="6"/>
      <c r="B112" s="7"/>
      <c r="C112" s="14"/>
      <c r="D112" s="7"/>
      <c r="E112" s="46"/>
      <c r="F112" s="51"/>
      <c r="G112" s="5"/>
    </row>
    <row r="113" spans="1:7" ht="25.5" x14ac:dyDescent="0.25">
      <c r="A113" s="6"/>
      <c r="B113" s="7"/>
      <c r="C113" s="8" t="s">
        <v>127</v>
      </c>
      <c r="D113" s="9"/>
      <c r="E113" s="47"/>
      <c r="F113" s="52"/>
      <c r="G113" s="10"/>
    </row>
    <row r="114" spans="1:7" ht="15" x14ac:dyDescent="0.25">
      <c r="A114" s="6"/>
      <c r="B114" s="7"/>
      <c r="C114" s="8" t="s">
        <v>104</v>
      </c>
      <c r="D114" s="25"/>
      <c r="E114" s="48"/>
      <c r="F114" s="53">
        <v>0</v>
      </c>
      <c r="G114" s="13">
        <v>0</v>
      </c>
    </row>
    <row r="115" spans="1:7" ht="15" x14ac:dyDescent="0.25">
      <c r="A115" s="6"/>
      <c r="B115" s="7"/>
      <c r="C115" s="14"/>
      <c r="D115" s="7"/>
      <c r="E115" s="46"/>
      <c r="F115" s="56"/>
      <c r="G115" s="27"/>
    </row>
    <row r="116" spans="1:7" ht="25.5" x14ac:dyDescent="0.25">
      <c r="A116" s="6"/>
      <c r="B116" s="7"/>
      <c r="C116" s="29" t="s">
        <v>128</v>
      </c>
      <c r="D116" s="7"/>
      <c r="E116" s="46"/>
      <c r="F116" s="56">
        <v>7.5738345999999996</v>
      </c>
      <c r="G116" s="27">
        <v>1.501465E-3</v>
      </c>
    </row>
    <row r="117" spans="1:7" ht="15" x14ac:dyDescent="0.25">
      <c r="A117" s="6"/>
      <c r="B117" s="7"/>
      <c r="C117" s="30" t="s">
        <v>129</v>
      </c>
      <c r="D117" s="12"/>
      <c r="E117" s="48"/>
      <c r="F117" s="53">
        <v>5044.2980174000004</v>
      </c>
      <c r="G117" s="13">
        <v>0.99999999899999992</v>
      </c>
    </row>
    <row r="119" spans="1:7" ht="15" x14ac:dyDescent="0.25">
      <c r="B119" s="279"/>
      <c r="C119" s="279"/>
      <c r="D119" s="279"/>
      <c r="E119" s="279"/>
      <c r="F119" s="279"/>
    </row>
    <row r="120" spans="1:7" ht="15" x14ac:dyDescent="0.25">
      <c r="B120" s="279"/>
      <c r="C120" s="279"/>
      <c r="D120" s="279"/>
      <c r="E120" s="279"/>
      <c r="F120" s="279"/>
    </row>
    <row r="122" spans="1:7" ht="15" x14ac:dyDescent="0.25">
      <c r="B122" s="36" t="s">
        <v>131</v>
      </c>
      <c r="C122" s="37"/>
      <c r="D122" s="38"/>
    </row>
    <row r="123" spans="1:7" ht="15" x14ac:dyDescent="0.25">
      <c r="B123" s="39" t="s">
        <v>132</v>
      </c>
      <c r="C123" s="40"/>
      <c r="D123" s="62" t="s">
        <v>133</v>
      </c>
    </row>
    <row r="124" spans="1:7" ht="15" x14ac:dyDescent="0.25">
      <c r="B124" s="39" t="s">
        <v>134</v>
      </c>
      <c r="C124" s="40"/>
      <c r="D124" s="62" t="s">
        <v>133</v>
      </c>
    </row>
    <row r="125" spans="1:7" ht="15" x14ac:dyDescent="0.25">
      <c r="B125" s="41" t="s">
        <v>135</v>
      </c>
      <c r="C125" s="40"/>
      <c r="D125" s="42"/>
    </row>
    <row r="126" spans="1:7" ht="25.5" customHeight="1" x14ac:dyDescent="0.25">
      <c r="B126" s="42"/>
      <c r="C126" s="32" t="s">
        <v>136</v>
      </c>
      <c r="D126" s="33" t="s">
        <v>137</v>
      </c>
    </row>
    <row r="127" spans="1:7" ht="12.75" customHeight="1" x14ac:dyDescent="0.25">
      <c r="B127" s="57" t="s">
        <v>138</v>
      </c>
      <c r="C127" s="58" t="s">
        <v>139</v>
      </c>
      <c r="D127" s="58" t="s">
        <v>140</v>
      </c>
    </row>
    <row r="128" spans="1:7" ht="15" x14ac:dyDescent="0.25">
      <c r="B128" s="42" t="s">
        <v>141</v>
      </c>
      <c r="C128" s="43">
        <v>14.5411</v>
      </c>
      <c r="D128" s="43">
        <v>13.6234</v>
      </c>
    </row>
    <row r="129" spans="2:4" ht="15" x14ac:dyDescent="0.25">
      <c r="B129" s="42" t="s">
        <v>142</v>
      </c>
      <c r="C129" s="43">
        <v>12.4445</v>
      </c>
      <c r="D129" s="43">
        <v>11.6592</v>
      </c>
    </row>
    <row r="130" spans="2:4" ht="15" x14ac:dyDescent="0.25">
      <c r="B130" s="42" t="s">
        <v>143</v>
      </c>
      <c r="C130" s="43">
        <v>14.3058</v>
      </c>
      <c r="D130" s="43">
        <v>13.4002</v>
      </c>
    </row>
    <row r="131" spans="2:4" ht="15" x14ac:dyDescent="0.25">
      <c r="B131" s="42" t="s">
        <v>144</v>
      </c>
      <c r="C131" s="43">
        <v>12.221399999999999</v>
      </c>
      <c r="D131" s="43">
        <v>11.447800000000001</v>
      </c>
    </row>
    <row r="133" spans="2:4" ht="15" x14ac:dyDescent="0.25">
      <c r="B133" s="59" t="s">
        <v>145</v>
      </c>
      <c r="C133" s="44"/>
      <c r="D133" s="60" t="s">
        <v>133</v>
      </c>
    </row>
    <row r="134" spans="2:4" ht="24.75" customHeight="1" x14ac:dyDescent="0.25">
      <c r="B134" s="61"/>
      <c r="C134" s="61"/>
    </row>
    <row r="135" spans="2:4" ht="15" x14ac:dyDescent="0.25">
      <c r="B135" s="63"/>
      <c r="C135" s="65"/>
      <c r="D135"/>
    </row>
    <row r="137" spans="2:4" ht="15" x14ac:dyDescent="0.25">
      <c r="B137" s="41" t="s">
        <v>146</v>
      </c>
      <c r="C137" s="40"/>
      <c r="D137" s="64" t="s">
        <v>133</v>
      </c>
    </row>
    <row r="138" spans="2:4" ht="15" x14ac:dyDescent="0.25">
      <c r="B138" s="41" t="s">
        <v>147</v>
      </c>
      <c r="C138" s="40"/>
      <c r="D138" s="64" t="s">
        <v>133</v>
      </c>
    </row>
    <row r="139" spans="2:4" ht="15" x14ac:dyDescent="0.25">
      <c r="B139" s="41" t="s">
        <v>148</v>
      </c>
      <c r="C139" s="40"/>
      <c r="D139" s="45">
        <v>2.9656158815373389E-2</v>
      </c>
    </row>
    <row r="140" spans="2:4" ht="15" x14ac:dyDescent="0.25">
      <c r="B140" s="41" t="s">
        <v>149</v>
      </c>
      <c r="C140" s="40"/>
      <c r="D140" s="45" t="s">
        <v>133</v>
      </c>
    </row>
  </sheetData>
  <mergeCells count="5">
    <mergeCell ref="A1:G1"/>
    <mergeCell ref="A2:G2"/>
    <mergeCell ref="A3:G3"/>
    <mergeCell ref="B119:F119"/>
    <mergeCell ref="B120:F120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V141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540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14</v>
      </c>
      <c r="C7" s="11" t="s">
        <v>15</v>
      </c>
      <c r="D7" s="2" t="s">
        <v>16</v>
      </c>
      <c r="E7" s="46">
        <v>50180</v>
      </c>
      <c r="F7" s="51">
        <v>369.52551999999997</v>
      </c>
      <c r="G7" s="5">
        <v>4.7453689E-2</v>
      </c>
    </row>
    <row r="8" spans="1:7" ht="25.5" x14ac:dyDescent="0.25">
      <c r="A8" s="6">
        <v>2</v>
      </c>
      <c r="B8" s="7" t="s">
        <v>390</v>
      </c>
      <c r="C8" s="11" t="s">
        <v>391</v>
      </c>
      <c r="D8" s="2" t="s">
        <v>162</v>
      </c>
      <c r="E8" s="46">
        <v>38607</v>
      </c>
      <c r="F8" s="51">
        <v>307.91012849999998</v>
      </c>
      <c r="G8" s="5">
        <v>3.954117E-2</v>
      </c>
    </row>
    <row r="9" spans="1:7" ht="25.5" x14ac:dyDescent="0.25">
      <c r="A9" s="6">
        <v>3</v>
      </c>
      <c r="B9" s="7" t="s">
        <v>31</v>
      </c>
      <c r="C9" s="11" t="s">
        <v>32</v>
      </c>
      <c r="D9" s="2" t="s">
        <v>30</v>
      </c>
      <c r="E9" s="46">
        <v>27904</v>
      </c>
      <c r="F9" s="51">
        <v>306.81843199999997</v>
      </c>
      <c r="G9" s="5">
        <v>3.9400975999999997E-2</v>
      </c>
    </row>
    <row r="10" spans="1:7" ht="15" x14ac:dyDescent="0.25">
      <c r="A10" s="6">
        <v>4</v>
      </c>
      <c r="B10" s="7" t="s">
        <v>291</v>
      </c>
      <c r="C10" s="11" t="s">
        <v>292</v>
      </c>
      <c r="D10" s="2" t="s">
        <v>238</v>
      </c>
      <c r="E10" s="46">
        <v>76741</v>
      </c>
      <c r="F10" s="51">
        <v>305.16058650000002</v>
      </c>
      <c r="G10" s="5">
        <v>3.9188079000000001E-2</v>
      </c>
    </row>
    <row r="11" spans="1:7" ht="15" x14ac:dyDescent="0.25">
      <c r="A11" s="6">
        <v>5</v>
      </c>
      <c r="B11" s="7" t="s">
        <v>532</v>
      </c>
      <c r="C11" s="11" t="s">
        <v>533</v>
      </c>
      <c r="D11" s="2" t="s">
        <v>162</v>
      </c>
      <c r="E11" s="46">
        <v>3644</v>
      </c>
      <c r="F11" s="51">
        <v>258.64565399999998</v>
      </c>
      <c r="G11" s="5">
        <v>3.3214729999999998E-2</v>
      </c>
    </row>
    <row r="12" spans="1:7" ht="15" x14ac:dyDescent="0.25">
      <c r="A12" s="6">
        <v>6</v>
      </c>
      <c r="B12" s="7" t="s">
        <v>412</v>
      </c>
      <c r="C12" s="11" t="s">
        <v>413</v>
      </c>
      <c r="D12" s="2" t="s">
        <v>162</v>
      </c>
      <c r="E12" s="46">
        <v>7822</v>
      </c>
      <c r="F12" s="51">
        <v>254.37535099999999</v>
      </c>
      <c r="G12" s="5">
        <v>3.2666346999999998E-2</v>
      </c>
    </row>
    <row r="13" spans="1:7" ht="25.5" x14ac:dyDescent="0.25">
      <c r="A13" s="6">
        <v>7</v>
      </c>
      <c r="B13" s="7" t="s">
        <v>293</v>
      </c>
      <c r="C13" s="11" t="s">
        <v>294</v>
      </c>
      <c r="D13" s="2" t="s">
        <v>167</v>
      </c>
      <c r="E13" s="46">
        <v>18753</v>
      </c>
      <c r="F13" s="51">
        <v>253.46554800000001</v>
      </c>
      <c r="G13" s="5">
        <v>3.2549512000000003E-2</v>
      </c>
    </row>
    <row r="14" spans="1:7" ht="25.5" x14ac:dyDescent="0.25">
      <c r="A14" s="6">
        <v>8</v>
      </c>
      <c r="B14" s="7" t="s">
        <v>392</v>
      </c>
      <c r="C14" s="11" t="s">
        <v>393</v>
      </c>
      <c r="D14" s="2" t="s">
        <v>37</v>
      </c>
      <c r="E14" s="46">
        <v>19965</v>
      </c>
      <c r="F14" s="51">
        <v>239.82956250000001</v>
      </c>
      <c r="G14" s="5">
        <v>3.0798407E-2</v>
      </c>
    </row>
    <row r="15" spans="1:7" ht="25.5" x14ac:dyDescent="0.25">
      <c r="A15" s="6">
        <v>9</v>
      </c>
      <c r="B15" s="7" t="s">
        <v>429</v>
      </c>
      <c r="C15" s="11" t="s">
        <v>430</v>
      </c>
      <c r="D15" s="2" t="s">
        <v>30</v>
      </c>
      <c r="E15" s="46">
        <v>20550</v>
      </c>
      <c r="F15" s="51">
        <v>235.24612500000001</v>
      </c>
      <c r="G15" s="5">
        <v>3.0209811999999999E-2</v>
      </c>
    </row>
    <row r="16" spans="1:7" ht="25.5" x14ac:dyDescent="0.25">
      <c r="A16" s="6">
        <v>10</v>
      </c>
      <c r="B16" s="7" t="s">
        <v>310</v>
      </c>
      <c r="C16" s="11" t="s">
        <v>311</v>
      </c>
      <c r="D16" s="2" t="s">
        <v>37</v>
      </c>
      <c r="E16" s="46">
        <v>36539</v>
      </c>
      <c r="F16" s="51">
        <v>233.44767100000001</v>
      </c>
      <c r="G16" s="5">
        <v>2.9978858000000001E-2</v>
      </c>
    </row>
    <row r="17" spans="1:7" ht="15" x14ac:dyDescent="0.25">
      <c r="A17" s="6">
        <v>11</v>
      </c>
      <c r="B17" s="7" t="s">
        <v>312</v>
      </c>
      <c r="C17" s="11" t="s">
        <v>313</v>
      </c>
      <c r="D17" s="2" t="s">
        <v>13</v>
      </c>
      <c r="E17" s="46">
        <v>120386</v>
      </c>
      <c r="F17" s="51">
        <v>233.187682</v>
      </c>
      <c r="G17" s="5">
        <v>2.9945471000000001E-2</v>
      </c>
    </row>
    <row r="18" spans="1:7" ht="25.5" x14ac:dyDescent="0.25">
      <c r="A18" s="6">
        <v>12</v>
      </c>
      <c r="B18" s="7" t="s">
        <v>318</v>
      </c>
      <c r="C18" s="11" t="s">
        <v>319</v>
      </c>
      <c r="D18" s="2" t="s">
        <v>162</v>
      </c>
      <c r="E18" s="46">
        <v>85240</v>
      </c>
      <c r="F18" s="51">
        <v>221.32566</v>
      </c>
      <c r="G18" s="5">
        <v>2.8422175000000001E-2</v>
      </c>
    </row>
    <row r="19" spans="1:7" ht="25.5" x14ac:dyDescent="0.25">
      <c r="A19" s="6">
        <v>13</v>
      </c>
      <c r="B19" s="7" t="s">
        <v>388</v>
      </c>
      <c r="C19" s="11" t="s">
        <v>389</v>
      </c>
      <c r="D19" s="2" t="s">
        <v>59</v>
      </c>
      <c r="E19" s="46">
        <v>91972</v>
      </c>
      <c r="F19" s="51">
        <v>211.48961399999999</v>
      </c>
      <c r="G19" s="5">
        <v>2.7159051E-2</v>
      </c>
    </row>
    <row r="20" spans="1:7" ht="25.5" x14ac:dyDescent="0.25">
      <c r="A20" s="6">
        <v>14</v>
      </c>
      <c r="B20" s="7" t="s">
        <v>406</v>
      </c>
      <c r="C20" s="11" t="s">
        <v>407</v>
      </c>
      <c r="D20" s="2" t="s">
        <v>162</v>
      </c>
      <c r="E20" s="46">
        <v>16796</v>
      </c>
      <c r="F20" s="51">
        <v>202.786506</v>
      </c>
      <c r="G20" s="5">
        <v>2.6041416000000001E-2</v>
      </c>
    </row>
    <row r="21" spans="1:7" ht="25.5" x14ac:dyDescent="0.25">
      <c r="A21" s="6">
        <v>15</v>
      </c>
      <c r="B21" s="7" t="s">
        <v>306</v>
      </c>
      <c r="C21" s="11" t="s">
        <v>307</v>
      </c>
      <c r="D21" s="2" t="s">
        <v>59</v>
      </c>
      <c r="E21" s="46">
        <v>12017</v>
      </c>
      <c r="F21" s="51">
        <v>186.79825650000001</v>
      </c>
      <c r="G21" s="5">
        <v>2.3988237999999999E-2</v>
      </c>
    </row>
    <row r="22" spans="1:7" ht="25.5" x14ac:dyDescent="0.25">
      <c r="A22" s="6">
        <v>16</v>
      </c>
      <c r="B22" s="7" t="s">
        <v>316</v>
      </c>
      <c r="C22" s="11" t="s">
        <v>317</v>
      </c>
      <c r="D22" s="2" t="s">
        <v>37</v>
      </c>
      <c r="E22" s="46">
        <v>73256</v>
      </c>
      <c r="F22" s="51">
        <v>184.312096</v>
      </c>
      <c r="G22" s="5">
        <v>2.3668971E-2</v>
      </c>
    </row>
    <row r="23" spans="1:7" ht="15" x14ac:dyDescent="0.25">
      <c r="A23" s="6">
        <v>17</v>
      </c>
      <c r="B23" s="7" t="s">
        <v>303</v>
      </c>
      <c r="C23" s="11" t="s">
        <v>304</v>
      </c>
      <c r="D23" s="2" t="s">
        <v>305</v>
      </c>
      <c r="E23" s="46">
        <v>59802</v>
      </c>
      <c r="F23" s="51">
        <v>181.259862</v>
      </c>
      <c r="G23" s="5">
        <v>2.3277010000000001E-2</v>
      </c>
    </row>
    <row r="24" spans="1:7" ht="25.5" x14ac:dyDescent="0.25">
      <c r="A24" s="6">
        <v>18</v>
      </c>
      <c r="B24" s="7" t="s">
        <v>326</v>
      </c>
      <c r="C24" s="11" t="s">
        <v>327</v>
      </c>
      <c r="D24" s="2" t="s">
        <v>37</v>
      </c>
      <c r="E24" s="46">
        <v>53652</v>
      </c>
      <c r="F24" s="51">
        <v>171.74005199999999</v>
      </c>
      <c r="G24" s="5">
        <v>2.2054496E-2</v>
      </c>
    </row>
    <row r="25" spans="1:7" ht="25.5" x14ac:dyDescent="0.25">
      <c r="A25" s="6">
        <v>19</v>
      </c>
      <c r="B25" s="7" t="s">
        <v>156</v>
      </c>
      <c r="C25" s="11" t="s">
        <v>157</v>
      </c>
      <c r="D25" s="2" t="s">
        <v>59</v>
      </c>
      <c r="E25" s="46">
        <v>73074</v>
      </c>
      <c r="F25" s="51">
        <v>170.11627200000001</v>
      </c>
      <c r="G25" s="5">
        <v>2.1845973000000001E-2</v>
      </c>
    </row>
    <row r="26" spans="1:7" ht="15" x14ac:dyDescent="0.25">
      <c r="A26" s="6">
        <v>20</v>
      </c>
      <c r="B26" s="7" t="s">
        <v>534</v>
      </c>
      <c r="C26" s="11" t="s">
        <v>535</v>
      </c>
      <c r="D26" s="2" t="s">
        <v>51</v>
      </c>
      <c r="E26" s="46">
        <v>30368</v>
      </c>
      <c r="F26" s="51">
        <v>166.90252799999999</v>
      </c>
      <c r="G26" s="5">
        <v>2.1433271E-2</v>
      </c>
    </row>
    <row r="27" spans="1:7" ht="15" x14ac:dyDescent="0.25">
      <c r="A27" s="6">
        <v>21</v>
      </c>
      <c r="B27" s="7" t="s">
        <v>203</v>
      </c>
      <c r="C27" s="11" t="s">
        <v>204</v>
      </c>
      <c r="D27" s="2" t="s">
        <v>81</v>
      </c>
      <c r="E27" s="46">
        <v>153938</v>
      </c>
      <c r="F27" s="51">
        <v>165.79122599999999</v>
      </c>
      <c r="G27" s="5">
        <v>2.129056E-2</v>
      </c>
    </row>
    <row r="28" spans="1:7" ht="15" x14ac:dyDescent="0.25">
      <c r="A28" s="6">
        <v>22</v>
      </c>
      <c r="B28" s="7" t="s">
        <v>338</v>
      </c>
      <c r="C28" s="11" t="s">
        <v>339</v>
      </c>
      <c r="D28" s="2" t="s">
        <v>162</v>
      </c>
      <c r="E28" s="46">
        <v>39394</v>
      </c>
      <c r="F28" s="51">
        <v>164.35176799999999</v>
      </c>
      <c r="G28" s="5">
        <v>2.1105708000000001E-2</v>
      </c>
    </row>
    <row r="29" spans="1:7" ht="51" x14ac:dyDescent="0.25">
      <c r="A29" s="6">
        <v>23</v>
      </c>
      <c r="B29" s="7" t="s">
        <v>320</v>
      </c>
      <c r="C29" s="11" t="s">
        <v>321</v>
      </c>
      <c r="D29" s="2" t="s">
        <v>235</v>
      </c>
      <c r="E29" s="46">
        <v>98300</v>
      </c>
      <c r="F29" s="51">
        <v>162.83394999999999</v>
      </c>
      <c r="G29" s="5">
        <v>2.0910793E-2</v>
      </c>
    </row>
    <row r="30" spans="1:7" ht="25.5" x14ac:dyDescent="0.25">
      <c r="A30" s="6">
        <v>24</v>
      </c>
      <c r="B30" s="7" t="s">
        <v>17</v>
      </c>
      <c r="C30" s="11" t="s">
        <v>18</v>
      </c>
      <c r="D30" s="2" t="s">
        <v>19</v>
      </c>
      <c r="E30" s="46">
        <v>11224</v>
      </c>
      <c r="F30" s="51">
        <v>155.71055200000001</v>
      </c>
      <c r="G30" s="5">
        <v>1.9996020999999999E-2</v>
      </c>
    </row>
    <row r="31" spans="1:7" ht="25.5" x14ac:dyDescent="0.25">
      <c r="A31" s="6">
        <v>25</v>
      </c>
      <c r="B31" s="7" t="s">
        <v>297</v>
      </c>
      <c r="C31" s="11" t="s">
        <v>298</v>
      </c>
      <c r="D31" s="2" t="s">
        <v>238</v>
      </c>
      <c r="E31" s="46">
        <v>80062</v>
      </c>
      <c r="F31" s="51">
        <v>150.71671499999999</v>
      </c>
      <c r="G31" s="5">
        <v>1.9354723000000001E-2</v>
      </c>
    </row>
    <row r="32" spans="1:7" ht="15" x14ac:dyDescent="0.25">
      <c r="A32" s="6">
        <v>26</v>
      </c>
      <c r="B32" s="7" t="s">
        <v>363</v>
      </c>
      <c r="C32" s="11" t="s">
        <v>364</v>
      </c>
      <c r="D32" s="2" t="s">
        <v>365</v>
      </c>
      <c r="E32" s="46">
        <v>4704</v>
      </c>
      <c r="F32" s="51">
        <v>144.32342399999999</v>
      </c>
      <c r="G32" s="5">
        <v>1.8533709999999998E-2</v>
      </c>
    </row>
    <row r="33" spans="1:7" ht="15" x14ac:dyDescent="0.25">
      <c r="A33" s="6">
        <v>27</v>
      </c>
      <c r="B33" s="7" t="s">
        <v>366</v>
      </c>
      <c r="C33" s="11" t="s">
        <v>367</v>
      </c>
      <c r="D33" s="2" t="s">
        <v>162</v>
      </c>
      <c r="E33" s="46">
        <v>138772</v>
      </c>
      <c r="F33" s="51">
        <v>137.453666</v>
      </c>
      <c r="G33" s="5">
        <v>1.7651509999999999E-2</v>
      </c>
    </row>
    <row r="34" spans="1:7" ht="15" x14ac:dyDescent="0.25">
      <c r="A34" s="6">
        <v>28</v>
      </c>
      <c r="B34" s="7" t="s">
        <v>330</v>
      </c>
      <c r="C34" s="11" t="s">
        <v>331</v>
      </c>
      <c r="D34" s="2" t="s">
        <v>215</v>
      </c>
      <c r="E34" s="46">
        <v>8999</v>
      </c>
      <c r="F34" s="51">
        <v>129.68008950000001</v>
      </c>
      <c r="G34" s="5">
        <v>1.6653244000000001E-2</v>
      </c>
    </row>
    <row r="35" spans="1:7" ht="25.5" x14ac:dyDescent="0.25">
      <c r="A35" s="6">
        <v>29</v>
      </c>
      <c r="B35" s="7" t="s">
        <v>536</v>
      </c>
      <c r="C35" s="11" t="s">
        <v>537</v>
      </c>
      <c r="D35" s="2" t="s">
        <v>19</v>
      </c>
      <c r="E35" s="46">
        <v>865199</v>
      </c>
      <c r="F35" s="51">
        <v>129.3472505</v>
      </c>
      <c r="G35" s="5">
        <v>1.6610501E-2</v>
      </c>
    </row>
    <row r="36" spans="1:7" ht="15" x14ac:dyDescent="0.25">
      <c r="A36" s="6">
        <v>30</v>
      </c>
      <c r="B36" s="7" t="s">
        <v>322</v>
      </c>
      <c r="C36" s="11" t="s">
        <v>323</v>
      </c>
      <c r="D36" s="2" t="s">
        <v>162</v>
      </c>
      <c r="E36" s="46">
        <v>24920</v>
      </c>
      <c r="F36" s="51">
        <v>129.18528000000001</v>
      </c>
      <c r="G36" s="5">
        <v>1.6589700999999998E-2</v>
      </c>
    </row>
    <row r="37" spans="1:7" ht="15" x14ac:dyDescent="0.25">
      <c r="A37" s="6">
        <v>31</v>
      </c>
      <c r="B37" s="7" t="s">
        <v>299</v>
      </c>
      <c r="C37" s="11" t="s">
        <v>300</v>
      </c>
      <c r="D37" s="2" t="s">
        <v>13</v>
      </c>
      <c r="E37" s="46">
        <v>129075</v>
      </c>
      <c r="F37" s="51">
        <v>119.2653</v>
      </c>
      <c r="G37" s="5">
        <v>1.5315798E-2</v>
      </c>
    </row>
    <row r="38" spans="1:7" ht="15" x14ac:dyDescent="0.25">
      <c r="A38" s="6">
        <v>32</v>
      </c>
      <c r="B38" s="7" t="s">
        <v>314</v>
      </c>
      <c r="C38" s="11" t="s">
        <v>315</v>
      </c>
      <c r="D38" s="2" t="s">
        <v>170</v>
      </c>
      <c r="E38" s="46">
        <v>1962</v>
      </c>
      <c r="F38" s="51">
        <v>119.19738599999999</v>
      </c>
      <c r="G38" s="5">
        <v>1.5307077000000001E-2</v>
      </c>
    </row>
    <row r="39" spans="1:7" ht="25.5" x14ac:dyDescent="0.25">
      <c r="A39" s="6">
        <v>33</v>
      </c>
      <c r="B39" s="7" t="s">
        <v>357</v>
      </c>
      <c r="C39" s="11" t="s">
        <v>358</v>
      </c>
      <c r="D39" s="2" t="s">
        <v>162</v>
      </c>
      <c r="E39" s="46">
        <v>37895</v>
      </c>
      <c r="F39" s="51">
        <v>115.50396000000001</v>
      </c>
      <c r="G39" s="5">
        <v>1.4832774999999999E-2</v>
      </c>
    </row>
    <row r="40" spans="1:7" ht="15" x14ac:dyDescent="0.25">
      <c r="A40" s="6">
        <v>34</v>
      </c>
      <c r="B40" s="7" t="s">
        <v>336</v>
      </c>
      <c r="C40" s="11" t="s">
        <v>337</v>
      </c>
      <c r="D40" s="2" t="s">
        <v>184</v>
      </c>
      <c r="E40" s="46">
        <v>25523</v>
      </c>
      <c r="F40" s="51">
        <v>111.9821625</v>
      </c>
      <c r="G40" s="5">
        <v>1.4380512999999999E-2</v>
      </c>
    </row>
    <row r="41" spans="1:7" ht="25.5" x14ac:dyDescent="0.25">
      <c r="A41" s="6">
        <v>35</v>
      </c>
      <c r="B41" s="7" t="s">
        <v>476</v>
      </c>
      <c r="C41" s="11" t="s">
        <v>477</v>
      </c>
      <c r="D41" s="2" t="s">
        <v>42</v>
      </c>
      <c r="E41" s="46">
        <v>90354</v>
      </c>
      <c r="F41" s="51">
        <v>109.599402</v>
      </c>
      <c r="G41" s="5">
        <v>1.4074524E-2</v>
      </c>
    </row>
    <row r="42" spans="1:7" ht="15" x14ac:dyDescent="0.25">
      <c r="A42" s="6">
        <v>36</v>
      </c>
      <c r="B42" s="7" t="s">
        <v>60</v>
      </c>
      <c r="C42" s="11" t="s">
        <v>61</v>
      </c>
      <c r="D42" s="2" t="s">
        <v>16</v>
      </c>
      <c r="E42" s="46">
        <v>10948</v>
      </c>
      <c r="F42" s="51">
        <v>105.75767999999999</v>
      </c>
      <c r="G42" s="5">
        <v>1.3581177999999999E-2</v>
      </c>
    </row>
    <row r="43" spans="1:7" ht="15" x14ac:dyDescent="0.25">
      <c r="A43" s="6">
        <v>37</v>
      </c>
      <c r="B43" s="7" t="s">
        <v>508</v>
      </c>
      <c r="C43" s="11" t="s">
        <v>509</v>
      </c>
      <c r="D43" s="2" t="s">
        <v>269</v>
      </c>
      <c r="E43" s="46">
        <v>11307</v>
      </c>
      <c r="F43" s="51">
        <v>102.96154199999999</v>
      </c>
      <c r="G43" s="5">
        <v>1.3222104E-2</v>
      </c>
    </row>
    <row r="44" spans="1:7" ht="15" x14ac:dyDescent="0.25">
      <c r="A44" s="6">
        <v>38</v>
      </c>
      <c r="B44" s="7" t="s">
        <v>54</v>
      </c>
      <c r="C44" s="11" t="s">
        <v>55</v>
      </c>
      <c r="D44" s="2" t="s">
        <v>56</v>
      </c>
      <c r="E44" s="46">
        <v>74475</v>
      </c>
      <c r="F44" s="51">
        <v>100.615725</v>
      </c>
      <c r="G44" s="5">
        <v>1.2920859E-2</v>
      </c>
    </row>
    <row r="45" spans="1:7" ht="15" x14ac:dyDescent="0.25">
      <c r="A45" s="6">
        <v>39</v>
      </c>
      <c r="B45" s="7" t="s">
        <v>516</v>
      </c>
      <c r="C45" s="11" t="s">
        <v>517</v>
      </c>
      <c r="D45" s="2" t="s">
        <v>13</v>
      </c>
      <c r="E45" s="46">
        <v>91323</v>
      </c>
      <c r="F45" s="51">
        <v>97.441641000000004</v>
      </c>
      <c r="G45" s="5">
        <v>1.251325E-2</v>
      </c>
    </row>
    <row r="46" spans="1:7" ht="15" x14ac:dyDescent="0.25">
      <c r="A46" s="6">
        <v>40</v>
      </c>
      <c r="B46" s="7" t="s">
        <v>264</v>
      </c>
      <c r="C46" s="11" t="s">
        <v>265</v>
      </c>
      <c r="D46" s="2" t="s">
        <v>162</v>
      </c>
      <c r="E46" s="46">
        <v>137000</v>
      </c>
      <c r="F46" s="51">
        <v>91.721500000000006</v>
      </c>
      <c r="G46" s="5">
        <v>1.1778682E-2</v>
      </c>
    </row>
    <row r="47" spans="1:7" ht="15" x14ac:dyDescent="0.25">
      <c r="A47" s="6">
        <v>41</v>
      </c>
      <c r="B47" s="7" t="s">
        <v>295</v>
      </c>
      <c r="C47" s="11" t="s">
        <v>296</v>
      </c>
      <c r="D47" s="2" t="s">
        <v>170</v>
      </c>
      <c r="E47" s="46">
        <v>4127</v>
      </c>
      <c r="F47" s="51">
        <v>87.550178000000002</v>
      </c>
      <c r="G47" s="5">
        <v>1.1243009E-2</v>
      </c>
    </row>
    <row r="48" spans="1:7" ht="15" x14ac:dyDescent="0.25">
      <c r="A48" s="6">
        <v>42</v>
      </c>
      <c r="B48" s="7" t="s">
        <v>538</v>
      </c>
      <c r="C48" s="11" t="s">
        <v>539</v>
      </c>
      <c r="D48" s="2" t="s">
        <v>170</v>
      </c>
      <c r="E48" s="46">
        <v>69216</v>
      </c>
      <c r="F48" s="51">
        <v>73.888080000000002</v>
      </c>
      <c r="G48" s="5">
        <v>9.4885520000000008E-3</v>
      </c>
    </row>
    <row r="49" spans="1:7" ht="15" x14ac:dyDescent="0.25">
      <c r="A49" s="6">
        <v>43</v>
      </c>
      <c r="B49" s="7" t="s">
        <v>359</v>
      </c>
      <c r="C49" s="11" t="s">
        <v>360</v>
      </c>
      <c r="D49" s="2" t="s">
        <v>27</v>
      </c>
      <c r="E49" s="46">
        <v>119700</v>
      </c>
      <c r="F49" s="51">
        <v>72.478350000000006</v>
      </c>
      <c r="G49" s="5">
        <v>9.3075169999999995E-3</v>
      </c>
    </row>
    <row r="50" spans="1:7" ht="25.5" x14ac:dyDescent="0.25">
      <c r="A50" s="6">
        <v>44</v>
      </c>
      <c r="B50" s="7" t="s">
        <v>308</v>
      </c>
      <c r="C50" s="11" t="s">
        <v>309</v>
      </c>
      <c r="D50" s="2" t="s">
        <v>22</v>
      </c>
      <c r="E50" s="46">
        <v>1561</v>
      </c>
      <c r="F50" s="51">
        <v>65.252141499999993</v>
      </c>
      <c r="G50" s="5">
        <v>8.3795429999999997E-3</v>
      </c>
    </row>
    <row r="51" spans="1:7" ht="15" x14ac:dyDescent="0.25">
      <c r="A51" s="6">
        <v>45</v>
      </c>
      <c r="B51" s="7" t="s">
        <v>361</v>
      </c>
      <c r="C51" s="11" t="s">
        <v>362</v>
      </c>
      <c r="D51" s="2" t="s">
        <v>162</v>
      </c>
      <c r="E51" s="46">
        <v>25567</v>
      </c>
      <c r="F51" s="51">
        <v>55.761626999999997</v>
      </c>
      <c r="G51" s="5">
        <v>7.1607909999999997E-3</v>
      </c>
    </row>
    <row r="52" spans="1:7" ht="15" x14ac:dyDescent="0.25">
      <c r="A52" s="6">
        <v>46</v>
      </c>
      <c r="B52" s="7" t="s">
        <v>373</v>
      </c>
      <c r="C52" s="11" t="s">
        <v>374</v>
      </c>
      <c r="D52" s="2" t="s">
        <v>13</v>
      </c>
      <c r="E52" s="46">
        <v>86673</v>
      </c>
      <c r="F52" s="51">
        <v>54.517316999999998</v>
      </c>
      <c r="G52" s="5">
        <v>7.0009989999999999E-3</v>
      </c>
    </row>
    <row r="53" spans="1:7" ht="15" x14ac:dyDescent="0.25">
      <c r="A53" s="6">
        <v>47</v>
      </c>
      <c r="B53" s="7" t="s">
        <v>375</v>
      </c>
      <c r="C53" s="11" t="s">
        <v>376</v>
      </c>
      <c r="D53" s="2" t="s">
        <v>162</v>
      </c>
      <c r="E53" s="46">
        <v>1075</v>
      </c>
      <c r="F53" s="51">
        <v>11.480516250000001</v>
      </c>
      <c r="G53" s="5">
        <v>1.4743040000000001E-3</v>
      </c>
    </row>
    <row r="54" spans="1:7" ht="15" x14ac:dyDescent="0.25">
      <c r="A54" s="6">
        <v>48</v>
      </c>
      <c r="B54" s="7" t="s">
        <v>377</v>
      </c>
      <c r="C54" s="11" t="s">
        <v>378</v>
      </c>
      <c r="D54" s="2" t="s">
        <v>162</v>
      </c>
      <c r="E54" s="46">
        <v>7527</v>
      </c>
      <c r="F54" s="51">
        <v>8.8856234999999995</v>
      </c>
      <c r="G54" s="5">
        <v>1.141073E-3</v>
      </c>
    </row>
    <row r="55" spans="1:7" ht="15" x14ac:dyDescent="0.25">
      <c r="A55" s="6">
        <v>49</v>
      </c>
      <c r="B55" s="7" t="s">
        <v>379</v>
      </c>
      <c r="C55" s="11" t="s">
        <v>380</v>
      </c>
      <c r="D55" s="2" t="s">
        <v>162</v>
      </c>
      <c r="E55" s="46">
        <v>7527</v>
      </c>
      <c r="F55" s="51">
        <v>1.64050965</v>
      </c>
      <c r="G55" s="5">
        <v>2.10671E-4</v>
      </c>
    </row>
    <row r="56" spans="1:7" ht="15" x14ac:dyDescent="0.25">
      <c r="A56" s="1"/>
      <c r="B56" s="2"/>
      <c r="C56" s="8" t="s">
        <v>104</v>
      </c>
      <c r="D56" s="12"/>
      <c r="E56" s="48"/>
      <c r="F56" s="53">
        <v>7669.2376694000004</v>
      </c>
      <c r="G56" s="13">
        <v>0.98486734199999992</v>
      </c>
    </row>
    <row r="57" spans="1:7" ht="15" x14ac:dyDescent="0.25">
      <c r="A57" s="6"/>
      <c r="B57" s="7"/>
      <c r="C57" s="14"/>
      <c r="D57" s="15"/>
      <c r="E57" s="46"/>
      <c r="F57" s="51"/>
      <c r="G57" s="5"/>
    </row>
    <row r="58" spans="1:7" ht="15" x14ac:dyDescent="0.25">
      <c r="A58" s="1"/>
      <c r="B58" s="2"/>
      <c r="C58" s="8" t="s">
        <v>105</v>
      </c>
      <c r="D58" s="9"/>
      <c r="E58" s="47"/>
      <c r="F58" s="52"/>
      <c r="G58" s="10"/>
    </row>
    <row r="59" spans="1:7" ht="15" x14ac:dyDescent="0.25">
      <c r="A59" s="1"/>
      <c r="B59" s="2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6"/>
      <c r="B60" s="7"/>
      <c r="C60" s="14"/>
      <c r="D60" s="15"/>
      <c r="E60" s="46"/>
      <c r="F60" s="51"/>
      <c r="G60" s="5"/>
    </row>
    <row r="61" spans="1:7" ht="15" x14ac:dyDescent="0.25">
      <c r="A61" s="16"/>
      <c r="B61" s="17"/>
      <c r="C61" s="8" t="s">
        <v>106</v>
      </c>
      <c r="D61" s="9"/>
      <c r="E61" s="47"/>
      <c r="F61" s="52"/>
      <c r="G61" s="10"/>
    </row>
    <row r="62" spans="1:7" ht="15" x14ac:dyDescent="0.25">
      <c r="A62" s="18"/>
      <c r="B62" s="19"/>
      <c r="C62" s="8" t="s">
        <v>104</v>
      </c>
      <c r="D62" s="20"/>
      <c r="E62" s="49"/>
      <c r="F62" s="54">
        <v>0</v>
      </c>
      <c r="G62" s="21">
        <v>0</v>
      </c>
    </row>
    <row r="63" spans="1:7" ht="15" x14ac:dyDescent="0.25">
      <c r="A63" s="18"/>
      <c r="B63" s="19"/>
      <c r="C63" s="14"/>
      <c r="D63" s="22"/>
      <c r="E63" s="50"/>
      <c r="F63" s="55"/>
      <c r="G63" s="23"/>
    </row>
    <row r="64" spans="1:7" ht="15" x14ac:dyDescent="0.25">
      <c r="A64" s="1"/>
      <c r="B64" s="2"/>
      <c r="C64" s="8" t="s">
        <v>108</v>
      </c>
      <c r="D64" s="9"/>
      <c r="E64" s="47"/>
      <c r="F64" s="52"/>
      <c r="G64" s="10"/>
    </row>
    <row r="65" spans="1:7" ht="15" x14ac:dyDescent="0.25">
      <c r="A65" s="1"/>
      <c r="B65" s="2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1"/>
      <c r="B66" s="2"/>
      <c r="C66" s="14"/>
      <c r="D66" s="4"/>
      <c r="E66" s="46"/>
      <c r="F66" s="51"/>
      <c r="G66" s="5"/>
    </row>
    <row r="67" spans="1:7" ht="15" x14ac:dyDescent="0.25">
      <c r="A67" s="1"/>
      <c r="B67" s="2"/>
      <c r="C67" s="8" t="s">
        <v>109</v>
      </c>
      <c r="D67" s="9"/>
      <c r="E67" s="47"/>
      <c r="F67" s="52"/>
      <c r="G67" s="10"/>
    </row>
    <row r="68" spans="1:7" ht="15" x14ac:dyDescent="0.25">
      <c r="A68" s="1"/>
      <c r="B68" s="2"/>
      <c r="C68" s="8" t="s">
        <v>104</v>
      </c>
      <c r="D68" s="12"/>
      <c r="E68" s="48"/>
      <c r="F68" s="53">
        <v>0</v>
      </c>
      <c r="G68" s="13">
        <v>0</v>
      </c>
    </row>
    <row r="69" spans="1:7" ht="15" x14ac:dyDescent="0.25">
      <c r="A69" s="1"/>
      <c r="B69" s="2"/>
      <c r="C69" s="14"/>
      <c r="D69" s="4"/>
      <c r="E69" s="46"/>
      <c r="F69" s="51"/>
      <c r="G69" s="5"/>
    </row>
    <row r="70" spans="1:7" ht="15" x14ac:dyDescent="0.25">
      <c r="A70" s="1"/>
      <c r="B70" s="2"/>
      <c r="C70" s="8" t="s">
        <v>110</v>
      </c>
      <c r="D70" s="9"/>
      <c r="E70" s="47"/>
      <c r="F70" s="52"/>
      <c r="G70" s="10"/>
    </row>
    <row r="71" spans="1:7" ht="15" x14ac:dyDescent="0.25">
      <c r="A71" s="1"/>
      <c r="B71" s="2"/>
      <c r="C71" s="8" t="s">
        <v>104</v>
      </c>
      <c r="D71" s="12"/>
      <c r="E71" s="48"/>
      <c r="F71" s="53">
        <v>0</v>
      </c>
      <c r="G71" s="13">
        <v>0</v>
      </c>
    </row>
    <row r="72" spans="1:7" ht="15" x14ac:dyDescent="0.25">
      <c r="A72" s="1"/>
      <c r="B72" s="2"/>
      <c r="C72" s="14"/>
      <c r="D72" s="4"/>
      <c r="E72" s="46"/>
      <c r="F72" s="51"/>
      <c r="G72" s="5"/>
    </row>
    <row r="73" spans="1:7" ht="25.5" x14ac:dyDescent="0.25">
      <c r="A73" s="6"/>
      <c r="B73" s="7"/>
      <c r="C73" s="24" t="s">
        <v>111</v>
      </c>
      <c r="D73" s="25"/>
      <c r="E73" s="48"/>
      <c r="F73" s="53">
        <v>7669.2376694000004</v>
      </c>
      <c r="G73" s="13">
        <v>0.98486734199999992</v>
      </c>
    </row>
    <row r="74" spans="1:7" ht="15" x14ac:dyDescent="0.25">
      <c r="A74" s="1"/>
      <c r="B74" s="2"/>
      <c r="C74" s="11"/>
      <c r="D74" s="4"/>
      <c r="E74" s="46"/>
      <c r="F74" s="51"/>
      <c r="G74" s="5"/>
    </row>
    <row r="75" spans="1:7" ht="15" x14ac:dyDescent="0.25">
      <c r="A75" s="1"/>
      <c r="B75" s="2"/>
      <c r="C75" s="3" t="s">
        <v>112</v>
      </c>
      <c r="D75" s="4"/>
      <c r="E75" s="46"/>
      <c r="F75" s="51"/>
      <c r="G75" s="5"/>
    </row>
    <row r="76" spans="1:7" ht="25.5" x14ac:dyDescent="0.25">
      <c r="A76" s="1"/>
      <c r="B76" s="2"/>
      <c r="C76" s="8" t="s">
        <v>10</v>
      </c>
      <c r="D76" s="9"/>
      <c r="E76" s="47"/>
      <c r="F76" s="52"/>
      <c r="G76" s="10"/>
    </row>
    <row r="77" spans="1:7" ht="15" x14ac:dyDescent="0.25">
      <c r="A77" s="6"/>
      <c r="B77" s="7"/>
      <c r="C77" s="8" t="s">
        <v>104</v>
      </c>
      <c r="D77" s="12"/>
      <c r="E77" s="48"/>
      <c r="F77" s="53">
        <v>0</v>
      </c>
      <c r="G77" s="13">
        <v>0</v>
      </c>
    </row>
    <row r="78" spans="1:7" ht="15" x14ac:dyDescent="0.25">
      <c r="A78" s="6"/>
      <c r="B78" s="7"/>
      <c r="C78" s="14"/>
      <c r="D78" s="4"/>
      <c r="E78" s="46"/>
      <c r="F78" s="51"/>
      <c r="G78" s="5"/>
    </row>
    <row r="79" spans="1:7" ht="15" x14ac:dyDescent="0.25">
      <c r="A79" s="1"/>
      <c r="B79" s="26"/>
      <c r="C79" s="8" t="s">
        <v>113</v>
      </c>
      <c r="D79" s="9"/>
      <c r="E79" s="47"/>
      <c r="F79" s="52"/>
      <c r="G79" s="10"/>
    </row>
    <row r="80" spans="1:7" ht="15" x14ac:dyDescent="0.25">
      <c r="A80" s="6"/>
      <c r="B80" s="7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6"/>
      <c r="B81" s="7"/>
      <c r="C81" s="14"/>
      <c r="D81" s="4"/>
      <c r="E81" s="46"/>
      <c r="F81" s="56"/>
      <c r="G81" s="27"/>
    </row>
    <row r="82" spans="1:7" ht="15" x14ac:dyDescent="0.25">
      <c r="A82" s="1"/>
      <c r="B82" s="2"/>
      <c r="C82" s="8" t="s">
        <v>114</v>
      </c>
      <c r="D82" s="9"/>
      <c r="E82" s="47"/>
      <c r="F82" s="52"/>
      <c r="G82" s="10"/>
    </row>
    <row r="83" spans="1:7" ht="15" x14ac:dyDescent="0.25">
      <c r="A83" s="6"/>
      <c r="B83" s="7"/>
      <c r="C83" s="8" t="s">
        <v>104</v>
      </c>
      <c r="D83" s="12"/>
      <c r="E83" s="48"/>
      <c r="F83" s="53">
        <v>0</v>
      </c>
      <c r="G83" s="13">
        <v>0</v>
      </c>
    </row>
    <row r="84" spans="1:7" ht="15" x14ac:dyDescent="0.25">
      <c r="A84" s="1"/>
      <c r="B84" s="2"/>
      <c r="C84" s="14"/>
      <c r="D84" s="4"/>
      <c r="E84" s="46"/>
      <c r="F84" s="51"/>
      <c r="G84" s="5"/>
    </row>
    <row r="85" spans="1:7" ht="25.5" x14ac:dyDescent="0.25">
      <c r="A85" s="1"/>
      <c r="B85" s="26"/>
      <c r="C85" s="8" t="s">
        <v>115</v>
      </c>
      <c r="D85" s="9"/>
      <c r="E85" s="47"/>
      <c r="F85" s="52"/>
      <c r="G85" s="10"/>
    </row>
    <row r="86" spans="1:7" ht="15" x14ac:dyDescent="0.25">
      <c r="A86" s="6"/>
      <c r="B86" s="7"/>
      <c r="C86" s="8" t="s">
        <v>104</v>
      </c>
      <c r="D86" s="12"/>
      <c r="E86" s="48"/>
      <c r="F86" s="53">
        <v>0</v>
      </c>
      <c r="G86" s="13">
        <v>0</v>
      </c>
    </row>
    <row r="87" spans="1:7" ht="15" x14ac:dyDescent="0.25">
      <c r="A87" s="6"/>
      <c r="B87" s="7"/>
      <c r="C87" s="14"/>
      <c r="D87" s="4"/>
      <c r="E87" s="46"/>
      <c r="F87" s="51"/>
      <c r="G87" s="5"/>
    </row>
    <row r="88" spans="1:7" ht="15" x14ac:dyDescent="0.25">
      <c r="A88" s="6"/>
      <c r="B88" s="7"/>
      <c r="C88" s="28" t="s">
        <v>116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1"/>
      <c r="D89" s="4"/>
      <c r="E89" s="46"/>
      <c r="F89" s="51"/>
      <c r="G89" s="5"/>
    </row>
    <row r="90" spans="1:7" ht="15" x14ac:dyDescent="0.25">
      <c r="A90" s="1"/>
      <c r="B90" s="2"/>
      <c r="C90" s="3" t="s">
        <v>117</v>
      </c>
      <c r="D90" s="4"/>
      <c r="E90" s="46"/>
      <c r="F90" s="51"/>
      <c r="G90" s="5"/>
    </row>
    <row r="91" spans="1:7" ht="15" x14ac:dyDescent="0.25">
      <c r="A91" s="6"/>
      <c r="B91" s="7"/>
      <c r="C91" s="8" t="s">
        <v>118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25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7"/>
      <c r="E93" s="46"/>
      <c r="F93" s="51"/>
      <c r="G93" s="5"/>
    </row>
    <row r="94" spans="1:7" ht="15" x14ac:dyDescent="0.25">
      <c r="A94" s="6"/>
      <c r="B94" s="7"/>
      <c r="C94" s="8" t="s">
        <v>119</v>
      </c>
      <c r="D94" s="9"/>
      <c r="E94" s="47"/>
      <c r="F94" s="52"/>
      <c r="G94" s="10"/>
    </row>
    <row r="95" spans="1:7" ht="15" x14ac:dyDescent="0.25">
      <c r="A95" s="6"/>
      <c r="B95" s="7"/>
      <c r="C95" s="8" t="s">
        <v>104</v>
      </c>
      <c r="D95" s="25"/>
      <c r="E95" s="48"/>
      <c r="F95" s="53">
        <v>0</v>
      </c>
      <c r="G95" s="13">
        <v>0</v>
      </c>
    </row>
    <row r="96" spans="1:7" ht="15" x14ac:dyDescent="0.25">
      <c r="A96" s="6"/>
      <c r="B96" s="7"/>
      <c r="C96" s="14"/>
      <c r="D96" s="7"/>
      <c r="E96" s="46"/>
      <c r="F96" s="51"/>
      <c r="G96" s="5"/>
    </row>
    <row r="97" spans="1:7" ht="15" x14ac:dyDescent="0.25">
      <c r="A97" s="6"/>
      <c r="B97" s="7"/>
      <c r="C97" s="8" t="s">
        <v>120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4"/>
      <c r="D99" s="7"/>
      <c r="E99" s="46"/>
      <c r="F99" s="51"/>
      <c r="G99" s="5"/>
    </row>
    <row r="100" spans="1:7" ht="15" x14ac:dyDescent="0.25">
      <c r="A100" s="6"/>
      <c r="B100" s="7"/>
      <c r="C100" s="8" t="s">
        <v>121</v>
      </c>
      <c r="D100" s="9"/>
      <c r="E100" s="47"/>
      <c r="F100" s="52"/>
      <c r="G100" s="10"/>
    </row>
    <row r="101" spans="1:7" ht="15" x14ac:dyDescent="0.25">
      <c r="A101" s="6">
        <v>1</v>
      </c>
      <c r="B101" s="7"/>
      <c r="C101" s="11" t="s">
        <v>730</v>
      </c>
      <c r="D101" s="15"/>
      <c r="E101" s="46"/>
      <c r="F101" s="51">
        <v>117.981931</v>
      </c>
      <c r="G101" s="5">
        <v>1.5150991000000001E-2</v>
      </c>
    </row>
    <row r="102" spans="1:7" ht="15" x14ac:dyDescent="0.25">
      <c r="A102" s="6"/>
      <c r="B102" s="7"/>
      <c r="C102" s="8" t="s">
        <v>104</v>
      </c>
      <c r="D102" s="25"/>
      <c r="E102" s="48"/>
      <c r="F102" s="53">
        <v>117.981931</v>
      </c>
      <c r="G102" s="13">
        <v>1.5150991000000001E-2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25.5" x14ac:dyDescent="0.25">
      <c r="A104" s="6"/>
      <c r="B104" s="7"/>
      <c r="C104" s="24" t="s">
        <v>122</v>
      </c>
      <c r="D104" s="25"/>
      <c r="E104" s="48"/>
      <c r="F104" s="53">
        <v>117.981931</v>
      </c>
      <c r="G104" s="13">
        <v>1.5150991000000001E-2</v>
      </c>
    </row>
    <row r="105" spans="1:7" ht="15" x14ac:dyDescent="0.25">
      <c r="A105" s="6"/>
      <c r="B105" s="7"/>
      <c r="C105" s="29"/>
      <c r="D105" s="7"/>
      <c r="E105" s="46"/>
      <c r="F105" s="51"/>
      <c r="G105" s="5"/>
    </row>
    <row r="106" spans="1:7" ht="15" x14ac:dyDescent="0.25">
      <c r="A106" s="1"/>
      <c r="B106" s="2"/>
      <c r="C106" s="3" t="s">
        <v>123</v>
      </c>
      <c r="D106" s="4"/>
      <c r="E106" s="46"/>
      <c r="F106" s="51"/>
      <c r="G106" s="5"/>
    </row>
    <row r="107" spans="1:7" ht="25.5" x14ac:dyDescent="0.25">
      <c r="A107" s="6"/>
      <c r="B107" s="7"/>
      <c r="C107" s="8" t="s">
        <v>124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1"/>
      <c r="G109" s="5"/>
    </row>
    <row r="110" spans="1:7" ht="15" x14ac:dyDescent="0.25">
      <c r="A110" s="1"/>
      <c r="B110" s="2"/>
      <c r="C110" s="3" t="s">
        <v>125</v>
      </c>
      <c r="D110" s="4"/>
      <c r="E110" s="46"/>
      <c r="F110" s="51"/>
      <c r="G110" s="5"/>
    </row>
    <row r="111" spans="1:7" ht="25.5" x14ac:dyDescent="0.25">
      <c r="A111" s="6"/>
      <c r="B111" s="7"/>
      <c r="C111" s="8" t="s">
        <v>126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25.5" x14ac:dyDescent="0.25">
      <c r="A114" s="6"/>
      <c r="B114" s="7"/>
      <c r="C114" s="8" t="s">
        <v>127</v>
      </c>
      <c r="D114" s="9"/>
      <c r="E114" s="47"/>
      <c r="F114" s="52"/>
      <c r="G114" s="10"/>
    </row>
    <row r="115" spans="1:7" ht="15" x14ac:dyDescent="0.25">
      <c r="A115" s="6"/>
      <c r="B115" s="7"/>
      <c r="C115" s="8" t="s">
        <v>104</v>
      </c>
      <c r="D115" s="25"/>
      <c r="E115" s="48"/>
      <c r="F115" s="53">
        <v>0</v>
      </c>
      <c r="G115" s="13">
        <v>0</v>
      </c>
    </row>
    <row r="116" spans="1:7" ht="15" x14ac:dyDescent="0.25">
      <c r="A116" s="6"/>
      <c r="B116" s="7"/>
      <c r="C116" s="14"/>
      <c r="D116" s="7"/>
      <c r="E116" s="46"/>
      <c r="F116" s="56"/>
      <c r="G116" s="27"/>
    </row>
    <row r="117" spans="1:7" ht="25.5" x14ac:dyDescent="0.25">
      <c r="A117" s="6"/>
      <c r="B117" s="7"/>
      <c r="C117" s="29" t="s">
        <v>128</v>
      </c>
      <c r="D117" s="7"/>
      <c r="E117" s="46"/>
      <c r="F117" s="140">
        <v>-0.14274619999999999</v>
      </c>
      <c r="G117" s="27" t="s">
        <v>278</v>
      </c>
    </row>
    <row r="118" spans="1:7" ht="15" x14ac:dyDescent="0.25">
      <c r="A118" s="6"/>
      <c r="B118" s="7"/>
      <c r="C118" s="30" t="s">
        <v>129</v>
      </c>
      <c r="D118" s="12"/>
      <c r="E118" s="48"/>
      <c r="F118" s="53">
        <v>7787.0768542000014</v>
      </c>
      <c r="G118" s="13">
        <v>1.0000000019999999</v>
      </c>
    </row>
    <row r="120" spans="1:7" ht="15" x14ac:dyDescent="0.25">
      <c r="B120" s="279"/>
      <c r="C120" s="279"/>
      <c r="D120" s="279"/>
      <c r="E120" s="279"/>
      <c r="F120" s="279"/>
    </row>
    <row r="121" spans="1:7" ht="15" x14ac:dyDescent="0.25">
      <c r="B121" s="279" t="s">
        <v>130</v>
      </c>
      <c r="C121" s="279"/>
      <c r="D121" s="279"/>
      <c r="E121" s="279"/>
      <c r="F121" s="279"/>
    </row>
    <row r="123" spans="1:7" ht="15" x14ac:dyDescent="0.25">
      <c r="B123" s="36" t="s">
        <v>131</v>
      </c>
      <c r="C123" s="37"/>
      <c r="D123" s="38"/>
    </row>
    <row r="124" spans="1:7" ht="15" x14ac:dyDescent="0.25">
      <c r="B124" s="39" t="s">
        <v>132</v>
      </c>
      <c r="C124" s="40"/>
      <c r="D124" s="62" t="s">
        <v>133</v>
      </c>
    </row>
    <row r="125" spans="1:7" ht="15" x14ac:dyDescent="0.25">
      <c r="B125" s="39" t="s">
        <v>134</v>
      </c>
      <c r="C125" s="40"/>
      <c r="D125" s="62" t="s">
        <v>133</v>
      </c>
    </row>
    <row r="126" spans="1:7" ht="15" x14ac:dyDescent="0.25">
      <c r="B126" s="41" t="s">
        <v>135</v>
      </c>
      <c r="C126" s="40"/>
      <c r="D126" s="42"/>
    </row>
    <row r="127" spans="1:7" ht="25.5" customHeight="1" x14ac:dyDescent="0.25">
      <c r="B127" s="42"/>
      <c r="C127" s="32" t="s">
        <v>136</v>
      </c>
      <c r="D127" s="33" t="s">
        <v>137</v>
      </c>
    </row>
    <row r="128" spans="1:7" ht="12.75" customHeight="1" x14ac:dyDescent="0.25">
      <c r="B128" s="57" t="s">
        <v>138</v>
      </c>
      <c r="C128" s="58" t="s">
        <v>139</v>
      </c>
      <c r="D128" s="58" t="s">
        <v>140</v>
      </c>
    </row>
    <row r="129" spans="2:4" ht="15" x14ac:dyDescent="0.25">
      <c r="B129" s="42" t="s">
        <v>141</v>
      </c>
      <c r="C129" s="43">
        <v>10.0671</v>
      </c>
      <c r="D129" s="43">
        <v>9.4841999999999995</v>
      </c>
    </row>
    <row r="130" spans="2:4" ht="15" x14ac:dyDescent="0.25">
      <c r="B130" s="42" t="s">
        <v>142</v>
      </c>
      <c r="C130" s="43">
        <v>10.0671</v>
      </c>
      <c r="D130" s="43">
        <v>9.4841999999999995</v>
      </c>
    </row>
    <row r="131" spans="2:4" ht="15" x14ac:dyDescent="0.25">
      <c r="B131" s="42" t="s">
        <v>143</v>
      </c>
      <c r="C131" s="43">
        <v>9.8828999999999994</v>
      </c>
      <c r="D131" s="43">
        <v>9.3043999999999993</v>
      </c>
    </row>
    <row r="132" spans="2:4" ht="15" x14ac:dyDescent="0.25">
      <c r="B132" s="42" t="s">
        <v>144</v>
      </c>
      <c r="C132" s="43">
        <v>9.8828999999999994</v>
      </c>
      <c r="D132" s="43">
        <v>9.3043999999999993</v>
      </c>
    </row>
    <row r="134" spans="2:4" ht="15" x14ac:dyDescent="0.25">
      <c r="B134" s="59" t="s">
        <v>145</v>
      </c>
      <c r="C134" s="44"/>
      <c r="D134" s="60" t="s">
        <v>133</v>
      </c>
    </row>
    <row r="135" spans="2:4" ht="24.75" customHeight="1" x14ac:dyDescent="0.25">
      <c r="B135" s="61"/>
      <c r="C135" s="61"/>
    </row>
    <row r="136" spans="2:4" ht="15" x14ac:dyDescent="0.25">
      <c r="B136" s="63"/>
      <c r="C136" s="65"/>
      <c r="D136"/>
    </row>
    <row r="138" spans="2:4" ht="15" x14ac:dyDescent="0.25">
      <c r="B138" s="41" t="s">
        <v>146</v>
      </c>
      <c r="C138" s="40"/>
      <c r="D138" s="64" t="s">
        <v>133</v>
      </c>
    </row>
    <row r="139" spans="2:4" ht="15" x14ac:dyDescent="0.25">
      <c r="B139" s="41" t="s">
        <v>147</v>
      </c>
      <c r="C139" s="40"/>
      <c r="D139" s="64" t="s">
        <v>133</v>
      </c>
    </row>
    <row r="140" spans="2:4" ht="15" x14ac:dyDescent="0.25">
      <c r="B140" s="41" t="s">
        <v>148</v>
      </c>
      <c r="C140" s="40"/>
      <c r="D140" s="45">
        <v>2.7531558794945017E-2</v>
      </c>
    </row>
    <row r="141" spans="2:4" ht="15" x14ac:dyDescent="0.25">
      <c r="B141" s="41" t="s">
        <v>149</v>
      </c>
      <c r="C141" s="40"/>
      <c r="D141" s="45" t="s">
        <v>133</v>
      </c>
    </row>
  </sheetData>
  <mergeCells count="5">
    <mergeCell ref="A1:G1"/>
    <mergeCell ref="A2:G2"/>
    <mergeCell ref="A3:G3"/>
    <mergeCell ref="B120:F120"/>
    <mergeCell ref="B121:F12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V139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541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14</v>
      </c>
      <c r="C7" s="11" t="s">
        <v>15</v>
      </c>
      <c r="D7" s="2" t="s">
        <v>16</v>
      </c>
      <c r="E7" s="46">
        <v>21928</v>
      </c>
      <c r="F7" s="51">
        <v>161.47779199999999</v>
      </c>
      <c r="G7" s="5">
        <v>4.7105837999999997E-2</v>
      </c>
    </row>
    <row r="8" spans="1:7" ht="25.5" x14ac:dyDescent="0.25">
      <c r="A8" s="6">
        <v>2</v>
      </c>
      <c r="B8" s="7" t="s">
        <v>31</v>
      </c>
      <c r="C8" s="11" t="s">
        <v>32</v>
      </c>
      <c r="D8" s="2" t="s">
        <v>30</v>
      </c>
      <c r="E8" s="46">
        <v>12261</v>
      </c>
      <c r="F8" s="51">
        <v>134.81582549999999</v>
      </c>
      <c r="G8" s="5">
        <v>3.9328085999999998E-2</v>
      </c>
    </row>
    <row r="9" spans="1:7" ht="25.5" x14ac:dyDescent="0.25">
      <c r="A9" s="6">
        <v>3</v>
      </c>
      <c r="B9" s="7" t="s">
        <v>390</v>
      </c>
      <c r="C9" s="11" t="s">
        <v>391</v>
      </c>
      <c r="D9" s="2" t="s">
        <v>162</v>
      </c>
      <c r="E9" s="46">
        <v>16880</v>
      </c>
      <c r="F9" s="51">
        <v>134.62644</v>
      </c>
      <c r="G9" s="5">
        <v>3.9272838999999997E-2</v>
      </c>
    </row>
    <row r="10" spans="1:7" ht="15" x14ac:dyDescent="0.25">
      <c r="A10" s="6">
        <v>4</v>
      </c>
      <c r="B10" s="7" t="s">
        <v>291</v>
      </c>
      <c r="C10" s="11" t="s">
        <v>292</v>
      </c>
      <c r="D10" s="2" t="s">
        <v>238</v>
      </c>
      <c r="E10" s="46">
        <v>33579</v>
      </c>
      <c r="F10" s="51">
        <v>133.5268935</v>
      </c>
      <c r="G10" s="5">
        <v>3.8952081999999999E-2</v>
      </c>
    </row>
    <row r="11" spans="1:7" ht="25.5" x14ac:dyDescent="0.25">
      <c r="A11" s="6">
        <v>5</v>
      </c>
      <c r="B11" s="7" t="s">
        <v>310</v>
      </c>
      <c r="C11" s="11" t="s">
        <v>311</v>
      </c>
      <c r="D11" s="2" t="s">
        <v>37</v>
      </c>
      <c r="E11" s="46">
        <v>19181</v>
      </c>
      <c r="F11" s="51">
        <v>122.547409</v>
      </c>
      <c r="G11" s="5">
        <v>3.5749178999999999E-2</v>
      </c>
    </row>
    <row r="12" spans="1:7" ht="15" x14ac:dyDescent="0.25">
      <c r="A12" s="6">
        <v>6</v>
      </c>
      <c r="B12" s="7" t="s">
        <v>532</v>
      </c>
      <c r="C12" s="11" t="s">
        <v>533</v>
      </c>
      <c r="D12" s="2" t="s">
        <v>162</v>
      </c>
      <c r="E12" s="46">
        <v>1597</v>
      </c>
      <c r="F12" s="51">
        <v>113.3526645</v>
      </c>
      <c r="G12" s="5">
        <v>3.3066914000000003E-2</v>
      </c>
    </row>
    <row r="13" spans="1:7" ht="25.5" x14ac:dyDescent="0.25">
      <c r="A13" s="6">
        <v>7</v>
      </c>
      <c r="B13" s="7" t="s">
        <v>293</v>
      </c>
      <c r="C13" s="11" t="s">
        <v>294</v>
      </c>
      <c r="D13" s="2" t="s">
        <v>167</v>
      </c>
      <c r="E13" s="46">
        <v>8330</v>
      </c>
      <c r="F13" s="51">
        <v>112.58828</v>
      </c>
      <c r="G13" s="5">
        <v>3.284393E-2</v>
      </c>
    </row>
    <row r="14" spans="1:7" ht="15" x14ac:dyDescent="0.25">
      <c r="A14" s="6">
        <v>8</v>
      </c>
      <c r="B14" s="7" t="s">
        <v>412</v>
      </c>
      <c r="C14" s="11" t="s">
        <v>413</v>
      </c>
      <c r="D14" s="2" t="s">
        <v>162</v>
      </c>
      <c r="E14" s="46">
        <v>3447</v>
      </c>
      <c r="F14" s="51">
        <v>112.0981635</v>
      </c>
      <c r="G14" s="5">
        <v>3.2700954999999997E-2</v>
      </c>
    </row>
    <row r="15" spans="1:7" ht="25.5" x14ac:dyDescent="0.25">
      <c r="A15" s="6">
        <v>9</v>
      </c>
      <c r="B15" s="7" t="s">
        <v>392</v>
      </c>
      <c r="C15" s="11" t="s">
        <v>393</v>
      </c>
      <c r="D15" s="2" t="s">
        <v>37</v>
      </c>
      <c r="E15" s="46">
        <v>8653</v>
      </c>
      <c r="F15" s="51">
        <v>103.9441625</v>
      </c>
      <c r="G15" s="5">
        <v>3.0322293E-2</v>
      </c>
    </row>
    <row r="16" spans="1:7" ht="25.5" x14ac:dyDescent="0.25">
      <c r="A16" s="6">
        <v>10</v>
      </c>
      <c r="B16" s="7" t="s">
        <v>429</v>
      </c>
      <c r="C16" s="11" t="s">
        <v>430</v>
      </c>
      <c r="D16" s="2" t="s">
        <v>30</v>
      </c>
      <c r="E16" s="46">
        <v>8998</v>
      </c>
      <c r="F16" s="51">
        <v>103.004605</v>
      </c>
      <c r="G16" s="5">
        <v>3.0048208E-2</v>
      </c>
    </row>
    <row r="17" spans="1:7" ht="15" x14ac:dyDescent="0.25">
      <c r="A17" s="6">
        <v>11</v>
      </c>
      <c r="B17" s="7" t="s">
        <v>312</v>
      </c>
      <c r="C17" s="11" t="s">
        <v>313</v>
      </c>
      <c r="D17" s="2" t="s">
        <v>13</v>
      </c>
      <c r="E17" s="46">
        <v>52762</v>
      </c>
      <c r="F17" s="51">
        <v>102.199994</v>
      </c>
      <c r="G17" s="5">
        <v>2.9813488999999999E-2</v>
      </c>
    </row>
    <row r="18" spans="1:7" ht="25.5" x14ac:dyDescent="0.25">
      <c r="A18" s="6">
        <v>12</v>
      </c>
      <c r="B18" s="7" t="s">
        <v>318</v>
      </c>
      <c r="C18" s="11" t="s">
        <v>319</v>
      </c>
      <c r="D18" s="2" t="s">
        <v>162</v>
      </c>
      <c r="E18" s="46">
        <v>37460</v>
      </c>
      <c r="F18" s="51">
        <v>97.264889999999994</v>
      </c>
      <c r="G18" s="5">
        <v>2.8373835E-2</v>
      </c>
    </row>
    <row r="19" spans="1:7" ht="25.5" x14ac:dyDescent="0.25">
      <c r="A19" s="6">
        <v>13</v>
      </c>
      <c r="B19" s="7" t="s">
        <v>388</v>
      </c>
      <c r="C19" s="11" t="s">
        <v>389</v>
      </c>
      <c r="D19" s="2" t="s">
        <v>59</v>
      </c>
      <c r="E19" s="46">
        <v>40249</v>
      </c>
      <c r="F19" s="51">
        <v>92.552575500000003</v>
      </c>
      <c r="G19" s="5">
        <v>2.6999171999999998E-2</v>
      </c>
    </row>
    <row r="20" spans="1:7" ht="25.5" x14ac:dyDescent="0.25">
      <c r="A20" s="6">
        <v>14</v>
      </c>
      <c r="B20" s="7" t="s">
        <v>406</v>
      </c>
      <c r="C20" s="11" t="s">
        <v>407</v>
      </c>
      <c r="D20" s="2" t="s">
        <v>162</v>
      </c>
      <c r="E20" s="46">
        <v>7308</v>
      </c>
      <c r="F20" s="51">
        <v>88.233137999999997</v>
      </c>
      <c r="G20" s="5">
        <v>2.5739117999999998E-2</v>
      </c>
    </row>
    <row r="21" spans="1:7" ht="25.5" x14ac:dyDescent="0.25">
      <c r="A21" s="6">
        <v>15</v>
      </c>
      <c r="B21" s="7" t="s">
        <v>306</v>
      </c>
      <c r="C21" s="11" t="s">
        <v>307</v>
      </c>
      <c r="D21" s="2" t="s">
        <v>59</v>
      </c>
      <c r="E21" s="46">
        <v>5264</v>
      </c>
      <c r="F21" s="51">
        <v>81.826248000000007</v>
      </c>
      <c r="G21" s="5">
        <v>2.3870117999999999E-2</v>
      </c>
    </row>
    <row r="22" spans="1:7" ht="15" x14ac:dyDescent="0.25">
      <c r="A22" s="6">
        <v>16</v>
      </c>
      <c r="B22" s="7" t="s">
        <v>203</v>
      </c>
      <c r="C22" s="11" t="s">
        <v>204</v>
      </c>
      <c r="D22" s="2" t="s">
        <v>81</v>
      </c>
      <c r="E22" s="46">
        <v>75185</v>
      </c>
      <c r="F22" s="51">
        <v>80.974244999999996</v>
      </c>
      <c r="G22" s="5">
        <v>2.3621573999999999E-2</v>
      </c>
    </row>
    <row r="23" spans="1:7" ht="25.5" x14ac:dyDescent="0.25">
      <c r="A23" s="6">
        <v>17</v>
      </c>
      <c r="B23" s="7" t="s">
        <v>316</v>
      </c>
      <c r="C23" s="11" t="s">
        <v>317</v>
      </c>
      <c r="D23" s="2" t="s">
        <v>37</v>
      </c>
      <c r="E23" s="46">
        <v>32115</v>
      </c>
      <c r="F23" s="51">
        <v>80.801339999999996</v>
      </c>
      <c r="G23" s="5">
        <v>2.3571135E-2</v>
      </c>
    </row>
    <row r="24" spans="1:7" ht="15" x14ac:dyDescent="0.25">
      <c r="A24" s="6">
        <v>18</v>
      </c>
      <c r="B24" s="7" t="s">
        <v>303</v>
      </c>
      <c r="C24" s="11" t="s">
        <v>304</v>
      </c>
      <c r="D24" s="2" t="s">
        <v>305</v>
      </c>
      <c r="E24" s="46">
        <v>26254</v>
      </c>
      <c r="F24" s="51">
        <v>79.575873999999999</v>
      </c>
      <c r="G24" s="5">
        <v>2.3213646000000001E-2</v>
      </c>
    </row>
    <row r="25" spans="1:7" ht="25.5" x14ac:dyDescent="0.25">
      <c r="A25" s="6">
        <v>19</v>
      </c>
      <c r="B25" s="7" t="s">
        <v>156</v>
      </c>
      <c r="C25" s="11" t="s">
        <v>157</v>
      </c>
      <c r="D25" s="2" t="s">
        <v>59</v>
      </c>
      <c r="E25" s="46">
        <v>32121</v>
      </c>
      <c r="F25" s="51">
        <v>74.777687999999998</v>
      </c>
      <c r="G25" s="5">
        <v>2.1813933000000001E-2</v>
      </c>
    </row>
    <row r="26" spans="1:7" ht="25.5" x14ac:dyDescent="0.25">
      <c r="A26" s="6">
        <v>20</v>
      </c>
      <c r="B26" s="7" t="s">
        <v>326</v>
      </c>
      <c r="C26" s="11" t="s">
        <v>327</v>
      </c>
      <c r="D26" s="2" t="s">
        <v>37</v>
      </c>
      <c r="E26" s="46">
        <v>23024</v>
      </c>
      <c r="F26" s="51">
        <v>73.699824000000007</v>
      </c>
      <c r="G26" s="5">
        <v>2.1499501000000001E-2</v>
      </c>
    </row>
    <row r="27" spans="1:7" ht="15" x14ac:dyDescent="0.25">
      <c r="A27" s="6">
        <v>21</v>
      </c>
      <c r="B27" s="7" t="s">
        <v>534</v>
      </c>
      <c r="C27" s="11" t="s">
        <v>535</v>
      </c>
      <c r="D27" s="2" t="s">
        <v>51</v>
      </c>
      <c r="E27" s="46">
        <v>13353</v>
      </c>
      <c r="F27" s="51">
        <v>73.388087999999996</v>
      </c>
      <c r="G27" s="5">
        <v>2.1408562999999999E-2</v>
      </c>
    </row>
    <row r="28" spans="1:7" ht="51" x14ac:dyDescent="0.25">
      <c r="A28" s="6">
        <v>22</v>
      </c>
      <c r="B28" s="7" t="s">
        <v>320</v>
      </c>
      <c r="C28" s="11" t="s">
        <v>321</v>
      </c>
      <c r="D28" s="2" t="s">
        <v>235</v>
      </c>
      <c r="E28" s="46">
        <v>43143</v>
      </c>
      <c r="F28" s="51">
        <v>71.466379500000002</v>
      </c>
      <c r="G28" s="5">
        <v>2.0847966999999998E-2</v>
      </c>
    </row>
    <row r="29" spans="1:7" ht="25.5" x14ac:dyDescent="0.25">
      <c r="A29" s="6">
        <v>23</v>
      </c>
      <c r="B29" s="7" t="s">
        <v>17</v>
      </c>
      <c r="C29" s="11" t="s">
        <v>18</v>
      </c>
      <c r="D29" s="2" t="s">
        <v>19</v>
      </c>
      <c r="E29" s="46">
        <v>4890</v>
      </c>
      <c r="F29" s="51">
        <v>67.838970000000003</v>
      </c>
      <c r="G29" s="5">
        <v>1.9789790000000002E-2</v>
      </c>
    </row>
    <row r="30" spans="1:7" ht="25.5" x14ac:dyDescent="0.25">
      <c r="A30" s="6">
        <v>24</v>
      </c>
      <c r="B30" s="7" t="s">
        <v>297</v>
      </c>
      <c r="C30" s="11" t="s">
        <v>298</v>
      </c>
      <c r="D30" s="2" t="s">
        <v>238</v>
      </c>
      <c r="E30" s="46">
        <v>35123</v>
      </c>
      <c r="F30" s="51">
        <v>66.119047499999994</v>
      </c>
      <c r="G30" s="5">
        <v>1.9288059E-2</v>
      </c>
    </row>
    <row r="31" spans="1:7" ht="15" x14ac:dyDescent="0.25">
      <c r="A31" s="6">
        <v>25</v>
      </c>
      <c r="B31" s="7" t="s">
        <v>338</v>
      </c>
      <c r="C31" s="11" t="s">
        <v>339</v>
      </c>
      <c r="D31" s="2" t="s">
        <v>162</v>
      </c>
      <c r="E31" s="46">
        <v>15600</v>
      </c>
      <c r="F31" s="51">
        <v>65.083200000000005</v>
      </c>
      <c r="G31" s="5">
        <v>1.8985884000000001E-2</v>
      </c>
    </row>
    <row r="32" spans="1:7" ht="15" x14ac:dyDescent="0.25">
      <c r="A32" s="6">
        <v>26</v>
      </c>
      <c r="B32" s="7" t="s">
        <v>366</v>
      </c>
      <c r="C32" s="11" t="s">
        <v>367</v>
      </c>
      <c r="D32" s="2" t="s">
        <v>162</v>
      </c>
      <c r="E32" s="46">
        <v>60715</v>
      </c>
      <c r="F32" s="51">
        <v>60.1382075</v>
      </c>
      <c r="G32" s="5">
        <v>1.7543344999999998E-2</v>
      </c>
    </row>
    <row r="33" spans="1:7" ht="15" x14ac:dyDescent="0.25">
      <c r="A33" s="6">
        <v>27</v>
      </c>
      <c r="B33" s="7" t="s">
        <v>330</v>
      </c>
      <c r="C33" s="11" t="s">
        <v>331</v>
      </c>
      <c r="D33" s="2" t="s">
        <v>215</v>
      </c>
      <c r="E33" s="46">
        <v>3931</v>
      </c>
      <c r="F33" s="51">
        <v>56.647675499999998</v>
      </c>
      <c r="G33" s="5">
        <v>1.6525096999999999E-2</v>
      </c>
    </row>
    <row r="34" spans="1:7" ht="15" x14ac:dyDescent="0.25">
      <c r="A34" s="6">
        <v>28</v>
      </c>
      <c r="B34" s="7" t="s">
        <v>322</v>
      </c>
      <c r="C34" s="11" t="s">
        <v>323</v>
      </c>
      <c r="D34" s="2" t="s">
        <v>162</v>
      </c>
      <c r="E34" s="46">
        <v>10914</v>
      </c>
      <c r="F34" s="51">
        <v>56.578175999999999</v>
      </c>
      <c r="G34" s="5">
        <v>1.6504822999999998E-2</v>
      </c>
    </row>
    <row r="35" spans="1:7" ht="25.5" x14ac:dyDescent="0.25">
      <c r="A35" s="6">
        <v>29</v>
      </c>
      <c r="B35" s="7" t="s">
        <v>536</v>
      </c>
      <c r="C35" s="11" t="s">
        <v>537</v>
      </c>
      <c r="D35" s="2" t="s">
        <v>19</v>
      </c>
      <c r="E35" s="46">
        <v>372197</v>
      </c>
      <c r="F35" s="51">
        <v>55.643451499999998</v>
      </c>
      <c r="G35" s="5">
        <v>1.6232147999999998E-2</v>
      </c>
    </row>
    <row r="36" spans="1:7" ht="15" x14ac:dyDescent="0.25">
      <c r="A36" s="6">
        <v>30</v>
      </c>
      <c r="B36" s="7" t="s">
        <v>299</v>
      </c>
      <c r="C36" s="11" t="s">
        <v>300</v>
      </c>
      <c r="D36" s="2" t="s">
        <v>13</v>
      </c>
      <c r="E36" s="46">
        <v>56603</v>
      </c>
      <c r="F36" s="51">
        <v>52.301172000000001</v>
      </c>
      <c r="G36" s="5">
        <v>1.5257148E-2</v>
      </c>
    </row>
    <row r="37" spans="1:7" ht="15" x14ac:dyDescent="0.25">
      <c r="A37" s="6">
        <v>31</v>
      </c>
      <c r="B37" s="7" t="s">
        <v>314</v>
      </c>
      <c r="C37" s="11" t="s">
        <v>315</v>
      </c>
      <c r="D37" s="2" t="s">
        <v>170</v>
      </c>
      <c r="E37" s="46">
        <v>859</v>
      </c>
      <c r="F37" s="51">
        <v>52.186827000000001</v>
      </c>
      <c r="G37" s="5">
        <v>1.5223791E-2</v>
      </c>
    </row>
    <row r="38" spans="1:7" ht="25.5" x14ac:dyDescent="0.25">
      <c r="A38" s="6">
        <v>32</v>
      </c>
      <c r="B38" s="7" t="s">
        <v>357</v>
      </c>
      <c r="C38" s="11" t="s">
        <v>358</v>
      </c>
      <c r="D38" s="2" t="s">
        <v>162</v>
      </c>
      <c r="E38" s="46">
        <v>16647</v>
      </c>
      <c r="F38" s="51">
        <v>50.740056000000003</v>
      </c>
      <c r="G38" s="5">
        <v>1.4801744E-2</v>
      </c>
    </row>
    <row r="39" spans="1:7" ht="15" x14ac:dyDescent="0.25">
      <c r="A39" s="6">
        <v>33</v>
      </c>
      <c r="B39" s="7" t="s">
        <v>336</v>
      </c>
      <c r="C39" s="11" t="s">
        <v>337</v>
      </c>
      <c r="D39" s="2" t="s">
        <v>184</v>
      </c>
      <c r="E39" s="46">
        <v>11002</v>
      </c>
      <c r="F39" s="51">
        <v>48.271275000000003</v>
      </c>
      <c r="G39" s="5">
        <v>1.4081557999999999E-2</v>
      </c>
    </row>
    <row r="40" spans="1:7" ht="25.5" x14ac:dyDescent="0.25">
      <c r="A40" s="6">
        <v>34</v>
      </c>
      <c r="B40" s="7" t="s">
        <v>476</v>
      </c>
      <c r="C40" s="11" t="s">
        <v>477</v>
      </c>
      <c r="D40" s="2" t="s">
        <v>42</v>
      </c>
      <c r="E40" s="46">
        <v>39424</v>
      </c>
      <c r="F40" s="51">
        <v>47.821311999999999</v>
      </c>
      <c r="G40" s="5">
        <v>1.3950295999999999E-2</v>
      </c>
    </row>
    <row r="41" spans="1:7" ht="15" x14ac:dyDescent="0.25">
      <c r="A41" s="6">
        <v>35</v>
      </c>
      <c r="B41" s="7" t="s">
        <v>60</v>
      </c>
      <c r="C41" s="11" t="s">
        <v>61</v>
      </c>
      <c r="D41" s="2" t="s">
        <v>16</v>
      </c>
      <c r="E41" s="46">
        <v>4830</v>
      </c>
      <c r="F41" s="51">
        <v>46.657800000000002</v>
      </c>
      <c r="G41" s="5">
        <v>1.3610880000000001E-2</v>
      </c>
    </row>
    <row r="42" spans="1:7" ht="15" x14ac:dyDescent="0.25">
      <c r="A42" s="6">
        <v>36</v>
      </c>
      <c r="B42" s="7" t="s">
        <v>516</v>
      </c>
      <c r="C42" s="11" t="s">
        <v>517</v>
      </c>
      <c r="D42" s="2" t="s">
        <v>13</v>
      </c>
      <c r="E42" s="46">
        <v>42702</v>
      </c>
      <c r="F42" s="51">
        <v>45.563034000000002</v>
      </c>
      <c r="G42" s="5">
        <v>1.3291518E-2</v>
      </c>
    </row>
    <row r="43" spans="1:7" ht="15" x14ac:dyDescent="0.25">
      <c r="A43" s="6">
        <v>37</v>
      </c>
      <c r="B43" s="7" t="s">
        <v>508</v>
      </c>
      <c r="C43" s="11" t="s">
        <v>509</v>
      </c>
      <c r="D43" s="2" t="s">
        <v>269</v>
      </c>
      <c r="E43" s="46">
        <v>4983</v>
      </c>
      <c r="F43" s="51">
        <v>45.375197999999997</v>
      </c>
      <c r="G43" s="5">
        <v>1.3236723000000001E-2</v>
      </c>
    </row>
    <row r="44" spans="1:7" ht="15" x14ac:dyDescent="0.25">
      <c r="A44" s="6">
        <v>38</v>
      </c>
      <c r="B44" s="7" t="s">
        <v>54</v>
      </c>
      <c r="C44" s="11" t="s">
        <v>55</v>
      </c>
      <c r="D44" s="2" t="s">
        <v>56</v>
      </c>
      <c r="E44" s="46">
        <v>32648</v>
      </c>
      <c r="F44" s="51">
        <v>44.107447999999998</v>
      </c>
      <c r="G44" s="5">
        <v>1.2866898E-2</v>
      </c>
    </row>
    <row r="45" spans="1:7" ht="15" x14ac:dyDescent="0.25">
      <c r="A45" s="6">
        <v>39</v>
      </c>
      <c r="B45" s="7" t="s">
        <v>295</v>
      </c>
      <c r="C45" s="11" t="s">
        <v>296</v>
      </c>
      <c r="D45" s="2" t="s">
        <v>170</v>
      </c>
      <c r="E45" s="46">
        <v>1901</v>
      </c>
      <c r="F45" s="51">
        <v>40.327813999999996</v>
      </c>
      <c r="G45" s="5">
        <v>1.1764314E-2</v>
      </c>
    </row>
    <row r="46" spans="1:7" ht="15" x14ac:dyDescent="0.25">
      <c r="A46" s="6">
        <v>40</v>
      </c>
      <c r="B46" s="7" t="s">
        <v>264</v>
      </c>
      <c r="C46" s="11" t="s">
        <v>265</v>
      </c>
      <c r="D46" s="2" t="s">
        <v>162</v>
      </c>
      <c r="E46" s="46">
        <v>60000</v>
      </c>
      <c r="F46" s="51">
        <v>40.17</v>
      </c>
      <c r="G46" s="5">
        <v>1.1718276999999999E-2</v>
      </c>
    </row>
    <row r="47" spans="1:7" ht="15" x14ac:dyDescent="0.25">
      <c r="A47" s="6">
        <v>41</v>
      </c>
      <c r="B47" s="7" t="s">
        <v>538</v>
      </c>
      <c r="C47" s="11" t="s">
        <v>539</v>
      </c>
      <c r="D47" s="2" t="s">
        <v>170</v>
      </c>
      <c r="E47" s="46">
        <v>30543</v>
      </c>
      <c r="F47" s="51">
        <v>32.6046525</v>
      </c>
      <c r="G47" s="5">
        <v>9.5113360000000004E-3</v>
      </c>
    </row>
    <row r="48" spans="1:7" ht="15" x14ac:dyDescent="0.25">
      <c r="A48" s="6">
        <v>42</v>
      </c>
      <c r="B48" s="7" t="s">
        <v>359</v>
      </c>
      <c r="C48" s="11" t="s">
        <v>360</v>
      </c>
      <c r="D48" s="2" t="s">
        <v>27</v>
      </c>
      <c r="E48" s="46">
        <v>52451</v>
      </c>
      <c r="F48" s="51">
        <v>31.7590805</v>
      </c>
      <c r="G48" s="5">
        <v>9.2646680000000002E-3</v>
      </c>
    </row>
    <row r="49" spans="1:7" ht="25.5" x14ac:dyDescent="0.25">
      <c r="A49" s="6">
        <v>43</v>
      </c>
      <c r="B49" s="7" t="s">
        <v>308</v>
      </c>
      <c r="C49" s="11" t="s">
        <v>309</v>
      </c>
      <c r="D49" s="2" t="s">
        <v>22</v>
      </c>
      <c r="E49" s="46">
        <v>684</v>
      </c>
      <c r="F49" s="51">
        <v>28.592226</v>
      </c>
      <c r="G49" s="5">
        <v>8.3408419999999994E-3</v>
      </c>
    </row>
    <row r="50" spans="1:7" ht="15" x14ac:dyDescent="0.25">
      <c r="A50" s="6">
        <v>44</v>
      </c>
      <c r="B50" s="7" t="s">
        <v>361</v>
      </c>
      <c r="C50" s="11" t="s">
        <v>362</v>
      </c>
      <c r="D50" s="2" t="s">
        <v>162</v>
      </c>
      <c r="E50" s="46">
        <v>11310</v>
      </c>
      <c r="F50" s="51">
        <v>24.667110000000001</v>
      </c>
      <c r="G50" s="5">
        <v>7.195819E-3</v>
      </c>
    </row>
    <row r="51" spans="1:7" ht="15" x14ac:dyDescent="0.25">
      <c r="A51" s="6">
        <v>45</v>
      </c>
      <c r="B51" s="7" t="s">
        <v>373</v>
      </c>
      <c r="C51" s="11" t="s">
        <v>374</v>
      </c>
      <c r="D51" s="2" t="s">
        <v>13</v>
      </c>
      <c r="E51" s="46">
        <v>38010</v>
      </c>
      <c r="F51" s="51">
        <v>23.908290000000001</v>
      </c>
      <c r="G51" s="5">
        <v>6.9744580000000002E-3</v>
      </c>
    </row>
    <row r="52" spans="1:7" ht="15" x14ac:dyDescent="0.25">
      <c r="A52" s="6">
        <v>46</v>
      </c>
      <c r="B52" s="7" t="s">
        <v>375</v>
      </c>
      <c r="C52" s="11" t="s">
        <v>376</v>
      </c>
      <c r="D52" s="2" t="s">
        <v>162</v>
      </c>
      <c r="E52" s="46">
        <v>1449</v>
      </c>
      <c r="F52" s="51">
        <v>15.474667950000001</v>
      </c>
      <c r="G52" s="5">
        <v>4.5142259999999997E-3</v>
      </c>
    </row>
    <row r="53" spans="1:7" ht="15" x14ac:dyDescent="0.25">
      <c r="A53" s="6">
        <v>47</v>
      </c>
      <c r="B53" s="7" t="s">
        <v>379</v>
      </c>
      <c r="C53" s="11" t="s">
        <v>380</v>
      </c>
      <c r="D53" s="2" t="s">
        <v>162</v>
      </c>
      <c r="E53" s="46">
        <v>10141</v>
      </c>
      <c r="F53" s="51">
        <v>2.2102309500000001</v>
      </c>
      <c r="G53" s="5">
        <v>6.44762E-4</v>
      </c>
    </row>
    <row r="54" spans="1:7" ht="15" x14ac:dyDescent="0.25">
      <c r="A54" s="1"/>
      <c r="B54" s="2"/>
      <c r="C54" s="8" t="s">
        <v>104</v>
      </c>
      <c r="D54" s="12"/>
      <c r="E54" s="48"/>
      <c r="F54" s="53">
        <v>3329.5294414000009</v>
      </c>
      <c r="G54" s="13">
        <v>0.97128077899999976</v>
      </c>
    </row>
    <row r="55" spans="1:7" ht="15" x14ac:dyDescent="0.25">
      <c r="A55" s="6"/>
      <c r="B55" s="7"/>
      <c r="C55" s="14"/>
      <c r="D55" s="15"/>
      <c r="E55" s="46"/>
      <c r="F55" s="51"/>
      <c r="G55" s="5"/>
    </row>
    <row r="56" spans="1:7" ht="15" x14ac:dyDescent="0.25">
      <c r="A56" s="1"/>
      <c r="B56" s="2"/>
      <c r="C56" s="8" t="s">
        <v>105</v>
      </c>
      <c r="D56" s="9"/>
      <c r="E56" s="47"/>
      <c r="F56" s="52"/>
      <c r="G56" s="10"/>
    </row>
    <row r="57" spans="1:7" ht="15" x14ac:dyDescent="0.25">
      <c r="A57" s="1"/>
      <c r="B57" s="2"/>
      <c r="C57" s="8" t="s">
        <v>104</v>
      </c>
      <c r="D57" s="12"/>
      <c r="E57" s="48"/>
      <c r="F57" s="53">
        <v>0</v>
      </c>
      <c r="G57" s="13">
        <v>0</v>
      </c>
    </row>
    <row r="58" spans="1:7" ht="15" x14ac:dyDescent="0.25">
      <c r="A58" s="6"/>
      <c r="B58" s="7"/>
      <c r="C58" s="14"/>
      <c r="D58" s="15"/>
      <c r="E58" s="46"/>
      <c r="F58" s="51"/>
      <c r="G58" s="5"/>
    </row>
    <row r="59" spans="1:7" ht="15" x14ac:dyDescent="0.25">
      <c r="A59" s="16"/>
      <c r="B59" s="17"/>
      <c r="C59" s="8" t="s">
        <v>106</v>
      </c>
      <c r="D59" s="9"/>
      <c r="E59" s="47"/>
      <c r="F59" s="52"/>
      <c r="G59" s="10"/>
    </row>
    <row r="60" spans="1:7" ht="15" x14ac:dyDescent="0.25">
      <c r="A60" s="18"/>
      <c r="B60" s="19"/>
      <c r="C60" s="8" t="s">
        <v>104</v>
      </c>
      <c r="D60" s="20"/>
      <c r="E60" s="49"/>
      <c r="F60" s="54">
        <v>0</v>
      </c>
      <c r="G60" s="21">
        <v>0</v>
      </c>
    </row>
    <row r="61" spans="1:7" ht="15" x14ac:dyDescent="0.25">
      <c r="A61" s="18"/>
      <c r="B61" s="19"/>
      <c r="C61" s="14"/>
      <c r="D61" s="22"/>
      <c r="E61" s="50"/>
      <c r="F61" s="55"/>
      <c r="G61" s="23"/>
    </row>
    <row r="62" spans="1:7" ht="15" x14ac:dyDescent="0.25">
      <c r="A62" s="1"/>
      <c r="B62" s="2"/>
      <c r="C62" s="8" t="s">
        <v>108</v>
      </c>
      <c r="D62" s="9"/>
      <c r="E62" s="47"/>
      <c r="F62" s="52"/>
      <c r="G62" s="10"/>
    </row>
    <row r="63" spans="1:7" ht="15" x14ac:dyDescent="0.25">
      <c r="A63" s="1"/>
      <c r="B63" s="2"/>
      <c r="C63" s="8" t="s">
        <v>104</v>
      </c>
      <c r="D63" s="12"/>
      <c r="E63" s="48"/>
      <c r="F63" s="53">
        <v>0</v>
      </c>
      <c r="G63" s="13">
        <v>0</v>
      </c>
    </row>
    <row r="64" spans="1:7" ht="15" x14ac:dyDescent="0.25">
      <c r="A64" s="1"/>
      <c r="B64" s="2"/>
      <c r="C64" s="14"/>
      <c r="D64" s="4"/>
      <c r="E64" s="46"/>
      <c r="F64" s="51"/>
      <c r="G64" s="5"/>
    </row>
    <row r="65" spans="1:7" ht="15" x14ac:dyDescent="0.25">
      <c r="A65" s="1"/>
      <c r="B65" s="2"/>
      <c r="C65" s="8" t="s">
        <v>109</v>
      </c>
      <c r="D65" s="9"/>
      <c r="E65" s="47"/>
      <c r="F65" s="52"/>
      <c r="G65" s="10"/>
    </row>
    <row r="66" spans="1:7" ht="15" x14ac:dyDescent="0.25">
      <c r="A66" s="1"/>
      <c r="B66" s="2"/>
      <c r="C66" s="8" t="s">
        <v>104</v>
      </c>
      <c r="D66" s="12"/>
      <c r="E66" s="48"/>
      <c r="F66" s="53">
        <v>0</v>
      </c>
      <c r="G66" s="13">
        <v>0</v>
      </c>
    </row>
    <row r="67" spans="1:7" ht="15" x14ac:dyDescent="0.25">
      <c r="A67" s="1"/>
      <c r="B67" s="2"/>
      <c r="C67" s="14"/>
      <c r="D67" s="4"/>
      <c r="E67" s="46"/>
      <c r="F67" s="51"/>
      <c r="G67" s="5"/>
    </row>
    <row r="68" spans="1:7" ht="15" x14ac:dyDescent="0.25">
      <c r="A68" s="1"/>
      <c r="B68" s="2"/>
      <c r="C68" s="8" t="s">
        <v>110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1"/>
      <c r="B70" s="2"/>
      <c r="C70" s="14"/>
      <c r="D70" s="4"/>
      <c r="E70" s="46"/>
      <c r="F70" s="51"/>
      <c r="G70" s="5"/>
    </row>
    <row r="71" spans="1:7" ht="25.5" x14ac:dyDescent="0.25">
      <c r="A71" s="6"/>
      <c r="B71" s="7"/>
      <c r="C71" s="24" t="s">
        <v>111</v>
      </c>
      <c r="D71" s="25"/>
      <c r="E71" s="48"/>
      <c r="F71" s="53">
        <v>3329.5294414000009</v>
      </c>
      <c r="G71" s="13">
        <v>0.97128077899999976</v>
      </c>
    </row>
    <row r="72" spans="1:7" ht="15" x14ac:dyDescent="0.25">
      <c r="A72" s="1"/>
      <c r="B72" s="2"/>
      <c r="C72" s="11"/>
      <c r="D72" s="4"/>
      <c r="E72" s="46"/>
      <c r="F72" s="51"/>
      <c r="G72" s="5"/>
    </row>
    <row r="73" spans="1:7" ht="15" x14ac:dyDescent="0.25">
      <c r="A73" s="1"/>
      <c r="B73" s="2"/>
      <c r="C73" s="3" t="s">
        <v>112</v>
      </c>
      <c r="D73" s="4"/>
      <c r="E73" s="46"/>
      <c r="F73" s="51"/>
      <c r="G73" s="5"/>
    </row>
    <row r="74" spans="1:7" ht="25.5" x14ac:dyDescent="0.25">
      <c r="A74" s="1"/>
      <c r="B74" s="2"/>
      <c r="C74" s="8" t="s">
        <v>10</v>
      </c>
      <c r="D74" s="9"/>
      <c r="E74" s="47"/>
      <c r="F74" s="52"/>
      <c r="G74" s="10"/>
    </row>
    <row r="75" spans="1:7" ht="15" x14ac:dyDescent="0.25">
      <c r="A75" s="6"/>
      <c r="B75" s="7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6"/>
      <c r="B76" s="7"/>
      <c r="C76" s="14"/>
      <c r="D76" s="4"/>
      <c r="E76" s="46"/>
      <c r="F76" s="51"/>
      <c r="G76" s="5"/>
    </row>
    <row r="77" spans="1:7" ht="15" x14ac:dyDescent="0.25">
      <c r="A77" s="1"/>
      <c r="B77" s="26"/>
      <c r="C77" s="8" t="s">
        <v>113</v>
      </c>
      <c r="D77" s="9"/>
      <c r="E77" s="47"/>
      <c r="F77" s="52"/>
      <c r="G77" s="10"/>
    </row>
    <row r="78" spans="1:7" ht="15" x14ac:dyDescent="0.25">
      <c r="A78" s="6"/>
      <c r="B78" s="7"/>
      <c r="C78" s="8" t="s">
        <v>104</v>
      </c>
      <c r="D78" s="12"/>
      <c r="E78" s="48"/>
      <c r="F78" s="53">
        <v>0</v>
      </c>
      <c r="G78" s="13">
        <v>0</v>
      </c>
    </row>
    <row r="79" spans="1:7" ht="15" x14ac:dyDescent="0.25">
      <c r="A79" s="6"/>
      <c r="B79" s="7"/>
      <c r="C79" s="14"/>
      <c r="D79" s="4"/>
      <c r="E79" s="46"/>
      <c r="F79" s="56"/>
      <c r="G79" s="27"/>
    </row>
    <row r="80" spans="1:7" ht="15" x14ac:dyDescent="0.25">
      <c r="A80" s="1"/>
      <c r="B80" s="2"/>
      <c r="C80" s="8" t="s">
        <v>114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1"/>
      <c r="B82" s="2"/>
      <c r="C82" s="14"/>
      <c r="D82" s="4"/>
      <c r="E82" s="46"/>
      <c r="F82" s="51"/>
      <c r="G82" s="5"/>
    </row>
    <row r="83" spans="1:7" ht="25.5" x14ac:dyDescent="0.25">
      <c r="A83" s="1"/>
      <c r="B83" s="26"/>
      <c r="C83" s="8" t="s">
        <v>115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4"/>
      <c r="E85" s="46"/>
      <c r="F85" s="51"/>
      <c r="G85" s="5"/>
    </row>
    <row r="86" spans="1:7" ht="15" x14ac:dyDescent="0.25">
      <c r="A86" s="6"/>
      <c r="B86" s="7"/>
      <c r="C86" s="28" t="s">
        <v>116</v>
      </c>
      <c r="D86" s="25"/>
      <c r="E86" s="48"/>
      <c r="F86" s="53">
        <v>0</v>
      </c>
      <c r="G86" s="13">
        <v>0</v>
      </c>
    </row>
    <row r="87" spans="1:7" ht="15" x14ac:dyDescent="0.25">
      <c r="A87" s="6"/>
      <c r="B87" s="7"/>
      <c r="C87" s="11"/>
      <c r="D87" s="4"/>
      <c r="E87" s="46"/>
      <c r="F87" s="51"/>
      <c r="G87" s="5"/>
    </row>
    <row r="88" spans="1:7" ht="15" x14ac:dyDescent="0.25">
      <c r="A88" s="1"/>
      <c r="B88" s="2"/>
      <c r="C88" s="3" t="s">
        <v>117</v>
      </c>
      <c r="D88" s="4"/>
      <c r="E88" s="46"/>
      <c r="F88" s="51"/>
      <c r="G88" s="5"/>
    </row>
    <row r="89" spans="1:7" ht="15" x14ac:dyDescent="0.25">
      <c r="A89" s="6"/>
      <c r="B89" s="7"/>
      <c r="C89" s="8" t="s">
        <v>118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25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7"/>
      <c r="E91" s="46"/>
      <c r="F91" s="51"/>
      <c r="G91" s="5"/>
    </row>
    <row r="92" spans="1:7" ht="15" x14ac:dyDescent="0.25">
      <c r="A92" s="6"/>
      <c r="B92" s="7"/>
      <c r="C92" s="8" t="s">
        <v>119</v>
      </c>
      <c r="D92" s="9"/>
      <c r="E92" s="47"/>
      <c r="F92" s="52"/>
      <c r="G92" s="10"/>
    </row>
    <row r="93" spans="1:7" ht="15" x14ac:dyDescent="0.25">
      <c r="A93" s="6"/>
      <c r="B93" s="7"/>
      <c r="C93" s="8" t="s">
        <v>104</v>
      </c>
      <c r="D93" s="25"/>
      <c r="E93" s="48"/>
      <c r="F93" s="53">
        <v>0</v>
      </c>
      <c r="G93" s="13">
        <v>0</v>
      </c>
    </row>
    <row r="94" spans="1:7" ht="15" x14ac:dyDescent="0.25">
      <c r="A94" s="6"/>
      <c r="B94" s="7"/>
      <c r="C94" s="14"/>
      <c r="D94" s="7"/>
      <c r="E94" s="46"/>
      <c r="F94" s="51"/>
      <c r="G94" s="5"/>
    </row>
    <row r="95" spans="1:7" ht="15" x14ac:dyDescent="0.25">
      <c r="A95" s="6"/>
      <c r="B95" s="7"/>
      <c r="C95" s="8" t="s">
        <v>120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7"/>
      <c r="E97" s="46"/>
      <c r="F97" s="51"/>
      <c r="G97" s="5"/>
    </row>
    <row r="98" spans="1:7" ht="15" x14ac:dyDescent="0.25">
      <c r="A98" s="6"/>
      <c r="B98" s="7"/>
      <c r="C98" s="8" t="s">
        <v>121</v>
      </c>
      <c r="D98" s="9"/>
      <c r="E98" s="47"/>
      <c r="F98" s="52"/>
      <c r="G98" s="10"/>
    </row>
    <row r="99" spans="1:7" ht="15" x14ac:dyDescent="0.25">
      <c r="A99" s="6">
        <v>1</v>
      </c>
      <c r="B99" s="7"/>
      <c r="C99" s="11" t="s">
        <v>730</v>
      </c>
      <c r="D99" s="15"/>
      <c r="E99" s="46"/>
      <c r="F99" s="51">
        <v>92.985759200000004</v>
      </c>
      <c r="G99" s="5">
        <v>2.7125539000000001E-2</v>
      </c>
    </row>
    <row r="100" spans="1:7" ht="15" x14ac:dyDescent="0.25">
      <c r="A100" s="6"/>
      <c r="B100" s="7"/>
      <c r="C100" s="8" t="s">
        <v>104</v>
      </c>
      <c r="D100" s="25"/>
      <c r="E100" s="48"/>
      <c r="F100" s="53">
        <v>92.985759200000004</v>
      </c>
      <c r="G100" s="13">
        <v>2.7125539000000001E-2</v>
      </c>
    </row>
    <row r="101" spans="1:7" ht="15" x14ac:dyDescent="0.25">
      <c r="A101" s="6"/>
      <c r="B101" s="7"/>
      <c r="C101" s="14"/>
      <c r="D101" s="7"/>
      <c r="E101" s="46"/>
      <c r="F101" s="51"/>
      <c r="G101" s="5"/>
    </row>
    <row r="102" spans="1:7" ht="25.5" x14ac:dyDescent="0.25">
      <c r="A102" s="6"/>
      <c r="B102" s="7"/>
      <c r="C102" s="24" t="s">
        <v>122</v>
      </c>
      <c r="D102" s="25"/>
      <c r="E102" s="48"/>
      <c r="F102" s="53">
        <v>92.985759200000004</v>
      </c>
      <c r="G102" s="13">
        <v>2.7125539000000001E-2</v>
      </c>
    </row>
    <row r="103" spans="1:7" ht="15" x14ac:dyDescent="0.25">
      <c r="A103" s="6"/>
      <c r="B103" s="7"/>
      <c r="C103" s="29"/>
      <c r="D103" s="7"/>
      <c r="E103" s="46"/>
      <c r="F103" s="51"/>
      <c r="G103" s="5"/>
    </row>
    <row r="104" spans="1:7" ht="15" x14ac:dyDescent="0.25">
      <c r="A104" s="1"/>
      <c r="B104" s="2"/>
      <c r="C104" s="3" t="s">
        <v>123</v>
      </c>
      <c r="D104" s="4"/>
      <c r="E104" s="46"/>
      <c r="F104" s="51"/>
      <c r="G104" s="5"/>
    </row>
    <row r="105" spans="1:7" ht="25.5" x14ac:dyDescent="0.25">
      <c r="A105" s="6"/>
      <c r="B105" s="7"/>
      <c r="C105" s="8" t="s">
        <v>124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15" x14ac:dyDescent="0.25">
      <c r="A108" s="1"/>
      <c r="B108" s="2"/>
      <c r="C108" s="3" t="s">
        <v>125</v>
      </c>
      <c r="D108" s="4"/>
      <c r="E108" s="46"/>
      <c r="F108" s="51"/>
      <c r="G108" s="5"/>
    </row>
    <row r="109" spans="1:7" ht="25.5" x14ac:dyDescent="0.25">
      <c r="A109" s="6"/>
      <c r="B109" s="7"/>
      <c r="C109" s="8" t="s">
        <v>126</v>
      </c>
      <c r="D109" s="9"/>
      <c r="E109" s="47"/>
      <c r="F109" s="52"/>
      <c r="G109" s="10"/>
    </row>
    <row r="110" spans="1:7" ht="15" x14ac:dyDescent="0.25">
      <c r="A110" s="6"/>
      <c r="B110" s="7"/>
      <c r="C110" s="8" t="s">
        <v>104</v>
      </c>
      <c r="D110" s="25"/>
      <c r="E110" s="48"/>
      <c r="F110" s="53">
        <v>0</v>
      </c>
      <c r="G110" s="13">
        <v>0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25.5" x14ac:dyDescent="0.25">
      <c r="A112" s="6"/>
      <c r="B112" s="7"/>
      <c r="C112" s="8" t="s">
        <v>127</v>
      </c>
      <c r="D112" s="9"/>
      <c r="E112" s="47"/>
      <c r="F112" s="52"/>
      <c r="G112" s="10"/>
    </row>
    <row r="113" spans="1:7" ht="15" x14ac:dyDescent="0.25">
      <c r="A113" s="6"/>
      <c r="B113" s="7"/>
      <c r="C113" s="8" t="s">
        <v>104</v>
      </c>
      <c r="D113" s="25"/>
      <c r="E113" s="48"/>
      <c r="F113" s="53">
        <v>0</v>
      </c>
      <c r="G113" s="13">
        <v>0</v>
      </c>
    </row>
    <row r="114" spans="1:7" ht="15" x14ac:dyDescent="0.25">
      <c r="A114" s="6"/>
      <c r="B114" s="7"/>
      <c r="C114" s="14"/>
      <c r="D114" s="7"/>
      <c r="E114" s="46"/>
      <c r="F114" s="56"/>
      <c r="G114" s="27"/>
    </row>
    <row r="115" spans="1:7" ht="25.5" x14ac:dyDescent="0.25">
      <c r="A115" s="6"/>
      <c r="B115" s="7"/>
      <c r="C115" s="29" t="s">
        <v>128</v>
      </c>
      <c r="D115" s="7"/>
      <c r="E115" s="46"/>
      <c r="F115" s="56">
        <v>5.4631127099999999</v>
      </c>
      <c r="G115" s="27">
        <v>1.5936839999999999E-3</v>
      </c>
    </row>
    <row r="116" spans="1:7" ht="15" x14ac:dyDescent="0.25">
      <c r="A116" s="6"/>
      <c r="B116" s="7"/>
      <c r="C116" s="30" t="s">
        <v>129</v>
      </c>
      <c r="D116" s="12"/>
      <c r="E116" s="48"/>
      <c r="F116" s="53">
        <v>3427.9783133100009</v>
      </c>
      <c r="G116" s="13">
        <v>1.0000000019999997</v>
      </c>
    </row>
    <row r="118" spans="1:7" ht="15" x14ac:dyDescent="0.25">
      <c r="B118" s="279"/>
      <c r="C118" s="279"/>
      <c r="D118" s="279"/>
      <c r="E118" s="279"/>
      <c r="F118" s="279"/>
    </row>
    <row r="119" spans="1:7" ht="15" x14ac:dyDescent="0.25">
      <c r="B119" s="279"/>
      <c r="C119" s="279"/>
      <c r="D119" s="279"/>
      <c r="E119" s="279"/>
      <c r="F119" s="279"/>
    </row>
    <row r="121" spans="1:7" ht="15" x14ac:dyDescent="0.25">
      <c r="B121" s="36" t="s">
        <v>131</v>
      </c>
      <c r="C121" s="37"/>
      <c r="D121" s="38"/>
    </row>
    <row r="122" spans="1:7" ht="15" x14ac:dyDescent="0.25">
      <c r="B122" s="39" t="s">
        <v>132</v>
      </c>
      <c r="C122" s="40"/>
      <c r="D122" s="62" t="s">
        <v>133</v>
      </c>
    </row>
    <row r="123" spans="1:7" ht="15" x14ac:dyDescent="0.25">
      <c r="B123" s="39" t="s">
        <v>134</v>
      </c>
      <c r="C123" s="40"/>
      <c r="D123" s="62" t="s">
        <v>133</v>
      </c>
    </row>
    <row r="124" spans="1:7" ht="15" x14ac:dyDescent="0.25">
      <c r="B124" s="41" t="s">
        <v>135</v>
      </c>
      <c r="C124" s="40"/>
      <c r="D124" s="42"/>
    </row>
    <row r="125" spans="1:7" ht="25.5" customHeight="1" x14ac:dyDescent="0.25">
      <c r="B125" s="42"/>
      <c r="C125" s="32" t="s">
        <v>136</v>
      </c>
      <c r="D125" s="33" t="s">
        <v>137</v>
      </c>
    </row>
    <row r="126" spans="1:7" ht="12.75" customHeight="1" x14ac:dyDescent="0.25">
      <c r="B126" s="57" t="s">
        <v>138</v>
      </c>
      <c r="C126" s="58" t="s">
        <v>139</v>
      </c>
      <c r="D126" s="58" t="s">
        <v>140</v>
      </c>
    </row>
    <row r="127" spans="1:7" ht="15" x14ac:dyDescent="0.25">
      <c r="B127" s="42" t="s">
        <v>141</v>
      </c>
      <c r="C127" s="43">
        <v>9.8447999999999993</v>
      </c>
      <c r="D127" s="43">
        <v>9.2856000000000005</v>
      </c>
    </row>
    <row r="128" spans="1:7" ht="15" x14ac:dyDescent="0.25">
      <c r="B128" s="42" t="s">
        <v>142</v>
      </c>
      <c r="C128" s="43">
        <v>9.8447999999999993</v>
      </c>
      <c r="D128" s="43">
        <v>9.2856000000000005</v>
      </c>
    </row>
    <row r="129" spans="2:4" ht="15" x14ac:dyDescent="0.25">
      <c r="B129" s="42" t="s">
        <v>143</v>
      </c>
      <c r="C129" s="43">
        <v>9.6737000000000002</v>
      </c>
      <c r="D129" s="43">
        <v>9.1201000000000008</v>
      </c>
    </row>
    <row r="130" spans="2:4" ht="15" x14ac:dyDescent="0.25">
      <c r="B130" s="42" t="s">
        <v>144</v>
      </c>
      <c r="C130" s="43">
        <v>9.6737000000000002</v>
      </c>
      <c r="D130" s="43">
        <v>9.1201000000000008</v>
      </c>
    </row>
    <row r="132" spans="2:4" ht="15" x14ac:dyDescent="0.25">
      <c r="B132" s="59" t="s">
        <v>145</v>
      </c>
      <c r="C132" s="44"/>
      <c r="D132" s="60" t="s">
        <v>133</v>
      </c>
    </row>
    <row r="133" spans="2:4" ht="24.75" customHeight="1" x14ac:dyDescent="0.25">
      <c r="B133" s="61"/>
      <c r="C133" s="61"/>
    </row>
    <row r="134" spans="2:4" ht="15" x14ac:dyDescent="0.25">
      <c r="B134" s="63"/>
      <c r="C134" s="65"/>
      <c r="D134"/>
    </row>
    <row r="136" spans="2:4" ht="15" x14ac:dyDescent="0.25">
      <c r="B136" s="41" t="s">
        <v>146</v>
      </c>
      <c r="C136" s="40"/>
      <c r="D136" s="64" t="s">
        <v>133</v>
      </c>
    </row>
    <row r="137" spans="2:4" ht="15" x14ac:dyDescent="0.25">
      <c r="B137" s="41" t="s">
        <v>147</v>
      </c>
      <c r="C137" s="40"/>
      <c r="D137" s="64" t="s">
        <v>133</v>
      </c>
    </row>
    <row r="138" spans="2:4" ht="15" x14ac:dyDescent="0.25">
      <c r="B138" s="41" t="s">
        <v>148</v>
      </c>
      <c r="C138" s="40"/>
      <c r="D138" s="45">
        <v>2.8141488779299024E-2</v>
      </c>
    </row>
    <row r="139" spans="2:4" ht="15" x14ac:dyDescent="0.25">
      <c r="B139" s="41" t="s">
        <v>149</v>
      </c>
      <c r="C139" s="40"/>
      <c r="D139" s="45" t="s">
        <v>133</v>
      </c>
    </row>
  </sheetData>
  <mergeCells count="5">
    <mergeCell ref="A1:G1"/>
    <mergeCell ref="A2:G2"/>
    <mergeCell ref="A3:G3"/>
    <mergeCell ref="B118:F118"/>
    <mergeCell ref="B119:F119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V147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542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60</v>
      </c>
      <c r="C7" s="11" t="s">
        <v>61</v>
      </c>
      <c r="D7" s="2" t="s">
        <v>16</v>
      </c>
      <c r="E7" s="46">
        <v>454439</v>
      </c>
      <c r="F7" s="51">
        <v>4389.8807399999996</v>
      </c>
      <c r="G7" s="5">
        <v>4.4060298999999997E-2</v>
      </c>
    </row>
    <row r="8" spans="1:7" ht="15" x14ac:dyDescent="0.25">
      <c r="A8" s="6">
        <v>2</v>
      </c>
      <c r="B8" s="7" t="s">
        <v>231</v>
      </c>
      <c r="C8" s="11" t="s">
        <v>232</v>
      </c>
      <c r="D8" s="2" t="s">
        <v>170</v>
      </c>
      <c r="E8" s="46">
        <v>1229002</v>
      </c>
      <c r="F8" s="51">
        <v>4256.6484270000001</v>
      </c>
      <c r="G8" s="5">
        <v>4.2723074999999999E-2</v>
      </c>
    </row>
    <row r="9" spans="1:7" ht="25.5" x14ac:dyDescent="0.25">
      <c r="A9" s="6">
        <v>3</v>
      </c>
      <c r="B9" s="7" t="s">
        <v>153</v>
      </c>
      <c r="C9" s="11" t="s">
        <v>154</v>
      </c>
      <c r="D9" s="2" t="s">
        <v>155</v>
      </c>
      <c r="E9" s="46">
        <v>682501</v>
      </c>
      <c r="F9" s="51">
        <v>4250.6162279999999</v>
      </c>
      <c r="G9" s="5">
        <v>4.2662530999999997E-2</v>
      </c>
    </row>
    <row r="10" spans="1:7" ht="15" x14ac:dyDescent="0.25">
      <c r="A10" s="6">
        <v>4</v>
      </c>
      <c r="B10" s="7" t="s">
        <v>151</v>
      </c>
      <c r="C10" s="11" t="s">
        <v>152</v>
      </c>
      <c r="D10" s="2" t="s">
        <v>16</v>
      </c>
      <c r="E10" s="46">
        <v>2049127</v>
      </c>
      <c r="F10" s="51">
        <v>3967.109872</v>
      </c>
      <c r="G10" s="5">
        <v>3.9817037999999999E-2</v>
      </c>
    </row>
    <row r="11" spans="1:7" ht="15" x14ac:dyDescent="0.25">
      <c r="A11" s="6">
        <v>5</v>
      </c>
      <c r="B11" s="7" t="s">
        <v>163</v>
      </c>
      <c r="C11" s="11" t="s">
        <v>164</v>
      </c>
      <c r="D11" s="2" t="s">
        <v>13</v>
      </c>
      <c r="E11" s="46">
        <v>1931856</v>
      </c>
      <c r="F11" s="51">
        <v>3776.7784799999999</v>
      </c>
      <c r="G11" s="5">
        <v>3.7906721999999997E-2</v>
      </c>
    </row>
    <row r="12" spans="1:7" ht="25.5" x14ac:dyDescent="0.25">
      <c r="A12" s="6">
        <v>6</v>
      </c>
      <c r="B12" s="7" t="s">
        <v>25</v>
      </c>
      <c r="C12" s="11" t="s">
        <v>26</v>
      </c>
      <c r="D12" s="2" t="s">
        <v>27</v>
      </c>
      <c r="E12" s="46">
        <v>670000</v>
      </c>
      <c r="F12" s="51">
        <v>3213.6550000000002</v>
      </c>
      <c r="G12" s="5">
        <v>3.2254771000000002E-2</v>
      </c>
    </row>
    <row r="13" spans="1:7" ht="25.5" x14ac:dyDescent="0.25">
      <c r="A13" s="6">
        <v>7</v>
      </c>
      <c r="B13" s="7" t="s">
        <v>20</v>
      </c>
      <c r="C13" s="11" t="s">
        <v>21</v>
      </c>
      <c r="D13" s="2" t="s">
        <v>22</v>
      </c>
      <c r="E13" s="46">
        <v>444000</v>
      </c>
      <c r="F13" s="51">
        <v>3013.8719999999998</v>
      </c>
      <c r="G13" s="5">
        <v>3.0249591999999999E-2</v>
      </c>
    </row>
    <row r="14" spans="1:7" ht="15" x14ac:dyDescent="0.25">
      <c r="A14" s="6">
        <v>8</v>
      </c>
      <c r="B14" s="7" t="s">
        <v>66</v>
      </c>
      <c r="C14" s="11" t="s">
        <v>67</v>
      </c>
      <c r="D14" s="2" t="s">
        <v>51</v>
      </c>
      <c r="E14" s="46">
        <v>1622966</v>
      </c>
      <c r="F14" s="51">
        <v>2984.634474</v>
      </c>
      <c r="G14" s="5">
        <v>2.9956140999999999E-2</v>
      </c>
    </row>
    <row r="15" spans="1:7" ht="25.5" x14ac:dyDescent="0.25">
      <c r="A15" s="6">
        <v>9</v>
      </c>
      <c r="B15" s="7" t="s">
        <v>43</v>
      </c>
      <c r="C15" s="11" t="s">
        <v>44</v>
      </c>
      <c r="D15" s="2" t="s">
        <v>30</v>
      </c>
      <c r="E15" s="46">
        <v>2802088</v>
      </c>
      <c r="F15" s="51">
        <v>2957.6038840000001</v>
      </c>
      <c r="G15" s="5">
        <v>2.9684841E-2</v>
      </c>
    </row>
    <row r="16" spans="1:7" ht="25.5" x14ac:dyDescent="0.25">
      <c r="A16" s="6">
        <v>10</v>
      </c>
      <c r="B16" s="7" t="s">
        <v>156</v>
      </c>
      <c r="C16" s="11" t="s">
        <v>157</v>
      </c>
      <c r="D16" s="2" t="s">
        <v>59</v>
      </c>
      <c r="E16" s="46">
        <v>1266733</v>
      </c>
      <c r="F16" s="51">
        <v>2948.954424</v>
      </c>
      <c r="G16" s="5">
        <v>2.9598027999999998E-2</v>
      </c>
    </row>
    <row r="17" spans="1:7" ht="25.5" x14ac:dyDescent="0.25">
      <c r="A17" s="6">
        <v>11</v>
      </c>
      <c r="B17" s="7" t="s">
        <v>171</v>
      </c>
      <c r="C17" s="11" t="s">
        <v>172</v>
      </c>
      <c r="D17" s="2" t="s">
        <v>173</v>
      </c>
      <c r="E17" s="46">
        <v>978213</v>
      </c>
      <c r="F17" s="51">
        <v>2875.4571135000001</v>
      </c>
      <c r="G17" s="5">
        <v>2.8860350999999999E-2</v>
      </c>
    </row>
    <row r="18" spans="1:7" ht="25.5" x14ac:dyDescent="0.25">
      <c r="A18" s="6">
        <v>12</v>
      </c>
      <c r="B18" s="7" t="s">
        <v>189</v>
      </c>
      <c r="C18" s="11" t="s">
        <v>190</v>
      </c>
      <c r="D18" s="2" t="s">
        <v>167</v>
      </c>
      <c r="E18" s="46">
        <v>650815</v>
      </c>
      <c r="F18" s="51">
        <v>2872.6974100000002</v>
      </c>
      <c r="G18" s="5">
        <v>2.8832653E-2</v>
      </c>
    </row>
    <row r="19" spans="1:7" ht="25.5" x14ac:dyDescent="0.25">
      <c r="A19" s="6">
        <v>13</v>
      </c>
      <c r="B19" s="7" t="s">
        <v>94</v>
      </c>
      <c r="C19" s="11" t="s">
        <v>95</v>
      </c>
      <c r="D19" s="2" t="s">
        <v>22</v>
      </c>
      <c r="E19" s="46">
        <v>2436788</v>
      </c>
      <c r="F19" s="51">
        <v>2496.4893059999999</v>
      </c>
      <c r="G19" s="5">
        <v>2.5056732000000002E-2</v>
      </c>
    </row>
    <row r="20" spans="1:7" ht="15" x14ac:dyDescent="0.25">
      <c r="A20" s="6">
        <v>14</v>
      </c>
      <c r="B20" s="7" t="s">
        <v>49</v>
      </c>
      <c r="C20" s="11" t="s">
        <v>50</v>
      </c>
      <c r="D20" s="2" t="s">
        <v>51</v>
      </c>
      <c r="E20" s="46">
        <v>942882</v>
      </c>
      <c r="F20" s="51">
        <v>2466.5793119999998</v>
      </c>
      <c r="G20" s="5">
        <v>2.4756532000000001E-2</v>
      </c>
    </row>
    <row r="21" spans="1:7" ht="25.5" x14ac:dyDescent="0.25">
      <c r="A21" s="6">
        <v>15</v>
      </c>
      <c r="B21" s="7" t="s">
        <v>52</v>
      </c>
      <c r="C21" s="11" t="s">
        <v>53</v>
      </c>
      <c r="D21" s="2" t="s">
        <v>30</v>
      </c>
      <c r="E21" s="46">
        <v>553311</v>
      </c>
      <c r="F21" s="51">
        <v>2368.4477354999999</v>
      </c>
      <c r="G21" s="5">
        <v>2.3771606000000001E-2</v>
      </c>
    </row>
    <row r="22" spans="1:7" ht="25.5" x14ac:dyDescent="0.25">
      <c r="A22" s="6">
        <v>16</v>
      </c>
      <c r="B22" s="7" t="s">
        <v>194</v>
      </c>
      <c r="C22" s="11" t="s">
        <v>195</v>
      </c>
      <c r="D22" s="2" t="s">
        <v>37</v>
      </c>
      <c r="E22" s="46">
        <v>677470</v>
      </c>
      <c r="F22" s="51">
        <v>2292.897215</v>
      </c>
      <c r="G22" s="5">
        <v>2.3013321999999999E-2</v>
      </c>
    </row>
    <row r="23" spans="1:7" ht="15" x14ac:dyDescent="0.25">
      <c r="A23" s="6">
        <v>17</v>
      </c>
      <c r="B23" s="7" t="s">
        <v>187</v>
      </c>
      <c r="C23" s="11" t="s">
        <v>188</v>
      </c>
      <c r="D23" s="2" t="s">
        <v>162</v>
      </c>
      <c r="E23" s="46">
        <v>246000</v>
      </c>
      <c r="F23" s="51">
        <v>2257.1729999999998</v>
      </c>
      <c r="G23" s="5">
        <v>2.2654765E-2</v>
      </c>
    </row>
    <row r="24" spans="1:7" ht="25.5" x14ac:dyDescent="0.25">
      <c r="A24" s="6">
        <v>18</v>
      </c>
      <c r="B24" s="7" t="s">
        <v>68</v>
      </c>
      <c r="C24" s="11" t="s">
        <v>69</v>
      </c>
      <c r="D24" s="2" t="s">
        <v>19</v>
      </c>
      <c r="E24" s="46">
        <v>1794023</v>
      </c>
      <c r="F24" s="51">
        <v>2168.9738069999999</v>
      </c>
      <c r="G24" s="5">
        <v>2.1769528999999999E-2</v>
      </c>
    </row>
    <row r="25" spans="1:7" ht="15" x14ac:dyDescent="0.25">
      <c r="A25" s="6">
        <v>19</v>
      </c>
      <c r="B25" s="7" t="s">
        <v>75</v>
      </c>
      <c r="C25" s="11" t="s">
        <v>76</v>
      </c>
      <c r="D25" s="2" t="s">
        <v>51</v>
      </c>
      <c r="E25" s="46">
        <v>943522</v>
      </c>
      <c r="F25" s="51">
        <v>2089.4294690000002</v>
      </c>
      <c r="G25" s="5">
        <v>2.0971159E-2</v>
      </c>
    </row>
    <row r="26" spans="1:7" ht="15" x14ac:dyDescent="0.25">
      <c r="A26" s="6">
        <v>20</v>
      </c>
      <c r="B26" s="7" t="s">
        <v>270</v>
      </c>
      <c r="C26" s="11" t="s">
        <v>271</v>
      </c>
      <c r="D26" s="2" t="s">
        <v>16</v>
      </c>
      <c r="E26" s="46">
        <v>1245500</v>
      </c>
      <c r="F26" s="51">
        <v>2082.4760000000001</v>
      </c>
      <c r="G26" s="5">
        <v>2.0901369E-2</v>
      </c>
    </row>
    <row r="27" spans="1:7" ht="15" x14ac:dyDescent="0.25">
      <c r="A27" s="6">
        <v>21</v>
      </c>
      <c r="B27" s="7" t="s">
        <v>158</v>
      </c>
      <c r="C27" s="11" t="s">
        <v>159</v>
      </c>
      <c r="D27" s="2" t="s">
        <v>16</v>
      </c>
      <c r="E27" s="46">
        <v>2241576</v>
      </c>
      <c r="F27" s="51">
        <v>1968.103728</v>
      </c>
      <c r="G27" s="5">
        <v>1.9753438000000002E-2</v>
      </c>
    </row>
    <row r="28" spans="1:7" ht="15" x14ac:dyDescent="0.25">
      <c r="A28" s="6">
        <v>22</v>
      </c>
      <c r="B28" s="7" t="s">
        <v>543</v>
      </c>
      <c r="C28" s="11" t="s">
        <v>544</v>
      </c>
      <c r="D28" s="2" t="s">
        <v>241</v>
      </c>
      <c r="E28" s="46">
        <v>690000</v>
      </c>
      <c r="F28" s="51">
        <v>1958.5650000000001</v>
      </c>
      <c r="G28" s="5">
        <v>1.96577E-2</v>
      </c>
    </row>
    <row r="29" spans="1:7" ht="51" x14ac:dyDescent="0.25">
      <c r="A29" s="6">
        <v>23</v>
      </c>
      <c r="B29" s="7" t="s">
        <v>248</v>
      </c>
      <c r="C29" s="11" t="s">
        <v>249</v>
      </c>
      <c r="D29" s="2" t="s">
        <v>235</v>
      </c>
      <c r="E29" s="46">
        <v>1164194</v>
      </c>
      <c r="F29" s="51">
        <v>1922.666391</v>
      </c>
      <c r="G29" s="5">
        <v>1.9297392999999999E-2</v>
      </c>
    </row>
    <row r="30" spans="1:7" ht="15" x14ac:dyDescent="0.25">
      <c r="A30" s="6">
        <v>24</v>
      </c>
      <c r="B30" s="7" t="s">
        <v>191</v>
      </c>
      <c r="C30" s="11" t="s">
        <v>192</v>
      </c>
      <c r="D30" s="2" t="s">
        <v>193</v>
      </c>
      <c r="E30" s="46">
        <v>1261926</v>
      </c>
      <c r="F30" s="51">
        <v>1679.6235059999999</v>
      </c>
      <c r="G30" s="5">
        <v>1.6858023999999999E-2</v>
      </c>
    </row>
    <row r="31" spans="1:7" ht="51" x14ac:dyDescent="0.25">
      <c r="A31" s="6">
        <v>25</v>
      </c>
      <c r="B31" s="7" t="s">
        <v>482</v>
      </c>
      <c r="C31" s="11" t="s">
        <v>483</v>
      </c>
      <c r="D31" s="2" t="s">
        <v>235</v>
      </c>
      <c r="E31" s="46">
        <v>610000</v>
      </c>
      <c r="F31" s="51">
        <v>1661.335</v>
      </c>
      <c r="G31" s="5">
        <v>1.6674465999999999E-2</v>
      </c>
    </row>
    <row r="32" spans="1:7" ht="25.5" x14ac:dyDescent="0.25">
      <c r="A32" s="6">
        <v>26</v>
      </c>
      <c r="B32" s="7" t="s">
        <v>73</v>
      </c>
      <c r="C32" s="11" t="s">
        <v>74</v>
      </c>
      <c r="D32" s="2" t="s">
        <v>30</v>
      </c>
      <c r="E32" s="46">
        <v>1126000</v>
      </c>
      <c r="F32" s="51">
        <v>1653.5309999999999</v>
      </c>
      <c r="G32" s="5">
        <v>1.6596138999999999E-2</v>
      </c>
    </row>
    <row r="33" spans="1:7" ht="15" x14ac:dyDescent="0.25">
      <c r="A33" s="6">
        <v>27</v>
      </c>
      <c r="B33" s="7" t="s">
        <v>72</v>
      </c>
      <c r="C33" s="11" t="s">
        <v>845</v>
      </c>
      <c r="D33" s="2" t="s">
        <v>51</v>
      </c>
      <c r="E33" s="46">
        <v>629306</v>
      </c>
      <c r="F33" s="51">
        <v>1490.5112610000001</v>
      </c>
      <c r="G33" s="5">
        <v>1.4959943999999999E-2</v>
      </c>
    </row>
    <row r="34" spans="1:7" ht="25.5" x14ac:dyDescent="0.25">
      <c r="A34" s="6">
        <v>28</v>
      </c>
      <c r="B34" s="7" t="s">
        <v>185</v>
      </c>
      <c r="C34" s="11" t="s">
        <v>186</v>
      </c>
      <c r="D34" s="2" t="s">
        <v>59</v>
      </c>
      <c r="E34" s="46">
        <v>1158665</v>
      </c>
      <c r="F34" s="51">
        <v>1462.8145625</v>
      </c>
      <c r="G34" s="5">
        <v>1.4681959E-2</v>
      </c>
    </row>
    <row r="35" spans="1:7" ht="15" x14ac:dyDescent="0.25">
      <c r="A35" s="6">
        <v>29</v>
      </c>
      <c r="B35" s="7" t="s">
        <v>96</v>
      </c>
      <c r="C35" s="11" t="s">
        <v>97</v>
      </c>
      <c r="D35" s="2" t="s">
        <v>51</v>
      </c>
      <c r="E35" s="46">
        <v>1858982</v>
      </c>
      <c r="F35" s="51">
        <v>1437.922577</v>
      </c>
      <c r="G35" s="5">
        <v>1.4432123E-2</v>
      </c>
    </row>
    <row r="36" spans="1:7" ht="25.5" x14ac:dyDescent="0.25">
      <c r="A36" s="6">
        <v>30</v>
      </c>
      <c r="B36" s="7" t="s">
        <v>45</v>
      </c>
      <c r="C36" s="11" t="s">
        <v>46</v>
      </c>
      <c r="D36" s="2" t="s">
        <v>22</v>
      </c>
      <c r="E36" s="46">
        <v>229600</v>
      </c>
      <c r="F36" s="51">
        <v>1404.9223999999999</v>
      </c>
      <c r="G36" s="5">
        <v>1.4100906999999999E-2</v>
      </c>
    </row>
    <row r="37" spans="1:7" ht="15" x14ac:dyDescent="0.25">
      <c r="A37" s="6">
        <v>31</v>
      </c>
      <c r="B37" s="7" t="s">
        <v>272</v>
      </c>
      <c r="C37" s="11" t="s">
        <v>273</v>
      </c>
      <c r="D37" s="2" t="s">
        <v>170</v>
      </c>
      <c r="E37" s="46">
        <v>611272</v>
      </c>
      <c r="F37" s="51">
        <v>1388.1987119999999</v>
      </c>
      <c r="G37" s="5">
        <v>1.3933055E-2</v>
      </c>
    </row>
    <row r="38" spans="1:7" ht="15" x14ac:dyDescent="0.25">
      <c r="A38" s="6">
        <v>32</v>
      </c>
      <c r="B38" s="7" t="s">
        <v>211</v>
      </c>
      <c r="C38" s="11" t="s">
        <v>212</v>
      </c>
      <c r="D38" s="2" t="s">
        <v>162</v>
      </c>
      <c r="E38" s="46">
        <v>1719580</v>
      </c>
      <c r="F38" s="51">
        <v>1367.0661</v>
      </c>
      <c r="G38" s="5">
        <v>1.3720952E-2</v>
      </c>
    </row>
    <row r="39" spans="1:7" ht="15" x14ac:dyDescent="0.25">
      <c r="A39" s="6">
        <v>33</v>
      </c>
      <c r="B39" s="7" t="s">
        <v>213</v>
      </c>
      <c r="C39" s="11" t="s">
        <v>214</v>
      </c>
      <c r="D39" s="2" t="s">
        <v>215</v>
      </c>
      <c r="E39" s="46">
        <v>1409445</v>
      </c>
      <c r="F39" s="51">
        <v>1344.6105299999999</v>
      </c>
      <c r="G39" s="5">
        <v>1.349557E-2</v>
      </c>
    </row>
    <row r="40" spans="1:7" ht="25.5" x14ac:dyDescent="0.25">
      <c r="A40" s="6">
        <v>34</v>
      </c>
      <c r="B40" s="7" t="s">
        <v>545</v>
      </c>
      <c r="C40" s="11" t="s">
        <v>546</v>
      </c>
      <c r="D40" s="2" t="s">
        <v>167</v>
      </c>
      <c r="E40" s="46">
        <v>129670</v>
      </c>
      <c r="F40" s="51">
        <v>1321.272465</v>
      </c>
      <c r="G40" s="5">
        <v>1.3261330999999999E-2</v>
      </c>
    </row>
    <row r="41" spans="1:7" ht="15" x14ac:dyDescent="0.25">
      <c r="A41" s="6">
        <v>35</v>
      </c>
      <c r="B41" s="7" t="s">
        <v>242</v>
      </c>
      <c r="C41" s="11" t="s">
        <v>243</v>
      </c>
      <c r="D41" s="2" t="s">
        <v>241</v>
      </c>
      <c r="E41" s="46">
        <v>388888</v>
      </c>
      <c r="F41" s="51">
        <v>1306.2747919999999</v>
      </c>
      <c r="G41" s="5">
        <v>1.3110802E-2</v>
      </c>
    </row>
    <row r="42" spans="1:7" ht="15" x14ac:dyDescent="0.25">
      <c r="A42" s="6">
        <v>36</v>
      </c>
      <c r="B42" s="7" t="s">
        <v>236</v>
      </c>
      <c r="C42" s="11" t="s">
        <v>237</v>
      </c>
      <c r="D42" s="2" t="s">
        <v>238</v>
      </c>
      <c r="E42" s="46">
        <v>207024</v>
      </c>
      <c r="F42" s="51">
        <v>1245.559896</v>
      </c>
      <c r="G42" s="5">
        <v>1.2501419999999999E-2</v>
      </c>
    </row>
    <row r="43" spans="1:7" ht="25.5" x14ac:dyDescent="0.25">
      <c r="A43" s="6">
        <v>37</v>
      </c>
      <c r="B43" s="7" t="s">
        <v>178</v>
      </c>
      <c r="C43" s="11" t="s">
        <v>179</v>
      </c>
      <c r="D43" s="2" t="s">
        <v>22</v>
      </c>
      <c r="E43" s="46">
        <v>350942</v>
      </c>
      <c r="F43" s="51">
        <v>1222.3309859999999</v>
      </c>
      <c r="G43" s="5">
        <v>1.2268276E-2</v>
      </c>
    </row>
    <row r="44" spans="1:7" ht="25.5" x14ac:dyDescent="0.25">
      <c r="A44" s="6">
        <v>38</v>
      </c>
      <c r="B44" s="7" t="s">
        <v>196</v>
      </c>
      <c r="C44" s="11" t="s">
        <v>846</v>
      </c>
      <c r="D44" s="2" t="s">
        <v>59</v>
      </c>
      <c r="E44" s="46">
        <v>69274</v>
      </c>
      <c r="F44" s="51">
        <v>1136.994162</v>
      </c>
      <c r="G44" s="5">
        <v>1.1411767999999999E-2</v>
      </c>
    </row>
    <row r="45" spans="1:7" ht="38.25" x14ac:dyDescent="0.25">
      <c r="A45" s="6">
        <v>39</v>
      </c>
      <c r="B45" s="7" t="s">
        <v>82</v>
      </c>
      <c r="C45" s="11" t="s">
        <v>83</v>
      </c>
      <c r="D45" s="2" t="s">
        <v>84</v>
      </c>
      <c r="E45" s="46">
        <v>1349184</v>
      </c>
      <c r="F45" s="51">
        <v>1070.5775040000001</v>
      </c>
      <c r="G45" s="5">
        <v>1.0745159000000001E-2</v>
      </c>
    </row>
    <row r="46" spans="1:7" ht="15" x14ac:dyDescent="0.25">
      <c r="A46" s="6">
        <v>40</v>
      </c>
      <c r="B46" s="7" t="s">
        <v>62</v>
      </c>
      <c r="C46" s="11" t="s">
        <v>63</v>
      </c>
      <c r="D46" s="2" t="s">
        <v>16</v>
      </c>
      <c r="E46" s="46">
        <v>1010000</v>
      </c>
      <c r="F46" s="51">
        <v>1029.19</v>
      </c>
      <c r="G46" s="5">
        <v>1.0329761E-2</v>
      </c>
    </row>
    <row r="47" spans="1:7" ht="15" x14ac:dyDescent="0.25">
      <c r="A47" s="6">
        <v>41</v>
      </c>
      <c r="B47" s="7" t="s">
        <v>450</v>
      </c>
      <c r="C47" s="11" t="s">
        <v>451</v>
      </c>
      <c r="D47" s="2" t="s">
        <v>193</v>
      </c>
      <c r="E47" s="46">
        <v>148888</v>
      </c>
      <c r="F47" s="51">
        <v>979.60859600000003</v>
      </c>
      <c r="G47" s="5">
        <v>9.8321229999999999E-3</v>
      </c>
    </row>
    <row r="48" spans="1:7" ht="15" x14ac:dyDescent="0.25">
      <c r="A48" s="6">
        <v>42</v>
      </c>
      <c r="B48" s="7" t="s">
        <v>203</v>
      </c>
      <c r="C48" s="11" t="s">
        <v>204</v>
      </c>
      <c r="D48" s="2" t="s">
        <v>81</v>
      </c>
      <c r="E48" s="46">
        <v>900000</v>
      </c>
      <c r="F48" s="51">
        <v>969.3</v>
      </c>
      <c r="G48" s="5">
        <v>9.7286579999999994E-3</v>
      </c>
    </row>
    <row r="49" spans="1:7" ht="51" x14ac:dyDescent="0.25">
      <c r="A49" s="6">
        <v>43</v>
      </c>
      <c r="B49" s="7" t="s">
        <v>471</v>
      </c>
      <c r="C49" s="11" t="s">
        <v>472</v>
      </c>
      <c r="D49" s="2" t="s">
        <v>235</v>
      </c>
      <c r="E49" s="46">
        <v>1608789</v>
      </c>
      <c r="F49" s="51">
        <v>962.05582200000003</v>
      </c>
      <c r="G49" s="5">
        <v>9.6559499999999999E-3</v>
      </c>
    </row>
    <row r="50" spans="1:7" ht="25.5" x14ac:dyDescent="0.25">
      <c r="A50" s="6">
        <v>44</v>
      </c>
      <c r="B50" s="7" t="s">
        <v>165</v>
      </c>
      <c r="C50" s="11" t="s">
        <v>166</v>
      </c>
      <c r="D50" s="2" t="s">
        <v>167</v>
      </c>
      <c r="E50" s="46">
        <v>826885</v>
      </c>
      <c r="F50" s="51">
        <v>952.98496250000005</v>
      </c>
      <c r="G50" s="5">
        <v>9.5649069999999992E-3</v>
      </c>
    </row>
    <row r="51" spans="1:7" ht="15" x14ac:dyDescent="0.25">
      <c r="A51" s="6">
        <v>45</v>
      </c>
      <c r="B51" s="7" t="s">
        <v>547</v>
      </c>
      <c r="C51" s="11" t="s">
        <v>548</v>
      </c>
      <c r="D51" s="2" t="s">
        <v>170</v>
      </c>
      <c r="E51" s="46">
        <v>335000</v>
      </c>
      <c r="F51" s="51">
        <v>886.57749999999999</v>
      </c>
      <c r="G51" s="5">
        <v>8.8983900000000008E-3</v>
      </c>
    </row>
    <row r="52" spans="1:7" ht="25.5" x14ac:dyDescent="0.25">
      <c r="A52" s="6">
        <v>46</v>
      </c>
      <c r="B52" s="7" t="s">
        <v>87</v>
      </c>
      <c r="C52" s="11" t="s">
        <v>88</v>
      </c>
      <c r="D52" s="2" t="s">
        <v>89</v>
      </c>
      <c r="E52" s="46">
        <v>300172</v>
      </c>
      <c r="F52" s="51">
        <v>872.60000400000001</v>
      </c>
      <c r="G52" s="5">
        <v>8.7581010000000008E-3</v>
      </c>
    </row>
    <row r="53" spans="1:7" ht="15" x14ac:dyDescent="0.25">
      <c r="A53" s="6">
        <v>47</v>
      </c>
      <c r="B53" s="7" t="s">
        <v>549</v>
      </c>
      <c r="C53" s="11" t="s">
        <v>550</v>
      </c>
      <c r="D53" s="2" t="s">
        <v>155</v>
      </c>
      <c r="E53" s="46">
        <v>239140</v>
      </c>
      <c r="F53" s="51">
        <v>789.16200000000003</v>
      </c>
      <c r="G53" s="5">
        <v>7.9206510000000008E-3</v>
      </c>
    </row>
    <row r="54" spans="1:7" ht="15" x14ac:dyDescent="0.25">
      <c r="A54" s="6">
        <v>48</v>
      </c>
      <c r="B54" s="7" t="s">
        <v>218</v>
      </c>
      <c r="C54" s="11" t="s">
        <v>219</v>
      </c>
      <c r="D54" s="2" t="s">
        <v>51</v>
      </c>
      <c r="E54" s="46">
        <v>367557</v>
      </c>
      <c r="F54" s="51">
        <v>782.89640999999995</v>
      </c>
      <c r="G54" s="5">
        <v>7.8577649999999992E-3</v>
      </c>
    </row>
    <row r="55" spans="1:7" ht="15" x14ac:dyDescent="0.25">
      <c r="A55" s="6">
        <v>49</v>
      </c>
      <c r="B55" s="7" t="s">
        <v>254</v>
      </c>
      <c r="C55" s="11" t="s">
        <v>255</v>
      </c>
      <c r="D55" s="2" t="s">
        <v>215</v>
      </c>
      <c r="E55" s="46">
        <v>937482</v>
      </c>
      <c r="F55" s="51">
        <v>744.82944899999995</v>
      </c>
      <c r="G55" s="5">
        <v>7.4756950000000001E-3</v>
      </c>
    </row>
    <row r="56" spans="1:7" ht="25.5" x14ac:dyDescent="0.25">
      <c r="A56" s="6">
        <v>50</v>
      </c>
      <c r="B56" s="7" t="s">
        <v>551</v>
      </c>
      <c r="C56" s="11" t="s">
        <v>552</v>
      </c>
      <c r="D56" s="2" t="s">
        <v>59</v>
      </c>
      <c r="E56" s="46">
        <v>415115</v>
      </c>
      <c r="F56" s="51">
        <v>637.40908249999995</v>
      </c>
      <c r="G56" s="5">
        <v>6.3975389999999998E-3</v>
      </c>
    </row>
    <row r="57" spans="1:7" ht="25.5" x14ac:dyDescent="0.25">
      <c r="A57" s="6">
        <v>51</v>
      </c>
      <c r="B57" s="7" t="s">
        <v>216</v>
      </c>
      <c r="C57" s="11" t="s">
        <v>217</v>
      </c>
      <c r="D57" s="2" t="s">
        <v>59</v>
      </c>
      <c r="E57" s="46">
        <v>255000</v>
      </c>
      <c r="F57" s="51">
        <v>577.1925</v>
      </c>
      <c r="G57" s="5">
        <v>5.7931579999999996E-3</v>
      </c>
    </row>
    <row r="58" spans="1:7" ht="25.5" x14ac:dyDescent="0.25">
      <c r="A58" s="6">
        <v>52</v>
      </c>
      <c r="B58" s="7" t="s">
        <v>553</v>
      </c>
      <c r="C58" s="11" t="s">
        <v>554</v>
      </c>
      <c r="D58" s="2" t="s">
        <v>19</v>
      </c>
      <c r="E58" s="46">
        <v>111965</v>
      </c>
      <c r="F58" s="51">
        <v>314.56566750000002</v>
      </c>
      <c r="G58" s="5">
        <v>3.1572290000000001E-3</v>
      </c>
    </row>
    <row r="59" spans="1:7" ht="15" x14ac:dyDescent="0.25">
      <c r="A59" s="1"/>
      <c r="B59" s="2"/>
      <c r="C59" s="8" t="s">
        <v>104</v>
      </c>
      <c r="D59" s="12"/>
      <c r="E59" s="48"/>
      <c r="F59" s="53">
        <v>98271.626463000081</v>
      </c>
      <c r="G59" s="13">
        <v>0.98633140900000005</v>
      </c>
    </row>
    <row r="60" spans="1:7" ht="15" x14ac:dyDescent="0.25">
      <c r="A60" s="6"/>
      <c r="B60" s="7"/>
      <c r="C60" s="14"/>
      <c r="D60" s="15"/>
      <c r="E60" s="46"/>
      <c r="F60" s="51"/>
      <c r="G60" s="5"/>
    </row>
    <row r="61" spans="1:7" ht="15" x14ac:dyDescent="0.25">
      <c r="A61" s="1"/>
      <c r="B61" s="2"/>
      <c r="C61" s="8" t="s">
        <v>105</v>
      </c>
      <c r="D61" s="9"/>
      <c r="E61" s="47"/>
      <c r="F61" s="52"/>
      <c r="G61" s="10"/>
    </row>
    <row r="62" spans="1:7" ht="15" x14ac:dyDescent="0.25">
      <c r="A62" s="1"/>
      <c r="B62" s="2"/>
      <c r="C62" s="8" t="s">
        <v>104</v>
      </c>
      <c r="D62" s="12"/>
      <c r="E62" s="48"/>
      <c r="F62" s="53">
        <v>0</v>
      </c>
      <c r="G62" s="13">
        <v>0</v>
      </c>
    </row>
    <row r="63" spans="1:7" ht="15" x14ac:dyDescent="0.25">
      <c r="A63" s="6"/>
      <c r="B63" s="7"/>
      <c r="C63" s="14"/>
      <c r="D63" s="15"/>
      <c r="E63" s="46"/>
      <c r="F63" s="51"/>
      <c r="G63" s="5"/>
    </row>
    <row r="64" spans="1:7" ht="15" x14ac:dyDescent="0.25">
      <c r="A64" s="16"/>
      <c r="B64" s="17"/>
      <c r="C64" s="8" t="s">
        <v>106</v>
      </c>
      <c r="D64" s="9"/>
      <c r="E64" s="47"/>
      <c r="F64" s="52"/>
      <c r="G64" s="10"/>
    </row>
    <row r="65" spans="1:7" ht="25.5" x14ac:dyDescent="0.25">
      <c r="A65" s="6">
        <v>1</v>
      </c>
      <c r="B65" s="7" t="s">
        <v>107</v>
      </c>
      <c r="C65" s="108" t="s">
        <v>809</v>
      </c>
      <c r="D65" s="15" t="s">
        <v>89</v>
      </c>
      <c r="E65" s="46">
        <v>375961</v>
      </c>
      <c r="F65" s="51">
        <v>7.5190000000000003E-6</v>
      </c>
      <c r="G65" s="88" t="s">
        <v>807</v>
      </c>
    </row>
    <row r="66" spans="1:7" ht="15" x14ac:dyDescent="0.25">
      <c r="A66" s="18"/>
      <c r="B66" s="19"/>
      <c r="C66" s="8" t="s">
        <v>104</v>
      </c>
      <c r="D66" s="20"/>
      <c r="E66" s="49"/>
      <c r="F66" s="54">
        <v>7.5190000000000003E-6</v>
      </c>
      <c r="G66" s="120" t="s">
        <v>807</v>
      </c>
    </row>
    <row r="67" spans="1:7" ht="15" x14ac:dyDescent="0.25">
      <c r="A67" s="18"/>
      <c r="B67" s="19"/>
      <c r="C67" s="14"/>
      <c r="D67" s="22"/>
      <c r="E67" s="50"/>
      <c r="F67" s="55"/>
      <c r="G67" s="23"/>
    </row>
    <row r="68" spans="1:7" ht="15" x14ac:dyDescent="0.25">
      <c r="A68" s="1"/>
      <c r="B68" s="2"/>
      <c r="C68" s="8" t="s">
        <v>108</v>
      </c>
      <c r="D68" s="9"/>
      <c r="E68" s="47"/>
      <c r="F68" s="52"/>
      <c r="G68" s="10"/>
    </row>
    <row r="69" spans="1:7" ht="15" x14ac:dyDescent="0.25">
      <c r="A69" s="1"/>
      <c r="B69" s="2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1"/>
      <c r="B70" s="2"/>
      <c r="C70" s="14"/>
      <c r="D70" s="4"/>
      <c r="E70" s="46"/>
      <c r="F70" s="51"/>
      <c r="G70" s="5"/>
    </row>
    <row r="71" spans="1:7" ht="15" x14ac:dyDescent="0.25">
      <c r="A71" s="1"/>
      <c r="B71" s="2"/>
      <c r="C71" s="8" t="s">
        <v>109</v>
      </c>
      <c r="D71" s="9"/>
      <c r="E71" s="47"/>
      <c r="F71" s="52"/>
      <c r="G71" s="10"/>
    </row>
    <row r="72" spans="1:7" ht="15" x14ac:dyDescent="0.25">
      <c r="A72" s="1"/>
      <c r="B72" s="2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1"/>
      <c r="B73" s="2"/>
      <c r="C73" s="14"/>
      <c r="D73" s="4"/>
      <c r="E73" s="46"/>
      <c r="F73" s="51"/>
      <c r="G73" s="5"/>
    </row>
    <row r="74" spans="1:7" ht="15" x14ac:dyDescent="0.25">
      <c r="A74" s="1"/>
      <c r="B74" s="2"/>
      <c r="C74" s="8" t="s">
        <v>110</v>
      </c>
      <c r="D74" s="9"/>
      <c r="E74" s="47"/>
      <c r="F74" s="52"/>
      <c r="G74" s="10"/>
    </row>
    <row r="75" spans="1:7" ht="15" x14ac:dyDescent="0.25">
      <c r="A75" s="1"/>
      <c r="B75" s="2"/>
      <c r="C75" s="8" t="s">
        <v>104</v>
      </c>
      <c r="D75" s="12"/>
      <c r="E75" s="48"/>
      <c r="F75" s="53">
        <v>0</v>
      </c>
      <c r="G75" s="13">
        <v>0</v>
      </c>
    </row>
    <row r="76" spans="1:7" ht="15" x14ac:dyDescent="0.25">
      <c r="A76" s="1"/>
      <c r="B76" s="2"/>
      <c r="C76" s="14"/>
      <c r="D76" s="4"/>
      <c r="E76" s="46"/>
      <c r="F76" s="51"/>
      <c r="G76" s="5"/>
    </row>
    <row r="77" spans="1:7" ht="25.5" x14ac:dyDescent="0.25">
      <c r="A77" s="6"/>
      <c r="B77" s="7"/>
      <c r="C77" s="24" t="s">
        <v>111</v>
      </c>
      <c r="D77" s="25"/>
      <c r="E77" s="48"/>
      <c r="F77" s="53">
        <v>98271.626470519084</v>
      </c>
      <c r="G77" s="13">
        <v>0.98633140900000005</v>
      </c>
    </row>
    <row r="78" spans="1:7" ht="15" x14ac:dyDescent="0.25">
      <c r="A78" s="1"/>
      <c r="B78" s="2"/>
      <c r="C78" s="11"/>
      <c r="D78" s="4"/>
      <c r="E78" s="46"/>
      <c r="F78" s="51"/>
      <c r="G78" s="5"/>
    </row>
    <row r="79" spans="1:7" ht="15" x14ac:dyDescent="0.25">
      <c r="A79" s="1"/>
      <c r="B79" s="2"/>
      <c r="C79" s="3" t="s">
        <v>112</v>
      </c>
      <c r="D79" s="4"/>
      <c r="E79" s="46"/>
      <c r="F79" s="51"/>
      <c r="G79" s="5"/>
    </row>
    <row r="80" spans="1:7" ht="25.5" x14ac:dyDescent="0.25">
      <c r="A80" s="1"/>
      <c r="B80" s="2"/>
      <c r="C80" s="8" t="s">
        <v>10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12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4"/>
      <c r="E82" s="46"/>
      <c r="F82" s="51"/>
      <c r="G82" s="5"/>
    </row>
    <row r="83" spans="1:7" ht="15" x14ac:dyDescent="0.25">
      <c r="A83" s="1"/>
      <c r="B83" s="26"/>
      <c r="C83" s="8" t="s">
        <v>113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12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4"/>
      <c r="E85" s="46"/>
      <c r="F85" s="56"/>
      <c r="G85" s="27"/>
    </row>
    <row r="86" spans="1:7" ht="15" x14ac:dyDescent="0.25">
      <c r="A86" s="1"/>
      <c r="B86" s="2"/>
      <c r="C86" s="8" t="s">
        <v>114</v>
      </c>
      <c r="D86" s="9"/>
      <c r="E86" s="47"/>
      <c r="F86" s="52"/>
      <c r="G86" s="10"/>
    </row>
    <row r="87" spans="1:7" ht="15" x14ac:dyDescent="0.25">
      <c r="A87" s="6"/>
      <c r="B87" s="7"/>
      <c r="C87" s="8" t="s">
        <v>104</v>
      </c>
      <c r="D87" s="12"/>
      <c r="E87" s="48"/>
      <c r="F87" s="53">
        <v>0</v>
      </c>
      <c r="G87" s="13">
        <v>0</v>
      </c>
    </row>
    <row r="88" spans="1:7" ht="15" x14ac:dyDescent="0.25">
      <c r="A88" s="1"/>
      <c r="B88" s="2"/>
      <c r="C88" s="14"/>
      <c r="D88" s="4"/>
      <c r="E88" s="46"/>
      <c r="F88" s="51"/>
      <c r="G88" s="5"/>
    </row>
    <row r="89" spans="1:7" ht="25.5" x14ac:dyDescent="0.25">
      <c r="A89" s="1"/>
      <c r="B89" s="26"/>
      <c r="C89" s="8" t="s">
        <v>115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12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4"/>
      <c r="E91" s="46"/>
      <c r="F91" s="51"/>
      <c r="G91" s="5"/>
    </row>
    <row r="92" spans="1:7" ht="15" x14ac:dyDescent="0.25">
      <c r="A92" s="6"/>
      <c r="B92" s="7"/>
      <c r="C92" s="28" t="s">
        <v>116</v>
      </c>
      <c r="D92" s="25"/>
      <c r="E92" s="48"/>
      <c r="F92" s="53">
        <v>0</v>
      </c>
      <c r="G92" s="13">
        <v>0</v>
      </c>
    </row>
    <row r="93" spans="1:7" ht="15" x14ac:dyDescent="0.25">
      <c r="A93" s="6"/>
      <c r="B93" s="7"/>
      <c r="C93" s="11"/>
      <c r="D93" s="4"/>
      <c r="E93" s="46"/>
      <c r="F93" s="51"/>
      <c r="G93" s="5"/>
    </row>
    <row r="94" spans="1:7" ht="15" x14ac:dyDescent="0.25">
      <c r="A94" s="1"/>
      <c r="B94" s="2"/>
      <c r="C94" s="3" t="s">
        <v>117</v>
      </c>
      <c r="D94" s="4"/>
      <c r="E94" s="46"/>
      <c r="F94" s="51"/>
      <c r="G94" s="5"/>
    </row>
    <row r="95" spans="1:7" ht="15" x14ac:dyDescent="0.25">
      <c r="A95" s="6"/>
      <c r="B95" s="7"/>
      <c r="C95" s="8" t="s">
        <v>118</v>
      </c>
      <c r="D95" s="9"/>
      <c r="E95" s="47"/>
      <c r="F95" s="52"/>
      <c r="G95" s="10"/>
    </row>
    <row r="96" spans="1:7" ht="15" x14ac:dyDescent="0.25">
      <c r="A96" s="6"/>
      <c r="B96" s="7"/>
      <c r="C96" s="8" t="s">
        <v>104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4"/>
      <c r="D97" s="7"/>
      <c r="E97" s="46"/>
      <c r="F97" s="51"/>
      <c r="G97" s="5"/>
    </row>
    <row r="98" spans="1:7" ht="15" x14ac:dyDescent="0.25">
      <c r="A98" s="6"/>
      <c r="B98" s="7"/>
      <c r="C98" s="8" t="s">
        <v>119</v>
      </c>
      <c r="D98" s="9"/>
      <c r="E98" s="47"/>
      <c r="F98" s="52"/>
      <c r="G98" s="10"/>
    </row>
    <row r="99" spans="1:7" ht="15" x14ac:dyDescent="0.25">
      <c r="A99" s="6"/>
      <c r="B99" s="7"/>
      <c r="C99" s="8" t="s">
        <v>104</v>
      </c>
      <c r="D99" s="25"/>
      <c r="E99" s="48"/>
      <c r="F99" s="53">
        <v>0</v>
      </c>
      <c r="G99" s="13">
        <v>0</v>
      </c>
    </row>
    <row r="100" spans="1:7" ht="15" x14ac:dyDescent="0.25">
      <c r="A100" s="6"/>
      <c r="B100" s="7"/>
      <c r="C100" s="14"/>
      <c r="D100" s="7"/>
      <c r="E100" s="46"/>
      <c r="F100" s="51"/>
      <c r="G100" s="5"/>
    </row>
    <row r="101" spans="1:7" ht="15" x14ac:dyDescent="0.25">
      <c r="A101" s="6"/>
      <c r="B101" s="7"/>
      <c r="C101" s="8" t="s">
        <v>120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6"/>
      <c r="B104" s="7"/>
      <c r="C104" s="8" t="s">
        <v>121</v>
      </c>
      <c r="D104" s="9"/>
      <c r="E104" s="47"/>
      <c r="F104" s="52"/>
      <c r="G104" s="10"/>
    </row>
    <row r="105" spans="1:7" ht="15" x14ac:dyDescent="0.25">
      <c r="A105" s="6">
        <v>1</v>
      </c>
      <c r="B105" s="7"/>
      <c r="C105" s="11" t="s">
        <v>730</v>
      </c>
      <c r="D105" s="15"/>
      <c r="E105" s="46"/>
      <c r="F105" s="51">
        <v>1203.8156351</v>
      </c>
      <c r="G105" s="5">
        <v>1.2082440999999999E-2</v>
      </c>
    </row>
    <row r="106" spans="1:7" ht="15" x14ac:dyDescent="0.25">
      <c r="A106" s="6"/>
      <c r="B106" s="7"/>
      <c r="C106" s="8" t="s">
        <v>104</v>
      </c>
      <c r="D106" s="25"/>
      <c r="E106" s="48"/>
      <c r="F106" s="53">
        <v>1203.8156351</v>
      </c>
      <c r="G106" s="13">
        <v>1.2082440999999999E-2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25.5" x14ac:dyDescent="0.25">
      <c r="A108" s="6"/>
      <c r="B108" s="7"/>
      <c r="C108" s="24" t="s">
        <v>122</v>
      </c>
      <c r="D108" s="25"/>
      <c r="E108" s="48"/>
      <c r="F108" s="53">
        <v>1203.8156351</v>
      </c>
      <c r="G108" s="13">
        <v>1.2082440999999999E-2</v>
      </c>
    </row>
    <row r="109" spans="1:7" ht="15" x14ac:dyDescent="0.25">
      <c r="A109" s="6"/>
      <c r="B109" s="7"/>
      <c r="C109" s="29"/>
      <c r="D109" s="7"/>
      <c r="E109" s="46"/>
      <c r="F109" s="51"/>
      <c r="G109" s="5"/>
    </row>
    <row r="110" spans="1:7" ht="15" x14ac:dyDescent="0.25">
      <c r="A110" s="1"/>
      <c r="B110" s="2"/>
      <c r="C110" s="3" t="s">
        <v>123</v>
      </c>
      <c r="D110" s="4"/>
      <c r="E110" s="46"/>
      <c r="F110" s="51"/>
      <c r="G110" s="5"/>
    </row>
    <row r="111" spans="1:7" ht="25.5" x14ac:dyDescent="0.25">
      <c r="A111" s="6"/>
      <c r="B111" s="7"/>
      <c r="C111" s="8" t="s">
        <v>124</v>
      </c>
      <c r="D111" s="9"/>
      <c r="E111" s="47"/>
      <c r="F111" s="52"/>
      <c r="G111" s="10"/>
    </row>
    <row r="112" spans="1:7" ht="15" x14ac:dyDescent="0.25">
      <c r="A112" s="6"/>
      <c r="B112" s="7"/>
      <c r="C112" s="8" t="s">
        <v>104</v>
      </c>
      <c r="D112" s="25"/>
      <c r="E112" s="48"/>
      <c r="F112" s="53">
        <v>0</v>
      </c>
      <c r="G112" s="13">
        <v>0</v>
      </c>
    </row>
    <row r="113" spans="1:7" ht="15" x14ac:dyDescent="0.25">
      <c r="A113" s="6"/>
      <c r="B113" s="7"/>
      <c r="C113" s="14"/>
      <c r="D113" s="7"/>
      <c r="E113" s="46"/>
      <c r="F113" s="51"/>
      <c r="G113" s="5"/>
    </row>
    <row r="114" spans="1:7" ht="15" x14ac:dyDescent="0.25">
      <c r="A114" s="1"/>
      <c r="B114" s="2"/>
      <c r="C114" s="3" t="s">
        <v>125</v>
      </c>
      <c r="D114" s="4"/>
      <c r="E114" s="46"/>
      <c r="F114" s="51"/>
      <c r="G114" s="5"/>
    </row>
    <row r="115" spans="1:7" ht="25.5" x14ac:dyDescent="0.25">
      <c r="A115" s="6"/>
      <c r="B115" s="7"/>
      <c r="C115" s="8" t="s">
        <v>126</v>
      </c>
      <c r="D115" s="9"/>
      <c r="E115" s="47"/>
      <c r="F115" s="52"/>
      <c r="G115" s="10"/>
    </row>
    <row r="116" spans="1:7" ht="15" x14ac:dyDescent="0.25">
      <c r="A116" s="6"/>
      <c r="B116" s="7"/>
      <c r="C116" s="8" t="s">
        <v>104</v>
      </c>
      <c r="D116" s="25"/>
      <c r="E116" s="48"/>
      <c r="F116" s="53">
        <v>0</v>
      </c>
      <c r="G116" s="13">
        <v>0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25.5" x14ac:dyDescent="0.25">
      <c r="A118" s="6"/>
      <c r="B118" s="7"/>
      <c r="C118" s="8" t="s">
        <v>127</v>
      </c>
      <c r="D118" s="9"/>
      <c r="E118" s="47"/>
      <c r="F118" s="52"/>
      <c r="G118" s="10"/>
    </row>
    <row r="119" spans="1:7" ht="15" x14ac:dyDescent="0.25">
      <c r="A119" s="6"/>
      <c r="B119" s="7"/>
      <c r="C119" s="8" t="s">
        <v>104</v>
      </c>
      <c r="D119" s="25"/>
      <c r="E119" s="48"/>
      <c r="F119" s="53">
        <v>0</v>
      </c>
      <c r="G119" s="13">
        <v>0</v>
      </c>
    </row>
    <row r="120" spans="1:7" ht="15" x14ac:dyDescent="0.25">
      <c r="A120" s="6"/>
      <c r="B120" s="7"/>
      <c r="C120" s="14"/>
      <c r="D120" s="7"/>
      <c r="E120" s="46"/>
      <c r="F120" s="56"/>
      <c r="G120" s="27"/>
    </row>
    <row r="121" spans="1:7" ht="25.5" x14ac:dyDescent="0.25">
      <c r="A121" s="6"/>
      <c r="B121" s="7"/>
      <c r="C121" s="29" t="s">
        <v>128</v>
      </c>
      <c r="D121" s="7"/>
      <c r="E121" s="46"/>
      <c r="F121" s="56">
        <v>158.03386578999999</v>
      </c>
      <c r="G121" s="27">
        <v>1.586152E-3</v>
      </c>
    </row>
    <row r="122" spans="1:7" ht="15" x14ac:dyDescent="0.25">
      <c r="A122" s="6"/>
      <c r="B122" s="7"/>
      <c r="C122" s="30" t="s">
        <v>129</v>
      </c>
      <c r="D122" s="12"/>
      <c r="E122" s="48"/>
      <c r="F122" s="53">
        <v>99633.475971409091</v>
      </c>
      <c r="G122" s="13">
        <v>1.0000000020000002</v>
      </c>
    </row>
    <row r="124" spans="1:7" ht="15" x14ac:dyDescent="0.25">
      <c r="B124" s="279"/>
      <c r="C124" s="279"/>
      <c r="D124" s="279"/>
      <c r="E124" s="279"/>
      <c r="F124" s="279"/>
    </row>
    <row r="125" spans="1:7" ht="15" x14ac:dyDescent="0.25">
      <c r="B125" s="279" t="s">
        <v>130</v>
      </c>
      <c r="C125" s="279"/>
      <c r="D125" s="279"/>
      <c r="E125" s="279"/>
      <c r="F125" s="279"/>
    </row>
    <row r="127" spans="1:7" ht="15" x14ac:dyDescent="0.25">
      <c r="B127" s="36" t="s">
        <v>131</v>
      </c>
      <c r="C127" s="37"/>
      <c r="D127" s="38"/>
    </row>
    <row r="128" spans="1:7" ht="15" x14ac:dyDescent="0.25">
      <c r="B128" s="39" t="s">
        <v>132</v>
      </c>
      <c r="C128" s="40"/>
      <c r="D128" s="62" t="s">
        <v>808</v>
      </c>
    </row>
    <row r="129" spans="2:4" ht="15" x14ac:dyDescent="0.25">
      <c r="B129" s="39" t="s">
        <v>134</v>
      </c>
      <c r="C129" s="40"/>
      <c r="D129" s="62" t="s">
        <v>133</v>
      </c>
    </row>
    <row r="130" spans="2:4" ht="15" x14ac:dyDescent="0.25">
      <c r="B130" s="41" t="s">
        <v>135</v>
      </c>
      <c r="C130" s="40"/>
      <c r="D130" s="42"/>
    </row>
    <row r="131" spans="2:4" ht="25.5" customHeight="1" x14ac:dyDescent="0.25">
      <c r="B131" s="42"/>
      <c r="C131" s="32" t="s">
        <v>136</v>
      </c>
      <c r="D131" s="33" t="s">
        <v>137</v>
      </c>
    </row>
    <row r="132" spans="2:4" ht="12.75" customHeight="1" x14ac:dyDescent="0.25">
      <c r="B132" s="57" t="s">
        <v>138</v>
      </c>
      <c r="C132" s="58" t="s">
        <v>139</v>
      </c>
      <c r="D132" s="58" t="s">
        <v>140</v>
      </c>
    </row>
    <row r="133" spans="2:4" ht="15" x14ac:dyDescent="0.25">
      <c r="B133" s="42" t="s">
        <v>141</v>
      </c>
      <c r="C133" s="43">
        <v>84.223699999999994</v>
      </c>
      <c r="D133" s="43">
        <v>73.303799999999995</v>
      </c>
    </row>
    <row r="134" spans="2:4" ht="15" x14ac:dyDescent="0.25">
      <c r="B134" s="42" t="s">
        <v>142</v>
      </c>
      <c r="C134" s="43">
        <v>17.2867</v>
      </c>
      <c r="D134" s="43">
        <v>15.045400000000001</v>
      </c>
    </row>
    <row r="135" spans="2:4" ht="15" x14ac:dyDescent="0.25">
      <c r="B135" s="42" t="s">
        <v>384</v>
      </c>
      <c r="C135" s="43">
        <v>85.985699999999994</v>
      </c>
      <c r="D135" s="43">
        <v>74.837000000000003</v>
      </c>
    </row>
    <row r="136" spans="2:4" ht="15" x14ac:dyDescent="0.25">
      <c r="B136" s="42" t="s">
        <v>385</v>
      </c>
      <c r="C136" s="43">
        <v>17.868400000000001</v>
      </c>
      <c r="D136" s="43">
        <v>15.5517</v>
      </c>
    </row>
    <row r="137" spans="2:4" ht="15" x14ac:dyDescent="0.25">
      <c r="B137" s="42" t="s">
        <v>143</v>
      </c>
      <c r="C137" s="43">
        <v>81.164100000000005</v>
      </c>
      <c r="D137" s="43">
        <v>70.582999999999998</v>
      </c>
    </row>
    <row r="138" spans="2:4" ht="15" x14ac:dyDescent="0.25">
      <c r="B138" s="42" t="s">
        <v>144</v>
      </c>
      <c r="C138" s="43">
        <v>16.413799999999998</v>
      </c>
      <c r="D138" s="43">
        <v>14.273999999999999</v>
      </c>
    </row>
    <row r="140" spans="2:4" ht="15" x14ac:dyDescent="0.25">
      <c r="B140" s="59" t="s">
        <v>145</v>
      </c>
      <c r="C140" s="44"/>
      <c r="D140" s="60" t="s">
        <v>133</v>
      </c>
    </row>
    <row r="141" spans="2:4" ht="24.75" customHeight="1" x14ac:dyDescent="0.25">
      <c r="B141" s="61"/>
      <c r="C141" s="61"/>
    </row>
    <row r="142" spans="2:4" ht="15" x14ac:dyDescent="0.25">
      <c r="B142" s="63"/>
      <c r="C142" s="65"/>
      <c r="D142"/>
    </row>
    <row r="144" spans="2:4" ht="15" x14ac:dyDescent="0.25">
      <c r="B144" s="41" t="s">
        <v>146</v>
      </c>
      <c r="C144" s="40"/>
      <c r="D144" s="64" t="s">
        <v>133</v>
      </c>
    </row>
    <row r="145" spans="2:4" ht="15" x14ac:dyDescent="0.25">
      <c r="B145" s="41" t="s">
        <v>147</v>
      </c>
      <c r="C145" s="40"/>
      <c r="D145" s="64" t="s">
        <v>133</v>
      </c>
    </row>
    <row r="146" spans="2:4" ht="15" x14ac:dyDescent="0.25">
      <c r="B146" s="41" t="s">
        <v>148</v>
      </c>
      <c r="C146" s="40"/>
      <c r="D146" s="45">
        <v>2.2130138851121899E-2</v>
      </c>
    </row>
    <row r="147" spans="2:4" ht="15" x14ac:dyDescent="0.25">
      <c r="B147" s="41" t="s">
        <v>149</v>
      </c>
      <c r="C147" s="40"/>
      <c r="D147" s="45" t="s">
        <v>133</v>
      </c>
    </row>
  </sheetData>
  <mergeCells count="5">
    <mergeCell ref="A1:G1"/>
    <mergeCell ref="A2:G2"/>
    <mergeCell ref="A3:G3"/>
    <mergeCell ref="B124:F124"/>
    <mergeCell ref="B125:F125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V149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555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518</v>
      </c>
      <c r="C7" s="11" t="s">
        <v>519</v>
      </c>
      <c r="D7" s="2" t="s">
        <v>37</v>
      </c>
      <c r="E7" s="46">
        <v>600000</v>
      </c>
      <c r="F7" s="51">
        <v>10359.9</v>
      </c>
      <c r="G7" s="5">
        <v>5.0126196999999997E-2</v>
      </c>
    </row>
    <row r="8" spans="1:7" ht="15" x14ac:dyDescent="0.25">
      <c r="A8" s="6">
        <v>2</v>
      </c>
      <c r="B8" s="7" t="s">
        <v>47</v>
      </c>
      <c r="C8" s="11" t="s">
        <v>48</v>
      </c>
      <c r="D8" s="2" t="s">
        <v>13</v>
      </c>
      <c r="E8" s="46">
        <v>2300000</v>
      </c>
      <c r="F8" s="51">
        <v>7640.6</v>
      </c>
      <c r="G8" s="5">
        <v>3.6968911E-2</v>
      </c>
    </row>
    <row r="9" spans="1:7" ht="25.5" x14ac:dyDescent="0.25">
      <c r="A9" s="6">
        <v>3</v>
      </c>
      <c r="B9" s="7" t="s">
        <v>396</v>
      </c>
      <c r="C9" s="11" t="s">
        <v>397</v>
      </c>
      <c r="D9" s="2" t="s">
        <v>37</v>
      </c>
      <c r="E9" s="46">
        <v>2800000</v>
      </c>
      <c r="F9" s="51">
        <v>7565.6</v>
      </c>
      <c r="G9" s="5">
        <v>3.6606025E-2</v>
      </c>
    </row>
    <row r="10" spans="1:7" ht="15" x14ac:dyDescent="0.25">
      <c r="A10" s="6">
        <v>4</v>
      </c>
      <c r="B10" s="7" t="s">
        <v>420</v>
      </c>
      <c r="C10" s="11" t="s">
        <v>421</v>
      </c>
      <c r="D10" s="2" t="s">
        <v>226</v>
      </c>
      <c r="E10" s="46">
        <v>1300000</v>
      </c>
      <c r="F10" s="51">
        <v>7150</v>
      </c>
      <c r="G10" s="5">
        <v>3.4595150999999998E-2</v>
      </c>
    </row>
    <row r="11" spans="1:7" ht="25.5" x14ac:dyDescent="0.25">
      <c r="A11" s="6">
        <v>5</v>
      </c>
      <c r="B11" s="7" t="s">
        <v>316</v>
      </c>
      <c r="C11" s="11" t="s">
        <v>317</v>
      </c>
      <c r="D11" s="2" t="s">
        <v>37</v>
      </c>
      <c r="E11" s="46">
        <v>2400000</v>
      </c>
      <c r="F11" s="51">
        <v>6038.4</v>
      </c>
      <c r="G11" s="5">
        <v>2.9216694000000001E-2</v>
      </c>
    </row>
    <row r="12" spans="1:7" ht="15" x14ac:dyDescent="0.25">
      <c r="A12" s="6">
        <v>6</v>
      </c>
      <c r="B12" s="7" t="s">
        <v>312</v>
      </c>
      <c r="C12" s="11" t="s">
        <v>313</v>
      </c>
      <c r="D12" s="2" t="s">
        <v>13</v>
      </c>
      <c r="E12" s="46">
        <v>3100000</v>
      </c>
      <c r="F12" s="51">
        <v>6004.7</v>
      </c>
      <c r="G12" s="5">
        <v>2.9053637E-2</v>
      </c>
    </row>
    <row r="13" spans="1:7" ht="25.5" x14ac:dyDescent="0.25">
      <c r="A13" s="6">
        <v>7</v>
      </c>
      <c r="B13" s="7" t="s">
        <v>400</v>
      </c>
      <c r="C13" s="11" t="s">
        <v>401</v>
      </c>
      <c r="D13" s="2" t="s">
        <v>37</v>
      </c>
      <c r="E13" s="46">
        <v>380000</v>
      </c>
      <c r="F13" s="51">
        <v>5780.18</v>
      </c>
      <c r="G13" s="5">
        <v>2.7967301E-2</v>
      </c>
    </row>
    <row r="14" spans="1:7" ht="25.5" x14ac:dyDescent="0.25">
      <c r="A14" s="6">
        <v>8</v>
      </c>
      <c r="B14" s="7" t="s">
        <v>388</v>
      </c>
      <c r="C14" s="11" t="s">
        <v>389</v>
      </c>
      <c r="D14" s="2" t="s">
        <v>59</v>
      </c>
      <c r="E14" s="46">
        <v>2504000</v>
      </c>
      <c r="F14" s="51">
        <v>5757.9480000000003</v>
      </c>
      <c r="G14" s="5">
        <v>2.7859732000000002E-2</v>
      </c>
    </row>
    <row r="15" spans="1:7" ht="25.5" x14ac:dyDescent="0.25">
      <c r="A15" s="6">
        <v>9</v>
      </c>
      <c r="B15" s="7" t="s">
        <v>310</v>
      </c>
      <c r="C15" s="11" t="s">
        <v>311</v>
      </c>
      <c r="D15" s="2" t="s">
        <v>37</v>
      </c>
      <c r="E15" s="46">
        <v>854817</v>
      </c>
      <c r="F15" s="51">
        <v>5461.4258129999998</v>
      </c>
      <c r="G15" s="5">
        <v>2.6425014E-2</v>
      </c>
    </row>
    <row r="16" spans="1:7" ht="15" x14ac:dyDescent="0.25">
      <c r="A16" s="6">
        <v>10</v>
      </c>
      <c r="B16" s="7" t="s">
        <v>556</v>
      </c>
      <c r="C16" s="11" t="s">
        <v>557</v>
      </c>
      <c r="D16" s="2" t="s">
        <v>365</v>
      </c>
      <c r="E16" s="46">
        <v>900000</v>
      </c>
      <c r="F16" s="51">
        <v>5357.25</v>
      </c>
      <c r="G16" s="5">
        <v>2.5920961999999999E-2</v>
      </c>
    </row>
    <row r="17" spans="1:7" ht="25.5" x14ac:dyDescent="0.25">
      <c r="A17" s="6">
        <v>11</v>
      </c>
      <c r="B17" s="7" t="s">
        <v>390</v>
      </c>
      <c r="C17" s="11" t="s">
        <v>391</v>
      </c>
      <c r="D17" s="2" t="s">
        <v>162</v>
      </c>
      <c r="E17" s="46">
        <v>658000</v>
      </c>
      <c r="F17" s="51">
        <v>5247.8789999999999</v>
      </c>
      <c r="G17" s="5">
        <v>2.5391772E-2</v>
      </c>
    </row>
    <row r="18" spans="1:7" ht="15" x14ac:dyDescent="0.25">
      <c r="A18" s="6">
        <v>12</v>
      </c>
      <c r="B18" s="7" t="s">
        <v>14</v>
      </c>
      <c r="C18" s="11" t="s">
        <v>15</v>
      </c>
      <c r="D18" s="2" t="s">
        <v>16</v>
      </c>
      <c r="E18" s="46">
        <v>697000</v>
      </c>
      <c r="F18" s="51">
        <v>5132.7079999999996</v>
      </c>
      <c r="G18" s="5">
        <v>2.4834518999999999E-2</v>
      </c>
    </row>
    <row r="19" spans="1:7" ht="25.5" x14ac:dyDescent="0.25">
      <c r="A19" s="6">
        <v>13</v>
      </c>
      <c r="B19" s="7" t="s">
        <v>324</v>
      </c>
      <c r="C19" s="11" t="s">
        <v>325</v>
      </c>
      <c r="D19" s="2" t="s">
        <v>37</v>
      </c>
      <c r="E19" s="46">
        <v>44000</v>
      </c>
      <c r="F19" s="51">
        <v>4797.0339999999997</v>
      </c>
      <c r="G19" s="5">
        <v>2.3210366E-2</v>
      </c>
    </row>
    <row r="20" spans="1:7" ht="25.5" x14ac:dyDescent="0.25">
      <c r="A20" s="6">
        <v>14</v>
      </c>
      <c r="B20" s="7" t="s">
        <v>406</v>
      </c>
      <c r="C20" s="11" t="s">
        <v>407</v>
      </c>
      <c r="D20" s="2" t="s">
        <v>162</v>
      </c>
      <c r="E20" s="46">
        <v>380000</v>
      </c>
      <c r="F20" s="51">
        <v>4587.93</v>
      </c>
      <c r="G20" s="5">
        <v>2.2198619999999999E-2</v>
      </c>
    </row>
    <row r="21" spans="1:7" ht="25.5" x14ac:dyDescent="0.25">
      <c r="A21" s="6">
        <v>15</v>
      </c>
      <c r="B21" s="7" t="s">
        <v>558</v>
      </c>
      <c r="C21" s="11" t="s">
        <v>559</v>
      </c>
      <c r="D21" s="2" t="s">
        <v>59</v>
      </c>
      <c r="E21" s="46">
        <v>340000</v>
      </c>
      <c r="F21" s="51">
        <v>4445.67</v>
      </c>
      <c r="G21" s="5">
        <v>2.1510297000000001E-2</v>
      </c>
    </row>
    <row r="22" spans="1:7" ht="25.5" x14ac:dyDescent="0.25">
      <c r="A22" s="6">
        <v>16</v>
      </c>
      <c r="B22" s="7" t="s">
        <v>156</v>
      </c>
      <c r="C22" s="11" t="s">
        <v>157</v>
      </c>
      <c r="D22" s="2" t="s">
        <v>59</v>
      </c>
      <c r="E22" s="46">
        <v>1900000</v>
      </c>
      <c r="F22" s="51">
        <v>4423.2</v>
      </c>
      <c r="G22" s="5">
        <v>2.1401577000000001E-2</v>
      </c>
    </row>
    <row r="23" spans="1:7" ht="15" x14ac:dyDescent="0.25">
      <c r="A23" s="6">
        <v>17</v>
      </c>
      <c r="B23" s="7" t="s">
        <v>560</v>
      </c>
      <c r="C23" s="11" t="s">
        <v>561</v>
      </c>
      <c r="D23" s="2" t="s">
        <v>16</v>
      </c>
      <c r="E23" s="46">
        <v>280000</v>
      </c>
      <c r="F23" s="51">
        <v>4369.12</v>
      </c>
      <c r="G23" s="5">
        <v>2.1139912E-2</v>
      </c>
    </row>
    <row r="24" spans="1:7" ht="15" x14ac:dyDescent="0.25">
      <c r="A24" s="6">
        <v>18</v>
      </c>
      <c r="B24" s="7" t="s">
        <v>332</v>
      </c>
      <c r="C24" s="11" t="s">
        <v>333</v>
      </c>
      <c r="D24" s="2" t="s">
        <v>155</v>
      </c>
      <c r="E24" s="46">
        <v>740000</v>
      </c>
      <c r="F24" s="51">
        <v>4267.95</v>
      </c>
      <c r="G24" s="5">
        <v>2.0650402000000002E-2</v>
      </c>
    </row>
    <row r="25" spans="1:7" ht="15" x14ac:dyDescent="0.25">
      <c r="A25" s="6">
        <v>19</v>
      </c>
      <c r="B25" s="7" t="s">
        <v>11</v>
      </c>
      <c r="C25" s="11" t="s">
        <v>12</v>
      </c>
      <c r="D25" s="2" t="s">
        <v>13</v>
      </c>
      <c r="E25" s="46">
        <v>980000</v>
      </c>
      <c r="F25" s="51">
        <v>4161.08</v>
      </c>
      <c r="G25" s="5">
        <v>2.0133313999999999E-2</v>
      </c>
    </row>
    <row r="26" spans="1:7" ht="15" x14ac:dyDescent="0.25">
      <c r="A26" s="6">
        <v>20</v>
      </c>
      <c r="B26" s="7" t="s">
        <v>442</v>
      </c>
      <c r="C26" s="11" t="s">
        <v>443</v>
      </c>
      <c r="D26" s="2" t="s">
        <v>162</v>
      </c>
      <c r="E26" s="46">
        <v>760000</v>
      </c>
      <c r="F26" s="51">
        <v>3988.1</v>
      </c>
      <c r="G26" s="5">
        <v>1.9296352999999999E-2</v>
      </c>
    </row>
    <row r="27" spans="1:7" ht="25.5" x14ac:dyDescent="0.25">
      <c r="A27" s="6">
        <v>21</v>
      </c>
      <c r="B27" s="7" t="s">
        <v>562</v>
      </c>
      <c r="C27" s="11" t="s">
        <v>563</v>
      </c>
      <c r="D27" s="2" t="s">
        <v>59</v>
      </c>
      <c r="E27" s="46">
        <v>74542</v>
      </c>
      <c r="F27" s="51">
        <v>3977.7474750000001</v>
      </c>
      <c r="G27" s="5">
        <v>1.9246262E-2</v>
      </c>
    </row>
    <row r="28" spans="1:7" ht="15" x14ac:dyDescent="0.25">
      <c r="A28" s="6">
        <v>22</v>
      </c>
      <c r="B28" s="7" t="s">
        <v>506</v>
      </c>
      <c r="C28" s="11" t="s">
        <v>507</v>
      </c>
      <c r="D28" s="2" t="s">
        <v>16</v>
      </c>
      <c r="E28" s="46">
        <v>490000</v>
      </c>
      <c r="F28" s="51">
        <v>3862.915</v>
      </c>
      <c r="G28" s="5">
        <v>1.8690647000000001E-2</v>
      </c>
    </row>
    <row r="29" spans="1:7" ht="15" x14ac:dyDescent="0.25">
      <c r="A29" s="6">
        <v>23</v>
      </c>
      <c r="B29" s="7" t="s">
        <v>160</v>
      </c>
      <c r="C29" s="11" t="s">
        <v>161</v>
      </c>
      <c r="D29" s="2" t="s">
        <v>162</v>
      </c>
      <c r="E29" s="46">
        <v>1433346</v>
      </c>
      <c r="F29" s="51">
        <v>3778.300056</v>
      </c>
      <c r="G29" s="5">
        <v>1.8281240000000001E-2</v>
      </c>
    </row>
    <row r="30" spans="1:7" ht="25.5" x14ac:dyDescent="0.25">
      <c r="A30" s="6">
        <v>24</v>
      </c>
      <c r="B30" s="7" t="s">
        <v>564</v>
      </c>
      <c r="C30" s="11" t="s">
        <v>565</v>
      </c>
      <c r="D30" s="2" t="s">
        <v>37</v>
      </c>
      <c r="E30" s="46">
        <v>32250</v>
      </c>
      <c r="F30" s="51">
        <v>3765.47775</v>
      </c>
      <c r="G30" s="5">
        <v>1.8219198999999998E-2</v>
      </c>
    </row>
    <row r="31" spans="1:7" ht="15" x14ac:dyDescent="0.25">
      <c r="A31" s="6">
        <v>25</v>
      </c>
      <c r="B31" s="7" t="s">
        <v>33</v>
      </c>
      <c r="C31" s="11" t="s">
        <v>34</v>
      </c>
      <c r="D31" s="2" t="s">
        <v>13</v>
      </c>
      <c r="E31" s="46">
        <v>160000</v>
      </c>
      <c r="F31" s="51">
        <v>3602.64</v>
      </c>
      <c r="G31" s="5">
        <v>1.7431311000000001E-2</v>
      </c>
    </row>
    <row r="32" spans="1:7" ht="25.5" x14ac:dyDescent="0.25">
      <c r="A32" s="6">
        <v>26</v>
      </c>
      <c r="B32" s="7" t="s">
        <v>566</v>
      </c>
      <c r="C32" s="11" t="s">
        <v>567</v>
      </c>
      <c r="D32" s="2" t="s">
        <v>37</v>
      </c>
      <c r="E32" s="46">
        <v>130000</v>
      </c>
      <c r="F32" s="51">
        <v>3386.5</v>
      </c>
      <c r="G32" s="5">
        <v>1.6385522E-2</v>
      </c>
    </row>
    <row r="33" spans="1:7" ht="25.5" x14ac:dyDescent="0.25">
      <c r="A33" s="6">
        <v>27</v>
      </c>
      <c r="B33" s="7" t="s">
        <v>64</v>
      </c>
      <c r="C33" s="11" t="s">
        <v>65</v>
      </c>
      <c r="D33" s="2" t="s">
        <v>19</v>
      </c>
      <c r="E33" s="46">
        <v>4604000</v>
      </c>
      <c r="F33" s="51">
        <v>3367.826</v>
      </c>
      <c r="G33" s="5">
        <v>1.6295167999999999E-2</v>
      </c>
    </row>
    <row r="34" spans="1:7" ht="25.5" x14ac:dyDescent="0.25">
      <c r="A34" s="6">
        <v>28</v>
      </c>
      <c r="B34" s="7" t="s">
        <v>568</v>
      </c>
      <c r="C34" s="11" t="s">
        <v>569</v>
      </c>
      <c r="D34" s="2" t="s">
        <v>37</v>
      </c>
      <c r="E34" s="46">
        <v>750000</v>
      </c>
      <c r="F34" s="51">
        <v>3198.375</v>
      </c>
      <c r="G34" s="5">
        <v>1.5475282E-2</v>
      </c>
    </row>
    <row r="35" spans="1:7" ht="25.5" x14ac:dyDescent="0.25">
      <c r="A35" s="6">
        <v>29</v>
      </c>
      <c r="B35" s="7" t="s">
        <v>297</v>
      </c>
      <c r="C35" s="11" t="s">
        <v>298</v>
      </c>
      <c r="D35" s="2" t="s">
        <v>238</v>
      </c>
      <c r="E35" s="46">
        <v>1683538</v>
      </c>
      <c r="F35" s="51">
        <v>3169.2602849999998</v>
      </c>
      <c r="G35" s="5">
        <v>1.5334410999999999E-2</v>
      </c>
    </row>
    <row r="36" spans="1:7" ht="15" x14ac:dyDescent="0.25">
      <c r="A36" s="6">
        <v>30</v>
      </c>
      <c r="B36" s="7" t="s">
        <v>398</v>
      </c>
      <c r="C36" s="11" t="s">
        <v>399</v>
      </c>
      <c r="D36" s="2" t="s">
        <v>226</v>
      </c>
      <c r="E36" s="46">
        <v>130000</v>
      </c>
      <c r="F36" s="51">
        <v>3062.93</v>
      </c>
      <c r="G36" s="5">
        <v>1.4819934E-2</v>
      </c>
    </row>
    <row r="37" spans="1:7" ht="25.5" x14ac:dyDescent="0.25">
      <c r="A37" s="6">
        <v>31</v>
      </c>
      <c r="B37" s="7" t="s">
        <v>510</v>
      </c>
      <c r="C37" s="11" t="s">
        <v>511</v>
      </c>
      <c r="D37" s="2" t="s">
        <v>37</v>
      </c>
      <c r="E37" s="46">
        <v>250000</v>
      </c>
      <c r="F37" s="51">
        <v>2974.375</v>
      </c>
      <c r="G37" s="5">
        <v>1.4391462000000001E-2</v>
      </c>
    </row>
    <row r="38" spans="1:7" ht="25.5" x14ac:dyDescent="0.25">
      <c r="A38" s="6">
        <v>32</v>
      </c>
      <c r="B38" s="7" t="s">
        <v>357</v>
      </c>
      <c r="C38" s="11" t="s">
        <v>358</v>
      </c>
      <c r="D38" s="2" t="s">
        <v>162</v>
      </c>
      <c r="E38" s="46">
        <v>963000</v>
      </c>
      <c r="F38" s="51">
        <v>2935.2240000000002</v>
      </c>
      <c r="G38" s="5">
        <v>1.4202031E-2</v>
      </c>
    </row>
    <row r="39" spans="1:7" ht="25.5" x14ac:dyDescent="0.25">
      <c r="A39" s="6">
        <v>33</v>
      </c>
      <c r="B39" s="7" t="s">
        <v>194</v>
      </c>
      <c r="C39" s="11" t="s">
        <v>195</v>
      </c>
      <c r="D39" s="2" t="s">
        <v>37</v>
      </c>
      <c r="E39" s="46">
        <v>825144</v>
      </c>
      <c r="F39" s="51">
        <v>2792.6998680000002</v>
      </c>
      <c r="G39" s="5">
        <v>1.3512430000000001E-2</v>
      </c>
    </row>
    <row r="40" spans="1:7" ht="15" x14ac:dyDescent="0.25">
      <c r="A40" s="6">
        <v>34</v>
      </c>
      <c r="B40" s="7" t="s">
        <v>570</v>
      </c>
      <c r="C40" s="11" t="s">
        <v>571</v>
      </c>
      <c r="D40" s="2" t="s">
        <v>155</v>
      </c>
      <c r="E40" s="46">
        <v>215000</v>
      </c>
      <c r="F40" s="51">
        <v>2667.29</v>
      </c>
      <c r="G40" s="5">
        <v>1.2905636999999999E-2</v>
      </c>
    </row>
    <row r="41" spans="1:7" ht="25.5" x14ac:dyDescent="0.25">
      <c r="A41" s="6">
        <v>35</v>
      </c>
      <c r="B41" s="7" t="s">
        <v>464</v>
      </c>
      <c r="C41" s="11" t="s">
        <v>465</v>
      </c>
      <c r="D41" s="2" t="s">
        <v>59</v>
      </c>
      <c r="E41" s="46">
        <v>377289</v>
      </c>
      <c r="F41" s="51">
        <v>2631.2134860000001</v>
      </c>
      <c r="G41" s="5">
        <v>1.2731081E-2</v>
      </c>
    </row>
    <row r="42" spans="1:7" ht="15" x14ac:dyDescent="0.25">
      <c r="A42" s="6">
        <v>36</v>
      </c>
      <c r="B42" s="7" t="s">
        <v>500</v>
      </c>
      <c r="C42" s="11" t="s">
        <v>501</v>
      </c>
      <c r="D42" s="2" t="s">
        <v>226</v>
      </c>
      <c r="E42" s="46">
        <v>47500</v>
      </c>
      <c r="F42" s="51">
        <v>2598.1075000000001</v>
      </c>
      <c r="G42" s="5">
        <v>1.2570898E-2</v>
      </c>
    </row>
    <row r="43" spans="1:7" ht="25.5" x14ac:dyDescent="0.25">
      <c r="A43" s="6">
        <v>37</v>
      </c>
      <c r="B43" s="7" t="s">
        <v>402</v>
      </c>
      <c r="C43" s="11" t="s">
        <v>403</v>
      </c>
      <c r="D43" s="2" t="s">
        <v>37</v>
      </c>
      <c r="E43" s="46">
        <v>421514</v>
      </c>
      <c r="F43" s="51">
        <v>2504.003917</v>
      </c>
      <c r="G43" s="5">
        <v>1.2115580000000001E-2</v>
      </c>
    </row>
    <row r="44" spans="1:7" ht="25.5" x14ac:dyDescent="0.25">
      <c r="A44" s="6">
        <v>38</v>
      </c>
      <c r="B44" s="7" t="s">
        <v>572</v>
      </c>
      <c r="C44" s="11" t="s">
        <v>573</v>
      </c>
      <c r="D44" s="2" t="s">
        <v>37</v>
      </c>
      <c r="E44" s="46">
        <v>680000</v>
      </c>
      <c r="F44" s="51">
        <v>2494.2399999999998</v>
      </c>
      <c r="G44" s="5">
        <v>1.2068337E-2</v>
      </c>
    </row>
    <row r="45" spans="1:7" ht="25.5" x14ac:dyDescent="0.25">
      <c r="A45" s="6">
        <v>39</v>
      </c>
      <c r="B45" s="7" t="s">
        <v>57</v>
      </c>
      <c r="C45" s="11" t="s">
        <v>58</v>
      </c>
      <c r="D45" s="2" t="s">
        <v>59</v>
      </c>
      <c r="E45" s="46">
        <v>350000</v>
      </c>
      <c r="F45" s="51">
        <v>2368.8000000000002</v>
      </c>
      <c r="G45" s="5">
        <v>1.1461397999999999E-2</v>
      </c>
    </row>
    <row r="46" spans="1:7" ht="25.5" x14ac:dyDescent="0.25">
      <c r="A46" s="6">
        <v>40</v>
      </c>
      <c r="B46" s="7" t="s">
        <v>306</v>
      </c>
      <c r="C46" s="11" t="s">
        <v>307</v>
      </c>
      <c r="D46" s="2" t="s">
        <v>59</v>
      </c>
      <c r="E46" s="46">
        <v>152000</v>
      </c>
      <c r="F46" s="51">
        <v>2362.7640000000001</v>
      </c>
      <c r="G46" s="5">
        <v>1.1432193E-2</v>
      </c>
    </row>
    <row r="47" spans="1:7" ht="25.5" x14ac:dyDescent="0.25">
      <c r="A47" s="6">
        <v>41</v>
      </c>
      <c r="B47" s="7" t="s">
        <v>433</v>
      </c>
      <c r="C47" s="11" t="s">
        <v>434</v>
      </c>
      <c r="D47" s="2" t="s">
        <v>59</v>
      </c>
      <c r="E47" s="46">
        <v>400000</v>
      </c>
      <c r="F47" s="51">
        <v>2332</v>
      </c>
      <c r="G47" s="5">
        <v>1.1283342E-2</v>
      </c>
    </row>
    <row r="48" spans="1:7" ht="25.5" x14ac:dyDescent="0.25">
      <c r="A48" s="6">
        <v>42</v>
      </c>
      <c r="B48" s="7" t="s">
        <v>512</v>
      </c>
      <c r="C48" s="11" t="s">
        <v>513</v>
      </c>
      <c r="D48" s="2" t="s">
        <v>37</v>
      </c>
      <c r="E48" s="46">
        <v>1500000</v>
      </c>
      <c r="F48" s="51">
        <v>2124.75</v>
      </c>
      <c r="G48" s="5">
        <v>1.0280566E-2</v>
      </c>
    </row>
    <row r="49" spans="1:7" ht="25.5" x14ac:dyDescent="0.25">
      <c r="A49" s="6">
        <v>43</v>
      </c>
      <c r="B49" s="7" t="s">
        <v>574</v>
      </c>
      <c r="C49" s="11" t="s">
        <v>575</v>
      </c>
      <c r="D49" s="2" t="s">
        <v>372</v>
      </c>
      <c r="E49" s="46">
        <v>1400000</v>
      </c>
      <c r="F49" s="51">
        <v>2097.9</v>
      </c>
      <c r="G49" s="5">
        <v>1.0150653000000001E-2</v>
      </c>
    </row>
    <row r="50" spans="1:7" ht="15" x14ac:dyDescent="0.25">
      <c r="A50" s="6">
        <v>44</v>
      </c>
      <c r="B50" s="7" t="s">
        <v>363</v>
      </c>
      <c r="C50" s="11" t="s">
        <v>364</v>
      </c>
      <c r="D50" s="2" t="s">
        <v>365</v>
      </c>
      <c r="E50" s="46">
        <v>62650</v>
      </c>
      <c r="F50" s="51">
        <v>1922.1646499999999</v>
      </c>
      <c r="G50" s="5">
        <v>9.3003600000000006E-3</v>
      </c>
    </row>
    <row r="51" spans="1:7" ht="15" x14ac:dyDescent="0.25">
      <c r="A51" s="6">
        <v>45</v>
      </c>
      <c r="B51" s="7" t="s">
        <v>158</v>
      </c>
      <c r="C51" s="11" t="s">
        <v>159</v>
      </c>
      <c r="D51" s="2" t="s">
        <v>16</v>
      </c>
      <c r="E51" s="46">
        <v>2170099</v>
      </c>
      <c r="F51" s="51">
        <v>1905.3469219999999</v>
      </c>
      <c r="G51" s="5">
        <v>9.2189879999999991E-3</v>
      </c>
    </row>
    <row r="52" spans="1:7" ht="25.5" x14ac:dyDescent="0.25">
      <c r="A52" s="6">
        <v>46</v>
      </c>
      <c r="B52" s="7" t="s">
        <v>153</v>
      </c>
      <c r="C52" s="11" t="s">
        <v>154</v>
      </c>
      <c r="D52" s="2" t="s">
        <v>155</v>
      </c>
      <c r="E52" s="46">
        <v>300000</v>
      </c>
      <c r="F52" s="51">
        <v>1868.4</v>
      </c>
      <c r="G52" s="5">
        <v>9.0402209999999993E-3</v>
      </c>
    </row>
    <row r="53" spans="1:7" ht="15" x14ac:dyDescent="0.25">
      <c r="A53" s="6">
        <v>47</v>
      </c>
      <c r="B53" s="7" t="s">
        <v>370</v>
      </c>
      <c r="C53" s="11" t="s">
        <v>371</v>
      </c>
      <c r="D53" s="2" t="s">
        <v>372</v>
      </c>
      <c r="E53" s="46">
        <v>500000</v>
      </c>
      <c r="F53" s="51">
        <v>1865.5</v>
      </c>
      <c r="G53" s="5">
        <v>9.0261899999999999E-3</v>
      </c>
    </row>
    <row r="54" spans="1:7" ht="51" x14ac:dyDescent="0.25">
      <c r="A54" s="6">
        <v>48</v>
      </c>
      <c r="B54" s="7" t="s">
        <v>471</v>
      </c>
      <c r="C54" s="11" t="s">
        <v>472</v>
      </c>
      <c r="D54" s="2" t="s">
        <v>235</v>
      </c>
      <c r="E54" s="46">
        <v>3110000</v>
      </c>
      <c r="F54" s="51">
        <v>1859.78</v>
      </c>
      <c r="G54" s="5">
        <v>8.9985129999999997E-3</v>
      </c>
    </row>
    <row r="55" spans="1:7" ht="25.5" x14ac:dyDescent="0.25">
      <c r="A55" s="6">
        <v>49</v>
      </c>
      <c r="B55" s="7" t="s">
        <v>17</v>
      </c>
      <c r="C55" s="11" t="s">
        <v>18</v>
      </c>
      <c r="D55" s="2" t="s">
        <v>19</v>
      </c>
      <c r="E55" s="46">
        <v>122000</v>
      </c>
      <c r="F55" s="51">
        <v>1692.5060000000001</v>
      </c>
      <c r="G55" s="5">
        <v>8.1891610000000004E-3</v>
      </c>
    </row>
    <row r="56" spans="1:7" ht="15" x14ac:dyDescent="0.25">
      <c r="A56" s="6">
        <v>50</v>
      </c>
      <c r="B56" s="7" t="s">
        <v>62</v>
      </c>
      <c r="C56" s="11" t="s">
        <v>63</v>
      </c>
      <c r="D56" s="2" t="s">
        <v>16</v>
      </c>
      <c r="E56" s="46">
        <v>1620558</v>
      </c>
      <c r="F56" s="51">
        <v>1651.348602</v>
      </c>
      <c r="G56" s="5">
        <v>7.9900219999999994E-3</v>
      </c>
    </row>
    <row r="57" spans="1:7" ht="15" x14ac:dyDescent="0.25">
      <c r="A57" s="6">
        <v>51</v>
      </c>
      <c r="B57" s="7" t="s">
        <v>576</v>
      </c>
      <c r="C57" s="11" t="s">
        <v>577</v>
      </c>
      <c r="D57" s="2" t="s">
        <v>365</v>
      </c>
      <c r="E57" s="46">
        <v>399922</v>
      </c>
      <c r="F57" s="51">
        <v>1404.3261030000001</v>
      </c>
      <c r="G57" s="5">
        <v>6.7948080000000003E-3</v>
      </c>
    </row>
    <row r="58" spans="1:7" ht="15" x14ac:dyDescent="0.25">
      <c r="A58" s="6">
        <v>52</v>
      </c>
      <c r="B58" s="7" t="s">
        <v>368</v>
      </c>
      <c r="C58" s="11" t="s">
        <v>369</v>
      </c>
      <c r="D58" s="2" t="s">
        <v>162</v>
      </c>
      <c r="E58" s="46">
        <v>95448</v>
      </c>
      <c r="F58" s="51">
        <v>1302.340236</v>
      </c>
      <c r="G58" s="5">
        <v>6.3013510000000002E-3</v>
      </c>
    </row>
    <row r="59" spans="1:7" ht="15" x14ac:dyDescent="0.25">
      <c r="A59" s="6">
        <v>53</v>
      </c>
      <c r="B59" s="7" t="s">
        <v>412</v>
      </c>
      <c r="C59" s="11" t="s">
        <v>413</v>
      </c>
      <c r="D59" s="2" t="s">
        <v>162</v>
      </c>
      <c r="E59" s="46">
        <v>40000</v>
      </c>
      <c r="F59" s="51">
        <v>1300.82</v>
      </c>
      <c r="G59" s="5">
        <v>6.2939950000000001E-3</v>
      </c>
    </row>
    <row r="60" spans="1:7" ht="15" x14ac:dyDescent="0.25">
      <c r="A60" s="6">
        <v>54</v>
      </c>
      <c r="B60" s="7" t="s">
        <v>578</v>
      </c>
      <c r="C60" s="11" t="s">
        <v>579</v>
      </c>
      <c r="D60" s="2" t="s">
        <v>226</v>
      </c>
      <c r="E60" s="46">
        <v>105711</v>
      </c>
      <c r="F60" s="51">
        <v>1071.9095400000001</v>
      </c>
      <c r="G60" s="5">
        <v>5.1864160000000001E-3</v>
      </c>
    </row>
    <row r="61" spans="1:7" ht="15" x14ac:dyDescent="0.25">
      <c r="A61" s="6">
        <v>55</v>
      </c>
      <c r="B61" s="7" t="s">
        <v>191</v>
      </c>
      <c r="C61" s="11" t="s">
        <v>192</v>
      </c>
      <c r="D61" s="2" t="s">
        <v>193</v>
      </c>
      <c r="E61" s="46">
        <v>718923</v>
      </c>
      <c r="F61" s="51">
        <v>956.88651300000004</v>
      </c>
      <c r="G61" s="5">
        <v>4.6298789999999999E-3</v>
      </c>
    </row>
    <row r="62" spans="1:7" ht="25.5" x14ac:dyDescent="0.25">
      <c r="A62" s="6">
        <v>56</v>
      </c>
      <c r="B62" s="7" t="s">
        <v>526</v>
      </c>
      <c r="C62" s="11" t="s">
        <v>527</v>
      </c>
      <c r="D62" s="2" t="s">
        <v>37</v>
      </c>
      <c r="E62" s="46">
        <v>45295</v>
      </c>
      <c r="F62" s="51">
        <v>314.61907000000002</v>
      </c>
      <c r="G62" s="5">
        <v>1.5222790000000001E-3</v>
      </c>
    </row>
    <row r="63" spans="1:7" ht="25.5" x14ac:dyDescent="0.25">
      <c r="A63" s="6">
        <v>57</v>
      </c>
      <c r="B63" s="7" t="s">
        <v>229</v>
      </c>
      <c r="C63" s="11" t="s">
        <v>230</v>
      </c>
      <c r="D63" s="2" t="s">
        <v>37</v>
      </c>
      <c r="E63" s="46">
        <v>2260964</v>
      </c>
      <c r="F63" s="51">
        <v>232.87929199999999</v>
      </c>
      <c r="G63" s="5">
        <v>1.126782E-3</v>
      </c>
    </row>
    <row r="64" spans="1:7" ht="15" x14ac:dyDescent="0.25">
      <c r="A64" s="1"/>
      <c r="B64" s="2"/>
      <c r="C64" s="8" t="s">
        <v>104</v>
      </c>
      <c r="D64" s="12"/>
      <c r="E64" s="48"/>
      <c r="F64" s="53">
        <v>199940.84107799991</v>
      </c>
      <c r="G64" s="13">
        <v>0.96741030499999991</v>
      </c>
    </row>
    <row r="65" spans="1:7" ht="15" x14ac:dyDescent="0.25">
      <c r="A65" s="6"/>
      <c r="B65" s="7"/>
      <c r="C65" s="14"/>
      <c r="D65" s="15"/>
      <c r="E65" s="46"/>
      <c r="F65" s="51"/>
      <c r="G65" s="5"/>
    </row>
    <row r="66" spans="1:7" ht="15" x14ac:dyDescent="0.25">
      <c r="A66" s="1"/>
      <c r="B66" s="2"/>
      <c r="C66" s="8" t="s">
        <v>105</v>
      </c>
      <c r="D66" s="9"/>
      <c r="E66" s="47"/>
      <c r="F66" s="52"/>
      <c r="G66" s="10"/>
    </row>
    <row r="67" spans="1:7" ht="15" x14ac:dyDescent="0.25">
      <c r="A67" s="1"/>
      <c r="B67" s="2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6"/>
      <c r="B68" s="7"/>
      <c r="C68" s="14"/>
      <c r="D68" s="15"/>
      <c r="E68" s="46"/>
      <c r="F68" s="51"/>
      <c r="G68" s="5"/>
    </row>
    <row r="69" spans="1:7" ht="15" x14ac:dyDescent="0.25">
      <c r="A69" s="16"/>
      <c r="B69" s="17"/>
      <c r="C69" s="8" t="s">
        <v>106</v>
      </c>
      <c r="D69" s="9"/>
      <c r="E69" s="47"/>
      <c r="F69" s="52"/>
      <c r="G69" s="10"/>
    </row>
    <row r="70" spans="1:7" ht="15" x14ac:dyDescent="0.25">
      <c r="A70" s="18"/>
      <c r="B70" s="19"/>
      <c r="C70" s="8" t="s">
        <v>104</v>
      </c>
      <c r="D70" s="20"/>
      <c r="E70" s="49"/>
      <c r="F70" s="54">
        <v>0</v>
      </c>
      <c r="G70" s="21">
        <v>0</v>
      </c>
    </row>
    <row r="71" spans="1:7" ht="15" x14ac:dyDescent="0.25">
      <c r="A71" s="18"/>
      <c r="B71" s="19"/>
      <c r="C71" s="14"/>
      <c r="D71" s="22"/>
      <c r="E71" s="50"/>
      <c r="F71" s="55"/>
      <c r="G71" s="23"/>
    </row>
    <row r="72" spans="1:7" ht="15" x14ac:dyDescent="0.25">
      <c r="A72" s="1"/>
      <c r="B72" s="2"/>
      <c r="C72" s="8" t="s">
        <v>108</v>
      </c>
      <c r="D72" s="9"/>
      <c r="E72" s="47"/>
      <c r="F72" s="52"/>
      <c r="G72" s="10"/>
    </row>
    <row r="73" spans="1:7" ht="15" x14ac:dyDescent="0.25">
      <c r="A73" s="1"/>
      <c r="B73" s="2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1"/>
      <c r="B74" s="2"/>
      <c r="C74" s="14"/>
      <c r="D74" s="4"/>
      <c r="E74" s="46"/>
      <c r="F74" s="51"/>
      <c r="G74" s="5"/>
    </row>
    <row r="75" spans="1:7" ht="15" x14ac:dyDescent="0.25">
      <c r="A75" s="1"/>
      <c r="B75" s="2"/>
      <c r="C75" s="8" t="s">
        <v>109</v>
      </c>
      <c r="D75" s="9"/>
      <c r="E75" s="47"/>
      <c r="F75" s="52"/>
      <c r="G75" s="10"/>
    </row>
    <row r="76" spans="1:7" ht="15" x14ac:dyDescent="0.25">
      <c r="A76" s="1"/>
      <c r="B76" s="2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15" x14ac:dyDescent="0.25">
      <c r="A78" s="1"/>
      <c r="B78" s="2"/>
      <c r="C78" s="8" t="s">
        <v>110</v>
      </c>
      <c r="D78" s="9"/>
      <c r="E78" s="47"/>
      <c r="F78" s="52"/>
      <c r="G78" s="10"/>
    </row>
    <row r="79" spans="1:7" ht="15" x14ac:dyDescent="0.25">
      <c r="A79" s="1"/>
      <c r="B79" s="2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1"/>
      <c r="B80" s="2"/>
      <c r="C80" s="14"/>
      <c r="D80" s="4"/>
      <c r="E80" s="46"/>
      <c r="F80" s="51"/>
      <c r="G80" s="5"/>
    </row>
    <row r="81" spans="1:7" ht="25.5" x14ac:dyDescent="0.25">
      <c r="A81" s="6"/>
      <c r="B81" s="7"/>
      <c r="C81" s="24" t="s">
        <v>111</v>
      </c>
      <c r="D81" s="25"/>
      <c r="E81" s="48"/>
      <c r="F81" s="53">
        <v>199940.84107799991</v>
      </c>
      <c r="G81" s="13">
        <v>0.96741030499999991</v>
      </c>
    </row>
    <row r="82" spans="1:7" ht="15" x14ac:dyDescent="0.25">
      <c r="A82" s="1"/>
      <c r="B82" s="2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112</v>
      </c>
      <c r="D83" s="4"/>
      <c r="E83" s="46"/>
      <c r="F83" s="51"/>
      <c r="G83" s="5"/>
    </row>
    <row r="84" spans="1:7" ht="25.5" x14ac:dyDescent="0.25">
      <c r="A84" s="1"/>
      <c r="B84" s="2"/>
      <c r="C84" s="8" t="s">
        <v>10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4"/>
      <c r="E86" s="46"/>
      <c r="F86" s="51"/>
      <c r="G86" s="5"/>
    </row>
    <row r="87" spans="1:7" ht="15" x14ac:dyDescent="0.25">
      <c r="A87" s="1"/>
      <c r="B87" s="26"/>
      <c r="C87" s="8" t="s">
        <v>113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12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4"/>
      <c r="E89" s="46"/>
      <c r="F89" s="56"/>
      <c r="G89" s="27"/>
    </row>
    <row r="90" spans="1:7" ht="15" x14ac:dyDescent="0.25">
      <c r="A90" s="1"/>
      <c r="B90" s="2"/>
      <c r="C90" s="8" t="s">
        <v>114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12"/>
      <c r="E91" s="48"/>
      <c r="F91" s="53">
        <v>0</v>
      </c>
      <c r="G91" s="13">
        <v>0</v>
      </c>
    </row>
    <row r="92" spans="1:7" ht="15" x14ac:dyDescent="0.25">
      <c r="A92" s="1"/>
      <c r="B92" s="2"/>
      <c r="C92" s="14"/>
      <c r="D92" s="4"/>
      <c r="E92" s="46"/>
      <c r="F92" s="51"/>
      <c r="G92" s="5"/>
    </row>
    <row r="93" spans="1:7" ht="25.5" x14ac:dyDescent="0.25">
      <c r="A93" s="1"/>
      <c r="B93" s="26"/>
      <c r="C93" s="8" t="s">
        <v>115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12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4"/>
      <c r="E95" s="46"/>
      <c r="F95" s="51"/>
      <c r="G95" s="5"/>
    </row>
    <row r="96" spans="1:7" ht="15" x14ac:dyDescent="0.25">
      <c r="A96" s="6"/>
      <c r="B96" s="7"/>
      <c r="C96" s="28" t="s">
        <v>116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1"/>
      <c r="D97" s="4"/>
      <c r="E97" s="46"/>
      <c r="F97" s="51"/>
      <c r="G97" s="5"/>
    </row>
    <row r="98" spans="1:7" ht="15" x14ac:dyDescent="0.25">
      <c r="A98" s="1"/>
      <c r="B98" s="2"/>
      <c r="C98" s="3" t="s">
        <v>117</v>
      </c>
      <c r="D98" s="4"/>
      <c r="E98" s="46"/>
      <c r="F98" s="51"/>
      <c r="G98" s="5"/>
    </row>
    <row r="99" spans="1:7" ht="15" x14ac:dyDescent="0.25">
      <c r="A99" s="6"/>
      <c r="B99" s="7"/>
      <c r="C99" s="8" t="s">
        <v>118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7"/>
      <c r="E101" s="46"/>
      <c r="F101" s="51"/>
      <c r="G101" s="5"/>
    </row>
    <row r="102" spans="1:7" ht="15" x14ac:dyDescent="0.25">
      <c r="A102" s="6"/>
      <c r="B102" s="7"/>
      <c r="C102" s="8" t="s">
        <v>119</v>
      </c>
      <c r="D102" s="9"/>
      <c r="E102" s="47"/>
      <c r="F102" s="52"/>
      <c r="G102" s="10"/>
    </row>
    <row r="103" spans="1:7" ht="15" x14ac:dyDescent="0.25">
      <c r="A103" s="6"/>
      <c r="B103" s="7"/>
      <c r="C103" s="8" t="s">
        <v>104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4"/>
      <c r="D104" s="7"/>
      <c r="E104" s="46"/>
      <c r="F104" s="51"/>
      <c r="G104" s="5"/>
    </row>
    <row r="105" spans="1:7" ht="15" x14ac:dyDescent="0.25">
      <c r="A105" s="6"/>
      <c r="B105" s="7"/>
      <c r="C105" s="8" t="s">
        <v>120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15" x14ac:dyDescent="0.25">
      <c r="A108" s="6"/>
      <c r="B108" s="7"/>
      <c r="C108" s="8" t="s">
        <v>121</v>
      </c>
      <c r="D108" s="9"/>
      <c r="E108" s="47"/>
      <c r="F108" s="52"/>
      <c r="G108" s="10"/>
    </row>
    <row r="109" spans="1:7" ht="15" x14ac:dyDescent="0.25">
      <c r="A109" s="6">
        <v>1</v>
      </c>
      <c r="B109" s="7"/>
      <c r="C109" s="11" t="s">
        <v>730</v>
      </c>
      <c r="D109" s="15"/>
      <c r="E109" s="46"/>
      <c r="F109" s="51">
        <v>5180.2066489999997</v>
      </c>
      <c r="G109" s="5">
        <v>2.5064340000000001E-2</v>
      </c>
    </row>
    <row r="110" spans="1:7" ht="15" x14ac:dyDescent="0.25">
      <c r="A110" s="6"/>
      <c r="B110" s="7"/>
      <c r="C110" s="8" t="s">
        <v>104</v>
      </c>
      <c r="D110" s="25"/>
      <c r="E110" s="48"/>
      <c r="F110" s="53">
        <v>5180.2066489999997</v>
      </c>
      <c r="G110" s="13">
        <v>2.5064340000000001E-2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25.5" x14ac:dyDescent="0.25">
      <c r="A112" s="6"/>
      <c r="B112" s="7"/>
      <c r="C112" s="24" t="s">
        <v>122</v>
      </c>
      <c r="D112" s="25"/>
      <c r="E112" s="48"/>
      <c r="F112" s="53">
        <v>5180.2066489999997</v>
      </c>
      <c r="G112" s="13">
        <v>2.5064340000000001E-2</v>
      </c>
    </row>
    <row r="113" spans="1:7" ht="15" x14ac:dyDescent="0.25">
      <c r="A113" s="6"/>
      <c r="B113" s="7"/>
      <c r="C113" s="29"/>
      <c r="D113" s="7"/>
      <c r="E113" s="46"/>
      <c r="F113" s="51"/>
      <c r="G113" s="5"/>
    </row>
    <row r="114" spans="1:7" ht="15" x14ac:dyDescent="0.25">
      <c r="A114" s="1"/>
      <c r="B114" s="2"/>
      <c r="C114" s="3" t="s">
        <v>123</v>
      </c>
      <c r="D114" s="4"/>
      <c r="E114" s="46"/>
      <c r="F114" s="51"/>
      <c r="G114" s="5"/>
    </row>
    <row r="115" spans="1:7" ht="25.5" x14ac:dyDescent="0.25">
      <c r="A115" s="6"/>
      <c r="B115" s="7"/>
      <c r="C115" s="8" t="s">
        <v>124</v>
      </c>
      <c r="D115" s="9"/>
      <c r="E115" s="47"/>
      <c r="F115" s="52"/>
      <c r="G115" s="10"/>
    </row>
    <row r="116" spans="1:7" ht="15" x14ac:dyDescent="0.25">
      <c r="A116" s="6"/>
      <c r="B116" s="7"/>
      <c r="C116" s="8" t="s">
        <v>104</v>
      </c>
      <c r="D116" s="25"/>
      <c r="E116" s="48"/>
      <c r="F116" s="53">
        <v>0</v>
      </c>
      <c r="G116" s="13">
        <v>0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15" x14ac:dyDescent="0.25">
      <c r="A118" s="1"/>
      <c r="B118" s="2"/>
      <c r="C118" s="3" t="s">
        <v>125</v>
      </c>
      <c r="D118" s="4"/>
      <c r="E118" s="46"/>
      <c r="F118" s="51"/>
      <c r="G118" s="5"/>
    </row>
    <row r="119" spans="1:7" ht="25.5" x14ac:dyDescent="0.25">
      <c r="A119" s="6"/>
      <c r="B119" s="7"/>
      <c r="C119" s="8" t="s">
        <v>126</v>
      </c>
      <c r="D119" s="9"/>
      <c r="E119" s="47"/>
      <c r="F119" s="52"/>
      <c r="G119" s="10"/>
    </row>
    <row r="120" spans="1:7" ht="15" x14ac:dyDescent="0.25">
      <c r="A120" s="6"/>
      <c r="B120" s="7"/>
      <c r="C120" s="8" t="s">
        <v>104</v>
      </c>
      <c r="D120" s="25"/>
      <c r="E120" s="48"/>
      <c r="F120" s="53">
        <v>0</v>
      </c>
      <c r="G120" s="13">
        <v>0</v>
      </c>
    </row>
    <row r="121" spans="1:7" ht="15" x14ac:dyDescent="0.25">
      <c r="A121" s="6"/>
      <c r="B121" s="7"/>
      <c r="C121" s="14"/>
      <c r="D121" s="7"/>
      <c r="E121" s="46"/>
      <c r="F121" s="51"/>
      <c r="G121" s="5"/>
    </row>
    <row r="122" spans="1:7" ht="25.5" x14ac:dyDescent="0.25">
      <c r="A122" s="6"/>
      <c r="B122" s="7"/>
      <c r="C122" s="8" t="s">
        <v>127</v>
      </c>
      <c r="D122" s="9"/>
      <c r="E122" s="47"/>
      <c r="F122" s="52"/>
      <c r="G122" s="10"/>
    </row>
    <row r="123" spans="1:7" ht="15" x14ac:dyDescent="0.25">
      <c r="A123" s="6"/>
      <c r="B123" s="7"/>
      <c r="C123" s="8" t="s">
        <v>104</v>
      </c>
      <c r="D123" s="25"/>
      <c r="E123" s="48"/>
      <c r="F123" s="53">
        <v>0</v>
      </c>
      <c r="G123" s="13">
        <v>0</v>
      </c>
    </row>
    <row r="124" spans="1:7" ht="15" x14ac:dyDescent="0.25">
      <c r="A124" s="6"/>
      <c r="B124" s="7"/>
      <c r="C124" s="14"/>
      <c r="D124" s="7"/>
      <c r="E124" s="46"/>
      <c r="F124" s="56"/>
      <c r="G124" s="27"/>
    </row>
    <row r="125" spans="1:7" ht="25.5" x14ac:dyDescent="0.25">
      <c r="A125" s="6"/>
      <c r="B125" s="7"/>
      <c r="C125" s="29" t="s">
        <v>128</v>
      </c>
      <c r="D125" s="7"/>
      <c r="E125" s="46"/>
      <c r="F125" s="56">
        <v>1555.31306791</v>
      </c>
      <c r="G125" s="27">
        <v>7.5253550000000001E-3</v>
      </c>
    </row>
    <row r="126" spans="1:7" ht="15" x14ac:dyDescent="0.25">
      <c r="A126" s="6"/>
      <c r="B126" s="7"/>
      <c r="C126" s="30" t="s">
        <v>129</v>
      </c>
      <c r="D126" s="12"/>
      <c r="E126" s="48"/>
      <c r="F126" s="53">
        <v>206676.36079490991</v>
      </c>
      <c r="G126" s="13">
        <v>0.99999999999999989</v>
      </c>
    </row>
    <row r="128" spans="1:7" ht="15" x14ac:dyDescent="0.25">
      <c r="B128" s="279"/>
      <c r="C128" s="279"/>
      <c r="D128" s="279"/>
      <c r="E128" s="279"/>
      <c r="F128" s="279"/>
    </row>
    <row r="129" spans="2:6" ht="15" x14ac:dyDescent="0.25">
      <c r="B129" s="279"/>
      <c r="C129" s="279"/>
      <c r="D129" s="279"/>
      <c r="E129" s="279"/>
      <c r="F129" s="279"/>
    </row>
    <row r="131" spans="2:6" ht="15" x14ac:dyDescent="0.25">
      <c r="B131" s="36" t="s">
        <v>131</v>
      </c>
      <c r="C131" s="37"/>
      <c r="D131" s="38"/>
    </row>
    <row r="132" spans="2:6" ht="15" x14ac:dyDescent="0.25">
      <c r="B132" s="39" t="s">
        <v>132</v>
      </c>
      <c r="C132" s="40"/>
      <c r="D132" s="62" t="s">
        <v>133</v>
      </c>
    </row>
    <row r="133" spans="2:6" ht="15" x14ac:dyDescent="0.25">
      <c r="B133" s="39" t="s">
        <v>134</v>
      </c>
      <c r="C133" s="40"/>
      <c r="D133" s="62" t="s">
        <v>133</v>
      </c>
    </row>
    <row r="134" spans="2:6" ht="15" x14ac:dyDescent="0.25">
      <c r="B134" s="41" t="s">
        <v>135</v>
      </c>
      <c r="C134" s="40"/>
      <c r="D134" s="42"/>
    </row>
    <row r="135" spans="2:6" ht="25.5" customHeight="1" x14ac:dyDescent="0.25">
      <c r="B135" s="42"/>
      <c r="C135" s="32" t="s">
        <v>136</v>
      </c>
      <c r="D135" s="33" t="s">
        <v>137</v>
      </c>
    </row>
    <row r="136" spans="2:6" ht="12.75" customHeight="1" x14ac:dyDescent="0.25">
      <c r="B136" s="57" t="s">
        <v>138</v>
      </c>
      <c r="C136" s="58" t="s">
        <v>139</v>
      </c>
      <c r="D136" s="58" t="s">
        <v>140</v>
      </c>
    </row>
    <row r="137" spans="2:6" ht="15" x14ac:dyDescent="0.25">
      <c r="B137" s="42" t="s">
        <v>141</v>
      </c>
      <c r="C137" s="43">
        <v>42.605499999999999</v>
      </c>
      <c r="D137" s="43">
        <v>39.849699999999999</v>
      </c>
    </row>
    <row r="138" spans="2:6" ht="15" x14ac:dyDescent="0.25">
      <c r="B138" s="42" t="s">
        <v>142</v>
      </c>
      <c r="C138" s="43">
        <v>18.5838</v>
      </c>
      <c r="D138" s="43">
        <v>17.381799999999998</v>
      </c>
    </row>
    <row r="139" spans="2:6" ht="15" x14ac:dyDescent="0.25">
      <c r="B139" s="42" t="s">
        <v>143</v>
      </c>
      <c r="C139" s="43">
        <v>40.941899999999997</v>
      </c>
      <c r="D139" s="43">
        <v>38.268700000000003</v>
      </c>
    </row>
    <row r="140" spans="2:6" ht="15" x14ac:dyDescent="0.25">
      <c r="B140" s="42" t="s">
        <v>144</v>
      </c>
      <c r="C140" s="43">
        <v>17.620899999999999</v>
      </c>
      <c r="D140" s="43">
        <v>16.470400000000001</v>
      </c>
    </row>
    <row r="142" spans="2:6" ht="15" x14ac:dyDescent="0.25">
      <c r="B142" s="59" t="s">
        <v>145</v>
      </c>
      <c r="C142" s="44"/>
      <c r="D142" s="60" t="s">
        <v>133</v>
      </c>
    </row>
    <row r="143" spans="2:6" ht="24.75" customHeight="1" x14ac:dyDescent="0.25">
      <c r="B143" s="61"/>
      <c r="C143" s="61"/>
    </row>
    <row r="144" spans="2:6" ht="15" x14ac:dyDescent="0.25">
      <c r="B144" s="63"/>
      <c r="C144" s="65"/>
      <c r="D144"/>
    </row>
    <row r="146" spans="2:4" ht="15" x14ac:dyDescent="0.25">
      <c r="B146" s="41" t="s">
        <v>146</v>
      </c>
      <c r="C146" s="40"/>
      <c r="D146" s="64" t="s">
        <v>133</v>
      </c>
    </row>
    <row r="147" spans="2:4" ht="15" x14ac:dyDescent="0.25">
      <c r="B147" s="41" t="s">
        <v>147</v>
      </c>
      <c r="C147" s="40"/>
      <c r="D147" s="64" t="s">
        <v>133</v>
      </c>
    </row>
    <row r="148" spans="2:4" ht="15" x14ac:dyDescent="0.25">
      <c r="B148" s="41" t="s">
        <v>148</v>
      </c>
      <c r="C148" s="40"/>
      <c r="D148" s="45">
        <v>2.2693663360187268E-2</v>
      </c>
    </row>
    <row r="149" spans="2:4" ht="15" x14ac:dyDescent="0.25">
      <c r="B149" s="41" t="s">
        <v>149</v>
      </c>
      <c r="C149" s="40"/>
      <c r="D149" s="45" t="s">
        <v>133</v>
      </c>
    </row>
  </sheetData>
  <mergeCells count="5">
    <mergeCell ref="A1:G1"/>
    <mergeCell ref="A2:G2"/>
    <mergeCell ref="A3:G3"/>
    <mergeCell ref="B128:F128"/>
    <mergeCell ref="B129:F129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V134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580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33</v>
      </c>
      <c r="C7" s="11" t="s">
        <v>34</v>
      </c>
      <c r="D7" s="2" t="s">
        <v>13</v>
      </c>
      <c r="E7" s="46">
        <v>420025</v>
      </c>
      <c r="F7" s="51">
        <v>9457.4929124999999</v>
      </c>
      <c r="G7" s="5">
        <v>8.1470005999999998E-2</v>
      </c>
    </row>
    <row r="8" spans="1:7" ht="15" x14ac:dyDescent="0.25">
      <c r="A8" s="6">
        <v>2</v>
      </c>
      <c r="B8" s="7" t="s">
        <v>11</v>
      </c>
      <c r="C8" s="11" t="s">
        <v>12</v>
      </c>
      <c r="D8" s="2" t="s">
        <v>13</v>
      </c>
      <c r="E8" s="46">
        <v>2127339</v>
      </c>
      <c r="F8" s="51">
        <v>9032.6813939999993</v>
      </c>
      <c r="G8" s="5">
        <v>7.7810536999999999E-2</v>
      </c>
    </row>
    <row r="9" spans="1:7" ht="15" x14ac:dyDescent="0.25">
      <c r="A9" s="6">
        <v>3</v>
      </c>
      <c r="B9" s="7" t="s">
        <v>487</v>
      </c>
      <c r="C9" s="11" t="s">
        <v>488</v>
      </c>
      <c r="D9" s="2" t="s">
        <v>13</v>
      </c>
      <c r="E9" s="46">
        <v>454810</v>
      </c>
      <c r="F9" s="51">
        <v>6911.0653549999997</v>
      </c>
      <c r="G9" s="5">
        <v>5.9534228000000002E-2</v>
      </c>
    </row>
    <row r="10" spans="1:7" ht="15" x14ac:dyDescent="0.25">
      <c r="A10" s="6">
        <v>4</v>
      </c>
      <c r="B10" s="7" t="s">
        <v>291</v>
      </c>
      <c r="C10" s="11" t="s">
        <v>292</v>
      </c>
      <c r="D10" s="2" t="s">
        <v>238</v>
      </c>
      <c r="E10" s="46">
        <v>1315771</v>
      </c>
      <c r="F10" s="51">
        <v>5232.1633814999996</v>
      </c>
      <c r="G10" s="5">
        <v>4.5071605000000001E-2</v>
      </c>
    </row>
    <row r="11" spans="1:7" ht="25.5" x14ac:dyDescent="0.25">
      <c r="A11" s="6">
        <v>5</v>
      </c>
      <c r="B11" s="7" t="s">
        <v>489</v>
      </c>
      <c r="C11" s="11" t="s">
        <v>490</v>
      </c>
      <c r="D11" s="2" t="s">
        <v>162</v>
      </c>
      <c r="E11" s="46">
        <v>236525</v>
      </c>
      <c r="F11" s="51">
        <v>5018.58745</v>
      </c>
      <c r="G11" s="5">
        <v>4.3231789999999999E-2</v>
      </c>
    </row>
    <row r="12" spans="1:7" ht="25.5" x14ac:dyDescent="0.25">
      <c r="A12" s="6">
        <v>6</v>
      </c>
      <c r="B12" s="7" t="s">
        <v>437</v>
      </c>
      <c r="C12" s="11" t="s">
        <v>438</v>
      </c>
      <c r="D12" s="2" t="s">
        <v>59</v>
      </c>
      <c r="E12" s="46">
        <v>470091</v>
      </c>
      <c r="F12" s="51">
        <v>4965.8062785000002</v>
      </c>
      <c r="G12" s="5">
        <v>4.2777114999999998E-2</v>
      </c>
    </row>
    <row r="13" spans="1:7" ht="25.5" x14ac:dyDescent="0.25">
      <c r="A13" s="6">
        <v>7</v>
      </c>
      <c r="B13" s="7" t="s">
        <v>406</v>
      </c>
      <c r="C13" s="11" t="s">
        <v>407</v>
      </c>
      <c r="D13" s="2" t="s">
        <v>162</v>
      </c>
      <c r="E13" s="46">
        <v>407512</v>
      </c>
      <c r="F13" s="51">
        <v>4920.0961319999997</v>
      </c>
      <c r="G13" s="5">
        <v>4.2383352999999999E-2</v>
      </c>
    </row>
    <row r="14" spans="1:7" ht="25.5" x14ac:dyDescent="0.25">
      <c r="A14" s="6">
        <v>8</v>
      </c>
      <c r="B14" s="7" t="s">
        <v>474</v>
      </c>
      <c r="C14" s="11" t="s">
        <v>475</v>
      </c>
      <c r="D14" s="2" t="s">
        <v>162</v>
      </c>
      <c r="E14" s="46">
        <v>2088879</v>
      </c>
      <c r="F14" s="51">
        <v>4750.1108459999996</v>
      </c>
      <c r="G14" s="5">
        <v>4.0919043000000002E-2</v>
      </c>
    </row>
    <row r="15" spans="1:7" ht="25.5" x14ac:dyDescent="0.25">
      <c r="A15" s="6">
        <v>9</v>
      </c>
      <c r="B15" s="7" t="s">
        <v>495</v>
      </c>
      <c r="C15" s="11" t="s">
        <v>496</v>
      </c>
      <c r="D15" s="2" t="s">
        <v>497</v>
      </c>
      <c r="E15" s="46">
        <v>1219680</v>
      </c>
      <c r="F15" s="51">
        <v>4117.6396800000002</v>
      </c>
      <c r="G15" s="5">
        <v>3.5470725000000002E-2</v>
      </c>
    </row>
    <row r="16" spans="1:7" ht="25.5" x14ac:dyDescent="0.25">
      <c r="A16" s="6">
        <v>10</v>
      </c>
      <c r="B16" s="7" t="s">
        <v>408</v>
      </c>
      <c r="C16" s="11" t="s">
        <v>409</v>
      </c>
      <c r="D16" s="2" t="s">
        <v>162</v>
      </c>
      <c r="E16" s="46">
        <v>659581</v>
      </c>
      <c r="F16" s="51">
        <v>3255.0322350000001</v>
      </c>
      <c r="G16" s="5">
        <v>2.8039936000000001E-2</v>
      </c>
    </row>
    <row r="17" spans="1:7" ht="15" x14ac:dyDescent="0.25">
      <c r="A17" s="6">
        <v>11</v>
      </c>
      <c r="B17" s="7" t="s">
        <v>303</v>
      </c>
      <c r="C17" s="11" t="s">
        <v>304</v>
      </c>
      <c r="D17" s="2" t="s">
        <v>305</v>
      </c>
      <c r="E17" s="46">
        <v>1038619</v>
      </c>
      <c r="F17" s="51">
        <v>3148.054189</v>
      </c>
      <c r="G17" s="5">
        <v>2.7118390999999999E-2</v>
      </c>
    </row>
    <row r="18" spans="1:7" ht="25.5" x14ac:dyDescent="0.25">
      <c r="A18" s="6">
        <v>12</v>
      </c>
      <c r="B18" s="7" t="s">
        <v>297</v>
      </c>
      <c r="C18" s="11" t="s">
        <v>298</v>
      </c>
      <c r="D18" s="2" t="s">
        <v>238</v>
      </c>
      <c r="E18" s="46">
        <v>1603917</v>
      </c>
      <c r="F18" s="51">
        <v>3019.3737525000001</v>
      </c>
      <c r="G18" s="5">
        <v>2.6009895000000002E-2</v>
      </c>
    </row>
    <row r="19" spans="1:7" ht="25.5" x14ac:dyDescent="0.25">
      <c r="A19" s="6">
        <v>13</v>
      </c>
      <c r="B19" s="7" t="s">
        <v>390</v>
      </c>
      <c r="C19" s="11" t="s">
        <v>391</v>
      </c>
      <c r="D19" s="2" t="s">
        <v>162</v>
      </c>
      <c r="E19" s="46">
        <v>347160</v>
      </c>
      <c r="F19" s="51">
        <v>2768.7745799999998</v>
      </c>
      <c r="G19" s="5">
        <v>2.3851150000000002E-2</v>
      </c>
    </row>
    <row r="20" spans="1:7" ht="51" x14ac:dyDescent="0.25">
      <c r="A20" s="6">
        <v>14</v>
      </c>
      <c r="B20" s="7" t="s">
        <v>233</v>
      </c>
      <c r="C20" s="11" t="s">
        <v>234</v>
      </c>
      <c r="D20" s="2" t="s">
        <v>235</v>
      </c>
      <c r="E20" s="46">
        <v>1217008</v>
      </c>
      <c r="F20" s="51">
        <v>2752.8720960000001</v>
      </c>
      <c r="G20" s="5">
        <v>2.3714161000000001E-2</v>
      </c>
    </row>
    <row r="21" spans="1:7" ht="25.5" x14ac:dyDescent="0.25">
      <c r="A21" s="6">
        <v>15</v>
      </c>
      <c r="B21" s="7" t="s">
        <v>171</v>
      </c>
      <c r="C21" s="11" t="s">
        <v>172</v>
      </c>
      <c r="D21" s="2" t="s">
        <v>173</v>
      </c>
      <c r="E21" s="46">
        <v>910484</v>
      </c>
      <c r="F21" s="51">
        <v>2676.367718</v>
      </c>
      <c r="G21" s="5">
        <v>2.3055125999999999E-2</v>
      </c>
    </row>
    <row r="22" spans="1:7" ht="51" x14ac:dyDescent="0.25">
      <c r="A22" s="6">
        <v>16</v>
      </c>
      <c r="B22" s="7" t="s">
        <v>320</v>
      </c>
      <c r="C22" s="11" t="s">
        <v>321</v>
      </c>
      <c r="D22" s="2" t="s">
        <v>235</v>
      </c>
      <c r="E22" s="46">
        <v>1390405</v>
      </c>
      <c r="F22" s="51">
        <v>2303.2058824999999</v>
      </c>
      <c r="G22" s="5">
        <v>1.9840585000000001E-2</v>
      </c>
    </row>
    <row r="23" spans="1:7" ht="15" x14ac:dyDescent="0.25">
      <c r="A23" s="6">
        <v>17</v>
      </c>
      <c r="B23" s="7" t="s">
        <v>426</v>
      </c>
      <c r="C23" s="11" t="s">
        <v>427</v>
      </c>
      <c r="D23" s="2" t="s">
        <v>13</v>
      </c>
      <c r="E23" s="46">
        <v>161817</v>
      </c>
      <c r="F23" s="51">
        <v>2286.2314845000001</v>
      </c>
      <c r="G23" s="5">
        <v>1.9694362E-2</v>
      </c>
    </row>
    <row r="24" spans="1:7" ht="15" x14ac:dyDescent="0.25">
      <c r="A24" s="6">
        <v>18</v>
      </c>
      <c r="B24" s="7" t="s">
        <v>581</v>
      </c>
      <c r="C24" s="11" t="s">
        <v>582</v>
      </c>
      <c r="D24" s="2" t="s">
        <v>215</v>
      </c>
      <c r="E24" s="46">
        <v>100000</v>
      </c>
      <c r="F24" s="51">
        <v>2244.9</v>
      </c>
      <c r="G24" s="5">
        <v>1.9338319E-2</v>
      </c>
    </row>
    <row r="25" spans="1:7" ht="51" x14ac:dyDescent="0.25">
      <c r="A25" s="6">
        <v>19</v>
      </c>
      <c r="B25" s="7" t="s">
        <v>482</v>
      </c>
      <c r="C25" s="11" t="s">
        <v>483</v>
      </c>
      <c r="D25" s="2" t="s">
        <v>235</v>
      </c>
      <c r="E25" s="46">
        <v>759940</v>
      </c>
      <c r="F25" s="51">
        <v>2069.69659</v>
      </c>
      <c r="G25" s="5">
        <v>1.7829057999999998E-2</v>
      </c>
    </row>
    <row r="26" spans="1:7" ht="51" x14ac:dyDescent="0.25">
      <c r="A26" s="6">
        <v>20</v>
      </c>
      <c r="B26" s="7" t="s">
        <v>471</v>
      </c>
      <c r="C26" s="11" t="s">
        <v>472</v>
      </c>
      <c r="D26" s="2" t="s">
        <v>235</v>
      </c>
      <c r="E26" s="46">
        <v>3327443</v>
      </c>
      <c r="F26" s="51">
        <v>1989.8109139999999</v>
      </c>
      <c r="G26" s="5">
        <v>1.7140895999999999E-2</v>
      </c>
    </row>
    <row r="27" spans="1:7" ht="25.5" x14ac:dyDescent="0.25">
      <c r="A27" s="6">
        <v>21</v>
      </c>
      <c r="B27" s="7" t="s">
        <v>293</v>
      </c>
      <c r="C27" s="11" t="s">
        <v>294</v>
      </c>
      <c r="D27" s="2" t="s">
        <v>167</v>
      </c>
      <c r="E27" s="46">
        <v>143212</v>
      </c>
      <c r="F27" s="51">
        <v>1935.6533919999999</v>
      </c>
      <c r="G27" s="5">
        <v>1.6674365E-2</v>
      </c>
    </row>
    <row r="28" spans="1:7" ht="25.5" x14ac:dyDescent="0.25">
      <c r="A28" s="6">
        <v>22</v>
      </c>
      <c r="B28" s="7" t="s">
        <v>545</v>
      </c>
      <c r="C28" s="11" t="s">
        <v>546</v>
      </c>
      <c r="D28" s="2" t="s">
        <v>167</v>
      </c>
      <c r="E28" s="46">
        <v>182955</v>
      </c>
      <c r="F28" s="51">
        <v>1864.2199725</v>
      </c>
      <c r="G28" s="5">
        <v>1.6059014E-2</v>
      </c>
    </row>
    <row r="29" spans="1:7" ht="15" x14ac:dyDescent="0.25">
      <c r="A29" s="6">
        <v>23</v>
      </c>
      <c r="B29" s="7" t="s">
        <v>236</v>
      </c>
      <c r="C29" s="11" t="s">
        <v>237</v>
      </c>
      <c r="D29" s="2" t="s">
        <v>238</v>
      </c>
      <c r="E29" s="46">
        <v>293801</v>
      </c>
      <c r="F29" s="51">
        <v>1767.6537165</v>
      </c>
      <c r="G29" s="5">
        <v>1.522716E-2</v>
      </c>
    </row>
    <row r="30" spans="1:7" ht="25.5" x14ac:dyDescent="0.25">
      <c r="A30" s="6">
        <v>24</v>
      </c>
      <c r="B30" s="7" t="s">
        <v>583</v>
      </c>
      <c r="C30" s="11" t="s">
        <v>584</v>
      </c>
      <c r="D30" s="2" t="s">
        <v>162</v>
      </c>
      <c r="E30" s="46">
        <v>214558</v>
      </c>
      <c r="F30" s="51">
        <v>1745.0002139999999</v>
      </c>
      <c r="G30" s="5">
        <v>1.5032014999999999E-2</v>
      </c>
    </row>
    <row r="31" spans="1:7" ht="15" x14ac:dyDescent="0.25">
      <c r="A31" s="6">
        <v>25</v>
      </c>
      <c r="B31" s="7" t="s">
        <v>336</v>
      </c>
      <c r="C31" s="11" t="s">
        <v>337</v>
      </c>
      <c r="D31" s="2" t="s">
        <v>184</v>
      </c>
      <c r="E31" s="46">
        <v>385551</v>
      </c>
      <c r="F31" s="51">
        <v>1691.6050124999999</v>
      </c>
      <c r="G31" s="5">
        <v>1.4572051000000001E-2</v>
      </c>
    </row>
    <row r="32" spans="1:7" ht="25.5" x14ac:dyDescent="0.25">
      <c r="A32" s="6">
        <v>26</v>
      </c>
      <c r="B32" s="7" t="s">
        <v>350</v>
      </c>
      <c r="C32" s="11" t="s">
        <v>351</v>
      </c>
      <c r="D32" s="2" t="s">
        <v>352</v>
      </c>
      <c r="E32" s="46">
        <v>193613</v>
      </c>
      <c r="F32" s="51">
        <v>1615.6036784999999</v>
      </c>
      <c r="G32" s="5">
        <v>1.391735E-2</v>
      </c>
    </row>
    <row r="33" spans="1:7" ht="25.5" x14ac:dyDescent="0.25">
      <c r="A33" s="6">
        <v>27</v>
      </c>
      <c r="B33" s="7" t="s">
        <v>392</v>
      </c>
      <c r="C33" s="11" t="s">
        <v>393</v>
      </c>
      <c r="D33" s="2" t="s">
        <v>37</v>
      </c>
      <c r="E33" s="46">
        <v>112613</v>
      </c>
      <c r="F33" s="51">
        <v>1352.7636625</v>
      </c>
      <c r="G33" s="5">
        <v>1.1653158E-2</v>
      </c>
    </row>
    <row r="34" spans="1:7" ht="15" x14ac:dyDescent="0.25">
      <c r="A34" s="6">
        <v>28</v>
      </c>
      <c r="B34" s="7" t="s">
        <v>585</v>
      </c>
      <c r="C34" s="11" t="s">
        <v>586</v>
      </c>
      <c r="D34" s="2" t="s">
        <v>238</v>
      </c>
      <c r="E34" s="46">
        <v>103221</v>
      </c>
      <c r="F34" s="51">
        <v>1242.4711769999999</v>
      </c>
      <c r="G34" s="5">
        <v>1.0703061999999999E-2</v>
      </c>
    </row>
    <row r="35" spans="1:7" ht="25.5" x14ac:dyDescent="0.25">
      <c r="A35" s="6">
        <v>29</v>
      </c>
      <c r="B35" s="7" t="s">
        <v>189</v>
      </c>
      <c r="C35" s="11" t="s">
        <v>190</v>
      </c>
      <c r="D35" s="2" t="s">
        <v>167</v>
      </c>
      <c r="E35" s="46">
        <v>277489</v>
      </c>
      <c r="F35" s="51">
        <v>1224.836446</v>
      </c>
      <c r="G35" s="5">
        <v>1.0551151E-2</v>
      </c>
    </row>
    <row r="36" spans="1:7" ht="25.5" x14ac:dyDescent="0.25">
      <c r="A36" s="6">
        <v>30</v>
      </c>
      <c r="B36" s="7" t="s">
        <v>180</v>
      </c>
      <c r="C36" s="11" t="s">
        <v>181</v>
      </c>
      <c r="D36" s="2" t="s">
        <v>173</v>
      </c>
      <c r="E36" s="46">
        <v>70861</v>
      </c>
      <c r="F36" s="51">
        <v>1075.173953</v>
      </c>
      <c r="G36" s="5">
        <v>9.2619079999999993E-3</v>
      </c>
    </row>
    <row r="37" spans="1:7" ht="15" x14ac:dyDescent="0.25">
      <c r="A37" s="6">
        <v>31</v>
      </c>
      <c r="B37" s="7" t="s">
        <v>412</v>
      </c>
      <c r="C37" s="11" t="s">
        <v>413</v>
      </c>
      <c r="D37" s="2" t="s">
        <v>162</v>
      </c>
      <c r="E37" s="46">
        <v>32467</v>
      </c>
      <c r="F37" s="51">
        <v>1055.8430734999999</v>
      </c>
      <c r="G37" s="5">
        <v>9.0953849999999992E-3</v>
      </c>
    </row>
    <row r="38" spans="1:7" ht="15" x14ac:dyDescent="0.25">
      <c r="A38" s="6">
        <v>32</v>
      </c>
      <c r="B38" s="7" t="s">
        <v>414</v>
      </c>
      <c r="C38" s="11" t="s">
        <v>415</v>
      </c>
      <c r="D38" s="2" t="s">
        <v>215</v>
      </c>
      <c r="E38" s="46">
        <v>184926</v>
      </c>
      <c r="F38" s="51">
        <v>962.632293</v>
      </c>
      <c r="G38" s="5">
        <v>8.2924360000000003E-3</v>
      </c>
    </row>
    <row r="39" spans="1:7" ht="25.5" x14ac:dyDescent="0.25">
      <c r="A39" s="6">
        <v>33</v>
      </c>
      <c r="B39" s="7" t="s">
        <v>448</v>
      </c>
      <c r="C39" s="11" t="s">
        <v>449</v>
      </c>
      <c r="D39" s="2" t="s">
        <v>81</v>
      </c>
      <c r="E39" s="46">
        <v>350000</v>
      </c>
      <c r="F39" s="51">
        <v>917.875</v>
      </c>
      <c r="G39" s="5">
        <v>7.9068820000000005E-3</v>
      </c>
    </row>
    <row r="40" spans="1:7" ht="15" x14ac:dyDescent="0.25">
      <c r="A40" s="6">
        <v>34</v>
      </c>
      <c r="B40" s="7" t="s">
        <v>222</v>
      </c>
      <c r="C40" s="11" t="s">
        <v>223</v>
      </c>
      <c r="D40" s="2" t="s">
        <v>215</v>
      </c>
      <c r="E40" s="46">
        <v>194031</v>
      </c>
      <c r="F40" s="51">
        <v>897.199344</v>
      </c>
      <c r="G40" s="5">
        <v>7.7287750000000002E-3</v>
      </c>
    </row>
    <row r="41" spans="1:7" ht="15" x14ac:dyDescent="0.25">
      <c r="A41" s="6">
        <v>35</v>
      </c>
      <c r="B41" s="7" t="s">
        <v>256</v>
      </c>
      <c r="C41" s="11" t="s">
        <v>257</v>
      </c>
      <c r="D41" s="2" t="s">
        <v>215</v>
      </c>
      <c r="E41" s="46">
        <v>114200</v>
      </c>
      <c r="F41" s="51">
        <v>850.79</v>
      </c>
      <c r="G41" s="5">
        <v>7.3289899999999996E-3</v>
      </c>
    </row>
    <row r="42" spans="1:7" ht="15" x14ac:dyDescent="0.25">
      <c r="A42" s="6">
        <v>36</v>
      </c>
      <c r="B42" s="7" t="s">
        <v>79</v>
      </c>
      <c r="C42" s="11" t="s">
        <v>80</v>
      </c>
      <c r="D42" s="2" t="s">
        <v>81</v>
      </c>
      <c r="E42" s="46">
        <v>200000</v>
      </c>
      <c r="F42" s="51">
        <v>804.6</v>
      </c>
      <c r="G42" s="5">
        <v>6.9310930000000001E-3</v>
      </c>
    </row>
    <row r="43" spans="1:7" ht="51" x14ac:dyDescent="0.25">
      <c r="A43" s="6">
        <v>37</v>
      </c>
      <c r="B43" s="7" t="s">
        <v>286</v>
      </c>
      <c r="C43" s="11" t="s">
        <v>287</v>
      </c>
      <c r="D43" s="2" t="s">
        <v>235</v>
      </c>
      <c r="E43" s="46">
        <v>2402077</v>
      </c>
      <c r="F43" s="51">
        <v>773.468794</v>
      </c>
      <c r="G43" s="5">
        <v>6.6629189999999998E-3</v>
      </c>
    </row>
    <row r="44" spans="1:7" ht="15" x14ac:dyDescent="0.25">
      <c r="A44" s="6">
        <v>38</v>
      </c>
      <c r="B44" s="7" t="s">
        <v>587</v>
      </c>
      <c r="C44" s="11" t="s">
        <v>588</v>
      </c>
      <c r="D44" s="2" t="s">
        <v>193</v>
      </c>
      <c r="E44" s="46">
        <v>4249</v>
      </c>
      <c r="F44" s="51">
        <v>772.17501900000002</v>
      </c>
      <c r="G44" s="5">
        <v>6.6517740000000001E-3</v>
      </c>
    </row>
    <row r="45" spans="1:7" ht="25.5" x14ac:dyDescent="0.25">
      <c r="A45" s="6">
        <v>39</v>
      </c>
      <c r="B45" s="7" t="s">
        <v>165</v>
      </c>
      <c r="C45" s="11" t="s">
        <v>166</v>
      </c>
      <c r="D45" s="2" t="s">
        <v>167</v>
      </c>
      <c r="E45" s="46">
        <v>652856</v>
      </c>
      <c r="F45" s="51">
        <v>752.41654000000005</v>
      </c>
      <c r="G45" s="5">
        <v>6.4815680000000001E-3</v>
      </c>
    </row>
    <row r="46" spans="1:7" ht="15" x14ac:dyDescent="0.25">
      <c r="A46" s="6">
        <v>40</v>
      </c>
      <c r="B46" s="7" t="s">
        <v>375</v>
      </c>
      <c r="C46" s="11" t="s">
        <v>376</v>
      </c>
      <c r="D46" s="2" t="s">
        <v>162</v>
      </c>
      <c r="E46" s="46">
        <v>42129</v>
      </c>
      <c r="F46" s="51">
        <v>449.91876194999998</v>
      </c>
      <c r="G46" s="5">
        <v>3.8757510000000002E-3</v>
      </c>
    </row>
    <row r="47" spans="1:7" ht="15" x14ac:dyDescent="0.25">
      <c r="A47" s="6">
        <v>41</v>
      </c>
      <c r="B47" s="7" t="s">
        <v>213</v>
      </c>
      <c r="C47" s="11" t="s">
        <v>214</v>
      </c>
      <c r="D47" s="2" t="s">
        <v>215</v>
      </c>
      <c r="E47" s="46">
        <v>400000</v>
      </c>
      <c r="F47" s="51">
        <v>381.6</v>
      </c>
      <c r="G47" s="5">
        <v>3.2872299999999999E-3</v>
      </c>
    </row>
    <row r="48" spans="1:7" ht="15" x14ac:dyDescent="0.25">
      <c r="A48" s="6">
        <v>42</v>
      </c>
      <c r="B48" s="7" t="s">
        <v>379</v>
      </c>
      <c r="C48" s="11" t="s">
        <v>380</v>
      </c>
      <c r="D48" s="2" t="s">
        <v>162</v>
      </c>
      <c r="E48" s="46">
        <v>294903</v>
      </c>
      <c r="F48" s="51">
        <v>64.274108850000005</v>
      </c>
      <c r="G48" s="5">
        <v>5.5367899999999996E-4</v>
      </c>
    </row>
    <row r="49" spans="1:7" ht="15" x14ac:dyDescent="0.25">
      <c r="A49" s="1"/>
      <c r="B49" s="2"/>
      <c r="C49" s="8" t="s">
        <v>104</v>
      </c>
      <c r="D49" s="12"/>
      <c r="E49" s="48"/>
      <c r="F49" s="53">
        <v>107117.73702980002</v>
      </c>
      <c r="G49" s="13">
        <v>0.92274799700000021</v>
      </c>
    </row>
    <row r="50" spans="1:7" ht="15" x14ac:dyDescent="0.25">
      <c r="A50" s="6"/>
      <c r="B50" s="7"/>
      <c r="C50" s="14"/>
      <c r="D50" s="15"/>
      <c r="E50" s="46"/>
      <c r="F50" s="51"/>
      <c r="G50" s="5"/>
    </row>
    <row r="51" spans="1:7" ht="15" x14ac:dyDescent="0.25">
      <c r="A51" s="1"/>
      <c r="B51" s="2"/>
      <c r="C51" s="8" t="s">
        <v>105</v>
      </c>
      <c r="D51" s="9"/>
      <c r="E51" s="47"/>
      <c r="F51" s="52"/>
      <c r="G51" s="10"/>
    </row>
    <row r="52" spans="1:7" ht="15" x14ac:dyDescent="0.25">
      <c r="A52" s="1"/>
      <c r="B52" s="2"/>
      <c r="C52" s="8" t="s">
        <v>104</v>
      </c>
      <c r="D52" s="12"/>
      <c r="E52" s="48"/>
      <c r="F52" s="53">
        <v>0</v>
      </c>
      <c r="G52" s="13">
        <v>0</v>
      </c>
    </row>
    <row r="53" spans="1:7" ht="15" x14ac:dyDescent="0.25">
      <c r="A53" s="6"/>
      <c r="B53" s="7"/>
      <c r="C53" s="14"/>
      <c r="D53" s="15"/>
      <c r="E53" s="46"/>
      <c r="F53" s="51"/>
      <c r="G53" s="5"/>
    </row>
    <row r="54" spans="1:7" ht="15" x14ac:dyDescent="0.25">
      <c r="A54" s="16"/>
      <c r="B54" s="17"/>
      <c r="C54" s="8" t="s">
        <v>106</v>
      </c>
      <c r="D54" s="9"/>
      <c r="E54" s="47"/>
      <c r="F54" s="52"/>
      <c r="G54" s="10"/>
    </row>
    <row r="55" spans="1:7" ht="15" x14ac:dyDescent="0.25">
      <c r="A55" s="18"/>
      <c r="B55" s="19"/>
      <c r="C55" s="8" t="s">
        <v>104</v>
      </c>
      <c r="D55" s="20"/>
      <c r="E55" s="49"/>
      <c r="F55" s="54">
        <v>0</v>
      </c>
      <c r="G55" s="21">
        <v>0</v>
      </c>
    </row>
    <row r="56" spans="1:7" ht="15" x14ac:dyDescent="0.25">
      <c r="A56" s="18"/>
      <c r="B56" s="19"/>
      <c r="C56" s="14"/>
      <c r="D56" s="22"/>
      <c r="E56" s="50"/>
      <c r="F56" s="55"/>
      <c r="G56" s="23"/>
    </row>
    <row r="57" spans="1:7" ht="15" x14ac:dyDescent="0.25">
      <c r="A57" s="1"/>
      <c r="B57" s="2"/>
      <c r="C57" s="8" t="s">
        <v>108</v>
      </c>
      <c r="D57" s="9"/>
      <c r="E57" s="47"/>
      <c r="F57" s="52"/>
      <c r="G57" s="10"/>
    </row>
    <row r="58" spans="1:7" ht="15" x14ac:dyDescent="0.25">
      <c r="A58" s="1"/>
      <c r="B58" s="2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1"/>
      <c r="B59" s="2"/>
      <c r="C59" s="14"/>
      <c r="D59" s="4"/>
      <c r="E59" s="46"/>
      <c r="F59" s="51"/>
      <c r="G59" s="5"/>
    </row>
    <row r="60" spans="1:7" ht="15" x14ac:dyDescent="0.25">
      <c r="A60" s="1"/>
      <c r="B60" s="2"/>
      <c r="C60" s="8" t="s">
        <v>109</v>
      </c>
      <c r="D60" s="9"/>
      <c r="E60" s="47"/>
      <c r="F60" s="52"/>
      <c r="G60" s="10"/>
    </row>
    <row r="61" spans="1:7" ht="15" x14ac:dyDescent="0.25">
      <c r="A61" s="1"/>
      <c r="B61" s="2"/>
      <c r="C61" s="8" t="s">
        <v>104</v>
      </c>
      <c r="D61" s="12"/>
      <c r="E61" s="48"/>
      <c r="F61" s="53">
        <v>0</v>
      </c>
      <c r="G61" s="13">
        <v>0</v>
      </c>
    </row>
    <row r="62" spans="1:7" ht="15" x14ac:dyDescent="0.25">
      <c r="A62" s="1"/>
      <c r="B62" s="2"/>
      <c r="C62" s="14"/>
      <c r="D62" s="4"/>
      <c r="E62" s="46"/>
      <c r="F62" s="51"/>
      <c r="G62" s="5"/>
    </row>
    <row r="63" spans="1:7" ht="15" x14ac:dyDescent="0.25">
      <c r="A63" s="1"/>
      <c r="B63" s="2"/>
      <c r="C63" s="8" t="s">
        <v>110</v>
      </c>
      <c r="D63" s="9"/>
      <c r="E63" s="47"/>
      <c r="F63" s="52"/>
      <c r="G63" s="10"/>
    </row>
    <row r="64" spans="1:7" ht="15" x14ac:dyDescent="0.25">
      <c r="A64" s="1"/>
      <c r="B64" s="2"/>
      <c r="C64" s="8" t="s">
        <v>104</v>
      </c>
      <c r="D64" s="12"/>
      <c r="E64" s="48"/>
      <c r="F64" s="53">
        <v>0</v>
      </c>
      <c r="G64" s="13">
        <v>0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25.5" x14ac:dyDescent="0.25">
      <c r="A66" s="6"/>
      <c r="B66" s="7"/>
      <c r="C66" s="24" t="s">
        <v>111</v>
      </c>
      <c r="D66" s="25"/>
      <c r="E66" s="48"/>
      <c r="F66" s="53">
        <v>107117.73702980002</v>
      </c>
      <c r="G66" s="13">
        <v>0.92274799700000021</v>
      </c>
    </row>
    <row r="67" spans="1:7" ht="15" x14ac:dyDescent="0.25">
      <c r="A67" s="1"/>
      <c r="B67" s="2"/>
      <c r="C67" s="11"/>
      <c r="D67" s="4"/>
      <c r="E67" s="46"/>
      <c r="F67" s="51"/>
      <c r="G67" s="5"/>
    </row>
    <row r="68" spans="1:7" ht="15" x14ac:dyDescent="0.25">
      <c r="A68" s="1"/>
      <c r="B68" s="2"/>
      <c r="C68" s="3" t="s">
        <v>112</v>
      </c>
      <c r="D68" s="4"/>
      <c r="E68" s="46"/>
      <c r="F68" s="51"/>
      <c r="G68" s="5"/>
    </row>
    <row r="69" spans="1:7" ht="25.5" x14ac:dyDescent="0.25">
      <c r="A69" s="1"/>
      <c r="B69" s="2"/>
      <c r="C69" s="8" t="s">
        <v>10</v>
      </c>
      <c r="D69" s="9"/>
      <c r="E69" s="47"/>
      <c r="F69" s="52"/>
      <c r="G69" s="10"/>
    </row>
    <row r="70" spans="1:7" ht="15" x14ac:dyDescent="0.25">
      <c r="A70" s="6"/>
      <c r="B70" s="7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6"/>
      <c r="B71" s="7"/>
      <c r="C71" s="14"/>
      <c r="D71" s="4"/>
      <c r="E71" s="46"/>
      <c r="F71" s="51"/>
      <c r="G71" s="5"/>
    </row>
    <row r="72" spans="1:7" ht="15" x14ac:dyDescent="0.25">
      <c r="A72" s="1"/>
      <c r="B72" s="26"/>
      <c r="C72" s="8" t="s">
        <v>113</v>
      </c>
      <c r="D72" s="9"/>
      <c r="E72" s="47"/>
      <c r="F72" s="52"/>
      <c r="G72" s="10"/>
    </row>
    <row r="73" spans="1:7" ht="15" x14ac:dyDescent="0.25">
      <c r="A73" s="6"/>
      <c r="B73" s="7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4"/>
      <c r="E74" s="46"/>
      <c r="F74" s="56"/>
      <c r="G74" s="27"/>
    </row>
    <row r="75" spans="1:7" ht="15" x14ac:dyDescent="0.25">
      <c r="A75" s="1"/>
      <c r="B75" s="2"/>
      <c r="C75" s="8" t="s">
        <v>114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25.5" x14ac:dyDescent="0.25">
      <c r="A78" s="1"/>
      <c r="B78" s="26"/>
      <c r="C78" s="8" t="s">
        <v>115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1"/>
      <c r="G80" s="5"/>
    </row>
    <row r="81" spans="1:7" ht="15" x14ac:dyDescent="0.25">
      <c r="A81" s="6"/>
      <c r="B81" s="7"/>
      <c r="C81" s="28" t="s">
        <v>116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117</v>
      </c>
      <c r="D83" s="4"/>
      <c r="E83" s="46"/>
      <c r="F83" s="51"/>
      <c r="G83" s="5"/>
    </row>
    <row r="84" spans="1:7" ht="15" x14ac:dyDescent="0.25">
      <c r="A84" s="6"/>
      <c r="B84" s="7"/>
      <c r="C84" s="8" t="s">
        <v>118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25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7"/>
      <c r="E86" s="46"/>
      <c r="F86" s="51"/>
      <c r="G86" s="5"/>
    </row>
    <row r="87" spans="1:7" ht="15" x14ac:dyDescent="0.25">
      <c r="A87" s="6"/>
      <c r="B87" s="7"/>
      <c r="C87" s="8" t="s">
        <v>119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7"/>
      <c r="E89" s="46"/>
      <c r="F89" s="51"/>
      <c r="G89" s="5"/>
    </row>
    <row r="90" spans="1:7" ht="15" x14ac:dyDescent="0.25">
      <c r="A90" s="6"/>
      <c r="B90" s="7"/>
      <c r="C90" s="8" t="s">
        <v>120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121</v>
      </c>
      <c r="D93" s="9"/>
      <c r="E93" s="47"/>
      <c r="F93" s="52"/>
      <c r="G93" s="10"/>
    </row>
    <row r="94" spans="1:7" ht="15" x14ac:dyDescent="0.25">
      <c r="A94" s="6">
        <v>1</v>
      </c>
      <c r="B94" s="7"/>
      <c r="C94" s="11" t="s">
        <v>730</v>
      </c>
      <c r="D94" s="15"/>
      <c r="E94" s="46"/>
      <c r="F94" s="51">
        <v>2230.6583737000001</v>
      </c>
      <c r="G94" s="5">
        <v>1.9215637000000001E-2</v>
      </c>
    </row>
    <row r="95" spans="1:7" ht="15" x14ac:dyDescent="0.25">
      <c r="A95" s="6"/>
      <c r="B95" s="7"/>
      <c r="C95" s="8" t="s">
        <v>104</v>
      </c>
      <c r="D95" s="25"/>
      <c r="E95" s="48"/>
      <c r="F95" s="53">
        <v>2230.6583737000001</v>
      </c>
      <c r="G95" s="13">
        <v>1.9215637000000001E-2</v>
      </c>
    </row>
    <row r="96" spans="1:7" ht="15" x14ac:dyDescent="0.25">
      <c r="A96" s="6"/>
      <c r="B96" s="7"/>
      <c r="C96" s="14"/>
      <c r="D96" s="7"/>
      <c r="E96" s="46"/>
      <c r="F96" s="51"/>
      <c r="G96" s="5"/>
    </row>
    <row r="97" spans="1:7" ht="25.5" x14ac:dyDescent="0.25">
      <c r="A97" s="6"/>
      <c r="B97" s="7"/>
      <c r="C97" s="24" t="s">
        <v>122</v>
      </c>
      <c r="D97" s="25"/>
      <c r="E97" s="48"/>
      <c r="F97" s="53">
        <v>2230.6583737000001</v>
      </c>
      <c r="G97" s="13">
        <v>1.9215637000000001E-2</v>
      </c>
    </row>
    <row r="98" spans="1:7" ht="15" x14ac:dyDescent="0.25">
      <c r="A98" s="6"/>
      <c r="B98" s="7"/>
      <c r="C98" s="29"/>
      <c r="D98" s="7"/>
      <c r="E98" s="46"/>
      <c r="F98" s="51"/>
      <c r="G98" s="5"/>
    </row>
    <row r="99" spans="1:7" ht="15" x14ac:dyDescent="0.25">
      <c r="A99" s="1"/>
      <c r="B99" s="2"/>
      <c r="C99" s="3" t="s">
        <v>123</v>
      </c>
      <c r="D99" s="4"/>
      <c r="E99" s="46"/>
      <c r="F99" s="51"/>
      <c r="G99" s="5"/>
    </row>
    <row r="100" spans="1:7" ht="25.5" x14ac:dyDescent="0.25">
      <c r="A100" s="6"/>
      <c r="B100" s="7"/>
      <c r="C100" s="8" t="s">
        <v>124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15" x14ac:dyDescent="0.25">
      <c r="A103" s="1"/>
      <c r="B103" s="2"/>
      <c r="C103" s="3" t="s">
        <v>125</v>
      </c>
      <c r="D103" s="4"/>
      <c r="E103" s="46"/>
      <c r="F103" s="51"/>
      <c r="G103" s="5"/>
    </row>
    <row r="104" spans="1:7" ht="25.5" x14ac:dyDescent="0.25">
      <c r="A104" s="6"/>
      <c r="B104" s="7"/>
      <c r="C104" s="8" t="s">
        <v>126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25.5" x14ac:dyDescent="0.25">
      <c r="A107" s="6"/>
      <c r="B107" s="7"/>
      <c r="C107" s="8" t="s">
        <v>127</v>
      </c>
      <c r="D107" s="9"/>
      <c r="E107" s="47"/>
      <c r="F107" s="51">
        <v>5770.4719999999998</v>
      </c>
      <c r="G107" s="5">
        <v>4.9708774999999997E-2</v>
      </c>
    </row>
    <row r="108" spans="1:7" ht="15" x14ac:dyDescent="0.25">
      <c r="A108" s="6"/>
      <c r="B108" s="7"/>
      <c r="C108" s="8" t="s">
        <v>810</v>
      </c>
      <c r="D108" s="25"/>
      <c r="E108" s="48"/>
      <c r="F108" s="53">
        <v>5770.4719999999998</v>
      </c>
      <c r="G108" s="13">
        <v>4.9708774999999997E-2</v>
      </c>
    </row>
    <row r="109" spans="1:7" ht="15" x14ac:dyDescent="0.25">
      <c r="A109" s="6"/>
      <c r="B109" s="7"/>
      <c r="C109" s="14"/>
      <c r="D109" s="7"/>
      <c r="E109" s="46"/>
      <c r="F109" s="56"/>
      <c r="G109" s="27"/>
    </row>
    <row r="110" spans="1:7" ht="25.5" x14ac:dyDescent="0.25">
      <c r="A110" s="6"/>
      <c r="B110" s="7"/>
      <c r="C110" s="29" t="s">
        <v>128</v>
      </c>
      <c r="D110" s="7"/>
      <c r="E110" s="46"/>
      <c r="F110" s="56">
        <v>966.71298506000005</v>
      </c>
      <c r="G110" s="27">
        <v>8.3275889999999998E-3</v>
      </c>
    </row>
    <row r="111" spans="1:7" ht="15" x14ac:dyDescent="0.25">
      <c r="A111" s="6"/>
      <c r="B111" s="7"/>
      <c r="C111" s="30" t="s">
        <v>129</v>
      </c>
      <c r="D111" s="12"/>
      <c r="E111" s="48"/>
      <c r="F111" s="53">
        <v>116085.58038856002</v>
      </c>
      <c r="G111" s="13">
        <v>0.99999999800000028</v>
      </c>
    </row>
    <row r="113" spans="2:6" ht="15" x14ac:dyDescent="0.25">
      <c r="B113" s="279"/>
      <c r="C113" s="279"/>
      <c r="D113" s="279"/>
      <c r="E113" s="279"/>
      <c r="F113" s="279"/>
    </row>
    <row r="114" spans="2:6" ht="15" x14ac:dyDescent="0.25">
      <c r="B114" s="279"/>
      <c r="C114" s="279"/>
      <c r="D114" s="279"/>
      <c r="E114" s="279"/>
      <c r="F114" s="279"/>
    </row>
    <row r="116" spans="2:6" ht="15" x14ac:dyDescent="0.25">
      <c r="B116" s="36" t="s">
        <v>131</v>
      </c>
      <c r="C116" s="37"/>
      <c r="D116" s="38"/>
    </row>
    <row r="117" spans="2:6" ht="15" x14ac:dyDescent="0.25">
      <c r="B117" s="39" t="s">
        <v>132</v>
      </c>
      <c r="C117" s="40"/>
      <c r="D117" s="62" t="s">
        <v>133</v>
      </c>
    </row>
    <row r="118" spans="2:6" ht="15" x14ac:dyDescent="0.25">
      <c r="B118" s="39" t="s">
        <v>134</v>
      </c>
      <c r="C118" s="40"/>
      <c r="D118" s="62" t="s">
        <v>133</v>
      </c>
    </row>
    <row r="119" spans="2:6" ht="15" x14ac:dyDescent="0.25">
      <c r="B119" s="41" t="s">
        <v>135</v>
      </c>
      <c r="C119" s="40"/>
      <c r="D119" s="42"/>
    </row>
    <row r="120" spans="2:6" ht="25.5" customHeight="1" x14ac:dyDescent="0.25">
      <c r="B120" s="42"/>
      <c r="C120" s="32" t="s">
        <v>136</v>
      </c>
      <c r="D120" s="33" t="s">
        <v>137</v>
      </c>
    </row>
    <row r="121" spans="2:6" ht="12.75" customHeight="1" x14ac:dyDescent="0.25">
      <c r="B121" s="57" t="s">
        <v>138</v>
      </c>
      <c r="C121" s="58" t="s">
        <v>139</v>
      </c>
      <c r="D121" s="58" t="s">
        <v>140</v>
      </c>
    </row>
    <row r="122" spans="2:6" ht="15" x14ac:dyDescent="0.25">
      <c r="B122" s="42" t="s">
        <v>141</v>
      </c>
      <c r="C122" s="43">
        <v>11.352</v>
      </c>
      <c r="D122" s="43">
        <v>10.7818</v>
      </c>
    </row>
    <row r="123" spans="2:6" ht="15" x14ac:dyDescent="0.25">
      <c r="B123" s="42" t="s">
        <v>142</v>
      </c>
      <c r="C123" s="43">
        <v>11.351699999999999</v>
      </c>
      <c r="D123" s="43">
        <v>10.781499999999999</v>
      </c>
    </row>
    <row r="124" spans="2:6" ht="15" x14ac:dyDescent="0.25">
      <c r="B124" s="42" t="s">
        <v>143</v>
      </c>
      <c r="C124" s="43">
        <v>11.271100000000001</v>
      </c>
      <c r="D124" s="43">
        <v>10.6975</v>
      </c>
    </row>
    <row r="125" spans="2:6" ht="15" x14ac:dyDescent="0.25">
      <c r="B125" s="42" t="s">
        <v>144</v>
      </c>
      <c r="C125" s="43">
        <v>11.271000000000001</v>
      </c>
      <c r="D125" s="43">
        <v>10.6975</v>
      </c>
    </row>
    <row r="127" spans="2:6" ht="15" x14ac:dyDescent="0.25">
      <c r="B127" s="59" t="s">
        <v>145</v>
      </c>
      <c r="C127" s="44"/>
      <c r="D127" s="60" t="s">
        <v>133</v>
      </c>
    </row>
    <row r="128" spans="2:6" ht="24.75" customHeight="1" x14ac:dyDescent="0.25">
      <c r="B128" s="61"/>
      <c r="C128" s="61"/>
    </row>
    <row r="129" spans="2:4" ht="15" x14ac:dyDescent="0.25">
      <c r="B129" s="63"/>
      <c r="C129" s="65"/>
      <c r="D129"/>
    </row>
    <row r="131" spans="2:4" ht="15" x14ac:dyDescent="0.25">
      <c r="B131" s="41" t="s">
        <v>146</v>
      </c>
      <c r="C131" s="40"/>
      <c r="D131" s="64" t="s">
        <v>133</v>
      </c>
    </row>
    <row r="132" spans="2:4" ht="15" x14ac:dyDescent="0.25">
      <c r="B132" s="41" t="s">
        <v>147</v>
      </c>
      <c r="C132" s="40"/>
      <c r="D132" s="64" t="s">
        <v>133</v>
      </c>
    </row>
    <row r="133" spans="2:4" ht="15" x14ac:dyDescent="0.25">
      <c r="B133" s="41" t="s">
        <v>148</v>
      </c>
      <c r="C133" s="40"/>
      <c r="D133" s="45">
        <v>3.2170194031342844E-2</v>
      </c>
    </row>
    <row r="134" spans="2:4" ht="15" x14ac:dyDescent="0.25">
      <c r="B134" s="41" t="s">
        <v>149</v>
      </c>
      <c r="C134" s="40"/>
      <c r="D134" s="45" t="s">
        <v>133</v>
      </c>
    </row>
  </sheetData>
  <mergeCells count="5">
    <mergeCell ref="A1:G1"/>
    <mergeCell ref="A2:G2"/>
    <mergeCell ref="A3:G3"/>
    <mergeCell ref="B113:F113"/>
    <mergeCell ref="B114:F114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V193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589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404</v>
      </c>
      <c r="C7" s="11" t="s">
        <v>405</v>
      </c>
      <c r="D7" s="2" t="s">
        <v>162</v>
      </c>
      <c r="E7" s="46">
        <v>1210</v>
      </c>
      <c r="F7" s="51">
        <v>26.005320000000001</v>
      </c>
      <c r="G7" s="5">
        <v>1.2031294999999999E-2</v>
      </c>
    </row>
    <row r="8" spans="1:7" ht="25.5" x14ac:dyDescent="0.25">
      <c r="A8" s="6">
        <v>2</v>
      </c>
      <c r="B8" s="7" t="s">
        <v>390</v>
      </c>
      <c r="C8" s="11" t="s">
        <v>391</v>
      </c>
      <c r="D8" s="2" t="s">
        <v>162</v>
      </c>
      <c r="E8" s="46">
        <v>3239</v>
      </c>
      <c r="F8" s="51">
        <v>25.832644500000001</v>
      </c>
      <c r="G8" s="5">
        <v>1.1951407000000001E-2</v>
      </c>
    </row>
    <row r="9" spans="1:7" ht="25.5" x14ac:dyDescent="0.25">
      <c r="A9" s="6">
        <v>3</v>
      </c>
      <c r="B9" s="7" t="s">
        <v>408</v>
      </c>
      <c r="C9" s="11" t="s">
        <v>409</v>
      </c>
      <c r="D9" s="2" t="s">
        <v>162</v>
      </c>
      <c r="E9" s="46">
        <v>5225</v>
      </c>
      <c r="F9" s="51">
        <v>25.785374999999998</v>
      </c>
      <c r="G9" s="5">
        <v>1.1929538E-2</v>
      </c>
    </row>
    <row r="10" spans="1:7" ht="15" x14ac:dyDescent="0.25">
      <c r="A10" s="6">
        <v>4</v>
      </c>
      <c r="B10" s="7" t="s">
        <v>590</v>
      </c>
      <c r="C10" s="11" t="s">
        <v>591</v>
      </c>
      <c r="D10" s="2" t="s">
        <v>238</v>
      </c>
      <c r="E10" s="46">
        <v>1714</v>
      </c>
      <c r="F10" s="51">
        <v>25.413478000000001</v>
      </c>
      <c r="G10" s="5">
        <v>1.1757481E-2</v>
      </c>
    </row>
    <row r="11" spans="1:7" ht="25.5" x14ac:dyDescent="0.25">
      <c r="A11" s="6">
        <v>5</v>
      </c>
      <c r="B11" s="7" t="s">
        <v>592</v>
      </c>
      <c r="C11" s="11" t="s">
        <v>593</v>
      </c>
      <c r="D11" s="2" t="s">
        <v>241</v>
      </c>
      <c r="E11" s="46">
        <v>5911</v>
      </c>
      <c r="F11" s="51">
        <v>25.225192499999999</v>
      </c>
      <c r="G11" s="5">
        <v>1.1670371000000001E-2</v>
      </c>
    </row>
    <row r="12" spans="1:7" ht="25.5" x14ac:dyDescent="0.25">
      <c r="A12" s="6">
        <v>6</v>
      </c>
      <c r="B12" s="7" t="s">
        <v>400</v>
      </c>
      <c r="C12" s="11" t="s">
        <v>401</v>
      </c>
      <c r="D12" s="2" t="s">
        <v>37</v>
      </c>
      <c r="E12" s="46">
        <v>1642</v>
      </c>
      <c r="F12" s="51">
        <v>24.976462000000001</v>
      </c>
      <c r="G12" s="5">
        <v>1.1555296E-2</v>
      </c>
    </row>
    <row r="13" spans="1:7" ht="25.5" x14ac:dyDescent="0.25">
      <c r="A13" s="6">
        <v>7</v>
      </c>
      <c r="B13" s="7" t="s">
        <v>594</v>
      </c>
      <c r="C13" s="11" t="s">
        <v>595</v>
      </c>
      <c r="D13" s="2" t="s">
        <v>215</v>
      </c>
      <c r="E13" s="46">
        <v>731</v>
      </c>
      <c r="F13" s="51">
        <v>24.814526000000001</v>
      </c>
      <c r="G13" s="5">
        <v>1.1480377E-2</v>
      </c>
    </row>
    <row r="14" spans="1:7" ht="25.5" x14ac:dyDescent="0.25">
      <c r="A14" s="6">
        <v>8</v>
      </c>
      <c r="B14" s="7" t="s">
        <v>568</v>
      </c>
      <c r="C14" s="11" t="s">
        <v>569</v>
      </c>
      <c r="D14" s="2" t="s">
        <v>37</v>
      </c>
      <c r="E14" s="46">
        <v>5772</v>
      </c>
      <c r="F14" s="51">
        <v>24.614694</v>
      </c>
      <c r="G14" s="5">
        <v>1.1387925E-2</v>
      </c>
    </row>
    <row r="15" spans="1:7" ht="25.5" x14ac:dyDescent="0.25">
      <c r="A15" s="6">
        <v>9</v>
      </c>
      <c r="B15" s="7" t="s">
        <v>402</v>
      </c>
      <c r="C15" s="11" t="s">
        <v>403</v>
      </c>
      <c r="D15" s="2" t="s">
        <v>37</v>
      </c>
      <c r="E15" s="46">
        <v>4112</v>
      </c>
      <c r="F15" s="51">
        <v>24.427336</v>
      </c>
      <c r="G15" s="5">
        <v>1.1301245E-2</v>
      </c>
    </row>
    <row r="16" spans="1:7" ht="15" x14ac:dyDescent="0.25">
      <c r="A16" s="6">
        <v>10</v>
      </c>
      <c r="B16" s="7" t="s">
        <v>596</v>
      </c>
      <c r="C16" s="11" t="s">
        <v>597</v>
      </c>
      <c r="D16" s="2" t="s">
        <v>241</v>
      </c>
      <c r="E16" s="46">
        <v>3181</v>
      </c>
      <c r="F16" s="51">
        <v>24.328288000000001</v>
      </c>
      <c r="G16" s="5">
        <v>1.125542E-2</v>
      </c>
    </row>
    <row r="17" spans="1:7" ht="15" x14ac:dyDescent="0.25">
      <c r="A17" s="6">
        <v>11</v>
      </c>
      <c r="B17" s="7" t="s">
        <v>491</v>
      </c>
      <c r="C17" s="11" t="s">
        <v>492</v>
      </c>
      <c r="D17" s="2" t="s">
        <v>215</v>
      </c>
      <c r="E17" s="46">
        <v>3027</v>
      </c>
      <c r="F17" s="51">
        <v>24.023785499999999</v>
      </c>
      <c r="G17" s="5">
        <v>1.1114542999999999E-2</v>
      </c>
    </row>
    <row r="18" spans="1:7" ht="15" x14ac:dyDescent="0.25">
      <c r="A18" s="6">
        <v>12</v>
      </c>
      <c r="B18" s="7" t="s">
        <v>598</v>
      </c>
      <c r="C18" s="11" t="s">
        <v>599</v>
      </c>
      <c r="D18" s="2" t="s">
        <v>241</v>
      </c>
      <c r="E18" s="46">
        <v>1467</v>
      </c>
      <c r="F18" s="51">
        <v>23.967112499999999</v>
      </c>
      <c r="G18" s="5">
        <v>1.1088323000000001E-2</v>
      </c>
    </row>
    <row r="19" spans="1:7" ht="25.5" x14ac:dyDescent="0.25">
      <c r="A19" s="6">
        <v>13</v>
      </c>
      <c r="B19" s="7" t="s">
        <v>600</v>
      </c>
      <c r="C19" s="11" t="s">
        <v>601</v>
      </c>
      <c r="D19" s="2" t="s">
        <v>27</v>
      </c>
      <c r="E19" s="46">
        <v>11353</v>
      </c>
      <c r="F19" s="51">
        <v>23.932124000000002</v>
      </c>
      <c r="G19" s="5">
        <v>1.1072136E-2</v>
      </c>
    </row>
    <row r="20" spans="1:7" ht="25.5" x14ac:dyDescent="0.25">
      <c r="A20" s="6">
        <v>14</v>
      </c>
      <c r="B20" s="7" t="s">
        <v>510</v>
      </c>
      <c r="C20" s="11" t="s">
        <v>511</v>
      </c>
      <c r="D20" s="2" t="s">
        <v>37</v>
      </c>
      <c r="E20" s="46">
        <v>2001</v>
      </c>
      <c r="F20" s="51">
        <v>23.806897500000002</v>
      </c>
      <c r="G20" s="5">
        <v>1.10142E-2</v>
      </c>
    </row>
    <row r="21" spans="1:7" ht="25.5" x14ac:dyDescent="0.25">
      <c r="A21" s="6">
        <v>15</v>
      </c>
      <c r="B21" s="7" t="s">
        <v>602</v>
      </c>
      <c r="C21" s="11" t="s">
        <v>603</v>
      </c>
      <c r="D21" s="2" t="s">
        <v>162</v>
      </c>
      <c r="E21" s="46">
        <v>5911</v>
      </c>
      <c r="F21" s="51">
        <v>23.747442499999998</v>
      </c>
      <c r="G21" s="5">
        <v>1.0986694E-2</v>
      </c>
    </row>
    <row r="22" spans="1:7" ht="25.5" x14ac:dyDescent="0.25">
      <c r="A22" s="6">
        <v>16</v>
      </c>
      <c r="B22" s="7" t="s">
        <v>604</v>
      </c>
      <c r="C22" s="11" t="s">
        <v>605</v>
      </c>
      <c r="D22" s="2" t="s">
        <v>37</v>
      </c>
      <c r="E22" s="46">
        <v>1677</v>
      </c>
      <c r="F22" s="51">
        <v>23.7370965</v>
      </c>
      <c r="G22" s="5">
        <v>1.0981907000000001E-2</v>
      </c>
    </row>
    <row r="23" spans="1:7" ht="25.5" x14ac:dyDescent="0.25">
      <c r="A23" s="6">
        <v>17</v>
      </c>
      <c r="B23" s="7" t="s">
        <v>406</v>
      </c>
      <c r="C23" s="11" t="s">
        <v>407</v>
      </c>
      <c r="D23" s="2" t="s">
        <v>162</v>
      </c>
      <c r="E23" s="46">
        <v>1962</v>
      </c>
      <c r="F23" s="51">
        <v>23.688206999999998</v>
      </c>
      <c r="G23" s="5">
        <v>1.0959289000000001E-2</v>
      </c>
    </row>
    <row r="24" spans="1:7" ht="25.5" x14ac:dyDescent="0.25">
      <c r="A24" s="6">
        <v>18</v>
      </c>
      <c r="B24" s="7" t="s">
        <v>606</v>
      </c>
      <c r="C24" s="11" t="s">
        <v>607</v>
      </c>
      <c r="D24" s="2" t="s">
        <v>173</v>
      </c>
      <c r="E24" s="46">
        <v>6499</v>
      </c>
      <c r="F24" s="51">
        <v>23.500384</v>
      </c>
      <c r="G24" s="5">
        <v>1.0872392999999999E-2</v>
      </c>
    </row>
    <row r="25" spans="1:7" ht="15" x14ac:dyDescent="0.25">
      <c r="A25" s="6">
        <v>19</v>
      </c>
      <c r="B25" s="7" t="s">
        <v>560</v>
      </c>
      <c r="C25" s="11" t="s">
        <v>561</v>
      </c>
      <c r="D25" s="2" t="s">
        <v>16</v>
      </c>
      <c r="E25" s="46">
        <v>1477</v>
      </c>
      <c r="F25" s="51">
        <v>23.047108000000001</v>
      </c>
      <c r="G25" s="5">
        <v>1.0662685999999999E-2</v>
      </c>
    </row>
    <row r="26" spans="1:7" ht="15" x14ac:dyDescent="0.25">
      <c r="A26" s="6">
        <v>20</v>
      </c>
      <c r="B26" s="7" t="s">
        <v>556</v>
      </c>
      <c r="C26" s="11" t="s">
        <v>557</v>
      </c>
      <c r="D26" s="2" t="s">
        <v>365</v>
      </c>
      <c r="E26" s="46">
        <v>3861</v>
      </c>
      <c r="F26" s="51">
        <v>22.982602499999999</v>
      </c>
      <c r="G26" s="5">
        <v>1.0632842E-2</v>
      </c>
    </row>
    <row r="27" spans="1:7" ht="15" x14ac:dyDescent="0.25">
      <c r="A27" s="6">
        <v>21</v>
      </c>
      <c r="B27" s="7" t="s">
        <v>487</v>
      </c>
      <c r="C27" s="11" t="s">
        <v>488</v>
      </c>
      <c r="D27" s="2" t="s">
        <v>13</v>
      </c>
      <c r="E27" s="46">
        <v>1510</v>
      </c>
      <c r="F27" s="51">
        <v>22.945205000000001</v>
      </c>
      <c r="G27" s="5">
        <v>1.0615540999999999E-2</v>
      </c>
    </row>
    <row r="28" spans="1:7" ht="15" x14ac:dyDescent="0.25">
      <c r="A28" s="6">
        <v>22</v>
      </c>
      <c r="B28" s="7" t="s">
        <v>608</v>
      </c>
      <c r="C28" s="11" t="s">
        <v>609</v>
      </c>
      <c r="D28" s="2" t="s">
        <v>241</v>
      </c>
      <c r="E28" s="46">
        <v>888</v>
      </c>
      <c r="F28" s="51">
        <v>22.862448000000001</v>
      </c>
      <c r="G28" s="5">
        <v>1.0577253E-2</v>
      </c>
    </row>
    <row r="29" spans="1:7" ht="15" x14ac:dyDescent="0.25">
      <c r="A29" s="6">
        <v>23</v>
      </c>
      <c r="B29" s="7" t="s">
        <v>610</v>
      </c>
      <c r="C29" s="11" t="s">
        <v>611</v>
      </c>
      <c r="D29" s="2" t="s">
        <v>81</v>
      </c>
      <c r="E29" s="46">
        <v>1466</v>
      </c>
      <c r="F29" s="51">
        <v>22.828551999999998</v>
      </c>
      <c r="G29" s="5">
        <v>1.0561571000000001E-2</v>
      </c>
    </row>
    <row r="30" spans="1:7" ht="15" x14ac:dyDescent="0.25">
      <c r="A30" s="6">
        <v>24</v>
      </c>
      <c r="B30" s="7" t="s">
        <v>570</v>
      </c>
      <c r="C30" s="11" t="s">
        <v>571</v>
      </c>
      <c r="D30" s="2" t="s">
        <v>155</v>
      </c>
      <c r="E30" s="46">
        <v>1840</v>
      </c>
      <c r="F30" s="51">
        <v>22.82704</v>
      </c>
      <c r="G30" s="5">
        <v>1.0560872000000001E-2</v>
      </c>
    </row>
    <row r="31" spans="1:7" ht="25.5" x14ac:dyDescent="0.25">
      <c r="A31" s="6">
        <v>25</v>
      </c>
      <c r="B31" s="7" t="s">
        <v>324</v>
      </c>
      <c r="C31" s="11" t="s">
        <v>325</v>
      </c>
      <c r="D31" s="2" t="s">
        <v>37</v>
      </c>
      <c r="E31" s="46">
        <v>209</v>
      </c>
      <c r="F31" s="51">
        <v>22.785911500000001</v>
      </c>
      <c r="G31" s="5">
        <v>1.0541844E-2</v>
      </c>
    </row>
    <row r="32" spans="1:7" ht="15" x14ac:dyDescent="0.25">
      <c r="A32" s="6">
        <v>26</v>
      </c>
      <c r="B32" s="7" t="s">
        <v>612</v>
      </c>
      <c r="C32" s="11" t="s">
        <v>613</v>
      </c>
      <c r="D32" s="2" t="s">
        <v>51</v>
      </c>
      <c r="E32" s="46">
        <v>12754</v>
      </c>
      <c r="F32" s="51">
        <v>22.721250999999999</v>
      </c>
      <c r="G32" s="5">
        <v>1.0511929E-2</v>
      </c>
    </row>
    <row r="33" spans="1:7" ht="25.5" x14ac:dyDescent="0.25">
      <c r="A33" s="6">
        <v>27</v>
      </c>
      <c r="B33" s="7" t="s">
        <v>572</v>
      </c>
      <c r="C33" s="11" t="s">
        <v>573</v>
      </c>
      <c r="D33" s="2" t="s">
        <v>37</v>
      </c>
      <c r="E33" s="46">
        <v>6148</v>
      </c>
      <c r="F33" s="51">
        <v>22.550864000000001</v>
      </c>
      <c r="G33" s="5">
        <v>1.0433100000000001E-2</v>
      </c>
    </row>
    <row r="34" spans="1:7" ht="25.5" x14ac:dyDescent="0.25">
      <c r="A34" s="6">
        <v>28</v>
      </c>
      <c r="B34" s="7" t="s">
        <v>489</v>
      </c>
      <c r="C34" s="11" t="s">
        <v>490</v>
      </c>
      <c r="D34" s="2" t="s">
        <v>162</v>
      </c>
      <c r="E34" s="46">
        <v>1057</v>
      </c>
      <c r="F34" s="51">
        <v>22.427426000000001</v>
      </c>
      <c r="G34" s="5">
        <v>1.0375990999999999E-2</v>
      </c>
    </row>
    <row r="35" spans="1:7" ht="15" x14ac:dyDescent="0.25">
      <c r="A35" s="6">
        <v>29</v>
      </c>
      <c r="B35" s="7" t="s">
        <v>11</v>
      </c>
      <c r="C35" s="11" t="s">
        <v>12</v>
      </c>
      <c r="D35" s="2" t="s">
        <v>13</v>
      </c>
      <c r="E35" s="46">
        <v>5261</v>
      </c>
      <c r="F35" s="51">
        <v>22.338206</v>
      </c>
      <c r="G35" s="5">
        <v>1.0334714E-2</v>
      </c>
    </row>
    <row r="36" spans="1:7" ht="25.5" x14ac:dyDescent="0.25">
      <c r="A36" s="6">
        <v>30</v>
      </c>
      <c r="B36" s="7" t="s">
        <v>396</v>
      </c>
      <c r="C36" s="11" t="s">
        <v>397</v>
      </c>
      <c r="D36" s="2" t="s">
        <v>37</v>
      </c>
      <c r="E36" s="46">
        <v>8264</v>
      </c>
      <c r="F36" s="51">
        <v>22.329328</v>
      </c>
      <c r="G36" s="5">
        <v>1.0330607E-2</v>
      </c>
    </row>
    <row r="37" spans="1:7" ht="15" x14ac:dyDescent="0.25">
      <c r="A37" s="6">
        <v>31</v>
      </c>
      <c r="B37" s="7" t="s">
        <v>435</v>
      </c>
      <c r="C37" s="11" t="s">
        <v>436</v>
      </c>
      <c r="D37" s="2" t="s">
        <v>215</v>
      </c>
      <c r="E37" s="46">
        <v>1009</v>
      </c>
      <c r="F37" s="51">
        <v>22.255513000000001</v>
      </c>
      <c r="G37" s="5">
        <v>1.0296456000000001E-2</v>
      </c>
    </row>
    <row r="38" spans="1:7" ht="25.5" x14ac:dyDescent="0.25">
      <c r="A38" s="6">
        <v>32</v>
      </c>
      <c r="B38" s="7" t="s">
        <v>495</v>
      </c>
      <c r="C38" s="11" t="s">
        <v>496</v>
      </c>
      <c r="D38" s="2" t="s">
        <v>497</v>
      </c>
      <c r="E38" s="46">
        <v>6591</v>
      </c>
      <c r="F38" s="51">
        <v>22.251215999999999</v>
      </c>
      <c r="G38" s="5">
        <v>1.0294467999999999E-2</v>
      </c>
    </row>
    <row r="39" spans="1:7" ht="15" x14ac:dyDescent="0.25">
      <c r="A39" s="6">
        <v>33</v>
      </c>
      <c r="B39" s="7" t="s">
        <v>520</v>
      </c>
      <c r="C39" s="11" t="s">
        <v>521</v>
      </c>
      <c r="D39" s="2" t="s">
        <v>305</v>
      </c>
      <c r="E39" s="46">
        <v>9379</v>
      </c>
      <c r="F39" s="51">
        <v>22.176645499999999</v>
      </c>
      <c r="G39" s="5">
        <v>1.0259968E-2</v>
      </c>
    </row>
    <row r="40" spans="1:7" ht="25.5" x14ac:dyDescent="0.25">
      <c r="A40" s="6">
        <v>34</v>
      </c>
      <c r="B40" s="7" t="s">
        <v>518</v>
      </c>
      <c r="C40" s="11" t="s">
        <v>519</v>
      </c>
      <c r="D40" s="2" t="s">
        <v>37</v>
      </c>
      <c r="E40" s="46">
        <v>1281</v>
      </c>
      <c r="F40" s="51">
        <v>22.1183865</v>
      </c>
      <c r="G40" s="5">
        <v>1.0233015E-2</v>
      </c>
    </row>
    <row r="41" spans="1:7" ht="15" x14ac:dyDescent="0.25">
      <c r="A41" s="6">
        <v>35</v>
      </c>
      <c r="B41" s="7" t="s">
        <v>614</v>
      </c>
      <c r="C41" s="11" t="s">
        <v>615</v>
      </c>
      <c r="D41" s="2" t="s">
        <v>616</v>
      </c>
      <c r="E41" s="46">
        <v>20344</v>
      </c>
      <c r="F41" s="51">
        <v>22.113928000000001</v>
      </c>
      <c r="G41" s="5">
        <v>1.0230952E-2</v>
      </c>
    </row>
    <row r="42" spans="1:7" ht="15" x14ac:dyDescent="0.25">
      <c r="A42" s="6">
        <v>36</v>
      </c>
      <c r="B42" s="7" t="s">
        <v>426</v>
      </c>
      <c r="C42" s="11" t="s">
        <v>427</v>
      </c>
      <c r="D42" s="2" t="s">
        <v>13</v>
      </c>
      <c r="E42" s="46">
        <v>1562</v>
      </c>
      <c r="F42" s="51">
        <v>22.068716999999999</v>
      </c>
      <c r="G42" s="5">
        <v>1.0210036E-2</v>
      </c>
    </row>
    <row r="43" spans="1:7" ht="15" x14ac:dyDescent="0.25">
      <c r="A43" s="6">
        <v>37</v>
      </c>
      <c r="B43" s="7" t="s">
        <v>617</v>
      </c>
      <c r="C43" s="11" t="s">
        <v>618</v>
      </c>
      <c r="D43" s="2" t="s">
        <v>241</v>
      </c>
      <c r="E43" s="46">
        <v>9644</v>
      </c>
      <c r="F43" s="51">
        <v>21.969031999999999</v>
      </c>
      <c r="G43" s="5">
        <v>1.0163917E-2</v>
      </c>
    </row>
    <row r="44" spans="1:7" ht="15" x14ac:dyDescent="0.25">
      <c r="A44" s="6">
        <v>38</v>
      </c>
      <c r="B44" s="7" t="s">
        <v>416</v>
      </c>
      <c r="C44" s="11" t="s">
        <v>417</v>
      </c>
      <c r="D44" s="2" t="s">
        <v>170</v>
      </c>
      <c r="E44" s="46">
        <v>41</v>
      </c>
      <c r="F44" s="51">
        <v>21.954987500000001</v>
      </c>
      <c r="G44" s="5">
        <v>1.0157419000000001E-2</v>
      </c>
    </row>
    <row r="45" spans="1:7" ht="25.5" x14ac:dyDescent="0.25">
      <c r="A45" s="6">
        <v>39</v>
      </c>
      <c r="B45" s="7" t="s">
        <v>619</v>
      </c>
      <c r="C45" s="11" t="s">
        <v>620</v>
      </c>
      <c r="D45" s="2" t="s">
        <v>621</v>
      </c>
      <c r="E45" s="46">
        <v>11466</v>
      </c>
      <c r="F45" s="51">
        <v>21.848462999999999</v>
      </c>
      <c r="G45" s="5">
        <v>1.0108136E-2</v>
      </c>
    </row>
    <row r="46" spans="1:7" ht="15" x14ac:dyDescent="0.25">
      <c r="A46" s="6">
        <v>40</v>
      </c>
      <c r="B46" s="7" t="s">
        <v>514</v>
      </c>
      <c r="C46" s="11" t="s">
        <v>515</v>
      </c>
      <c r="D46" s="2" t="s">
        <v>215</v>
      </c>
      <c r="E46" s="46">
        <v>2107</v>
      </c>
      <c r="F46" s="51">
        <v>21.7979685</v>
      </c>
      <c r="G46" s="5">
        <v>1.0084775000000001E-2</v>
      </c>
    </row>
    <row r="47" spans="1:7" ht="15" x14ac:dyDescent="0.25">
      <c r="A47" s="6">
        <v>41</v>
      </c>
      <c r="B47" s="7" t="s">
        <v>622</v>
      </c>
      <c r="C47" s="11" t="s">
        <v>623</v>
      </c>
      <c r="D47" s="2" t="s">
        <v>241</v>
      </c>
      <c r="E47" s="46">
        <v>1198</v>
      </c>
      <c r="F47" s="51">
        <v>21.670023</v>
      </c>
      <c r="G47" s="5">
        <v>1.0025581E-2</v>
      </c>
    </row>
    <row r="48" spans="1:7" ht="15" x14ac:dyDescent="0.25">
      <c r="A48" s="6">
        <v>42</v>
      </c>
      <c r="B48" s="7" t="s">
        <v>47</v>
      </c>
      <c r="C48" s="11" t="s">
        <v>48</v>
      </c>
      <c r="D48" s="2" t="s">
        <v>13</v>
      </c>
      <c r="E48" s="46">
        <v>6478</v>
      </c>
      <c r="F48" s="51">
        <v>21.519915999999998</v>
      </c>
      <c r="G48" s="5">
        <v>9.9561340000000002E-3</v>
      </c>
    </row>
    <row r="49" spans="1:7" ht="15" x14ac:dyDescent="0.25">
      <c r="A49" s="6">
        <v>43</v>
      </c>
      <c r="B49" s="7" t="s">
        <v>624</v>
      </c>
      <c r="C49" s="11" t="s">
        <v>625</v>
      </c>
      <c r="D49" s="2" t="s">
        <v>16</v>
      </c>
      <c r="E49" s="46">
        <v>10642</v>
      </c>
      <c r="F49" s="51">
        <v>21.486198000000002</v>
      </c>
      <c r="G49" s="5">
        <v>9.9405350000000003E-3</v>
      </c>
    </row>
    <row r="50" spans="1:7" ht="15" x14ac:dyDescent="0.25">
      <c r="A50" s="6">
        <v>44</v>
      </c>
      <c r="B50" s="7" t="s">
        <v>424</v>
      </c>
      <c r="C50" s="11" t="s">
        <v>425</v>
      </c>
      <c r="D50" s="2" t="s">
        <v>241</v>
      </c>
      <c r="E50" s="46">
        <v>3755</v>
      </c>
      <c r="F50" s="51">
        <v>21.4504375</v>
      </c>
      <c r="G50" s="5">
        <v>9.9239900000000006E-3</v>
      </c>
    </row>
    <row r="51" spans="1:7" ht="15" x14ac:dyDescent="0.25">
      <c r="A51" s="6">
        <v>45</v>
      </c>
      <c r="B51" s="7" t="s">
        <v>431</v>
      </c>
      <c r="C51" s="11" t="s">
        <v>432</v>
      </c>
      <c r="D51" s="2" t="s">
        <v>16</v>
      </c>
      <c r="E51" s="46">
        <v>493</v>
      </c>
      <c r="F51" s="51">
        <v>21.430216999999999</v>
      </c>
      <c r="G51" s="5">
        <v>9.9146349999999998E-3</v>
      </c>
    </row>
    <row r="52" spans="1:7" ht="15" x14ac:dyDescent="0.25">
      <c r="A52" s="6">
        <v>46</v>
      </c>
      <c r="B52" s="7" t="s">
        <v>626</v>
      </c>
      <c r="C52" s="11" t="s">
        <v>627</v>
      </c>
      <c r="D52" s="2" t="s">
        <v>241</v>
      </c>
      <c r="E52" s="46">
        <v>4102</v>
      </c>
      <c r="F52" s="51">
        <v>21.375522</v>
      </c>
      <c r="G52" s="5">
        <v>9.8893309999999995E-3</v>
      </c>
    </row>
    <row r="53" spans="1:7" ht="15" x14ac:dyDescent="0.25">
      <c r="A53" s="6">
        <v>47</v>
      </c>
      <c r="B53" s="7" t="s">
        <v>38</v>
      </c>
      <c r="C53" s="11" t="s">
        <v>39</v>
      </c>
      <c r="D53" s="2" t="s">
        <v>16</v>
      </c>
      <c r="E53" s="46">
        <v>106</v>
      </c>
      <c r="F53" s="51">
        <v>21.374105</v>
      </c>
      <c r="G53" s="5">
        <v>9.8886749999999995E-3</v>
      </c>
    </row>
    <row r="54" spans="1:7" ht="25.5" x14ac:dyDescent="0.25">
      <c r="A54" s="6">
        <v>48</v>
      </c>
      <c r="B54" s="7" t="s">
        <v>628</v>
      </c>
      <c r="C54" s="11" t="s">
        <v>629</v>
      </c>
      <c r="D54" s="2" t="s">
        <v>621</v>
      </c>
      <c r="E54" s="46">
        <v>9832</v>
      </c>
      <c r="F54" s="51">
        <v>21.330524</v>
      </c>
      <c r="G54" s="5">
        <v>9.8685119999999994E-3</v>
      </c>
    </row>
    <row r="55" spans="1:7" ht="15" x14ac:dyDescent="0.25">
      <c r="A55" s="6">
        <v>49</v>
      </c>
      <c r="B55" s="7" t="s">
        <v>493</v>
      </c>
      <c r="C55" s="11" t="s">
        <v>494</v>
      </c>
      <c r="D55" s="2" t="s">
        <v>27</v>
      </c>
      <c r="E55" s="46">
        <v>16802</v>
      </c>
      <c r="F55" s="51">
        <v>21.262930999999998</v>
      </c>
      <c r="G55" s="5">
        <v>9.837241E-3</v>
      </c>
    </row>
    <row r="56" spans="1:7" ht="25.5" x14ac:dyDescent="0.25">
      <c r="A56" s="6">
        <v>50</v>
      </c>
      <c r="B56" s="7" t="s">
        <v>630</v>
      </c>
      <c r="C56" s="11" t="s">
        <v>631</v>
      </c>
      <c r="D56" s="2" t="s">
        <v>162</v>
      </c>
      <c r="E56" s="46">
        <v>625</v>
      </c>
      <c r="F56" s="51">
        <v>21.253125000000001</v>
      </c>
      <c r="G56" s="5">
        <v>9.8327039999999994E-3</v>
      </c>
    </row>
    <row r="57" spans="1:7" ht="25.5" x14ac:dyDescent="0.25">
      <c r="A57" s="6">
        <v>51</v>
      </c>
      <c r="B57" s="7" t="s">
        <v>632</v>
      </c>
      <c r="C57" s="11" t="s">
        <v>633</v>
      </c>
      <c r="D57" s="2" t="s">
        <v>81</v>
      </c>
      <c r="E57" s="46">
        <v>5623</v>
      </c>
      <c r="F57" s="51">
        <v>21.229636500000002</v>
      </c>
      <c r="G57" s="5">
        <v>9.8218369999999999E-3</v>
      </c>
    </row>
    <row r="58" spans="1:7" ht="15" x14ac:dyDescent="0.25">
      <c r="A58" s="6">
        <v>52</v>
      </c>
      <c r="B58" s="7" t="s">
        <v>634</v>
      </c>
      <c r="C58" s="11" t="s">
        <v>635</v>
      </c>
      <c r="D58" s="2" t="s">
        <v>215</v>
      </c>
      <c r="E58" s="46">
        <v>7949</v>
      </c>
      <c r="F58" s="51">
        <v>21.088697</v>
      </c>
      <c r="G58" s="5">
        <v>9.7566319999999995E-3</v>
      </c>
    </row>
    <row r="59" spans="1:7" ht="25.5" x14ac:dyDescent="0.25">
      <c r="A59" s="6">
        <v>53</v>
      </c>
      <c r="B59" s="7" t="s">
        <v>636</v>
      </c>
      <c r="C59" s="11" t="s">
        <v>637</v>
      </c>
      <c r="D59" s="2" t="s">
        <v>162</v>
      </c>
      <c r="E59" s="46">
        <v>11023</v>
      </c>
      <c r="F59" s="51">
        <v>21.037395499999999</v>
      </c>
      <c r="G59" s="5">
        <v>9.7328970000000008E-3</v>
      </c>
    </row>
    <row r="60" spans="1:7" ht="15" x14ac:dyDescent="0.25">
      <c r="A60" s="6">
        <v>54</v>
      </c>
      <c r="B60" s="7" t="s">
        <v>33</v>
      </c>
      <c r="C60" s="11" t="s">
        <v>34</v>
      </c>
      <c r="D60" s="2" t="s">
        <v>13</v>
      </c>
      <c r="E60" s="46">
        <v>934</v>
      </c>
      <c r="F60" s="51">
        <v>21.030411000000001</v>
      </c>
      <c r="G60" s="5">
        <v>9.7296659999999997E-3</v>
      </c>
    </row>
    <row r="61" spans="1:7" ht="25.5" x14ac:dyDescent="0.25">
      <c r="A61" s="6">
        <v>55</v>
      </c>
      <c r="B61" s="7" t="s">
        <v>638</v>
      </c>
      <c r="C61" s="11" t="s">
        <v>639</v>
      </c>
      <c r="D61" s="2" t="s">
        <v>81</v>
      </c>
      <c r="E61" s="46">
        <v>4096</v>
      </c>
      <c r="F61" s="51">
        <v>20.963328000000001</v>
      </c>
      <c r="G61" s="5">
        <v>9.6986299999999998E-3</v>
      </c>
    </row>
    <row r="62" spans="1:7" ht="25.5" x14ac:dyDescent="0.25">
      <c r="A62" s="6">
        <v>56</v>
      </c>
      <c r="B62" s="7" t="s">
        <v>429</v>
      </c>
      <c r="C62" s="11" t="s">
        <v>430</v>
      </c>
      <c r="D62" s="2" t="s">
        <v>30</v>
      </c>
      <c r="E62" s="46">
        <v>1828</v>
      </c>
      <c r="F62" s="51">
        <v>20.926030000000001</v>
      </c>
      <c r="G62" s="5">
        <v>9.6813739999999995E-3</v>
      </c>
    </row>
    <row r="63" spans="1:7" ht="25.5" x14ac:dyDescent="0.25">
      <c r="A63" s="6">
        <v>57</v>
      </c>
      <c r="B63" s="7" t="s">
        <v>566</v>
      </c>
      <c r="C63" s="11" t="s">
        <v>567</v>
      </c>
      <c r="D63" s="2" t="s">
        <v>37</v>
      </c>
      <c r="E63" s="46">
        <v>801</v>
      </c>
      <c r="F63" s="51">
        <v>20.866050000000001</v>
      </c>
      <c r="G63" s="5">
        <v>9.6536250000000007E-3</v>
      </c>
    </row>
    <row r="64" spans="1:7" ht="15" x14ac:dyDescent="0.25">
      <c r="A64" s="6">
        <v>58</v>
      </c>
      <c r="B64" s="7" t="s">
        <v>412</v>
      </c>
      <c r="C64" s="11" t="s">
        <v>413</v>
      </c>
      <c r="D64" s="2" t="s">
        <v>162</v>
      </c>
      <c r="E64" s="46">
        <v>636</v>
      </c>
      <c r="F64" s="51">
        <v>20.683038</v>
      </c>
      <c r="G64" s="5">
        <v>9.5689550000000005E-3</v>
      </c>
    </row>
    <row r="65" spans="1:7" ht="25.5" x14ac:dyDescent="0.25">
      <c r="A65" s="6">
        <v>59</v>
      </c>
      <c r="B65" s="7" t="s">
        <v>524</v>
      </c>
      <c r="C65" s="11" t="s">
        <v>525</v>
      </c>
      <c r="D65" s="2" t="s">
        <v>42</v>
      </c>
      <c r="E65" s="46">
        <v>5985</v>
      </c>
      <c r="F65" s="51">
        <v>20.678175</v>
      </c>
      <c r="G65" s="5">
        <v>9.566705E-3</v>
      </c>
    </row>
    <row r="66" spans="1:7" ht="25.5" x14ac:dyDescent="0.25">
      <c r="A66" s="6">
        <v>60</v>
      </c>
      <c r="B66" s="7" t="s">
        <v>40</v>
      </c>
      <c r="C66" s="11" t="s">
        <v>41</v>
      </c>
      <c r="D66" s="2" t="s">
        <v>42</v>
      </c>
      <c r="E66" s="46">
        <v>1767</v>
      </c>
      <c r="F66" s="51">
        <v>20.607637499999999</v>
      </c>
      <c r="G66" s="5">
        <v>9.5340709999999999E-3</v>
      </c>
    </row>
    <row r="67" spans="1:7" ht="25.5" x14ac:dyDescent="0.25">
      <c r="A67" s="6">
        <v>61</v>
      </c>
      <c r="B67" s="7" t="s">
        <v>640</v>
      </c>
      <c r="C67" s="11" t="s">
        <v>641</v>
      </c>
      <c r="D67" s="2" t="s">
        <v>42</v>
      </c>
      <c r="E67" s="46">
        <v>7736</v>
      </c>
      <c r="F67" s="51">
        <v>20.581627999999998</v>
      </c>
      <c r="G67" s="5">
        <v>9.522038E-3</v>
      </c>
    </row>
    <row r="68" spans="1:7" ht="25.5" x14ac:dyDescent="0.25">
      <c r="A68" s="6">
        <v>62</v>
      </c>
      <c r="B68" s="7" t="s">
        <v>522</v>
      </c>
      <c r="C68" s="11" t="s">
        <v>523</v>
      </c>
      <c r="D68" s="2" t="s">
        <v>42</v>
      </c>
      <c r="E68" s="46">
        <v>14764</v>
      </c>
      <c r="F68" s="51">
        <v>20.566251999999999</v>
      </c>
      <c r="G68" s="5">
        <v>9.5149239999999993E-3</v>
      </c>
    </row>
    <row r="69" spans="1:7" ht="15" x14ac:dyDescent="0.25">
      <c r="A69" s="6">
        <v>63</v>
      </c>
      <c r="B69" s="7" t="s">
        <v>642</v>
      </c>
      <c r="C69" s="11" t="s">
        <v>643</v>
      </c>
      <c r="D69" s="2" t="s">
        <v>241</v>
      </c>
      <c r="E69" s="46">
        <v>9070</v>
      </c>
      <c r="F69" s="51">
        <v>20.548085</v>
      </c>
      <c r="G69" s="5">
        <v>9.5065189999999997E-3</v>
      </c>
    </row>
    <row r="70" spans="1:7" ht="15" x14ac:dyDescent="0.25">
      <c r="A70" s="6">
        <v>64</v>
      </c>
      <c r="B70" s="7" t="s">
        <v>644</v>
      </c>
      <c r="C70" s="11" t="s">
        <v>645</v>
      </c>
      <c r="D70" s="2" t="s">
        <v>13</v>
      </c>
      <c r="E70" s="46">
        <v>4270</v>
      </c>
      <c r="F70" s="51">
        <v>20.528025</v>
      </c>
      <c r="G70" s="5">
        <v>9.4972379999999999E-3</v>
      </c>
    </row>
    <row r="71" spans="1:7" ht="15" x14ac:dyDescent="0.25">
      <c r="A71" s="6">
        <v>65</v>
      </c>
      <c r="B71" s="7" t="s">
        <v>516</v>
      </c>
      <c r="C71" s="11" t="s">
        <v>517</v>
      </c>
      <c r="D71" s="2" t="s">
        <v>13</v>
      </c>
      <c r="E71" s="46">
        <v>19237</v>
      </c>
      <c r="F71" s="51">
        <v>20.525879</v>
      </c>
      <c r="G71" s="5">
        <v>9.4962459999999999E-3</v>
      </c>
    </row>
    <row r="72" spans="1:7" ht="15" x14ac:dyDescent="0.25">
      <c r="A72" s="6">
        <v>66</v>
      </c>
      <c r="B72" s="7" t="s">
        <v>398</v>
      </c>
      <c r="C72" s="11" t="s">
        <v>399</v>
      </c>
      <c r="D72" s="2" t="s">
        <v>226</v>
      </c>
      <c r="E72" s="46">
        <v>868</v>
      </c>
      <c r="F72" s="51">
        <v>20.450948</v>
      </c>
      <c r="G72" s="5">
        <v>9.4615789999999995E-3</v>
      </c>
    </row>
    <row r="73" spans="1:7" ht="25.5" x14ac:dyDescent="0.25">
      <c r="A73" s="6">
        <v>67</v>
      </c>
      <c r="B73" s="7" t="s">
        <v>17</v>
      </c>
      <c r="C73" s="11" t="s">
        <v>18</v>
      </c>
      <c r="D73" s="2" t="s">
        <v>19</v>
      </c>
      <c r="E73" s="46">
        <v>1473</v>
      </c>
      <c r="F73" s="51">
        <v>20.434929</v>
      </c>
      <c r="G73" s="5">
        <v>9.4541680000000006E-3</v>
      </c>
    </row>
    <row r="74" spans="1:7" ht="25.5" x14ac:dyDescent="0.25">
      <c r="A74" s="6">
        <v>68</v>
      </c>
      <c r="B74" s="7" t="s">
        <v>646</v>
      </c>
      <c r="C74" s="11" t="s">
        <v>647</v>
      </c>
      <c r="D74" s="2" t="s">
        <v>37</v>
      </c>
      <c r="E74" s="46">
        <v>3389</v>
      </c>
      <c r="F74" s="51">
        <v>20.2916375</v>
      </c>
      <c r="G74" s="5">
        <v>9.3878739999999992E-3</v>
      </c>
    </row>
    <row r="75" spans="1:7" ht="25.5" x14ac:dyDescent="0.25">
      <c r="A75" s="6">
        <v>69</v>
      </c>
      <c r="B75" s="7" t="s">
        <v>648</v>
      </c>
      <c r="C75" s="11" t="s">
        <v>649</v>
      </c>
      <c r="D75" s="2" t="s">
        <v>621</v>
      </c>
      <c r="E75" s="46">
        <v>13146</v>
      </c>
      <c r="F75" s="51">
        <v>20.257985999999999</v>
      </c>
      <c r="G75" s="5">
        <v>9.3723060000000004E-3</v>
      </c>
    </row>
    <row r="76" spans="1:7" ht="38.25" x14ac:dyDescent="0.25">
      <c r="A76" s="6">
        <v>70</v>
      </c>
      <c r="B76" s="7" t="s">
        <v>650</v>
      </c>
      <c r="C76" s="11" t="s">
        <v>651</v>
      </c>
      <c r="D76" s="2" t="s">
        <v>84</v>
      </c>
      <c r="E76" s="46">
        <v>8229</v>
      </c>
      <c r="F76" s="51">
        <v>20.2227675</v>
      </c>
      <c r="G76" s="5">
        <v>9.3560120000000004E-3</v>
      </c>
    </row>
    <row r="77" spans="1:7" ht="15" x14ac:dyDescent="0.25">
      <c r="A77" s="6">
        <v>71</v>
      </c>
      <c r="B77" s="7" t="s">
        <v>652</v>
      </c>
      <c r="C77" s="11" t="s">
        <v>653</v>
      </c>
      <c r="D77" s="2" t="s">
        <v>56</v>
      </c>
      <c r="E77" s="46">
        <v>8491</v>
      </c>
      <c r="F77" s="51">
        <v>20.161879500000001</v>
      </c>
      <c r="G77" s="5">
        <v>9.3278419999999994E-3</v>
      </c>
    </row>
    <row r="78" spans="1:7" ht="15" x14ac:dyDescent="0.25">
      <c r="A78" s="6">
        <v>72</v>
      </c>
      <c r="B78" s="7" t="s">
        <v>654</v>
      </c>
      <c r="C78" s="11" t="s">
        <v>655</v>
      </c>
      <c r="D78" s="2" t="s">
        <v>27</v>
      </c>
      <c r="E78" s="46">
        <v>90113</v>
      </c>
      <c r="F78" s="51">
        <v>19.960029500000001</v>
      </c>
      <c r="G78" s="5">
        <v>9.2344569999999997E-3</v>
      </c>
    </row>
    <row r="79" spans="1:7" ht="25.5" x14ac:dyDescent="0.25">
      <c r="A79" s="6">
        <v>73</v>
      </c>
      <c r="B79" s="7" t="s">
        <v>656</v>
      </c>
      <c r="C79" s="11" t="s">
        <v>657</v>
      </c>
      <c r="D79" s="2" t="s">
        <v>162</v>
      </c>
      <c r="E79" s="46">
        <v>2059</v>
      </c>
      <c r="F79" s="51">
        <v>19.956857500000002</v>
      </c>
      <c r="G79" s="5">
        <v>9.2329890000000005E-3</v>
      </c>
    </row>
    <row r="80" spans="1:7" ht="15" x14ac:dyDescent="0.25">
      <c r="A80" s="6">
        <v>74</v>
      </c>
      <c r="B80" s="7" t="s">
        <v>658</v>
      </c>
      <c r="C80" s="11" t="s">
        <v>659</v>
      </c>
      <c r="D80" s="2" t="s">
        <v>170</v>
      </c>
      <c r="E80" s="46">
        <v>138</v>
      </c>
      <c r="F80" s="51">
        <v>19.925543999999999</v>
      </c>
      <c r="G80" s="5">
        <v>9.2185019999999999E-3</v>
      </c>
    </row>
    <row r="81" spans="1:7" ht="15" x14ac:dyDescent="0.25">
      <c r="A81" s="6">
        <v>75</v>
      </c>
      <c r="B81" s="7" t="s">
        <v>506</v>
      </c>
      <c r="C81" s="11" t="s">
        <v>507</v>
      </c>
      <c r="D81" s="2" t="s">
        <v>16</v>
      </c>
      <c r="E81" s="46">
        <v>2521</v>
      </c>
      <c r="F81" s="51">
        <v>19.8743035</v>
      </c>
      <c r="G81" s="5">
        <v>9.1947959999999999E-3</v>
      </c>
    </row>
    <row r="82" spans="1:7" ht="15" x14ac:dyDescent="0.25">
      <c r="A82" s="6">
        <v>76</v>
      </c>
      <c r="B82" s="7" t="s">
        <v>420</v>
      </c>
      <c r="C82" s="11" t="s">
        <v>421</v>
      </c>
      <c r="D82" s="2" t="s">
        <v>226</v>
      </c>
      <c r="E82" s="46">
        <v>3608</v>
      </c>
      <c r="F82" s="51">
        <v>19.844000000000001</v>
      </c>
      <c r="G82" s="5">
        <v>9.1807759999999999E-3</v>
      </c>
    </row>
    <row r="83" spans="1:7" ht="15" x14ac:dyDescent="0.25">
      <c r="A83" s="6">
        <v>77</v>
      </c>
      <c r="B83" s="7" t="s">
        <v>394</v>
      </c>
      <c r="C83" s="11" t="s">
        <v>395</v>
      </c>
      <c r="D83" s="2" t="s">
        <v>13</v>
      </c>
      <c r="E83" s="46">
        <v>2941</v>
      </c>
      <c r="F83" s="51">
        <v>19.825281</v>
      </c>
      <c r="G83" s="5">
        <v>9.1721159999999993E-3</v>
      </c>
    </row>
    <row r="84" spans="1:7" ht="15" x14ac:dyDescent="0.25">
      <c r="A84" s="6">
        <v>78</v>
      </c>
      <c r="B84" s="7" t="s">
        <v>660</v>
      </c>
      <c r="C84" s="11" t="s">
        <v>661</v>
      </c>
      <c r="D84" s="2" t="s">
        <v>226</v>
      </c>
      <c r="E84" s="46">
        <v>787</v>
      </c>
      <c r="F84" s="51">
        <v>19.804855</v>
      </c>
      <c r="G84" s="5">
        <v>9.1626659999999999E-3</v>
      </c>
    </row>
    <row r="85" spans="1:7" ht="25.5" x14ac:dyDescent="0.25">
      <c r="A85" s="6">
        <v>79</v>
      </c>
      <c r="B85" s="7" t="s">
        <v>662</v>
      </c>
      <c r="C85" s="11" t="s">
        <v>663</v>
      </c>
      <c r="D85" s="2" t="s">
        <v>30</v>
      </c>
      <c r="E85" s="46">
        <v>1451</v>
      </c>
      <c r="F85" s="51">
        <v>19.778580999999999</v>
      </c>
      <c r="G85" s="5">
        <v>9.1505100000000006E-3</v>
      </c>
    </row>
    <row r="86" spans="1:7" ht="25.5" x14ac:dyDescent="0.25">
      <c r="A86" s="6">
        <v>80</v>
      </c>
      <c r="B86" s="7" t="s">
        <v>664</v>
      </c>
      <c r="C86" s="11" t="s">
        <v>665</v>
      </c>
      <c r="D86" s="2" t="s">
        <v>162</v>
      </c>
      <c r="E86" s="46">
        <v>3685</v>
      </c>
      <c r="F86" s="51">
        <v>19.73686</v>
      </c>
      <c r="G86" s="5">
        <v>9.131208E-3</v>
      </c>
    </row>
    <row r="87" spans="1:7" ht="15" x14ac:dyDescent="0.25">
      <c r="A87" s="6">
        <v>81</v>
      </c>
      <c r="B87" s="7" t="s">
        <v>666</v>
      </c>
      <c r="C87" s="11" t="s">
        <v>667</v>
      </c>
      <c r="D87" s="2" t="s">
        <v>56</v>
      </c>
      <c r="E87" s="46">
        <v>4549</v>
      </c>
      <c r="F87" s="51">
        <v>19.653954500000001</v>
      </c>
      <c r="G87" s="5">
        <v>9.0928520000000002E-3</v>
      </c>
    </row>
    <row r="88" spans="1:7" ht="15" x14ac:dyDescent="0.25">
      <c r="A88" s="6">
        <v>82</v>
      </c>
      <c r="B88" s="7" t="s">
        <v>587</v>
      </c>
      <c r="C88" s="11" t="s">
        <v>588</v>
      </c>
      <c r="D88" s="2" t="s">
        <v>193</v>
      </c>
      <c r="E88" s="46">
        <v>108</v>
      </c>
      <c r="F88" s="51">
        <v>19.626947999999999</v>
      </c>
      <c r="G88" s="5">
        <v>9.0803570000000007E-3</v>
      </c>
    </row>
    <row r="89" spans="1:7" ht="15" x14ac:dyDescent="0.25">
      <c r="A89" s="6">
        <v>83</v>
      </c>
      <c r="B89" s="7" t="s">
        <v>366</v>
      </c>
      <c r="C89" s="11" t="s">
        <v>367</v>
      </c>
      <c r="D89" s="2" t="s">
        <v>162</v>
      </c>
      <c r="E89" s="46">
        <v>19735</v>
      </c>
      <c r="F89" s="51">
        <v>19.547517500000001</v>
      </c>
      <c r="G89" s="5">
        <v>9.0436089999999993E-3</v>
      </c>
    </row>
    <row r="90" spans="1:7" ht="15" x14ac:dyDescent="0.25">
      <c r="A90" s="6">
        <v>84</v>
      </c>
      <c r="B90" s="7" t="s">
        <v>504</v>
      </c>
      <c r="C90" s="11" t="s">
        <v>505</v>
      </c>
      <c r="D90" s="2" t="s">
        <v>215</v>
      </c>
      <c r="E90" s="46">
        <v>3049</v>
      </c>
      <c r="F90" s="51">
        <v>19.399262499999999</v>
      </c>
      <c r="G90" s="5">
        <v>8.9750190000000007E-3</v>
      </c>
    </row>
    <row r="91" spans="1:7" ht="15" x14ac:dyDescent="0.25">
      <c r="A91" s="6">
        <v>85</v>
      </c>
      <c r="B91" s="7" t="s">
        <v>668</v>
      </c>
      <c r="C91" s="11" t="s">
        <v>669</v>
      </c>
      <c r="D91" s="2" t="s">
        <v>56</v>
      </c>
      <c r="E91" s="46">
        <v>45191</v>
      </c>
      <c r="F91" s="51">
        <v>19.319152500000001</v>
      </c>
      <c r="G91" s="5">
        <v>8.9379569999999998E-3</v>
      </c>
    </row>
    <row r="92" spans="1:7" ht="15" x14ac:dyDescent="0.25">
      <c r="A92" s="6">
        <v>86</v>
      </c>
      <c r="B92" s="7" t="s">
        <v>500</v>
      </c>
      <c r="C92" s="11" t="s">
        <v>501</v>
      </c>
      <c r="D92" s="2" t="s">
        <v>226</v>
      </c>
      <c r="E92" s="46">
        <v>353</v>
      </c>
      <c r="F92" s="51">
        <v>19.308040999999999</v>
      </c>
      <c r="G92" s="5">
        <v>8.9328159999999997E-3</v>
      </c>
    </row>
    <row r="93" spans="1:7" ht="15" x14ac:dyDescent="0.25">
      <c r="A93" s="6">
        <v>87</v>
      </c>
      <c r="B93" s="7" t="s">
        <v>532</v>
      </c>
      <c r="C93" s="11" t="s">
        <v>533</v>
      </c>
      <c r="D93" s="2" t="s">
        <v>162</v>
      </c>
      <c r="E93" s="46">
        <v>270</v>
      </c>
      <c r="F93" s="51">
        <v>19.164194999999999</v>
      </c>
      <c r="G93" s="5">
        <v>8.8662659999999994E-3</v>
      </c>
    </row>
    <row r="94" spans="1:7" ht="15" x14ac:dyDescent="0.25">
      <c r="A94" s="6">
        <v>88</v>
      </c>
      <c r="B94" s="7" t="s">
        <v>538</v>
      </c>
      <c r="C94" s="11" t="s">
        <v>539</v>
      </c>
      <c r="D94" s="2" t="s">
        <v>170</v>
      </c>
      <c r="E94" s="46">
        <v>17844</v>
      </c>
      <c r="F94" s="51">
        <v>19.048469999999998</v>
      </c>
      <c r="G94" s="5">
        <v>8.8127259999999999E-3</v>
      </c>
    </row>
    <row r="95" spans="1:7" ht="15" x14ac:dyDescent="0.25">
      <c r="A95" s="6">
        <v>89</v>
      </c>
      <c r="B95" s="7" t="s">
        <v>670</v>
      </c>
      <c r="C95" s="11" t="s">
        <v>671</v>
      </c>
      <c r="D95" s="2" t="s">
        <v>13</v>
      </c>
      <c r="E95" s="46">
        <v>20678</v>
      </c>
      <c r="F95" s="51">
        <v>18.858336000000001</v>
      </c>
      <c r="G95" s="5">
        <v>8.7247609999999993E-3</v>
      </c>
    </row>
    <row r="96" spans="1:7" ht="15" x14ac:dyDescent="0.25">
      <c r="A96" s="6">
        <v>90</v>
      </c>
      <c r="B96" s="7" t="s">
        <v>672</v>
      </c>
      <c r="C96" s="11" t="s">
        <v>673</v>
      </c>
      <c r="D96" s="2" t="s">
        <v>305</v>
      </c>
      <c r="E96" s="46">
        <v>14556</v>
      </c>
      <c r="F96" s="51">
        <v>18.755406000000001</v>
      </c>
      <c r="G96" s="5">
        <v>8.6771409999999993E-3</v>
      </c>
    </row>
    <row r="97" spans="1:7" ht="25.5" x14ac:dyDescent="0.25">
      <c r="A97" s="6">
        <v>91</v>
      </c>
      <c r="B97" s="7" t="s">
        <v>100</v>
      </c>
      <c r="C97" s="11" t="s">
        <v>101</v>
      </c>
      <c r="D97" s="2" t="s">
        <v>30</v>
      </c>
      <c r="E97" s="46">
        <v>31785</v>
      </c>
      <c r="F97" s="51">
        <v>18.721364999999999</v>
      </c>
      <c r="G97" s="5">
        <v>8.6613920000000004E-3</v>
      </c>
    </row>
    <row r="98" spans="1:7" ht="15" x14ac:dyDescent="0.25">
      <c r="A98" s="6">
        <v>92</v>
      </c>
      <c r="B98" s="7" t="s">
        <v>674</v>
      </c>
      <c r="C98" s="11" t="s">
        <v>675</v>
      </c>
      <c r="D98" s="2" t="s">
        <v>226</v>
      </c>
      <c r="E98" s="46">
        <v>114</v>
      </c>
      <c r="F98" s="51">
        <v>18.636776999999999</v>
      </c>
      <c r="G98" s="5">
        <v>8.6222569999999995E-3</v>
      </c>
    </row>
    <row r="99" spans="1:7" ht="25.5" x14ac:dyDescent="0.25">
      <c r="A99" s="6">
        <v>93</v>
      </c>
      <c r="B99" s="7" t="s">
        <v>676</v>
      </c>
      <c r="C99" s="11" t="s">
        <v>677</v>
      </c>
      <c r="D99" s="2" t="s">
        <v>59</v>
      </c>
      <c r="E99" s="46">
        <v>2886</v>
      </c>
      <c r="F99" s="51">
        <v>18.623358</v>
      </c>
      <c r="G99" s="5">
        <v>8.6160490000000006E-3</v>
      </c>
    </row>
    <row r="100" spans="1:7" ht="25.5" x14ac:dyDescent="0.25">
      <c r="A100" s="6">
        <v>94</v>
      </c>
      <c r="B100" s="7" t="s">
        <v>437</v>
      </c>
      <c r="C100" s="11" t="s">
        <v>438</v>
      </c>
      <c r="D100" s="2" t="s">
        <v>59</v>
      </c>
      <c r="E100" s="46">
        <v>1754</v>
      </c>
      <c r="F100" s="51">
        <v>18.528379000000001</v>
      </c>
      <c r="G100" s="5">
        <v>8.5721070000000007E-3</v>
      </c>
    </row>
    <row r="101" spans="1:7" ht="25.5" x14ac:dyDescent="0.25">
      <c r="A101" s="6">
        <v>95</v>
      </c>
      <c r="B101" s="7" t="s">
        <v>678</v>
      </c>
      <c r="C101" s="11" t="s">
        <v>679</v>
      </c>
      <c r="D101" s="2" t="s">
        <v>680</v>
      </c>
      <c r="E101" s="46">
        <v>13225</v>
      </c>
      <c r="F101" s="51">
        <v>18.3629125</v>
      </c>
      <c r="G101" s="5">
        <v>8.4955550000000001E-3</v>
      </c>
    </row>
    <row r="102" spans="1:7" ht="15" x14ac:dyDescent="0.25">
      <c r="A102" s="6">
        <v>96</v>
      </c>
      <c r="B102" s="7" t="s">
        <v>681</v>
      </c>
      <c r="C102" s="11" t="s">
        <v>682</v>
      </c>
      <c r="D102" s="2" t="s">
        <v>226</v>
      </c>
      <c r="E102" s="46">
        <v>26169</v>
      </c>
      <c r="F102" s="51">
        <v>18.2790465</v>
      </c>
      <c r="G102" s="5">
        <v>8.4567540000000004E-3</v>
      </c>
    </row>
    <row r="103" spans="1:7" ht="15" x14ac:dyDescent="0.25">
      <c r="A103" s="6">
        <v>97</v>
      </c>
      <c r="B103" s="7" t="s">
        <v>683</v>
      </c>
      <c r="C103" s="11" t="s">
        <v>684</v>
      </c>
      <c r="D103" s="2" t="s">
        <v>616</v>
      </c>
      <c r="E103" s="46">
        <v>8882</v>
      </c>
      <c r="F103" s="51">
        <v>18.159248999999999</v>
      </c>
      <c r="G103" s="5">
        <v>8.4013300000000003E-3</v>
      </c>
    </row>
    <row r="104" spans="1:7" ht="25.5" x14ac:dyDescent="0.25">
      <c r="A104" s="6">
        <v>98</v>
      </c>
      <c r="B104" s="7" t="s">
        <v>685</v>
      </c>
      <c r="C104" s="11" t="s">
        <v>686</v>
      </c>
      <c r="D104" s="2" t="s">
        <v>162</v>
      </c>
      <c r="E104" s="46">
        <v>15225</v>
      </c>
      <c r="F104" s="51">
        <v>17.386949999999999</v>
      </c>
      <c r="G104" s="5">
        <v>8.0440279999999999E-3</v>
      </c>
    </row>
    <row r="105" spans="1:7" ht="15" x14ac:dyDescent="0.25">
      <c r="A105" s="6">
        <v>99</v>
      </c>
      <c r="B105" s="7" t="s">
        <v>687</v>
      </c>
      <c r="C105" s="11" t="s">
        <v>688</v>
      </c>
      <c r="D105" s="2" t="s">
        <v>226</v>
      </c>
      <c r="E105" s="46">
        <v>12510</v>
      </c>
      <c r="F105" s="51">
        <v>16.963560000000001</v>
      </c>
      <c r="G105" s="5">
        <v>7.8481479999999992E-3</v>
      </c>
    </row>
    <row r="106" spans="1:7" ht="25.5" x14ac:dyDescent="0.25">
      <c r="A106" s="6">
        <v>100</v>
      </c>
      <c r="B106" s="7" t="s">
        <v>689</v>
      </c>
      <c r="C106" s="11" t="s">
        <v>690</v>
      </c>
      <c r="D106" s="2" t="s">
        <v>497</v>
      </c>
      <c r="E106" s="46">
        <v>185745</v>
      </c>
      <c r="F106" s="51">
        <v>12.723532499999999</v>
      </c>
      <c r="G106" s="5">
        <v>5.8865100000000002E-3</v>
      </c>
    </row>
    <row r="107" spans="1:7" ht="15" x14ac:dyDescent="0.25">
      <c r="A107" s="6">
        <v>101</v>
      </c>
      <c r="B107" s="7" t="s">
        <v>691</v>
      </c>
      <c r="C107" s="11" t="s">
        <v>688</v>
      </c>
      <c r="D107" s="2" t="s">
        <v>226</v>
      </c>
      <c r="E107" s="46">
        <v>3548</v>
      </c>
      <c r="F107" s="51">
        <v>2.3115220000000001</v>
      </c>
      <c r="G107" s="5">
        <v>1.06942E-3</v>
      </c>
    </row>
    <row r="108" spans="1:7" ht="15" x14ac:dyDescent="0.25">
      <c r="A108" s="1"/>
      <c r="B108" s="2"/>
      <c r="C108" s="8" t="s">
        <v>104</v>
      </c>
      <c r="D108" s="12"/>
      <c r="E108" s="48"/>
      <c r="F108" s="53">
        <v>2132.9448240000002</v>
      </c>
      <c r="G108" s="13">
        <v>0.98680148200000017</v>
      </c>
    </row>
    <row r="109" spans="1:7" ht="15" x14ac:dyDescent="0.25">
      <c r="A109" s="6"/>
      <c r="B109" s="7"/>
      <c r="C109" s="14"/>
      <c r="D109" s="15"/>
      <c r="E109" s="46"/>
      <c r="F109" s="51"/>
      <c r="G109" s="5"/>
    </row>
    <row r="110" spans="1:7" ht="15" x14ac:dyDescent="0.25">
      <c r="A110" s="1"/>
      <c r="B110" s="2"/>
      <c r="C110" s="8" t="s">
        <v>105</v>
      </c>
      <c r="D110" s="9"/>
      <c r="E110" s="47"/>
      <c r="F110" s="52"/>
      <c r="G110" s="10"/>
    </row>
    <row r="111" spans="1:7" ht="15" x14ac:dyDescent="0.25">
      <c r="A111" s="1"/>
      <c r="B111" s="2"/>
      <c r="C111" s="8" t="s">
        <v>104</v>
      </c>
      <c r="D111" s="12"/>
      <c r="E111" s="48"/>
      <c r="F111" s="53">
        <v>0</v>
      </c>
      <c r="G111" s="13">
        <v>0</v>
      </c>
    </row>
    <row r="112" spans="1:7" ht="15" x14ac:dyDescent="0.25">
      <c r="A112" s="6"/>
      <c r="B112" s="7"/>
      <c r="C112" s="14"/>
      <c r="D112" s="15"/>
      <c r="E112" s="46"/>
      <c r="F112" s="51"/>
      <c r="G112" s="5"/>
    </row>
    <row r="113" spans="1:7" ht="15" x14ac:dyDescent="0.25">
      <c r="A113" s="16"/>
      <c r="B113" s="17"/>
      <c r="C113" s="8" t="s">
        <v>106</v>
      </c>
      <c r="D113" s="9"/>
      <c r="E113" s="47"/>
      <c r="F113" s="52"/>
      <c r="G113" s="10"/>
    </row>
    <row r="114" spans="1:7" ht="15" x14ac:dyDescent="0.25">
      <c r="A114" s="18"/>
      <c r="B114" s="19"/>
      <c r="C114" s="8" t="s">
        <v>104</v>
      </c>
      <c r="D114" s="20"/>
      <c r="E114" s="49"/>
      <c r="F114" s="54">
        <v>0</v>
      </c>
      <c r="G114" s="21">
        <v>0</v>
      </c>
    </row>
    <row r="115" spans="1:7" ht="15" x14ac:dyDescent="0.25">
      <c r="A115" s="18"/>
      <c r="B115" s="19"/>
      <c r="C115" s="14"/>
      <c r="D115" s="22"/>
      <c r="E115" s="50"/>
      <c r="F115" s="55"/>
      <c r="G115" s="23"/>
    </row>
    <row r="116" spans="1:7" ht="15" x14ac:dyDescent="0.25">
      <c r="A116" s="1"/>
      <c r="B116" s="2"/>
      <c r="C116" s="8" t="s">
        <v>108</v>
      </c>
      <c r="D116" s="9"/>
      <c r="E116" s="47"/>
      <c r="F116" s="52"/>
      <c r="G116" s="10"/>
    </row>
    <row r="117" spans="1:7" ht="15" x14ac:dyDescent="0.25">
      <c r="A117" s="1"/>
      <c r="B117" s="2"/>
      <c r="C117" s="8" t="s">
        <v>104</v>
      </c>
      <c r="D117" s="12"/>
      <c r="E117" s="48"/>
      <c r="F117" s="53">
        <v>0</v>
      </c>
      <c r="G117" s="13">
        <v>0</v>
      </c>
    </row>
    <row r="118" spans="1:7" ht="15" x14ac:dyDescent="0.25">
      <c r="A118" s="1"/>
      <c r="B118" s="2"/>
      <c r="C118" s="14"/>
      <c r="D118" s="4"/>
      <c r="E118" s="46"/>
      <c r="F118" s="51"/>
      <c r="G118" s="5"/>
    </row>
    <row r="119" spans="1:7" ht="15" x14ac:dyDescent="0.25">
      <c r="A119" s="1"/>
      <c r="B119" s="2"/>
      <c r="C119" s="8" t="s">
        <v>109</v>
      </c>
      <c r="D119" s="9"/>
      <c r="E119" s="47"/>
      <c r="F119" s="52"/>
      <c r="G119" s="10"/>
    </row>
    <row r="120" spans="1:7" ht="15" x14ac:dyDescent="0.25">
      <c r="A120" s="1"/>
      <c r="B120" s="2"/>
      <c r="C120" s="8" t="s">
        <v>104</v>
      </c>
      <c r="D120" s="12"/>
      <c r="E120" s="48"/>
      <c r="F120" s="53">
        <v>0</v>
      </c>
      <c r="G120" s="13">
        <v>0</v>
      </c>
    </row>
    <row r="121" spans="1:7" ht="15" x14ac:dyDescent="0.25">
      <c r="A121" s="1"/>
      <c r="B121" s="2"/>
      <c r="C121" s="14"/>
      <c r="D121" s="4"/>
      <c r="E121" s="46"/>
      <c r="F121" s="51"/>
      <c r="G121" s="5"/>
    </row>
    <row r="122" spans="1:7" ht="15" x14ac:dyDescent="0.25">
      <c r="A122" s="1"/>
      <c r="B122" s="2"/>
      <c r="C122" s="8" t="s">
        <v>110</v>
      </c>
      <c r="D122" s="9"/>
      <c r="E122" s="47"/>
      <c r="F122" s="52"/>
      <c r="G122" s="10"/>
    </row>
    <row r="123" spans="1:7" ht="15" x14ac:dyDescent="0.25">
      <c r="A123" s="1"/>
      <c r="B123" s="2"/>
      <c r="C123" s="8" t="s">
        <v>104</v>
      </c>
      <c r="D123" s="12"/>
      <c r="E123" s="48"/>
      <c r="F123" s="53">
        <v>0</v>
      </c>
      <c r="G123" s="13">
        <v>0</v>
      </c>
    </row>
    <row r="124" spans="1:7" ht="15" x14ac:dyDescent="0.25">
      <c r="A124" s="1"/>
      <c r="B124" s="2"/>
      <c r="C124" s="14"/>
      <c r="D124" s="4"/>
      <c r="E124" s="46"/>
      <c r="F124" s="51"/>
      <c r="G124" s="5"/>
    </row>
    <row r="125" spans="1:7" ht="25.5" x14ac:dyDescent="0.25">
      <c r="A125" s="6"/>
      <c r="B125" s="7"/>
      <c r="C125" s="24" t="s">
        <v>111</v>
      </c>
      <c r="D125" s="25"/>
      <c r="E125" s="48"/>
      <c r="F125" s="53">
        <v>2132.9448240000002</v>
      </c>
      <c r="G125" s="13">
        <v>0.98680148200000017</v>
      </c>
    </row>
    <row r="126" spans="1:7" ht="15" x14ac:dyDescent="0.25">
      <c r="A126" s="1"/>
      <c r="B126" s="2"/>
      <c r="C126" s="11"/>
      <c r="D126" s="4"/>
      <c r="E126" s="46"/>
      <c r="F126" s="51"/>
      <c r="G126" s="5"/>
    </row>
    <row r="127" spans="1:7" ht="15" x14ac:dyDescent="0.25">
      <c r="A127" s="1"/>
      <c r="B127" s="2"/>
      <c r="C127" s="3" t="s">
        <v>112</v>
      </c>
      <c r="D127" s="4"/>
      <c r="E127" s="46"/>
      <c r="F127" s="51"/>
      <c r="G127" s="5"/>
    </row>
    <row r="128" spans="1:7" ht="25.5" x14ac:dyDescent="0.25">
      <c r="A128" s="1"/>
      <c r="B128" s="2"/>
      <c r="C128" s="8" t="s">
        <v>10</v>
      </c>
      <c r="D128" s="9"/>
      <c r="E128" s="47"/>
      <c r="F128" s="52"/>
      <c r="G128" s="10"/>
    </row>
    <row r="129" spans="1:7" ht="15" x14ac:dyDescent="0.25">
      <c r="A129" s="6"/>
      <c r="B129" s="7"/>
      <c r="C129" s="8" t="s">
        <v>104</v>
      </c>
      <c r="D129" s="12"/>
      <c r="E129" s="48"/>
      <c r="F129" s="53">
        <v>0</v>
      </c>
      <c r="G129" s="13">
        <v>0</v>
      </c>
    </row>
    <row r="130" spans="1:7" ht="15" x14ac:dyDescent="0.25">
      <c r="A130" s="6"/>
      <c r="B130" s="7"/>
      <c r="C130" s="14"/>
      <c r="D130" s="4"/>
      <c r="E130" s="46"/>
      <c r="F130" s="51"/>
      <c r="G130" s="5"/>
    </row>
    <row r="131" spans="1:7" ht="15" x14ac:dyDescent="0.25">
      <c r="A131" s="1"/>
      <c r="B131" s="26"/>
      <c r="C131" s="8" t="s">
        <v>113</v>
      </c>
      <c r="D131" s="9"/>
      <c r="E131" s="47"/>
      <c r="F131" s="52"/>
      <c r="G131" s="10"/>
    </row>
    <row r="132" spans="1:7" ht="15" x14ac:dyDescent="0.25">
      <c r="A132" s="6"/>
      <c r="B132" s="7"/>
      <c r="C132" s="8" t="s">
        <v>104</v>
      </c>
      <c r="D132" s="12"/>
      <c r="E132" s="48"/>
      <c r="F132" s="53">
        <v>0</v>
      </c>
      <c r="G132" s="13">
        <v>0</v>
      </c>
    </row>
    <row r="133" spans="1:7" ht="15" x14ac:dyDescent="0.25">
      <c r="A133" s="6"/>
      <c r="B133" s="7"/>
      <c r="C133" s="14"/>
      <c r="D133" s="4"/>
      <c r="E133" s="46"/>
      <c r="F133" s="56"/>
      <c r="G133" s="27"/>
    </row>
    <row r="134" spans="1:7" ht="15" x14ac:dyDescent="0.25">
      <c r="A134" s="1"/>
      <c r="B134" s="2"/>
      <c r="C134" s="8" t="s">
        <v>114</v>
      </c>
      <c r="D134" s="9"/>
      <c r="E134" s="47"/>
      <c r="F134" s="52"/>
      <c r="G134" s="10"/>
    </row>
    <row r="135" spans="1:7" ht="15" x14ac:dyDescent="0.25">
      <c r="A135" s="6"/>
      <c r="B135" s="7"/>
      <c r="C135" s="8" t="s">
        <v>104</v>
      </c>
      <c r="D135" s="12"/>
      <c r="E135" s="48"/>
      <c r="F135" s="53">
        <v>0</v>
      </c>
      <c r="G135" s="13">
        <v>0</v>
      </c>
    </row>
    <row r="136" spans="1:7" ht="15" x14ac:dyDescent="0.25">
      <c r="A136" s="1"/>
      <c r="B136" s="2"/>
      <c r="C136" s="14"/>
      <c r="D136" s="4"/>
      <c r="E136" s="46"/>
      <c r="F136" s="51"/>
      <c r="G136" s="5"/>
    </row>
    <row r="137" spans="1:7" ht="25.5" x14ac:dyDescent="0.25">
      <c r="A137" s="1"/>
      <c r="B137" s="26"/>
      <c r="C137" s="8" t="s">
        <v>115</v>
      </c>
      <c r="D137" s="9"/>
      <c r="E137" s="47"/>
      <c r="F137" s="52"/>
      <c r="G137" s="10"/>
    </row>
    <row r="138" spans="1:7" ht="15" x14ac:dyDescent="0.25">
      <c r="A138" s="6"/>
      <c r="B138" s="7"/>
      <c r="C138" s="8" t="s">
        <v>104</v>
      </c>
      <c r="D138" s="12"/>
      <c r="E138" s="48"/>
      <c r="F138" s="53">
        <v>0</v>
      </c>
      <c r="G138" s="13">
        <v>0</v>
      </c>
    </row>
    <row r="139" spans="1:7" ht="15" x14ac:dyDescent="0.25">
      <c r="A139" s="6"/>
      <c r="B139" s="7"/>
      <c r="C139" s="14"/>
      <c r="D139" s="4"/>
      <c r="E139" s="46"/>
      <c r="F139" s="51"/>
      <c r="G139" s="5"/>
    </row>
    <row r="140" spans="1:7" ht="15" x14ac:dyDescent="0.25">
      <c r="A140" s="6"/>
      <c r="B140" s="7"/>
      <c r="C140" s="28" t="s">
        <v>116</v>
      </c>
      <c r="D140" s="25"/>
      <c r="E140" s="48"/>
      <c r="F140" s="53">
        <v>0</v>
      </c>
      <c r="G140" s="13">
        <v>0</v>
      </c>
    </row>
    <row r="141" spans="1:7" ht="15" x14ac:dyDescent="0.25">
      <c r="A141" s="6"/>
      <c r="B141" s="7"/>
      <c r="C141" s="11"/>
      <c r="D141" s="4"/>
      <c r="E141" s="46"/>
      <c r="F141" s="51"/>
      <c r="G141" s="5"/>
    </row>
    <row r="142" spans="1:7" ht="15" x14ac:dyDescent="0.25">
      <c r="A142" s="1"/>
      <c r="B142" s="2"/>
      <c r="C142" s="3" t="s">
        <v>117</v>
      </c>
      <c r="D142" s="4"/>
      <c r="E142" s="46"/>
      <c r="F142" s="51"/>
      <c r="G142" s="5"/>
    </row>
    <row r="143" spans="1:7" ht="15" x14ac:dyDescent="0.25">
      <c r="A143" s="6"/>
      <c r="B143" s="7"/>
      <c r="C143" s="8" t="s">
        <v>118</v>
      </c>
      <c r="D143" s="9"/>
      <c r="E143" s="47"/>
      <c r="F143" s="52"/>
      <c r="G143" s="10"/>
    </row>
    <row r="144" spans="1:7" ht="15" x14ac:dyDescent="0.25">
      <c r="A144" s="6"/>
      <c r="B144" s="7"/>
      <c r="C144" s="8" t="s">
        <v>104</v>
      </c>
      <c r="D144" s="25"/>
      <c r="E144" s="48"/>
      <c r="F144" s="53">
        <v>0</v>
      </c>
      <c r="G144" s="13">
        <v>0</v>
      </c>
    </row>
    <row r="145" spans="1:7" ht="15" x14ac:dyDescent="0.25">
      <c r="A145" s="6"/>
      <c r="B145" s="7"/>
      <c r="C145" s="14"/>
      <c r="D145" s="7"/>
      <c r="E145" s="46"/>
      <c r="F145" s="51"/>
      <c r="G145" s="5"/>
    </row>
    <row r="146" spans="1:7" ht="15" x14ac:dyDescent="0.25">
      <c r="A146" s="6"/>
      <c r="B146" s="7"/>
      <c r="C146" s="8" t="s">
        <v>119</v>
      </c>
      <c r="D146" s="9"/>
      <c r="E146" s="47"/>
      <c r="F146" s="52"/>
      <c r="G146" s="10"/>
    </row>
    <row r="147" spans="1:7" ht="15" x14ac:dyDescent="0.25">
      <c r="A147" s="6"/>
      <c r="B147" s="7"/>
      <c r="C147" s="8" t="s">
        <v>104</v>
      </c>
      <c r="D147" s="25"/>
      <c r="E147" s="48"/>
      <c r="F147" s="53">
        <v>0</v>
      </c>
      <c r="G147" s="13">
        <v>0</v>
      </c>
    </row>
    <row r="148" spans="1:7" ht="15" x14ac:dyDescent="0.25">
      <c r="A148" s="6"/>
      <c r="B148" s="7"/>
      <c r="C148" s="14"/>
      <c r="D148" s="7"/>
      <c r="E148" s="46"/>
      <c r="F148" s="51"/>
      <c r="G148" s="5"/>
    </row>
    <row r="149" spans="1:7" ht="15" x14ac:dyDescent="0.25">
      <c r="A149" s="6"/>
      <c r="B149" s="7"/>
      <c r="C149" s="8" t="s">
        <v>120</v>
      </c>
      <c r="D149" s="9"/>
      <c r="E149" s="47"/>
      <c r="F149" s="52"/>
      <c r="G149" s="10"/>
    </row>
    <row r="150" spans="1:7" ht="15" x14ac:dyDescent="0.25">
      <c r="A150" s="6"/>
      <c r="B150" s="7"/>
      <c r="C150" s="8" t="s">
        <v>104</v>
      </c>
      <c r="D150" s="25"/>
      <c r="E150" s="48"/>
      <c r="F150" s="53">
        <v>0</v>
      </c>
      <c r="G150" s="13">
        <v>0</v>
      </c>
    </row>
    <row r="151" spans="1:7" ht="15" x14ac:dyDescent="0.25">
      <c r="A151" s="6"/>
      <c r="B151" s="7"/>
      <c r="C151" s="14"/>
      <c r="D151" s="7"/>
      <c r="E151" s="46"/>
      <c r="F151" s="51"/>
      <c r="G151" s="5"/>
    </row>
    <row r="152" spans="1:7" ht="15" x14ac:dyDescent="0.25">
      <c r="A152" s="6"/>
      <c r="B152" s="7"/>
      <c r="C152" s="8" t="s">
        <v>121</v>
      </c>
      <c r="D152" s="9"/>
      <c r="E152" s="47"/>
      <c r="F152" s="52"/>
      <c r="G152" s="10"/>
    </row>
    <row r="153" spans="1:7" ht="15" x14ac:dyDescent="0.25">
      <c r="A153" s="6">
        <v>1</v>
      </c>
      <c r="B153" s="7"/>
      <c r="C153" s="11" t="s">
        <v>730</v>
      </c>
      <c r="D153" s="15"/>
      <c r="E153" s="46"/>
      <c r="F153" s="51">
        <v>22.996478100000001</v>
      </c>
      <c r="G153" s="5">
        <v>1.0639262E-2</v>
      </c>
    </row>
    <row r="154" spans="1:7" ht="15" x14ac:dyDescent="0.25">
      <c r="A154" s="6"/>
      <c r="B154" s="7"/>
      <c r="C154" s="8" t="s">
        <v>104</v>
      </c>
      <c r="D154" s="25"/>
      <c r="E154" s="48"/>
      <c r="F154" s="53">
        <v>22.996478100000001</v>
      </c>
      <c r="G154" s="13">
        <v>1.0639262E-2</v>
      </c>
    </row>
    <row r="155" spans="1:7" ht="15" x14ac:dyDescent="0.25">
      <c r="A155" s="6"/>
      <c r="B155" s="7"/>
      <c r="C155" s="14"/>
      <c r="D155" s="7"/>
      <c r="E155" s="46"/>
      <c r="F155" s="51"/>
      <c r="G155" s="5"/>
    </row>
    <row r="156" spans="1:7" ht="25.5" x14ac:dyDescent="0.25">
      <c r="A156" s="6"/>
      <c r="B156" s="7"/>
      <c r="C156" s="24" t="s">
        <v>122</v>
      </c>
      <c r="D156" s="25"/>
      <c r="E156" s="48"/>
      <c r="F156" s="53">
        <v>22.996478100000001</v>
      </c>
      <c r="G156" s="13">
        <v>1.0639262E-2</v>
      </c>
    </row>
    <row r="157" spans="1:7" ht="15" x14ac:dyDescent="0.25">
      <c r="A157" s="6"/>
      <c r="B157" s="7"/>
      <c r="C157" s="29"/>
      <c r="D157" s="7"/>
      <c r="E157" s="46"/>
      <c r="F157" s="51"/>
      <c r="G157" s="5"/>
    </row>
    <row r="158" spans="1:7" ht="15" x14ac:dyDescent="0.25">
      <c r="A158" s="1"/>
      <c r="B158" s="2"/>
      <c r="C158" s="3" t="s">
        <v>123</v>
      </c>
      <c r="D158" s="4"/>
      <c r="E158" s="46"/>
      <c r="F158" s="51"/>
      <c r="G158" s="5"/>
    </row>
    <row r="159" spans="1:7" ht="25.5" x14ac:dyDescent="0.25">
      <c r="A159" s="6"/>
      <c r="B159" s="7"/>
      <c r="C159" s="8" t="s">
        <v>124</v>
      </c>
      <c r="D159" s="9"/>
      <c r="E159" s="47"/>
      <c r="F159" s="52"/>
      <c r="G159" s="10"/>
    </row>
    <row r="160" spans="1:7" ht="15" x14ac:dyDescent="0.25">
      <c r="A160" s="6"/>
      <c r="B160" s="7"/>
      <c r="C160" s="8" t="s">
        <v>104</v>
      </c>
      <c r="D160" s="25"/>
      <c r="E160" s="48"/>
      <c r="F160" s="53">
        <v>0</v>
      </c>
      <c r="G160" s="13">
        <v>0</v>
      </c>
    </row>
    <row r="161" spans="1:7" ht="15" x14ac:dyDescent="0.25">
      <c r="A161" s="6"/>
      <c r="B161" s="7"/>
      <c r="C161" s="14"/>
      <c r="D161" s="7"/>
      <c r="E161" s="46"/>
      <c r="F161" s="51"/>
      <c r="G161" s="5"/>
    </row>
    <row r="162" spans="1:7" ht="15" x14ac:dyDescent="0.25">
      <c r="A162" s="1"/>
      <c r="B162" s="2"/>
      <c r="C162" s="3" t="s">
        <v>125</v>
      </c>
      <c r="D162" s="4"/>
      <c r="E162" s="46"/>
      <c r="F162" s="51"/>
      <c r="G162" s="5"/>
    </row>
    <row r="163" spans="1:7" ht="25.5" x14ac:dyDescent="0.25">
      <c r="A163" s="6"/>
      <c r="B163" s="7"/>
      <c r="C163" s="8" t="s">
        <v>126</v>
      </c>
      <c r="D163" s="9"/>
      <c r="E163" s="47"/>
      <c r="F163" s="52"/>
      <c r="G163" s="10"/>
    </row>
    <row r="164" spans="1:7" ht="15" x14ac:dyDescent="0.25">
      <c r="A164" s="6"/>
      <c r="B164" s="7"/>
      <c r="C164" s="8" t="s">
        <v>104</v>
      </c>
      <c r="D164" s="25"/>
      <c r="E164" s="48"/>
      <c r="F164" s="53">
        <v>0</v>
      </c>
      <c r="G164" s="13">
        <v>0</v>
      </c>
    </row>
    <row r="165" spans="1:7" ht="15" x14ac:dyDescent="0.25">
      <c r="A165" s="6"/>
      <c r="B165" s="7"/>
      <c r="C165" s="14"/>
      <c r="D165" s="7"/>
      <c r="E165" s="46"/>
      <c r="F165" s="51"/>
      <c r="G165" s="5"/>
    </row>
    <row r="166" spans="1:7" ht="25.5" x14ac:dyDescent="0.25">
      <c r="A166" s="6"/>
      <c r="B166" s="7"/>
      <c r="C166" s="8" t="s">
        <v>127</v>
      </c>
      <c r="D166" s="9"/>
      <c r="E166" s="47"/>
      <c r="F166" s="52"/>
      <c r="G166" s="10"/>
    </row>
    <row r="167" spans="1:7" ht="15" x14ac:dyDescent="0.25">
      <c r="A167" s="6"/>
      <c r="B167" s="7"/>
      <c r="C167" s="8" t="s">
        <v>104</v>
      </c>
      <c r="D167" s="25"/>
      <c r="E167" s="48"/>
      <c r="F167" s="53">
        <v>0</v>
      </c>
      <c r="G167" s="13">
        <v>0</v>
      </c>
    </row>
    <row r="168" spans="1:7" ht="15" x14ac:dyDescent="0.25">
      <c r="A168" s="6"/>
      <c r="B168" s="7"/>
      <c r="C168" s="14"/>
      <c r="D168" s="7"/>
      <c r="E168" s="46"/>
      <c r="F168" s="56"/>
      <c r="G168" s="27"/>
    </row>
    <row r="169" spans="1:7" ht="25.5" x14ac:dyDescent="0.25">
      <c r="A169" s="6"/>
      <c r="B169" s="7"/>
      <c r="C169" s="29" t="s">
        <v>128</v>
      </c>
      <c r="D169" s="7"/>
      <c r="E169" s="46"/>
      <c r="F169" s="56">
        <v>5.5317676000000002</v>
      </c>
      <c r="G169" s="27">
        <v>2.559258E-3</v>
      </c>
    </row>
    <row r="170" spans="1:7" ht="15" x14ac:dyDescent="0.25">
      <c r="A170" s="6"/>
      <c r="B170" s="7"/>
      <c r="C170" s="30" t="s">
        <v>129</v>
      </c>
      <c r="D170" s="12"/>
      <c r="E170" s="48"/>
      <c r="F170" s="53">
        <v>2161.4730697</v>
      </c>
      <c r="G170" s="13">
        <v>1.0000000020000002</v>
      </c>
    </row>
    <row r="172" spans="1:7" ht="15" x14ac:dyDescent="0.25">
      <c r="B172" s="279"/>
      <c r="C172" s="279"/>
      <c r="D172" s="279"/>
      <c r="E172" s="279"/>
      <c r="F172" s="279"/>
    </row>
    <row r="173" spans="1:7" ht="15" x14ac:dyDescent="0.25">
      <c r="B173" s="279"/>
      <c r="C173" s="279"/>
      <c r="D173" s="279"/>
      <c r="E173" s="279"/>
      <c r="F173" s="279"/>
    </row>
    <row r="175" spans="1:7" ht="15" x14ac:dyDescent="0.25">
      <c r="B175" s="36" t="s">
        <v>131</v>
      </c>
      <c r="C175" s="37"/>
      <c r="D175" s="38"/>
    </row>
    <row r="176" spans="1:7" ht="15" x14ac:dyDescent="0.25">
      <c r="B176" s="39" t="s">
        <v>132</v>
      </c>
      <c r="C176" s="40"/>
      <c r="D176" s="62" t="s">
        <v>133</v>
      </c>
    </row>
    <row r="177" spans="2:4" ht="15" x14ac:dyDescent="0.25">
      <c r="B177" s="39" t="s">
        <v>134</v>
      </c>
      <c r="C177" s="40"/>
      <c r="D177" s="62" t="s">
        <v>133</v>
      </c>
    </row>
    <row r="178" spans="2:4" ht="15" x14ac:dyDescent="0.25">
      <c r="B178" s="41" t="s">
        <v>135</v>
      </c>
      <c r="C178" s="40"/>
      <c r="D178" s="42"/>
    </row>
    <row r="179" spans="2:4" ht="25.5" customHeight="1" x14ac:dyDescent="0.25">
      <c r="B179" s="42"/>
      <c r="C179" s="32" t="s">
        <v>136</v>
      </c>
      <c r="D179" s="33" t="s">
        <v>137</v>
      </c>
    </row>
    <row r="180" spans="2:4" ht="12.75" customHeight="1" x14ac:dyDescent="0.25">
      <c r="B180" s="57" t="s">
        <v>138</v>
      </c>
      <c r="C180" s="58" t="s">
        <v>139</v>
      </c>
      <c r="D180" s="58" t="s">
        <v>140</v>
      </c>
    </row>
    <row r="181" spans="2:4" ht="15" x14ac:dyDescent="0.25">
      <c r="B181" s="42" t="s">
        <v>141</v>
      </c>
      <c r="C181" s="43">
        <v>11.995799999999999</v>
      </c>
      <c r="D181" s="43">
        <v>11.198399999999999</v>
      </c>
    </row>
    <row r="182" spans="2:4" ht="15" x14ac:dyDescent="0.25">
      <c r="B182" s="42" t="s">
        <v>142</v>
      </c>
      <c r="C182" s="43">
        <v>11.4824</v>
      </c>
      <c r="D182" s="43">
        <v>10.719099999999999</v>
      </c>
    </row>
    <row r="183" spans="2:4" ht="15" x14ac:dyDescent="0.25">
      <c r="B183" s="42" t="s">
        <v>143</v>
      </c>
      <c r="C183" s="43">
        <v>11.754899999999999</v>
      </c>
      <c r="D183" s="43">
        <v>10.968500000000001</v>
      </c>
    </row>
    <row r="184" spans="2:4" ht="15" x14ac:dyDescent="0.25">
      <c r="B184" s="42" t="s">
        <v>144</v>
      </c>
      <c r="C184" s="43">
        <v>11.2475</v>
      </c>
      <c r="D184" s="43">
        <v>10.494999999999999</v>
      </c>
    </row>
    <row r="186" spans="2:4" ht="15" x14ac:dyDescent="0.25">
      <c r="B186" s="59" t="s">
        <v>145</v>
      </c>
      <c r="C186" s="44"/>
      <c r="D186" s="60" t="s">
        <v>133</v>
      </c>
    </row>
    <row r="187" spans="2:4" ht="24.75" customHeight="1" x14ac:dyDescent="0.25">
      <c r="B187" s="61"/>
      <c r="C187" s="61"/>
    </row>
    <row r="188" spans="2:4" ht="15" x14ac:dyDescent="0.25">
      <c r="B188" s="63"/>
      <c r="C188" s="65"/>
      <c r="D188"/>
    </row>
    <row r="190" spans="2:4" ht="15" x14ac:dyDescent="0.25">
      <c r="B190" s="41" t="s">
        <v>146</v>
      </c>
      <c r="C190" s="40"/>
      <c r="D190" s="64" t="s">
        <v>133</v>
      </c>
    </row>
    <row r="191" spans="2:4" ht="15" x14ac:dyDescent="0.25">
      <c r="B191" s="41" t="s">
        <v>147</v>
      </c>
      <c r="C191" s="40"/>
      <c r="D191" s="64" t="s">
        <v>133</v>
      </c>
    </row>
    <row r="192" spans="2:4" ht="15" x14ac:dyDescent="0.25">
      <c r="B192" s="41" t="s">
        <v>148</v>
      </c>
      <c r="C192" s="40"/>
      <c r="D192" s="45">
        <v>2.3647801656852343E-2</v>
      </c>
    </row>
    <row r="193" spans="2:4" ht="15" x14ac:dyDescent="0.25">
      <c r="B193" s="41" t="s">
        <v>149</v>
      </c>
      <c r="C193" s="40"/>
      <c r="D193" s="45" t="s">
        <v>133</v>
      </c>
    </row>
  </sheetData>
  <mergeCells count="5">
    <mergeCell ref="A1:G1"/>
    <mergeCell ref="A2:G2"/>
    <mergeCell ref="A3:G3"/>
    <mergeCell ref="B172:F172"/>
    <mergeCell ref="B173:F17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V149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692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3947721</v>
      </c>
      <c r="F7" s="51">
        <v>16762.023366000001</v>
      </c>
      <c r="G7" s="5">
        <v>6.7673380000000005E-2</v>
      </c>
    </row>
    <row r="8" spans="1:7" ht="15" x14ac:dyDescent="0.25">
      <c r="A8" s="6">
        <v>2</v>
      </c>
      <c r="B8" s="7" t="s">
        <v>33</v>
      </c>
      <c r="C8" s="11" t="s">
        <v>34</v>
      </c>
      <c r="D8" s="2" t="s">
        <v>13</v>
      </c>
      <c r="E8" s="46">
        <v>625597</v>
      </c>
      <c r="F8" s="51">
        <v>14086.2548505</v>
      </c>
      <c r="G8" s="5">
        <v>5.6870490000000003E-2</v>
      </c>
    </row>
    <row r="9" spans="1:7" ht="15" x14ac:dyDescent="0.25">
      <c r="A9" s="6">
        <v>3</v>
      </c>
      <c r="B9" s="7" t="s">
        <v>412</v>
      </c>
      <c r="C9" s="11" t="s">
        <v>413</v>
      </c>
      <c r="D9" s="2" t="s">
        <v>162</v>
      </c>
      <c r="E9" s="46">
        <v>351331</v>
      </c>
      <c r="F9" s="51">
        <v>11425.459785499999</v>
      </c>
      <c r="G9" s="5">
        <v>4.6128052000000003E-2</v>
      </c>
    </row>
    <row r="10" spans="1:7" ht="25.5" x14ac:dyDescent="0.25">
      <c r="A10" s="6">
        <v>4</v>
      </c>
      <c r="B10" s="7" t="s">
        <v>17</v>
      </c>
      <c r="C10" s="11" t="s">
        <v>18</v>
      </c>
      <c r="D10" s="2" t="s">
        <v>19</v>
      </c>
      <c r="E10" s="46">
        <v>792788</v>
      </c>
      <c r="F10" s="51">
        <v>10998.347924</v>
      </c>
      <c r="G10" s="5">
        <v>4.4403671999999998E-2</v>
      </c>
    </row>
    <row r="11" spans="1:7" ht="15" x14ac:dyDescent="0.25">
      <c r="A11" s="6">
        <v>5</v>
      </c>
      <c r="B11" s="7" t="s">
        <v>394</v>
      </c>
      <c r="C11" s="11" t="s">
        <v>395</v>
      </c>
      <c r="D11" s="2" t="s">
        <v>13</v>
      </c>
      <c r="E11" s="46">
        <v>1566415</v>
      </c>
      <c r="F11" s="51">
        <v>10559.203514999999</v>
      </c>
      <c r="G11" s="5">
        <v>4.2630712000000001E-2</v>
      </c>
    </row>
    <row r="12" spans="1:7" ht="25.5" x14ac:dyDescent="0.25">
      <c r="A12" s="6">
        <v>6</v>
      </c>
      <c r="B12" s="7" t="s">
        <v>40</v>
      </c>
      <c r="C12" s="11" t="s">
        <v>41</v>
      </c>
      <c r="D12" s="2" t="s">
        <v>42</v>
      </c>
      <c r="E12" s="46">
        <v>879095</v>
      </c>
      <c r="F12" s="51">
        <v>10252.4454375</v>
      </c>
      <c r="G12" s="5">
        <v>4.1392236999999998E-2</v>
      </c>
    </row>
    <row r="13" spans="1:7" ht="15" x14ac:dyDescent="0.25">
      <c r="A13" s="6">
        <v>7</v>
      </c>
      <c r="B13" s="7" t="s">
        <v>14</v>
      </c>
      <c r="C13" s="11" t="s">
        <v>15</v>
      </c>
      <c r="D13" s="2" t="s">
        <v>16</v>
      </c>
      <c r="E13" s="46">
        <v>1070287</v>
      </c>
      <c r="F13" s="51">
        <v>7881.593468</v>
      </c>
      <c r="G13" s="5">
        <v>3.1820386999999999E-2</v>
      </c>
    </row>
    <row r="14" spans="1:7" ht="15" x14ac:dyDescent="0.25">
      <c r="A14" s="6">
        <v>8</v>
      </c>
      <c r="B14" s="7" t="s">
        <v>47</v>
      </c>
      <c r="C14" s="11" t="s">
        <v>48</v>
      </c>
      <c r="D14" s="2" t="s">
        <v>13</v>
      </c>
      <c r="E14" s="46">
        <v>1920379</v>
      </c>
      <c r="F14" s="51">
        <v>6379.4990379999999</v>
      </c>
      <c r="G14" s="5">
        <v>2.5755976E-2</v>
      </c>
    </row>
    <row r="15" spans="1:7" ht="25.5" x14ac:dyDescent="0.25">
      <c r="A15" s="6">
        <v>9</v>
      </c>
      <c r="B15" s="7" t="s">
        <v>310</v>
      </c>
      <c r="C15" s="11" t="s">
        <v>311</v>
      </c>
      <c r="D15" s="2" t="s">
        <v>37</v>
      </c>
      <c r="E15" s="46">
        <v>977256</v>
      </c>
      <c r="F15" s="51">
        <v>6243.6885840000004</v>
      </c>
      <c r="G15" s="5">
        <v>2.5207667999999999E-2</v>
      </c>
    </row>
    <row r="16" spans="1:7" ht="25.5" x14ac:dyDescent="0.25">
      <c r="A16" s="6">
        <v>10</v>
      </c>
      <c r="B16" s="7" t="s">
        <v>390</v>
      </c>
      <c r="C16" s="11" t="s">
        <v>391</v>
      </c>
      <c r="D16" s="2" t="s">
        <v>162</v>
      </c>
      <c r="E16" s="46">
        <v>776221</v>
      </c>
      <c r="F16" s="51">
        <v>6190.7505854999999</v>
      </c>
      <c r="G16" s="5">
        <v>2.4993940999999999E-2</v>
      </c>
    </row>
    <row r="17" spans="1:7" ht="25.5" x14ac:dyDescent="0.25">
      <c r="A17" s="6">
        <v>11</v>
      </c>
      <c r="B17" s="7" t="s">
        <v>406</v>
      </c>
      <c r="C17" s="11" t="s">
        <v>407</v>
      </c>
      <c r="D17" s="2" t="s">
        <v>162</v>
      </c>
      <c r="E17" s="46">
        <v>490791</v>
      </c>
      <c r="F17" s="51">
        <v>5925.5651385000001</v>
      </c>
      <c r="G17" s="5">
        <v>2.3923307000000001E-2</v>
      </c>
    </row>
    <row r="18" spans="1:7" ht="15" x14ac:dyDescent="0.25">
      <c r="A18" s="6">
        <v>12</v>
      </c>
      <c r="B18" s="7" t="s">
        <v>435</v>
      </c>
      <c r="C18" s="11" t="s">
        <v>436</v>
      </c>
      <c r="D18" s="2" t="s">
        <v>215</v>
      </c>
      <c r="E18" s="46">
        <v>265041</v>
      </c>
      <c r="F18" s="51">
        <v>5846.0093370000004</v>
      </c>
      <c r="G18" s="5">
        <v>2.3602115999999999E-2</v>
      </c>
    </row>
    <row r="19" spans="1:7" ht="15" x14ac:dyDescent="0.25">
      <c r="A19" s="6">
        <v>13</v>
      </c>
      <c r="B19" s="7" t="s">
        <v>504</v>
      </c>
      <c r="C19" s="11" t="s">
        <v>505</v>
      </c>
      <c r="D19" s="2" t="s">
        <v>215</v>
      </c>
      <c r="E19" s="46">
        <v>901571</v>
      </c>
      <c r="F19" s="51">
        <v>5736.2454875000003</v>
      </c>
      <c r="G19" s="5">
        <v>2.3158966E-2</v>
      </c>
    </row>
    <row r="20" spans="1:7" ht="25.5" x14ac:dyDescent="0.25">
      <c r="A20" s="6">
        <v>14</v>
      </c>
      <c r="B20" s="7" t="s">
        <v>318</v>
      </c>
      <c r="C20" s="11" t="s">
        <v>319</v>
      </c>
      <c r="D20" s="2" t="s">
        <v>162</v>
      </c>
      <c r="E20" s="46">
        <v>2055125</v>
      </c>
      <c r="F20" s="51">
        <v>5336.1320624999998</v>
      </c>
      <c r="G20" s="5">
        <v>2.1543586E-2</v>
      </c>
    </row>
    <row r="21" spans="1:7" ht="25.5" x14ac:dyDescent="0.25">
      <c r="A21" s="6">
        <v>15</v>
      </c>
      <c r="B21" s="7" t="s">
        <v>429</v>
      </c>
      <c r="C21" s="11" t="s">
        <v>430</v>
      </c>
      <c r="D21" s="2" t="s">
        <v>30</v>
      </c>
      <c r="E21" s="46">
        <v>444762</v>
      </c>
      <c r="F21" s="51">
        <v>5091.4129949999997</v>
      </c>
      <c r="G21" s="5">
        <v>2.0555581E-2</v>
      </c>
    </row>
    <row r="22" spans="1:7" ht="25.5" x14ac:dyDescent="0.25">
      <c r="A22" s="6">
        <v>16</v>
      </c>
      <c r="B22" s="7" t="s">
        <v>396</v>
      </c>
      <c r="C22" s="11" t="s">
        <v>397</v>
      </c>
      <c r="D22" s="2" t="s">
        <v>37</v>
      </c>
      <c r="E22" s="46">
        <v>1822999</v>
      </c>
      <c r="F22" s="51">
        <v>4925.7432980000003</v>
      </c>
      <c r="G22" s="5">
        <v>1.9886721999999999E-2</v>
      </c>
    </row>
    <row r="23" spans="1:7" ht="15" x14ac:dyDescent="0.25">
      <c r="A23" s="6">
        <v>17</v>
      </c>
      <c r="B23" s="7" t="s">
        <v>491</v>
      </c>
      <c r="C23" s="11" t="s">
        <v>492</v>
      </c>
      <c r="D23" s="2" t="s">
        <v>215</v>
      </c>
      <c r="E23" s="46">
        <v>580582</v>
      </c>
      <c r="F23" s="51">
        <v>4607.7890429999998</v>
      </c>
      <c r="G23" s="5">
        <v>1.8603043999999999E-2</v>
      </c>
    </row>
    <row r="24" spans="1:7" ht="25.5" x14ac:dyDescent="0.25">
      <c r="A24" s="6">
        <v>18</v>
      </c>
      <c r="B24" s="7" t="s">
        <v>388</v>
      </c>
      <c r="C24" s="11" t="s">
        <v>389</v>
      </c>
      <c r="D24" s="2" t="s">
        <v>59</v>
      </c>
      <c r="E24" s="46">
        <v>1860580</v>
      </c>
      <c r="F24" s="51">
        <v>4278.4037099999996</v>
      </c>
      <c r="G24" s="5">
        <v>1.7273215000000001E-2</v>
      </c>
    </row>
    <row r="25" spans="1:7" ht="25.5" x14ac:dyDescent="0.25">
      <c r="A25" s="6">
        <v>19</v>
      </c>
      <c r="B25" s="7" t="s">
        <v>324</v>
      </c>
      <c r="C25" s="11" t="s">
        <v>325</v>
      </c>
      <c r="D25" s="2" t="s">
        <v>37</v>
      </c>
      <c r="E25" s="46">
        <v>35760</v>
      </c>
      <c r="F25" s="51">
        <v>3898.6803599999998</v>
      </c>
      <c r="G25" s="5">
        <v>1.5740157000000001E-2</v>
      </c>
    </row>
    <row r="26" spans="1:7" ht="25.5" x14ac:dyDescent="0.25">
      <c r="A26" s="6">
        <v>20</v>
      </c>
      <c r="B26" s="7" t="s">
        <v>28</v>
      </c>
      <c r="C26" s="11" t="s">
        <v>29</v>
      </c>
      <c r="D26" s="2" t="s">
        <v>30</v>
      </c>
      <c r="E26" s="46">
        <v>16650</v>
      </c>
      <c r="F26" s="51">
        <v>3855.0244499999999</v>
      </c>
      <c r="G26" s="5">
        <v>1.5563904999999999E-2</v>
      </c>
    </row>
    <row r="27" spans="1:7" ht="15" x14ac:dyDescent="0.25">
      <c r="A27" s="6">
        <v>21</v>
      </c>
      <c r="B27" s="7" t="s">
        <v>336</v>
      </c>
      <c r="C27" s="11" t="s">
        <v>337</v>
      </c>
      <c r="D27" s="2" t="s">
        <v>184</v>
      </c>
      <c r="E27" s="46">
        <v>847178</v>
      </c>
      <c r="F27" s="51">
        <v>3716.9934750000002</v>
      </c>
      <c r="G27" s="5">
        <v>1.5006632000000001E-2</v>
      </c>
    </row>
    <row r="28" spans="1:7" ht="15" x14ac:dyDescent="0.25">
      <c r="A28" s="6">
        <v>22</v>
      </c>
      <c r="B28" s="7" t="s">
        <v>299</v>
      </c>
      <c r="C28" s="11" t="s">
        <v>300</v>
      </c>
      <c r="D28" s="2" t="s">
        <v>13</v>
      </c>
      <c r="E28" s="46">
        <v>3945596</v>
      </c>
      <c r="F28" s="51">
        <v>3645.7307040000001</v>
      </c>
      <c r="G28" s="5">
        <v>1.4718922000000001E-2</v>
      </c>
    </row>
    <row r="29" spans="1:7" ht="25.5" x14ac:dyDescent="0.25">
      <c r="A29" s="6">
        <v>23</v>
      </c>
      <c r="B29" s="7" t="s">
        <v>392</v>
      </c>
      <c r="C29" s="11" t="s">
        <v>393</v>
      </c>
      <c r="D29" s="2" t="s">
        <v>37</v>
      </c>
      <c r="E29" s="46">
        <v>299933</v>
      </c>
      <c r="F29" s="51">
        <v>3602.9451625000002</v>
      </c>
      <c r="G29" s="5">
        <v>1.4546184E-2</v>
      </c>
    </row>
    <row r="30" spans="1:7" ht="25.5" x14ac:dyDescent="0.25">
      <c r="A30" s="6">
        <v>24</v>
      </c>
      <c r="B30" s="7" t="s">
        <v>180</v>
      </c>
      <c r="C30" s="11" t="s">
        <v>181</v>
      </c>
      <c r="D30" s="2" t="s">
        <v>173</v>
      </c>
      <c r="E30" s="46">
        <v>237420</v>
      </c>
      <c r="F30" s="51">
        <v>3602.3736600000002</v>
      </c>
      <c r="G30" s="5">
        <v>1.4543877E-2</v>
      </c>
    </row>
    <row r="31" spans="1:7" ht="25.5" x14ac:dyDescent="0.25">
      <c r="A31" s="6">
        <v>25</v>
      </c>
      <c r="B31" s="7" t="s">
        <v>31</v>
      </c>
      <c r="C31" s="11" t="s">
        <v>32</v>
      </c>
      <c r="D31" s="2" t="s">
        <v>30</v>
      </c>
      <c r="E31" s="46">
        <v>321318</v>
      </c>
      <c r="F31" s="51">
        <v>3533.0520689999998</v>
      </c>
      <c r="G31" s="5">
        <v>1.4264004E-2</v>
      </c>
    </row>
    <row r="32" spans="1:7" ht="15" x14ac:dyDescent="0.25">
      <c r="A32" s="6">
        <v>26</v>
      </c>
      <c r="B32" s="7" t="s">
        <v>420</v>
      </c>
      <c r="C32" s="11" t="s">
        <v>421</v>
      </c>
      <c r="D32" s="2" t="s">
        <v>226</v>
      </c>
      <c r="E32" s="46">
        <v>640300</v>
      </c>
      <c r="F32" s="51">
        <v>3521.65</v>
      </c>
      <c r="G32" s="5">
        <v>1.4217970999999999E-2</v>
      </c>
    </row>
    <row r="33" spans="1:7" ht="25.5" x14ac:dyDescent="0.25">
      <c r="A33" s="6">
        <v>27</v>
      </c>
      <c r="B33" s="7" t="s">
        <v>35</v>
      </c>
      <c r="C33" s="11" t="s">
        <v>36</v>
      </c>
      <c r="D33" s="2" t="s">
        <v>37</v>
      </c>
      <c r="E33" s="46">
        <v>796564</v>
      </c>
      <c r="F33" s="51">
        <v>3402.523126</v>
      </c>
      <c r="G33" s="5">
        <v>1.3737019E-2</v>
      </c>
    </row>
    <row r="34" spans="1:7" ht="25.5" x14ac:dyDescent="0.25">
      <c r="A34" s="6">
        <v>28</v>
      </c>
      <c r="B34" s="7" t="s">
        <v>23</v>
      </c>
      <c r="C34" s="11" t="s">
        <v>24</v>
      </c>
      <c r="D34" s="2" t="s">
        <v>22</v>
      </c>
      <c r="E34" s="46">
        <v>611247</v>
      </c>
      <c r="F34" s="51">
        <v>3360.9416295000001</v>
      </c>
      <c r="G34" s="5">
        <v>1.3569141999999999E-2</v>
      </c>
    </row>
    <row r="35" spans="1:7" ht="25.5" x14ac:dyDescent="0.25">
      <c r="A35" s="6">
        <v>29</v>
      </c>
      <c r="B35" s="7" t="s">
        <v>293</v>
      </c>
      <c r="C35" s="11" t="s">
        <v>294</v>
      </c>
      <c r="D35" s="2" t="s">
        <v>167</v>
      </c>
      <c r="E35" s="46">
        <v>248251</v>
      </c>
      <c r="F35" s="51">
        <v>3355.3605160000002</v>
      </c>
      <c r="G35" s="5">
        <v>1.3546610000000001E-2</v>
      </c>
    </row>
    <row r="36" spans="1:7" ht="25.5" x14ac:dyDescent="0.25">
      <c r="A36" s="6">
        <v>30</v>
      </c>
      <c r="B36" s="7" t="s">
        <v>326</v>
      </c>
      <c r="C36" s="11" t="s">
        <v>327</v>
      </c>
      <c r="D36" s="2" t="s">
        <v>37</v>
      </c>
      <c r="E36" s="46">
        <v>1001033</v>
      </c>
      <c r="F36" s="51">
        <v>3204.3066330000001</v>
      </c>
      <c r="G36" s="5">
        <v>1.2936759000000001E-2</v>
      </c>
    </row>
    <row r="37" spans="1:7" ht="15" x14ac:dyDescent="0.25">
      <c r="A37" s="6">
        <v>31</v>
      </c>
      <c r="B37" s="7" t="s">
        <v>398</v>
      </c>
      <c r="C37" s="11" t="s">
        <v>399</v>
      </c>
      <c r="D37" s="2" t="s">
        <v>226</v>
      </c>
      <c r="E37" s="46">
        <v>135461</v>
      </c>
      <c r="F37" s="51">
        <v>3191.5966210000001</v>
      </c>
      <c r="G37" s="5">
        <v>1.2885445000000001E-2</v>
      </c>
    </row>
    <row r="38" spans="1:7" ht="15" x14ac:dyDescent="0.25">
      <c r="A38" s="6">
        <v>32</v>
      </c>
      <c r="B38" s="7" t="s">
        <v>62</v>
      </c>
      <c r="C38" s="11" t="s">
        <v>63</v>
      </c>
      <c r="D38" s="2" t="s">
        <v>16</v>
      </c>
      <c r="E38" s="46">
        <v>3010398</v>
      </c>
      <c r="F38" s="51">
        <v>3067.595562</v>
      </c>
      <c r="G38" s="5">
        <v>1.2384815E-2</v>
      </c>
    </row>
    <row r="39" spans="1:7" ht="15" x14ac:dyDescent="0.25">
      <c r="A39" s="6">
        <v>33</v>
      </c>
      <c r="B39" s="7" t="s">
        <v>514</v>
      </c>
      <c r="C39" s="11" t="s">
        <v>515</v>
      </c>
      <c r="D39" s="2" t="s">
        <v>215</v>
      </c>
      <c r="E39" s="46">
        <v>295000</v>
      </c>
      <c r="F39" s="51">
        <v>3051.9225000000001</v>
      </c>
      <c r="G39" s="5">
        <v>1.2321538E-2</v>
      </c>
    </row>
    <row r="40" spans="1:7" ht="15" x14ac:dyDescent="0.25">
      <c r="A40" s="6">
        <v>34</v>
      </c>
      <c r="B40" s="7" t="s">
        <v>353</v>
      </c>
      <c r="C40" s="11" t="s">
        <v>354</v>
      </c>
      <c r="D40" s="2" t="s">
        <v>215</v>
      </c>
      <c r="E40" s="46">
        <v>314896</v>
      </c>
      <c r="F40" s="51">
        <v>2956.558544</v>
      </c>
      <c r="G40" s="5">
        <v>1.1936525E-2</v>
      </c>
    </row>
    <row r="41" spans="1:7" ht="25.5" x14ac:dyDescent="0.25">
      <c r="A41" s="6">
        <v>35</v>
      </c>
      <c r="B41" s="7" t="s">
        <v>355</v>
      </c>
      <c r="C41" s="11" t="s">
        <v>356</v>
      </c>
      <c r="D41" s="2" t="s">
        <v>22</v>
      </c>
      <c r="E41" s="46">
        <v>869558</v>
      </c>
      <c r="F41" s="51">
        <v>2867.3675050000002</v>
      </c>
      <c r="G41" s="5">
        <v>1.1576434E-2</v>
      </c>
    </row>
    <row r="42" spans="1:7" ht="25.5" x14ac:dyDescent="0.25">
      <c r="A42" s="6">
        <v>36</v>
      </c>
      <c r="B42" s="7" t="s">
        <v>334</v>
      </c>
      <c r="C42" s="11" t="s">
        <v>335</v>
      </c>
      <c r="D42" s="2" t="s">
        <v>22</v>
      </c>
      <c r="E42" s="46">
        <v>1581570</v>
      </c>
      <c r="F42" s="51">
        <v>2830.2195149999998</v>
      </c>
      <c r="G42" s="5">
        <v>1.1426456E-2</v>
      </c>
    </row>
    <row r="43" spans="1:7" ht="25.5" x14ac:dyDescent="0.25">
      <c r="A43" s="6">
        <v>37</v>
      </c>
      <c r="B43" s="7" t="s">
        <v>350</v>
      </c>
      <c r="C43" s="11" t="s">
        <v>351</v>
      </c>
      <c r="D43" s="2" t="s">
        <v>352</v>
      </c>
      <c r="E43" s="46">
        <v>309197</v>
      </c>
      <c r="F43" s="51">
        <v>2580.0943665</v>
      </c>
      <c r="G43" s="5">
        <v>1.0416625000000001E-2</v>
      </c>
    </row>
    <row r="44" spans="1:7" ht="15" x14ac:dyDescent="0.25">
      <c r="A44" s="6">
        <v>38</v>
      </c>
      <c r="B44" s="7" t="s">
        <v>431</v>
      </c>
      <c r="C44" s="11" t="s">
        <v>432</v>
      </c>
      <c r="D44" s="2" t="s">
        <v>16</v>
      </c>
      <c r="E44" s="46">
        <v>59003</v>
      </c>
      <c r="F44" s="51">
        <v>2564.8014069999999</v>
      </c>
      <c r="G44" s="5">
        <v>1.0354881999999999E-2</v>
      </c>
    </row>
    <row r="45" spans="1:7" ht="15" x14ac:dyDescent="0.25">
      <c r="A45" s="6">
        <v>39</v>
      </c>
      <c r="B45" s="7" t="s">
        <v>338</v>
      </c>
      <c r="C45" s="11" t="s">
        <v>339</v>
      </c>
      <c r="D45" s="2" t="s">
        <v>162</v>
      </c>
      <c r="E45" s="46">
        <v>563725</v>
      </c>
      <c r="F45" s="51">
        <v>2351.8607000000002</v>
      </c>
      <c r="G45" s="5">
        <v>9.4951759999999993E-3</v>
      </c>
    </row>
    <row r="46" spans="1:7" ht="25.5" x14ac:dyDescent="0.25">
      <c r="A46" s="6">
        <v>40</v>
      </c>
      <c r="B46" s="7" t="s">
        <v>437</v>
      </c>
      <c r="C46" s="11" t="s">
        <v>438</v>
      </c>
      <c r="D46" s="2" t="s">
        <v>59</v>
      </c>
      <c r="E46" s="46">
        <v>220000</v>
      </c>
      <c r="F46" s="51">
        <v>2323.9699999999998</v>
      </c>
      <c r="G46" s="5">
        <v>9.382573E-3</v>
      </c>
    </row>
    <row r="47" spans="1:7" ht="15" x14ac:dyDescent="0.25">
      <c r="A47" s="6">
        <v>41</v>
      </c>
      <c r="B47" s="7" t="s">
        <v>54</v>
      </c>
      <c r="C47" s="11" t="s">
        <v>55</v>
      </c>
      <c r="D47" s="2" t="s">
        <v>56</v>
      </c>
      <c r="E47" s="46">
        <v>1679139</v>
      </c>
      <c r="F47" s="51">
        <v>2268.5167889999998</v>
      </c>
      <c r="G47" s="5">
        <v>9.1586910000000001E-3</v>
      </c>
    </row>
    <row r="48" spans="1:7" ht="15" x14ac:dyDescent="0.25">
      <c r="A48" s="6">
        <v>42</v>
      </c>
      <c r="B48" s="7" t="s">
        <v>373</v>
      </c>
      <c r="C48" s="11" t="s">
        <v>374</v>
      </c>
      <c r="D48" s="2" t="s">
        <v>13</v>
      </c>
      <c r="E48" s="46">
        <v>3555722</v>
      </c>
      <c r="F48" s="51">
        <v>2236.5491379999999</v>
      </c>
      <c r="G48" s="5">
        <v>9.0296279999999996E-3</v>
      </c>
    </row>
    <row r="49" spans="1:7" ht="25.5" x14ac:dyDescent="0.25">
      <c r="A49" s="6">
        <v>43</v>
      </c>
      <c r="B49" s="7" t="s">
        <v>308</v>
      </c>
      <c r="C49" s="11" t="s">
        <v>309</v>
      </c>
      <c r="D49" s="2" t="s">
        <v>22</v>
      </c>
      <c r="E49" s="46">
        <v>53281</v>
      </c>
      <c r="F49" s="51">
        <v>2227.2257215</v>
      </c>
      <c r="G49" s="5">
        <v>8.9919869999999999E-3</v>
      </c>
    </row>
    <row r="50" spans="1:7" ht="15" x14ac:dyDescent="0.25">
      <c r="A50" s="6">
        <v>44</v>
      </c>
      <c r="B50" s="7" t="s">
        <v>366</v>
      </c>
      <c r="C50" s="11" t="s">
        <v>367</v>
      </c>
      <c r="D50" s="2" t="s">
        <v>162</v>
      </c>
      <c r="E50" s="46">
        <v>2211895</v>
      </c>
      <c r="F50" s="51">
        <v>2190.8819975000001</v>
      </c>
      <c r="G50" s="5">
        <v>8.8452559999999993E-3</v>
      </c>
    </row>
    <row r="51" spans="1:7" ht="25.5" x14ac:dyDescent="0.25">
      <c r="A51" s="6">
        <v>45</v>
      </c>
      <c r="B51" s="7" t="s">
        <v>489</v>
      </c>
      <c r="C51" s="11" t="s">
        <v>490</v>
      </c>
      <c r="D51" s="2" t="s">
        <v>162</v>
      </c>
      <c r="E51" s="46">
        <v>102477</v>
      </c>
      <c r="F51" s="51">
        <v>2174.3569859999998</v>
      </c>
      <c r="G51" s="5">
        <v>8.7785399999999996E-3</v>
      </c>
    </row>
    <row r="52" spans="1:7" ht="51" x14ac:dyDescent="0.25">
      <c r="A52" s="6">
        <v>46</v>
      </c>
      <c r="B52" s="7" t="s">
        <v>471</v>
      </c>
      <c r="C52" s="11" t="s">
        <v>472</v>
      </c>
      <c r="D52" s="2" t="s">
        <v>235</v>
      </c>
      <c r="E52" s="46">
        <v>3600000</v>
      </c>
      <c r="F52" s="51">
        <v>2152.8000000000002</v>
      </c>
      <c r="G52" s="5">
        <v>8.6915080000000006E-3</v>
      </c>
    </row>
    <row r="53" spans="1:7" ht="15" x14ac:dyDescent="0.25">
      <c r="A53" s="6">
        <v>47</v>
      </c>
      <c r="B53" s="7" t="s">
        <v>264</v>
      </c>
      <c r="C53" s="11" t="s">
        <v>265</v>
      </c>
      <c r="D53" s="2" t="s">
        <v>162</v>
      </c>
      <c r="E53" s="46">
        <v>3028929</v>
      </c>
      <c r="F53" s="51">
        <v>2027.8679655000001</v>
      </c>
      <c r="G53" s="5">
        <v>8.1871189999999996E-3</v>
      </c>
    </row>
    <row r="54" spans="1:7" ht="15" x14ac:dyDescent="0.25">
      <c r="A54" s="6">
        <v>48</v>
      </c>
      <c r="B54" s="7" t="s">
        <v>187</v>
      </c>
      <c r="C54" s="11" t="s">
        <v>188</v>
      </c>
      <c r="D54" s="2" t="s">
        <v>162</v>
      </c>
      <c r="E54" s="46">
        <v>203068</v>
      </c>
      <c r="F54" s="51">
        <v>1863.250434</v>
      </c>
      <c r="G54" s="5">
        <v>7.5225079999999998E-3</v>
      </c>
    </row>
    <row r="55" spans="1:7" ht="15" x14ac:dyDescent="0.25">
      <c r="A55" s="6">
        <v>49</v>
      </c>
      <c r="B55" s="7" t="s">
        <v>236</v>
      </c>
      <c r="C55" s="11" t="s">
        <v>237</v>
      </c>
      <c r="D55" s="2" t="s">
        <v>238</v>
      </c>
      <c r="E55" s="46">
        <v>279561</v>
      </c>
      <c r="F55" s="51">
        <v>1681.9787564999999</v>
      </c>
      <c r="G55" s="5">
        <v>6.7906590000000001E-3</v>
      </c>
    </row>
    <row r="56" spans="1:7" ht="25.5" x14ac:dyDescent="0.25">
      <c r="A56" s="6">
        <v>50</v>
      </c>
      <c r="B56" s="7" t="s">
        <v>64</v>
      </c>
      <c r="C56" s="11" t="s">
        <v>65</v>
      </c>
      <c r="D56" s="2" t="s">
        <v>19</v>
      </c>
      <c r="E56" s="46">
        <v>2271703</v>
      </c>
      <c r="F56" s="51">
        <v>1661.7507445000001</v>
      </c>
      <c r="G56" s="5">
        <v>6.7089929999999999E-3</v>
      </c>
    </row>
    <row r="57" spans="1:7" ht="15" x14ac:dyDescent="0.25">
      <c r="A57" s="6">
        <v>51</v>
      </c>
      <c r="B57" s="7" t="s">
        <v>493</v>
      </c>
      <c r="C57" s="11" t="s">
        <v>494</v>
      </c>
      <c r="D57" s="2" t="s">
        <v>27</v>
      </c>
      <c r="E57" s="46">
        <v>1311413</v>
      </c>
      <c r="F57" s="51">
        <v>1659.5931515</v>
      </c>
      <c r="G57" s="5">
        <v>6.7002820000000001E-3</v>
      </c>
    </row>
    <row r="58" spans="1:7" ht="15" x14ac:dyDescent="0.25">
      <c r="A58" s="6">
        <v>52</v>
      </c>
      <c r="B58" s="7" t="s">
        <v>72</v>
      </c>
      <c r="C58" s="11" t="s">
        <v>845</v>
      </c>
      <c r="D58" s="2" t="s">
        <v>51</v>
      </c>
      <c r="E58" s="46">
        <v>696276</v>
      </c>
      <c r="F58" s="51">
        <v>1649.1297059999999</v>
      </c>
      <c r="G58" s="5">
        <v>6.6580379999999998E-3</v>
      </c>
    </row>
    <row r="59" spans="1:7" ht="25.5" x14ac:dyDescent="0.25">
      <c r="A59" s="6">
        <v>53</v>
      </c>
      <c r="B59" s="7" t="s">
        <v>165</v>
      </c>
      <c r="C59" s="11" t="s">
        <v>166</v>
      </c>
      <c r="D59" s="2" t="s">
        <v>167</v>
      </c>
      <c r="E59" s="46">
        <v>1337642</v>
      </c>
      <c r="F59" s="51">
        <v>1541.6324050000001</v>
      </c>
      <c r="G59" s="5">
        <v>6.2240380000000003E-3</v>
      </c>
    </row>
    <row r="60" spans="1:7" ht="25.5" x14ac:dyDescent="0.25">
      <c r="A60" s="6">
        <v>54</v>
      </c>
      <c r="B60" s="7" t="s">
        <v>185</v>
      </c>
      <c r="C60" s="11" t="s">
        <v>186</v>
      </c>
      <c r="D60" s="2" t="s">
        <v>59</v>
      </c>
      <c r="E60" s="46">
        <v>979560</v>
      </c>
      <c r="F60" s="51">
        <v>1236.6945000000001</v>
      </c>
      <c r="G60" s="5">
        <v>4.9929110000000001E-3</v>
      </c>
    </row>
    <row r="61" spans="1:7" ht="15" x14ac:dyDescent="0.25">
      <c r="A61" s="6">
        <v>55</v>
      </c>
      <c r="B61" s="7" t="s">
        <v>224</v>
      </c>
      <c r="C61" s="11" t="s">
        <v>225</v>
      </c>
      <c r="D61" s="2" t="s">
        <v>226</v>
      </c>
      <c r="E61" s="46">
        <v>101856</v>
      </c>
      <c r="F61" s="51">
        <v>1102.540272</v>
      </c>
      <c r="G61" s="5">
        <v>4.4512900000000001E-3</v>
      </c>
    </row>
    <row r="62" spans="1:7" ht="15" x14ac:dyDescent="0.25">
      <c r="A62" s="6">
        <v>56</v>
      </c>
      <c r="B62" s="7" t="s">
        <v>363</v>
      </c>
      <c r="C62" s="11" t="s">
        <v>364</v>
      </c>
      <c r="D62" s="2" t="s">
        <v>365</v>
      </c>
      <c r="E62" s="46">
        <v>24957</v>
      </c>
      <c r="F62" s="51">
        <v>765.70571700000005</v>
      </c>
      <c r="G62" s="5">
        <v>3.0913870000000001E-3</v>
      </c>
    </row>
    <row r="63" spans="1:7" ht="38.25" x14ac:dyDescent="0.25">
      <c r="A63" s="6">
        <v>57</v>
      </c>
      <c r="B63" s="7" t="s">
        <v>260</v>
      </c>
      <c r="C63" s="11" t="s">
        <v>261</v>
      </c>
      <c r="D63" s="2" t="s">
        <v>262</v>
      </c>
      <c r="E63" s="46">
        <v>573530</v>
      </c>
      <c r="F63" s="51">
        <v>525.92701</v>
      </c>
      <c r="G63" s="5">
        <v>2.1233269999999999E-3</v>
      </c>
    </row>
    <row r="64" spans="1:7" ht="15" x14ac:dyDescent="0.25">
      <c r="A64" s="1"/>
      <c r="B64" s="2"/>
      <c r="C64" s="8" t="s">
        <v>104</v>
      </c>
      <c r="D64" s="12"/>
      <c r="E64" s="48"/>
      <c r="F64" s="53">
        <v>241978.53742499996</v>
      </c>
      <c r="G64" s="13">
        <v>0.9769408650000001</v>
      </c>
    </row>
    <row r="65" spans="1:7" ht="15" x14ac:dyDescent="0.25">
      <c r="A65" s="6"/>
      <c r="B65" s="7"/>
      <c r="C65" s="14"/>
      <c r="D65" s="15"/>
      <c r="E65" s="46"/>
      <c r="F65" s="51"/>
      <c r="G65" s="5"/>
    </row>
    <row r="66" spans="1:7" ht="15" x14ac:dyDescent="0.25">
      <c r="A66" s="1"/>
      <c r="B66" s="2"/>
      <c r="C66" s="8" t="s">
        <v>105</v>
      </c>
      <c r="D66" s="9"/>
      <c r="E66" s="47"/>
      <c r="F66" s="52"/>
      <c r="G66" s="10"/>
    </row>
    <row r="67" spans="1:7" ht="15" x14ac:dyDescent="0.25">
      <c r="A67" s="1"/>
      <c r="B67" s="2"/>
      <c r="C67" s="8" t="s">
        <v>104</v>
      </c>
      <c r="D67" s="12"/>
      <c r="E67" s="48"/>
      <c r="F67" s="53">
        <v>0</v>
      </c>
      <c r="G67" s="13">
        <v>0</v>
      </c>
    </row>
    <row r="68" spans="1:7" ht="15" x14ac:dyDescent="0.25">
      <c r="A68" s="6"/>
      <c r="B68" s="7"/>
      <c r="C68" s="14"/>
      <c r="D68" s="15"/>
      <c r="E68" s="46"/>
      <c r="F68" s="51"/>
      <c r="G68" s="5"/>
    </row>
    <row r="69" spans="1:7" ht="15" x14ac:dyDescent="0.25">
      <c r="A69" s="16"/>
      <c r="B69" s="17"/>
      <c r="C69" s="8" t="s">
        <v>106</v>
      </c>
      <c r="D69" s="9"/>
      <c r="E69" s="47"/>
      <c r="F69" s="52"/>
      <c r="G69" s="10"/>
    </row>
    <row r="70" spans="1:7" ht="15" x14ac:dyDescent="0.25">
      <c r="A70" s="18"/>
      <c r="B70" s="19"/>
      <c r="C70" s="8" t="s">
        <v>104</v>
      </c>
      <c r="D70" s="20"/>
      <c r="E70" s="49"/>
      <c r="F70" s="54">
        <v>0</v>
      </c>
      <c r="G70" s="21">
        <v>0</v>
      </c>
    </row>
    <row r="71" spans="1:7" ht="15" x14ac:dyDescent="0.25">
      <c r="A71" s="18"/>
      <c r="B71" s="19"/>
      <c r="C71" s="14"/>
      <c r="D71" s="22"/>
      <c r="E71" s="50"/>
      <c r="F71" s="55"/>
      <c r="G71" s="23"/>
    </row>
    <row r="72" spans="1:7" ht="15" x14ac:dyDescent="0.25">
      <c r="A72" s="1"/>
      <c r="B72" s="2"/>
      <c r="C72" s="8" t="s">
        <v>108</v>
      </c>
      <c r="D72" s="9"/>
      <c r="E72" s="47"/>
      <c r="F72" s="52"/>
      <c r="G72" s="10"/>
    </row>
    <row r="73" spans="1:7" ht="15" x14ac:dyDescent="0.25">
      <c r="A73" s="1"/>
      <c r="B73" s="2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1"/>
      <c r="B74" s="2"/>
      <c r="C74" s="14"/>
      <c r="D74" s="4"/>
      <c r="E74" s="46"/>
      <c r="F74" s="51"/>
      <c r="G74" s="5"/>
    </row>
    <row r="75" spans="1:7" ht="15" x14ac:dyDescent="0.25">
      <c r="A75" s="1"/>
      <c r="B75" s="2"/>
      <c r="C75" s="8" t="s">
        <v>109</v>
      </c>
      <c r="D75" s="9"/>
      <c r="E75" s="47"/>
      <c r="F75" s="52"/>
      <c r="G75" s="10"/>
    </row>
    <row r="76" spans="1:7" ht="15" x14ac:dyDescent="0.25">
      <c r="A76" s="1"/>
      <c r="B76" s="2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15" x14ac:dyDescent="0.25">
      <c r="A78" s="1"/>
      <c r="B78" s="2"/>
      <c r="C78" s="8" t="s">
        <v>110</v>
      </c>
      <c r="D78" s="9"/>
      <c r="E78" s="47"/>
      <c r="F78" s="52"/>
      <c r="G78" s="10"/>
    </row>
    <row r="79" spans="1:7" ht="15" x14ac:dyDescent="0.25">
      <c r="A79" s="1"/>
      <c r="B79" s="2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1"/>
      <c r="B80" s="2"/>
      <c r="C80" s="14"/>
      <c r="D80" s="4"/>
      <c r="E80" s="46"/>
      <c r="F80" s="51"/>
      <c r="G80" s="5"/>
    </row>
    <row r="81" spans="1:7" ht="25.5" x14ac:dyDescent="0.25">
      <c r="A81" s="6"/>
      <c r="B81" s="7"/>
      <c r="C81" s="24" t="s">
        <v>111</v>
      </c>
      <c r="D81" s="25"/>
      <c r="E81" s="48"/>
      <c r="F81" s="53">
        <v>241978.53742499996</v>
      </c>
      <c r="G81" s="13">
        <v>0.9769408650000001</v>
      </c>
    </row>
    <row r="82" spans="1:7" ht="15" x14ac:dyDescent="0.25">
      <c r="A82" s="1"/>
      <c r="B82" s="2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112</v>
      </c>
      <c r="D83" s="4"/>
      <c r="E83" s="46"/>
      <c r="F83" s="51"/>
      <c r="G83" s="5"/>
    </row>
    <row r="84" spans="1:7" ht="25.5" x14ac:dyDescent="0.25">
      <c r="A84" s="1"/>
      <c r="B84" s="2"/>
      <c r="C84" s="8" t="s">
        <v>10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12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4"/>
      <c r="E86" s="46"/>
      <c r="F86" s="51"/>
      <c r="G86" s="5"/>
    </row>
    <row r="87" spans="1:7" ht="15" x14ac:dyDescent="0.25">
      <c r="A87" s="1"/>
      <c r="B87" s="26"/>
      <c r="C87" s="8" t="s">
        <v>113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12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4"/>
      <c r="E89" s="46"/>
      <c r="F89" s="56"/>
      <c r="G89" s="27"/>
    </row>
    <row r="90" spans="1:7" ht="15" x14ac:dyDescent="0.25">
      <c r="A90" s="1"/>
      <c r="B90" s="2"/>
      <c r="C90" s="8" t="s">
        <v>114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12"/>
      <c r="E91" s="48"/>
      <c r="F91" s="53">
        <v>0</v>
      </c>
      <c r="G91" s="13">
        <v>0</v>
      </c>
    </row>
    <row r="92" spans="1:7" ht="15" x14ac:dyDescent="0.25">
      <c r="A92" s="1"/>
      <c r="B92" s="2"/>
      <c r="C92" s="14"/>
      <c r="D92" s="4"/>
      <c r="E92" s="46"/>
      <c r="F92" s="51"/>
      <c r="G92" s="5"/>
    </row>
    <row r="93" spans="1:7" ht="25.5" x14ac:dyDescent="0.25">
      <c r="A93" s="1"/>
      <c r="B93" s="26"/>
      <c r="C93" s="8" t="s">
        <v>115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12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4"/>
      <c r="E95" s="46"/>
      <c r="F95" s="51"/>
      <c r="G95" s="5"/>
    </row>
    <row r="96" spans="1:7" ht="15" x14ac:dyDescent="0.25">
      <c r="A96" s="6"/>
      <c r="B96" s="7"/>
      <c r="C96" s="28" t="s">
        <v>116</v>
      </c>
      <c r="D96" s="25"/>
      <c r="E96" s="48"/>
      <c r="F96" s="53">
        <v>0</v>
      </c>
      <c r="G96" s="13">
        <v>0</v>
      </c>
    </row>
    <row r="97" spans="1:7" ht="15" x14ac:dyDescent="0.25">
      <c r="A97" s="6"/>
      <c r="B97" s="7"/>
      <c r="C97" s="11"/>
      <c r="D97" s="4"/>
      <c r="E97" s="46"/>
      <c r="F97" s="51"/>
      <c r="G97" s="5"/>
    </row>
    <row r="98" spans="1:7" ht="15" x14ac:dyDescent="0.25">
      <c r="A98" s="1"/>
      <c r="B98" s="2"/>
      <c r="C98" s="3" t="s">
        <v>117</v>
      </c>
      <c r="D98" s="4"/>
      <c r="E98" s="46"/>
      <c r="F98" s="51"/>
      <c r="G98" s="5"/>
    </row>
    <row r="99" spans="1:7" ht="15" x14ac:dyDescent="0.25">
      <c r="A99" s="6"/>
      <c r="B99" s="7"/>
      <c r="C99" s="8" t="s">
        <v>118</v>
      </c>
      <c r="D99" s="9"/>
      <c r="E99" s="47"/>
      <c r="F99" s="52"/>
      <c r="G99" s="10"/>
    </row>
    <row r="100" spans="1:7" ht="15" x14ac:dyDescent="0.25">
      <c r="A100" s="6"/>
      <c r="B100" s="7"/>
      <c r="C100" s="8" t="s">
        <v>104</v>
      </c>
      <c r="D100" s="25"/>
      <c r="E100" s="48"/>
      <c r="F100" s="53">
        <v>0</v>
      </c>
      <c r="G100" s="13">
        <v>0</v>
      </c>
    </row>
    <row r="101" spans="1:7" ht="15" x14ac:dyDescent="0.25">
      <c r="A101" s="6"/>
      <c r="B101" s="7"/>
      <c r="C101" s="14"/>
      <c r="D101" s="7"/>
      <c r="E101" s="46"/>
      <c r="F101" s="51"/>
      <c r="G101" s="5"/>
    </row>
    <row r="102" spans="1:7" ht="15" x14ac:dyDescent="0.25">
      <c r="A102" s="6"/>
      <c r="B102" s="7"/>
      <c r="C102" s="8" t="s">
        <v>119</v>
      </c>
      <c r="D102" s="9"/>
      <c r="E102" s="47"/>
      <c r="F102" s="52"/>
      <c r="G102" s="10"/>
    </row>
    <row r="103" spans="1:7" ht="15" x14ac:dyDescent="0.25">
      <c r="A103" s="6"/>
      <c r="B103" s="7"/>
      <c r="C103" s="8" t="s">
        <v>104</v>
      </c>
      <c r="D103" s="25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4"/>
      <c r="D104" s="7"/>
      <c r="E104" s="46"/>
      <c r="F104" s="51"/>
      <c r="G104" s="5"/>
    </row>
    <row r="105" spans="1:7" ht="15" x14ac:dyDescent="0.25">
      <c r="A105" s="6"/>
      <c r="B105" s="7"/>
      <c r="C105" s="8" t="s">
        <v>120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15" x14ac:dyDescent="0.25">
      <c r="A108" s="6"/>
      <c r="B108" s="7"/>
      <c r="C108" s="8" t="s">
        <v>121</v>
      </c>
      <c r="D108" s="9"/>
      <c r="E108" s="47"/>
      <c r="F108" s="52"/>
      <c r="G108" s="10"/>
    </row>
    <row r="109" spans="1:7" ht="15" x14ac:dyDescent="0.25">
      <c r="A109" s="6">
        <v>1</v>
      </c>
      <c r="B109" s="7"/>
      <c r="C109" s="11" t="s">
        <v>730</v>
      </c>
      <c r="D109" s="15"/>
      <c r="E109" s="46"/>
      <c r="F109" s="51">
        <v>5002.2339056999999</v>
      </c>
      <c r="G109" s="5">
        <v>2.0195537999999999E-2</v>
      </c>
    </row>
    <row r="110" spans="1:7" ht="15" x14ac:dyDescent="0.25">
      <c r="A110" s="6"/>
      <c r="B110" s="7"/>
      <c r="C110" s="8" t="s">
        <v>104</v>
      </c>
      <c r="D110" s="25"/>
      <c r="E110" s="48"/>
      <c r="F110" s="53">
        <v>5002.2339056999999</v>
      </c>
      <c r="G110" s="13">
        <v>2.0195537999999999E-2</v>
      </c>
    </row>
    <row r="111" spans="1:7" ht="15" x14ac:dyDescent="0.25">
      <c r="A111" s="6"/>
      <c r="B111" s="7"/>
      <c r="C111" s="14"/>
      <c r="D111" s="7"/>
      <c r="E111" s="46"/>
      <c r="F111" s="51"/>
      <c r="G111" s="5"/>
    </row>
    <row r="112" spans="1:7" ht="25.5" x14ac:dyDescent="0.25">
      <c r="A112" s="6"/>
      <c r="B112" s="7"/>
      <c r="C112" s="24" t="s">
        <v>122</v>
      </c>
      <c r="D112" s="25"/>
      <c r="E112" s="48"/>
      <c r="F112" s="53">
        <v>5002.2339056999999</v>
      </c>
      <c r="G112" s="13">
        <v>2.0195537999999999E-2</v>
      </c>
    </row>
    <row r="113" spans="1:7" ht="15" x14ac:dyDescent="0.25">
      <c r="A113" s="6"/>
      <c r="B113" s="7"/>
      <c r="C113" s="29"/>
      <c r="D113" s="7"/>
      <c r="E113" s="46"/>
      <c r="F113" s="51"/>
      <c r="G113" s="5"/>
    </row>
    <row r="114" spans="1:7" ht="15" x14ac:dyDescent="0.25">
      <c r="A114" s="1"/>
      <c r="B114" s="2"/>
      <c r="C114" s="3" t="s">
        <v>123</v>
      </c>
      <c r="D114" s="4"/>
      <c r="E114" s="46"/>
      <c r="F114" s="51"/>
      <c r="G114" s="5"/>
    </row>
    <row r="115" spans="1:7" ht="25.5" x14ac:dyDescent="0.25">
      <c r="A115" s="6"/>
      <c r="B115" s="7"/>
      <c r="C115" s="8" t="s">
        <v>124</v>
      </c>
      <c r="D115" s="9"/>
      <c r="E115" s="47"/>
      <c r="F115" s="52"/>
      <c r="G115" s="10"/>
    </row>
    <row r="116" spans="1:7" ht="15" x14ac:dyDescent="0.25">
      <c r="A116" s="6"/>
      <c r="B116" s="7"/>
      <c r="C116" s="8" t="s">
        <v>104</v>
      </c>
      <c r="D116" s="25"/>
      <c r="E116" s="48"/>
      <c r="F116" s="53">
        <v>0</v>
      </c>
      <c r="G116" s="13">
        <v>0</v>
      </c>
    </row>
    <row r="117" spans="1:7" ht="15" x14ac:dyDescent="0.25">
      <c r="A117" s="6"/>
      <c r="B117" s="7"/>
      <c r="C117" s="14"/>
      <c r="D117" s="7"/>
      <c r="E117" s="46"/>
      <c r="F117" s="51"/>
      <c r="G117" s="5"/>
    </row>
    <row r="118" spans="1:7" ht="15" x14ac:dyDescent="0.25">
      <c r="A118" s="1"/>
      <c r="B118" s="2"/>
      <c r="C118" s="3" t="s">
        <v>125</v>
      </c>
      <c r="D118" s="4"/>
      <c r="E118" s="46"/>
      <c r="F118" s="51"/>
      <c r="G118" s="5"/>
    </row>
    <row r="119" spans="1:7" ht="25.5" x14ac:dyDescent="0.25">
      <c r="A119" s="6"/>
      <c r="B119" s="7"/>
      <c r="C119" s="8" t="s">
        <v>126</v>
      </c>
      <c r="D119" s="9"/>
      <c r="E119" s="47"/>
      <c r="F119" s="52"/>
      <c r="G119" s="10"/>
    </row>
    <row r="120" spans="1:7" ht="15" x14ac:dyDescent="0.25">
      <c r="A120" s="6"/>
      <c r="B120" s="7"/>
      <c r="C120" s="8" t="s">
        <v>104</v>
      </c>
      <c r="D120" s="25"/>
      <c r="E120" s="48"/>
      <c r="F120" s="53">
        <v>0</v>
      </c>
      <c r="G120" s="13">
        <v>0</v>
      </c>
    </row>
    <row r="121" spans="1:7" ht="15" x14ac:dyDescent="0.25">
      <c r="A121" s="6"/>
      <c r="B121" s="7"/>
      <c r="C121" s="14"/>
      <c r="D121" s="7"/>
      <c r="E121" s="46"/>
      <c r="F121" s="51"/>
      <c r="G121" s="5"/>
    </row>
    <row r="122" spans="1:7" ht="25.5" x14ac:dyDescent="0.25">
      <c r="A122" s="6"/>
      <c r="B122" s="7"/>
      <c r="C122" s="8" t="s">
        <v>127</v>
      </c>
      <c r="D122" s="9"/>
      <c r="E122" s="47"/>
      <c r="F122" s="52"/>
      <c r="G122" s="10"/>
    </row>
    <row r="123" spans="1:7" ht="15" x14ac:dyDescent="0.25">
      <c r="A123" s="6"/>
      <c r="B123" s="7"/>
      <c r="C123" s="8" t="s">
        <v>104</v>
      </c>
      <c r="D123" s="25"/>
      <c r="E123" s="48"/>
      <c r="F123" s="53">
        <v>0</v>
      </c>
      <c r="G123" s="13">
        <v>0</v>
      </c>
    </row>
    <row r="124" spans="1:7" ht="15" x14ac:dyDescent="0.25">
      <c r="A124" s="6"/>
      <c r="B124" s="7"/>
      <c r="C124" s="14"/>
      <c r="D124" s="7"/>
      <c r="E124" s="46"/>
      <c r="F124" s="56"/>
      <c r="G124" s="27"/>
    </row>
    <row r="125" spans="1:7" ht="25.5" x14ac:dyDescent="0.25">
      <c r="A125" s="6"/>
      <c r="B125" s="7"/>
      <c r="C125" s="29" t="s">
        <v>128</v>
      </c>
      <c r="D125" s="7"/>
      <c r="E125" s="46"/>
      <c r="F125" s="56">
        <v>709.28463132000002</v>
      </c>
      <c r="G125" s="27">
        <v>2.8635980000000002E-3</v>
      </c>
    </row>
    <row r="126" spans="1:7" ht="15" x14ac:dyDescent="0.25">
      <c r="A126" s="6"/>
      <c r="B126" s="7"/>
      <c r="C126" s="30" t="s">
        <v>129</v>
      </c>
      <c r="D126" s="12"/>
      <c r="E126" s="48"/>
      <c r="F126" s="53">
        <v>247690.05596202001</v>
      </c>
      <c r="G126" s="13">
        <v>1.0000000010000001</v>
      </c>
    </row>
    <row r="128" spans="1:7" ht="15" x14ac:dyDescent="0.25">
      <c r="B128" s="279"/>
      <c r="C128" s="279"/>
      <c r="D128" s="279"/>
      <c r="E128" s="279"/>
      <c r="F128" s="279"/>
    </row>
    <row r="129" spans="2:6" ht="15" x14ac:dyDescent="0.25">
      <c r="B129" s="279"/>
      <c r="C129" s="279"/>
      <c r="D129" s="279"/>
      <c r="E129" s="279"/>
      <c r="F129" s="279"/>
    </row>
    <row r="131" spans="2:6" ht="15" x14ac:dyDescent="0.25">
      <c r="B131" s="36" t="s">
        <v>131</v>
      </c>
      <c r="C131" s="37"/>
      <c r="D131" s="38"/>
    </row>
    <row r="132" spans="2:6" ht="15" x14ac:dyDescent="0.25">
      <c r="B132" s="39" t="s">
        <v>132</v>
      </c>
      <c r="C132" s="40"/>
      <c r="D132" s="62" t="s">
        <v>133</v>
      </c>
    </row>
    <row r="133" spans="2:6" ht="15" x14ac:dyDescent="0.25">
      <c r="B133" s="39" t="s">
        <v>134</v>
      </c>
      <c r="C133" s="40"/>
      <c r="D133" s="62" t="s">
        <v>133</v>
      </c>
    </row>
    <row r="134" spans="2:6" ht="15" x14ac:dyDescent="0.25">
      <c r="B134" s="41" t="s">
        <v>135</v>
      </c>
      <c r="C134" s="40"/>
      <c r="D134" s="42"/>
    </row>
    <row r="135" spans="2:6" ht="25.5" customHeight="1" x14ac:dyDescent="0.25">
      <c r="B135" s="42"/>
      <c r="C135" s="32" t="s">
        <v>136</v>
      </c>
      <c r="D135" s="33" t="s">
        <v>137</v>
      </c>
    </row>
    <row r="136" spans="2:6" ht="12.75" customHeight="1" x14ac:dyDescent="0.25">
      <c r="B136" s="57" t="s">
        <v>138</v>
      </c>
      <c r="C136" s="58" t="s">
        <v>139</v>
      </c>
      <c r="D136" s="58" t="s">
        <v>140</v>
      </c>
    </row>
    <row r="137" spans="2:6" ht="15" x14ac:dyDescent="0.25">
      <c r="B137" s="42" t="s">
        <v>141</v>
      </c>
      <c r="C137" s="43">
        <v>105.34650000000001</v>
      </c>
      <c r="D137" s="43">
        <v>97.477099999999993</v>
      </c>
    </row>
    <row r="138" spans="2:6" ht="15" x14ac:dyDescent="0.25">
      <c r="B138" s="42" t="s">
        <v>142</v>
      </c>
      <c r="C138" s="43">
        <v>13.008100000000001</v>
      </c>
      <c r="D138" s="43">
        <v>12.0364</v>
      </c>
    </row>
    <row r="139" spans="2:6" ht="15" x14ac:dyDescent="0.25">
      <c r="B139" s="42" t="s">
        <v>143</v>
      </c>
      <c r="C139" s="43">
        <v>102.599</v>
      </c>
      <c r="D139" s="43">
        <v>94.906300000000002</v>
      </c>
    </row>
    <row r="140" spans="2:6" ht="15" x14ac:dyDescent="0.25">
      <c r="B140" s="42" t="s">
        <v>144</v>
      </c>
      <c r="C140" s="43">
        <v>11.3543</v>
      </c>
      <c r="D140" s="43">
        <v>10.503</v>
      </c>
    </row>
    <row r="142" spans="2:6" ht="15" x14ac:dyDescent="0.25">
      <c r="B142" s="59" t="s">
        <v>145</v>
      </c>
      <c r="C142" s="44"/>
      <c r="D142" s="60" t="s">
        <v>133</v>
      </c>
    </row>
    <row r="143" spans="2:6" ht="24.75" customHeight="1" x14ac:dyDescent="0.25">
      <c r="B143" s="61"/>
      <c r="C143" s="61"/>
    </row>
    <row r="144" spans="2:6" ht="15" x14ac:dyDescent="0.25">
      <c r="B144" s="63"/>
      <c r="C144" s="65"/>
      <c r="D144"/>
    </row>
    <row r="146" spans="2:4" ht="15" x14ac:dyDescent="0.25">
      <c r="B146" s="41" t="s">
        <v>146</v>
      </c>
      <c r="C146" s="40"/>
      <c r="D146" s="64" t="s">
        <v>133</v>
      </c>
    </row>
    <row r="147" spans="2:4" ht="15" x14ac:dyDescent="0.25">
      <c r="B147" s="41" t="s">
        <v>147</v>
      </c>
      <c r="C147" s="40"/>
      <c r="D147" s="64" t="s">
        <v>133</v>
      </c>
    </row>
    <row r="148" spans="2:4" ht="15" x14ac:dyDescent="0.25">
      <c r="B148" s="41" t="s">
        <v>148</v>
      </c>
      <c r="C148" s="40"/>
      <c r="D148" s="45">
        <v>5.072690661591242E-2</v>
      </c>
    </row>
    <row r="149" spans="2:4" ht="15" x14ac:dyDescent="0.25">
      <c r="B149" s="41" t="s">
        <v>149</v>
      </c>
      <c r="C149" s="40"/>
      <c r="D149" s="45" t="s">
        <v>133</v>
      </c>
    </row>
  </sheetData>
  <mergeCells count="5">
    <mergeCell ref="A1:G1"/>
    <mergeCell ref="A2:G2"/>
    <mergeCell ref="A3:G3"/>
    <mergeCell ref="B128:F128"/>
    <mergeCell ref="B129:F129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V123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818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491</v>
      </c>
      <c r="C7" s="11" t="s">
        <v>492</v>
      </c>
      <c r="D7" s="2" t="s">
        <v>215</v>
      </c>
      <c r="E7" s="46">
        <v>28203</v>
      </c>
      <c r="F7" s="51">
        <v>223.83310950000001</v>
      </c>
      <c r="G7" s="5">
        <v>8.1906420999999993E-2</v>
      </c>
    </row>
    <row r="8" spans="1:7" ht="15" x14ac:dyDescent="0.25">
      <c r="A8" s="6">
        <v>2</v>
      </c>
      <c r="B8" s="7" t="s">
        <v>33</v>
      </c>
      <c r="C8" s="11" t="s">
        <v>34</v>
      </c>
      <c r="D8" s="2" t="s">
        <v>13</v>
      </c>
      <c r="E8" s="46">
        <v>9203</v>
      </c>
      <c r="F8" s="51">
        <v>207.21934949999999</v>
      </c>
      <c r="G8" s="5">
        <v>7.5827009000000001E-2</v>
      </c>
    </row>
    <row r="9" spans="1:7" ht="15" x14ac:dyDescent="0.25">
      <c r="A9" s="6">
        <v>3</v>
      </c>
      <c r="B9" s="7" t="s">
        <v>487</v>
      </c>
      <c r="C9" s="11" t="s">
        <v>488</v>
      </c>
      <c r="D9" s="2" t="s">
        <v>13</v>
      </c>
      <c r="E9" s="46">
        <v>13121</v>
      </c>
      <c r="F9" s="51">
        <v>199.3801555</v>
      </c>
      <c r="G9" s="5">
        <v>7.2958441999999998E-2</v>
      </c>
    </row>
    <row r="10" spans="1:7" ht="25.5" x14ac:dyDescent="0.25">
      <c r="A10" s="6">
        <v>4</v>
      </c>
      <c r="B10" s="7" t="s">
        <v>564</v>
      </c>
      <c r="C10" s="11" t="s">
        <v>565</v>
      </c>
      <c r="D10" s="2" t="s">
        <v>37</v>
      </c>
      <c r="E10" s="46">
        <v>1510</v>
      </c>
      <c r="F10" s="51">
        <v>176.30609000000001</v>
      </c>
      <c r="G10" s="5">
        <v>6.4515034999999998E-2</v>
      </c>
    </row>
    <row r="11" spans="1:7" ht="15" x14ac:dyDescent="0.25">
      <c r="A11" s="6">
        <v>5</v>
      </c>
      <c r="B11" s="7" t="s">
        <v>328</v>
      </c>
      <c r="C11" s="11" t="s">
        <v>329</v>
      </c>
      <c r="D11" s="2" t="s">
        <v>241</v>
      </c>
      <c r="E11" s="46">
        <v>10167</v>
      </c>
      <c r="F11" s="51">
        <v>169.87531949999999</v>
      </c>
      <c r="G11" s="5">
        <v>6.2161846999999999E-2</v>
      </c>
    </row>
    <row r="12" spans="1:7" ht="25.5" x14ac:dyDescent="0.25">
      <c r="A12" s="6">
        <v>6</v>
      </c>
      <c r="B12" s="7" t="s">
        <v>489</v>
      </c>
      <c r="C12" s="11" t="s">
        <v>490</v>
      </c>
      <c r="D12" s="2" t="s">
        <v>162</v>
      </c>
      <c r="E12" s="46">
        <v>7853</v>
      </c>
      <c r="F12" s="51">
        <v>166.624954</v>
      </c>
      <c r="G12" s="5">
        <v>6.0972452000000003E-2</v>
      </c>
    </row>
    <row r="13" spans="1:7" ht="25.5" x14ac:dyDescent="0.25">
      <c r="A13" s="6">
        <v>7</v>
      </c>
      <c r="B13" s="7" t="s">
        <v>40</v>
      </c>
      <c r="C13" s="11" t="s">
        <v>41</v>
      </c>
      <c r="D13" s="2" t="s">
        <v>42</v>
      </c>
      <c r="E13" s="46">
        <v>14107</v>
      </c>
      <c r="F13" s="51">
        <v>164.5228875</v>
      </c>
      <c r="G13" s="5">
        <v>6.0203250999999999E-2</v>
      </c>
    </row>
    <row r="14" spans="1:7" ht="25.5" x14ac:dyDescent="0.25">
      <c r="A14" s="6">
        <v>8</v>
      </c>
      <c r="B14" s="7" t="s">
        <v>437</v>
      </c>
      <c r="C14" s="11" t="s">
        <v>438</v>
      </c>
      <c r="D14" s="2" t="s">
        <v>59</v>
      </c>
      <c r="E14" s="46">
        <v>13761</v>
      </c>
      <c r="F14" s="51">
        <v>145.36432350000001</v>
      </c>
      <c r="G14" s="5">
        <v>5.3192628999999998E-2</v>
      </c>
    </row>
    <row r="15" spans="1:7" ht="15" x14ac:dyDescent="0.25">
      <c r="A15" s="6">
        <v>9</v>
      </c>
      <c r="B15" s="7" t="s">
        <v>626</v>
      </c>
      <c r="C15" s="11" t="s">
        <v>627</v>
      </c>
      <c r="D15" s="2" t="s">
        <v>241</v>
      </c>
      <c r="E15" s="46">
        <v>25615</v>
      </c>
      <c r="F15" s="51">
        <v>133.47976499999999</v>
      </c>
      <c r="G15" s="5">
        <v>4.8843756000000002E-2</v>
      </c>
    </row>
    <row r="16" spans="1:7" ht="15" x14ac:dyDescent="0.25">
      <c r="A16" s="6">
        <v>10</v>
      </c>
      <c r="B16" s="7" t="s">
        <v>498</v>
      </c>
      <c r="C16" s="11" t="s">
        <v>499</v>
      </c>
      <c r="D16" s="2" t="s">
        <v>170</v>
      </c>
      <c r="E16" s="46">
        <v>65915</v>
      </c>
      <c r="F16" s="51">
        <v>120.7892375</v>
      </c>
      <c r="G16" s="5">
        <v>4.4199957999999998E-2</v>
      </c>
    </row>
    <row r="17" spans="1:7" ht="15" x14ac:dyDescent="0.25">
      <c r="A17" s="6">
        <v>11</v>
      </c>
      <c r="B17" s="7" t="s">
        <v>504</v>
      </c>
      <c r="C17" s="11" t="s">
        <v>505</v>
      </c>
      <c r="D17" s="2" t="s">
        <v>215</v>
      </c>
      <c r="E17" s="46">
        <v>18452</v>
      </c>
      <c r="F17" s="51">
        <v>117.40085000000001</v>
      </c>
      <c r="G17" s="5">
        <v>4.2960058000000002E-2</v>
      </c>
    </row>
    <row r="18" spans="1:7" ht="15" x14ac:dyDescent="0.25">
      <c r="A18" s="6">
        <v>12</v>
      </c>
      <c r="B18" s="7" t="s">
        <v>500</v>
      </c>
      <c r="C18" s="11" t="s">
        <v>501</v>
      </c>
      <c r="D18" s="2" t="s">
        <v>226</v>
      </c>
      <c r="E18" s="46">
        <v>1821</v>
      </c>
      <c r="F18" s="51">
        <v>99.603236999999993</v>
      </c>
      <c r="G18" s="5">
        <v>3.6447444000000002E-2</v>
      </c>
    </row>
    <row r="19" spans="1:7" ht="15" x14ac:dyDescent="0.25">
      <c r="A19" s="6">
        <v>13</v>
      </c>
      <c r="B19" s="7" t="s">
        <v>398</v>
      </c>
      <c r="C19" s="11" t="s">
        <v>399</v>
      </c>
      <c r="D19" s="2" t="s">
        <v>226</v>
      </c>
      <c r="E19" s="46">
        <v>3929</v>
      </c>
      <c r="F19" s="51">
        <v>92.571168999999998</v>
      </c>
      <c r="G19" s="5">
        <v>3.3874225000000001E-2</v>
      </c>
    </row>
    <row r="20" spans="1:7" ht="15" x14ac:dyDescent="0.25">
      <c r="A20" s="6">
        <v>14</v>
      </c>
      <c r="B20" s="7" t="s">
        <v>38</v>
      </c>
      <c r="C20" s="11" t="s">
        <v>39</v>
      </c>
      <c r="D20" s="2" t="s">
        <v>16</v>
      </c>
      <c r="E20" s="46">
        <v>386</v>
      </c>
      <c r="F20" s="51">
        <v>77.834005000000005</v>
      </c>
      <c r="G20" s="5">
        <v>2.8481508999999999E-2</v>
      </c>
    </row>
    <row r="21" spans="1:7" ht="15" x14ac:dyDescent="0.25">
      <c r="A21" s="6">
        <v>15</v>
      </c>
      <c r="B21" s="7" t="s">
        <v>426</v>
      </c>
      <c r="C21" s="11" t="s">
        <v>427</v>
      </c>
      <c r="D21" s="2" t="s">
        <v>13</v>
      </c>
      <c r="E21" s="46">
        <v>5187</v>
      </c>
      <c r="F21" s="51">
        <v>73.284529500000005</v>
      </c>
      <c r="G21" s="5">
        <v>2.6816737E-2</v>
      </c>
    </row>
    <row r="22" spans="1:7" ht="15" x14ac:dyDescent="0.25">
      <c r="A22" s="6">
        <v>16</v>
      </c>
      <c r="B22" s="7" t="s">
        <v>435</v>
      </c>
      <c r="C22" s="11" t="s">
        <v>436</v>
      </c>
      <c r="D22" s="2" t="s">
        <v>215</v>
      </c>
      <c r="E22" s="46">
        <v>3075</v>
      </c>
      <c r="F22" s="51">
        <v>67.825275000000005</v>
      </c>
      <c r="G22" s="5">
        <v>2.4819052000000001E-2</v>
      </c>
    </row>
    <row r="23" spans="1:7" ht="15" x14ac:dyDescent="0.25">
      <c r="A23" s="6">
        <v>17</v>
      </c>
      <c r="B23" s="7" t="s">
        <v>322</v>
      </c>
      <c r="C23" s="11" t="s">
        <v>323</v>
      </c>
      <c r="D23" s="2" t="s">
        <v>162</v>
      </c>
      <c r="E23" s="46">
        <v>12454</v>
      </c>
      <c r="F23" s="51">
        <v>64.561536000000004</v>
      </c>
      <c r="G23" s="5">
        <v>2.3624763999999999E-2</v>
      </c>
    </row>
    <row r="24" spans="1:7" ht="15" x14ac:dyDescent="0.25">
      <c r="A24" s="6">
        <v>18</v>
      </c>
      <c r="B24" s="7" t="s">
        <v>532</v>
      </c>
      <c r="C24" s="11" t="s">
        <v>533</v>
      </c>
      <c r="D24" s="2" t="s">
        <v>162</v>
      </c>
      <c r="E24" s="46">
        <v>704</v>
      </c>
      <c r="F24" s="51">
        <v>49.968864000000004</v>
      </c>
      <c r="G24" s="5">
        <v>1.8284920999999999E-2</v>
      </c>
    </row>
    <row r="25" spans="1:7" ht="15" x14ac:dyDescent="0.25">
      <c r="A25" s="6">
        <v>19</v>
      </c>
      <c r="B25" s="7" t="s">
        <v>412</v>
      </c>
      <c r="C25" s="11" t="s">
        <v>413</v>
      </c>
      <c r="D25" s="2" t="s">
        <v>162</v>
      </c>
      <c r="E25" s="46">
        <v>1190</v>
      </c>
      <c r="F25" s="51">
        <v>38.699395000000003</v>
      </c>
      <c r="G25" s="5">
        <v>1.4161126E-2</v>
      </c>
    </row>
    <row r="26" spans="1:7" ht="25.5" x14ac:dyDescent="0.25">
      <c r="A26" s="6">
        <v>20</v>
      </c>
      <c r="B26" s="7" t="s">
        <v>693</v>
      </c>
      <c r="C26" s="11" t="s">
        <v>694</v>
      </c>
      <c r="D26" s="2" t="s">
        <v>30</v>
      </c>
      <c r="E26" s="46">
        <v>34071</v>
      </c>
      <c r="F26" s="51">
        <v>34.990917000000003</v>
      </c>
      <c r="G26" s="5">
        <v>1.2804097E-2</v>
      </c>
    </row>
    <row r="27" spans="1:7" ht="15" x14ac:dyDescent="0.25">
      <c r="A27" s="6">
        <v>21</v>
      </c>
      <c r="B27" s="7" t="s">
        <v>538</v>
      </c>
      <c r="C27" s="11" t="s">
        <v>539</v>
      </c>
      <c r="D27" s="2" t="s">
        <v>170</v>
      </c>
      <c r="E27" s="46">
        <v>32521</v>
      </c>
      <c r="F27" s="51">
        <v>34.716167499999997</v>
      </c>
      <c r="G27" s="5">
        <v>1.2703559E-2</v>
      </c>
    </row>
    <row r="28" spans="1:7" ht="25.5" x14ac:dyDescent="0.25">
      <c r="A28" s="6">
        <v>22</v>
      </c>
      <c r="B28" s="7" t="s">
        <v>566</v>
      </c>
      <c r="C28" s="11" t="s">
        <v>567</v>
      </c>
      <c r="D28" s="2" t="s">
        <v>37</v>
      </c>
      <c r="E28" s="46">
        <v>1278</v>
      </c>
      <c r="F28" s="51">
        <v>33.291899999999998</v>
      </c>
      <c r="G28" s="5">
        <v>1.2182382E-2</v>
      </c>
    </row>
    <row r="29" spans="1:7" ht="15" x14ac:dyDescent="0.25">
      <c r="A29" s="6">
        <v>23</v>
      </c>
      <c r="B29" s="7" t="s">
        <v>674</v>
      </c>
      <c r="C29" s="11" t="s">
        <v>675</v>
      </c>
      <c r="D29" s="2" t="s">
        <v>226</v>
      </c>
      <c r="E29" s="46">
        <v>141</v>
      </c>
      <c r="F29" s="51">
        <v>23.050750499999999</v>
      </c>
      <c r="G29" s="5">
        <v>8.4348759999999991E-3</v>
      </c>
    </row>
    <row r="30" spans="1:7" ht="25.5" x14ac:dyDescent="0.25">
      <c r="A30" s="6">
        <v>24</v>
      </c>
      <c r="B30" s="7" t="s">
        <v>326</v>
      </c>
      <c r="C30" s="11" t="s">
        <v>327</v>
      </c>
      <c r="D30" s="2" t="s">
        <v>37</v>
      </c>
      <c r="E30" s="46">
        <v>6938</v>
      </c>
      <c r="F30" s="51">
        <v>22.208538000000001</v>
      </c>
      <c r="G30" s="5">
        <v>8.126688E-3</v>
      </c>
    </row>
    <row r="31" spans="1:7" ht="15" x14ac:dyDescent="0.25">
      <c r="A31" s="6">
        <v>25</v>
      </c>
      <c r="B31" s="7" t="s">
        <v>681</v>
      </c>
      <c r="C31" s="11" t="s">
        <v>682</v>
      </c>
      <c r="D31" s="2" t="s">
        <v>226</v>
      </c>
      <c r="E31" s="46">
        <v>31676</v>
      </c>
      <c r="F31" s="51">
        <v>22.125686000000002</v>
      </c>
      <c r="G31" s="5">
        <v>8.0963700000000003E-3</v>
      </c>
    </row>
    <row r="32" spans="1:7" ht="15" x14ac:dyDescent="0.25">
      <c r="A32" s="6">
        <v>26</v>
      </c>
      <c r="B32" s="7" t="s">
        <v>695</v>
      </c>
      <c r="C32" s="11" t="s">
        <v>696</v>
      </c>
      <c r="D32" s="2" t="s">
        <v>51</v>
      </c>
      <c r="E32" s="46">
        <v>50099</v>
      </c>
      <c r="F32" s="51">
        <v>21.417322500000001</v>
      </c>
      <c r="G32" s="5">
        <v>7.8371619999999999E-3</v>
      </c>
    </row>
    <row r="33" spans="1:7" ht="15" x14ac:dyDescent="0.25">
      <c r="A33" s="6">
        <v>27</v>
      </c>
      <c r="B33" s="7" t="s">
        <v>514</v>
      </c>
      <c r="C33" s="11" t="s">
        <v>515</v>
      </c>
      <c r="D33" s="2" t="s">
        <v>215</v>
      </c>
      <c r="E33" s="46">
        <v>1642</v>
      </c>
      <c r="F33" s="51">
        <v>16.987310999999998</v>
      </c>
      <c r="G33" s="5">
        <v>6.2161040000000001E-3</v>
      </c>
    </row>
    <row r="34" spans="1:7" ht="15" x14ac:dyDescent="0.25">
      <c r="A34" s="6">
        <v>28</v>
      </c>
      <c r="B34" s="7" t="s">
        <v>610</v>
      </c>
      <c r="C34" s="11" t="s">
        <v>611</v>
      </c>
      <c r="D34" s="2" t="s">
        <v>81</v>
      </c>
      <c r="E34" s="46">
        <v>969</v>
      </c>
      <c r="F34" s="51">
        <v>15.089268000000001</v>
      </c>
      <c r="G34" s="5">
        <v>5.52156E-3</v>
      </c>
    </row>
    <row r="35" spans="1:7" ht="15" x14ac:dyDescent="0.25">
      <c r="A35" s="6">
        <v>29</v>
      </c>
      <c r="B35" s="7" t="s">
        <v>596</v>
      </c>
      <c r="C35" s="11" t="s">
        <v>597</v>
      </c>
      <c r="D35" s="2" t="s">
        <v>241</v>
      </c>
      <c r="E35" s="46">
        <v>1751</v>
      </c>
      <c r="F35" s="51">
        <v>13.391648</v>
      </c>
      <c r="G35" s="5">
        <v>4.9003559999999998E-3</v>
      </c>
    </row>
    <row r="36" spans="1:7" ht="25.5" x14ac:dyDescent="0.25">
      <c r="A36" s="6">
        <v>30</v>
      </c>
      <c r="B36" s="7" t="s">
        <v>656</v>
      </c>
      <c r="C36" s="11" t="s">
        <v>657</v>
      </c>
      <c r="D36" s="2" t="s">
        <v>162</v>
      </c>
      <c r="E36" s="46">
        <v>1097</v>
      </c>
      <c r="F36" s="51">
        <v>10.6326725</v>
      </c>
      <c r="G36" s="5">
        <v>3.8907740000000001E-3</v>
      </c>
    </row>
    <row r="37" spans="1:7" ht="15" x14ac:dyDescent="0.25">
      <c r="A37" s="6">
        <v>31</v>
      </c>
      <c r="B37" s="7" t="s">
        <v>424</v>
      </c>
      <c r="C37" s="11" t="s">
        <v>425</v>
      </c>
      <c r="D37" s="2" t="s">
        <v>241</v>
      </c>
      <c r="E37" s="46">
        <v>1609</v>
      </c>
      <c r="F37" s="51">
        <v>9.1914125000000002</v>
      </c>
      <c r="G37" s="5">
        <v>3.36338E-3</v>
      </c>
    </row>
    <row r="38" spans="1:7" ht="15" x14ac:dyDescent="0.25">
      <c r="A38" s="1"/>
      <c r="B38" s="2"/>
      <c r="C38" s="8" t="s">
        <v>104</v>
      </c>
      <c r="D38" s="12"/>
      <c r="E38" s="48"/>
      <c r="F38" s="53">
        <v>2646.2376455000003</v>
      </c>
      <c r="G38" s="13">
        <v>0.96832794400000022</v>
      </c>
    </row>
    <row r="39" spans="1:7" ht="15" x14ac:dyDescent="0.25">
      <c r="A39" s="6"/>
      <c r="B39" s="7"/>
      <c r="C39" s="14"/>
      <c r="D39" s="15"/>
      <c r="E39" s="46"/>
      <c r="F39" s="51"/>
      <c r="G39" s="5"/>
    </row>
    <row r="40" spans="1:7" ht="15" x14ac:dyDescent="0.25">
      <c r="A40" s="1"/>
      <c r="B40" s="2"/>
      <c r="C40" s="8" t="s">
        <v>105</v>
      </c>
      <c r="D40" s="9"/>
      <c r="E40" s="47"/>
      <c r="F40" s="52"/>
      <c r="G40" s="10"/>
    </row>
    <row r="41" spans="1:7" ht="15" x14ac:dyDescent="0.25">
      <c r="A41" s="1"/>
      <c r="B41" s="2"/>
      <c r="C41" s="8" t="s">
        <v>104</v>
      </c>
      <c r="D41" s="12"/>
      <c r="E41" s="48"/>
      <c r="F41" s="53">
        <v>0</v>
      </c>
      <c r="G41" s="13">
        <v>0</v>
      </c>
    </row>
    <row r="42" spans="1:7" ht="15" x14ac:dyDescent="0.25">
      <c r="A42" s="6"/>
      <c r="B42" s="7"/>
      <c r="C42" s="14"/>
      <c r="D42" s="15"/>
      <c r="E42" s="46"/>
      <c r="F42" s="51"/>
      <c r="G42" s="5"/>
    </row>
    <row r="43" spans="1:7" ht="15" x14ac:dyDescent="0.25">
      <c r="A43" s="16"/>
      <c r="B43" s="17"/>
      <c r="C43" s="8" t="s">
        <v>106</v>
      </c>
      <c r="D43" s="9"/>
      <c r="E43" s="47"/>
      <c r="F43" s="52"/>
      <c r="G43" s="10"/>
    </row>
    <row r="44" spans="1:7" ht="15" x14ac:dyDescent="0.25">
      <c r="A44" s="18"/>
      <c r="B44" s="19"/>
      <c r="C44" s="8" t="s">
        <v>104</v>
      </c>
      <c r="D44" s="20"/>
      <c r="E44" s="49"/>
      <c r="F44" s="54">
        <v>0</v>
      </c>
      <c r="G44" s="21">
        <v>0</v>
      </c>
    </row>
    <row r="45" spans="1:7" ht="15" x14ac:dyDescent="0.25">
      <c r="A45" s="18"/>
      <c r="B45" s="19"/>
      <c r="C45" s="14"/>
      <c r="D45" s="22"/>
      <c r="E45" s="50"/>
      <c r="F45" s="55"/>
      <c r="G45" s="23"/>
    </row>
    <row r="46" spans="1:7" ht="15" x14ac:dyDescent="0.25">
      <c r="A46" s="1"/>
      <c r="B46" s="2"/>
      <c r="C46" s="8" t="s">
        <v>108</v>
      </c>
      <c r="D46" s="9"/>
      <c r="E46" s="47"/>
      <c r="F46" s="52"/>
      <c r="G46" s="10"/>
    </row>
    <row r="47" spans="1:7" ht="15" x14ac:dyDescent="0.25">
      <c r="A47" s="1"/>
      <c r="B47" s="2"/>
      <c r="C47" s="8" t="s">
        <v>104</v>
      </c>
      <c r="D47" s="12"/>
      <c r="E47" s="48"/>
      <c r="F47" s="53">
        <v>0</v>
      </c>
      <c r="G47" s="13">
        <v>0</v>
      </c>
    </row>
    <row r="48" spans="1:7" ht="15" x14ac:dyDescent="0.25">
      <c r="A48" s="1"/>
      <c r="B48" s="2"/>
      <c r="C48" s="14"/>
      <c r="D48" s="4"/>
      <c r="E48" s="46"/>
      <c r="F48" s="51"/>
      <c r="G48" s="5"/>
    </row>
    <row r="49" spans="1:7" ht="15" x14ac:dyDescent="0.25">
      <c r="A49" s="1"/>
      <c r="B49" s="2"/>
      <c r="C49" s="8" t="s">
        <v>109</v>
      </c>
      <c r="D49" s="9"/>
      <c r="E49" s="47"/>
      <c r="F49" s="52"/>
      <c r="G49" s="10"/>
    </row>
    <row r="50" spans="1:7" ht="15" x14ac:dyDescent="0.25">
      <c r="A50" s="1"/>
      <c r="B50" s="2"/>
      <c r="C50" s="8" t="s">
        <v>104</v>
      </c>
      <c r="D50" s="12"/>
      <c r="E50" s="48"/>
      <c r="F50" s="53">
        <v>0</v>
      </c>
      <c r="G50" s="13">
        <v>0</v>
      </c>
    </row>
    <row r="51" spans="1:7" ht="15" x14ac:dyDescent="0.25">
      <c r="A51" s="1"/>
      <c r="B51" s="2"/>
      <c r="C51" s="14"/>
      <c r="D51" s="4"/>
      <c r="E51" s="46"/>
      <c r="F51" s="51"/>
      <c r="G51" s="5"/>
    </row>
    <row r="52" spans="1:7" ht="15" x14ac:dyDescent="0.25">
      <c r="A52" s="1"/>
      <c r="B52" s="2"/>
      <c r="C52" s="8" t="s">
        <v>110</v>
      </c>
      <c r="D52" s="9"/>
      <c r="E52" s="47"/>
      <c r="F52" s="52"/>
      <c r="G52" s="10"/>
    </row>
    <row r="53" spans="1:7" ht="15" x14ac:dyDescent="0.25">
      <c r="A53" s="1"/>
      <c r="B53" s="2"/>
      <c r="C53" s="8" t="s">
        <v>104</v>
      </c>
      <c r="D53" s="12"/>
      <c r="E53" s="48"/>
      <c r="F53" s="53">
        <v>0</v>
      </c>
      <c r="G53" s="13">
        <v>0</v>
      </c>
    </row>
    <row r="54" spans="1:7" ht="15" x14ac:dyDescent="0.25">
      <c r="A54" s="1"/>
      <c r="B54" s="2"/>
      <c r="C54" s="14"/>
      <c r="D54" s="4"/>
      <c r="E54" s="46"/>
      <c r="F54" s="51"/>
      <c r="G54" s="5"/>
    </row>
    <row r="55" spans="1:7" ht="25.5" x14ac:dyDescent="0.25">
      <c r="A55" s="6"/>
      <c r="B55" s="7"/>
      <c r="C55" s="24" t="s">
        <v>111</v>
      </c>
      <c r="D55" s="25"/>
      <c r="E55" s="48"/>
      <c r="F55" s="53">
        <v>2646.2376455000003</v>
      </c>
      <c r="G55" s="13">
        <v>0.96832794400000022</v>
      </c>
    </row>
    <row r="56" spans="1:7" ht="15" x14ac:dyDescent="0.25">
      <c r="A56" s="1"/>
      <c r="B56" s="2"/>
      <c r="C56" s="11"/>
      <c r="D56" s="4"/>
      <c r="E56" s="46"/>
      <c r="F56" s="51"/>
      <c r="G56" s="5"/>
    </row>
    <row r="57" spans="1:7" ht="15" x14ac:dyDescent="0.25">
      <c r="A57" s="1"/>
      <c r="B57" s="2"/>
      <c r="C57" s="3" t="s">
        <v>112</v>
      </c>
      <c r="D57" s="4"/>
      <c r="E57" s="46"/>
      <c r="F57" s="51"/>
      <c r="G57" s="5"/>
    </row>
    <row r="58" spans="1:7" ht="25.5" x14ac:dyDescent="0.25">
      <c r="A58" s="1"/>
      <c r="B58" s="2"/>
      <c r="C58" s="8" t="s">
        <v>10</v>
      </c>
      <c r="D58" s="9"/>
      <c r="E58" s="47"/>
      <c r="F58" s="52"/>
      <c r="G58" s="10"/>
    </row>
    <row r="59" spans="1:7" ht="15" x14ac:dyDescent="0.25">
      <c r="A59" s="6"/>
      <c r="B59" s="7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6"/>
      <c r="B60" s="7"/>
      <c r="C60" s="14"/>
      <c r="D60" s="4"/>
      <c r="E60" s="46"/>
      <c r="F60" s="51"/>
      <c r="G60" s="5"/>
    </row>
    <row r="61" spans="1:7" ht="15" x14ac:dyDescent="0.25">
      <c r="A61" s="1"/>
      <c r="B61" s="26"/>
      <c r="C61" s="8" t="s">
        <v>113</v>
      </c>
      <c r="D61" s="9"/>
      <c r="E61" s="47"/>
      <c r="F61" s="52"/>
      <c r="G61" s="10"/>
    </row>
    <row r="62" spans="1:7" ht="15" x14ac:dyDescent="0.25">
      <c r="A62" s="6"/>
      <c r="B62" s="7"/>
      <c r="C62" s="8" t="s">
        <v>104</v>
      </c>
      <c r="D62" s="12"/>
      <c r="E62" s="48"/>
      <c r="F62" s="53">
        <v>0</v>
      </c>
      <c r="G62" s="13">
        <v>0</v>
      </c>
    </row>
    <row r="63" spans="1:7" ht="15" x14ac:dyDescent="0.25">
      <c r="A63" s="6"/>
      <c r="B63" s="7"/>
      <c r="C63" s="14"/>
      <c r="D63" s="4"/>
      <c r="E63" s="46"/>
      <c r="F63" s="56"/>
      <c r="G63" s="27"/>
    </row>
    <row r="64" spans="1:7" ht="15" x14ac:dyDescent="0.25">
      <c r="A64" s="1"/>
      <c r="B64" s="2"/>
      <c r="C64" s="8" t="s">
        <v>114</v>
      </c>
      <c r="D64" s="9"/>
      <c r="E64" s="47"/>
      <c r="F64" s="52"/>
      <c r="G64" s="10"/>
    </row>
    <row r="65" spans="1:7" ht="15" x14ac:dyDescent="0.25">
      <c r="A65" s="6"/>
      <c r="B65" s="7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1"/>
      <c r="B66" s="2"/>
      <c r="C66" s="14"/>
      <c r="D66" s="4"/>
      <c r="E66" s="46"/>
      <c r="F66" s="51"/>
      <c r="G66" s="5"/>
    </row>
    <row r="67" spans="1:7" ht="25.5" x14ac:dyDescent="0.25">
      <c r="A67" s="1"/>
      <c r="B67" s="26"/>
      <c r="C67" s="8" t="s">
        <v>115</v>
      </c>
      <c r="D67" s="9"/>
      <c r="E67" s="47"/>
      <c r="F67" s="52"/>
      <c r="G67" s="10"/>
    </row>
    <row r="68" spans="1:7" ht="15" x14ac:dyDescent="0.25">
      <c r="A68" s="6"/>
      <c r="B68" s="7"/>
      <c r="C68" s="8" t="s">
        <v>104</v>
      </c>
      <c r="D68" s="12"/>
      <c r="E68" s="48"/>
      <c r="F68" s="53">
        <v>0</v>
      </c>
      <c r="G68" s="13">
        <v>0</v>
      </c>
    </row>
    <row r="69" spans="1:7" ht="15" x14ac:dyDescent="0.25">
      <c r="A69" s="6"/>
      <c r="B69" s="7"/>
      <c r="C69" s="14"/>
      <c r="D69" s="4"/>
      <c r="E69" s="46"/>
      <c r="F69" s="51"/>
      <c r="G69" s="5"/>
    </row>
    <row r="70" spans="1:7" ht="15" x14ac:dyDescent="0.25">
      <c r="A70" s="6"/>
      <c r="B70" s="7"/>
      <c r="C70" s="28" t="s">
        <v>116</v>
      </c>
      <c r="D70" s="25"/>
      <c r="E70" s="48"/>
      <c r="F70" s="53">
        <v>0</v>
      </c>
      <c r="G70" s="13">
        <v>0</v>
      </c>
    </row>
    <row r="71" spans="1:7" ht="15" x14ac:dyDescent="0.25">
      <c r="A71" s="6"/>
      <c r="B71" s="7"/>
      <c r="C71" s="11"/>
      <c r="D71" s="4"/>
      <c r="E71" s="46"/>
      <c r="F71" s="51"/>
      <c r="G71" s="5"/>
    </row>
    <row r="72" spans="1:7" ht="15" x14ac:dyDescent="0.25">
      <c r="A72" s="1"/>
      <c r="B72" s="2"/>
      <c r="C72" s="3" t="s">
        <v>117</v>
      </c>
      <c r="D72" s="4"/>
      <c r="E72" s="46"/>
      <c r="F72" s="51"/>
      <c r="G72" s="5"/>
    </row>
    <row r="73" spans="1:7" ht="15" x14ac:dyDescent="0.25">
      <c r="A73" s="6"/>
      <c r="B73" s="7"/>
      <c r="C73" s="8" t="s">
        <v>118</v>
      </c>
      <c r="D73" s="9"/>
      <c r="E73" s="47"/>
      <c r="F73" s="52"/>
      <c r="G73" s="10"/>
    </row>
    <row r="74" spans="1:7" ht="15" x14ac:dyDescent="0.25">
      <c r="A74" s="6"/>
      <c r="B74" s="7"/>
      <c r="C74" s="8" t="s">
        <v>104</v>
      </c>
      <c r="D74" s="25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7"/>
      <c r="E75" s="46"/>
      <c r="F75" s="51"/>
      <c r="G75" s="5"/>
    </row>
    <row r="76" spans="1:7" ht="15" x14ac:dyDescent="0.25">
      <c r="A76" s="6"/>
      <c r="B76" s="7"/>
      <c r="C76" s="8" t="s">
        <v>119</v>
      </c>
      <c r="D76" s="9"/>
      <c r="E76" s="47"/>
      <c r="F76" s="52"/>
      <c r="G76" s="10"/>
    </row>
    <row r="77" spans="1:7" ht="15" x14ac:dyDescent="0.25">
      <c r="A77" s="6"/>
      <c r="B77" s="7"/>
      <c r="C77" s="8" t="s">
        <v>104</v>
      </c>
      <c r="D77" s="25"/>
      <c r="E77" s="48"/>
      <c r="F77" s="53">
        <v>0</v>
      </c>
      <c r="G77" s="13">
        <v>0</v>
      </c>
    </row>
    <row r="78" spans="1:7" ht="15" x14ac:dyDescent="0.25">
      <c r="A78" s="6"/>
      <c r="B78" s="7"/>
      <c r="C78" s="14"/>
      <c r="D78" s="7"/>
      <c r="E78" s="46"/>
      <c r="F78" s="51"/>
      <c r="G78" s="5"/>
    </row>
    <row r="79" spans="1:7" ht="15" x14ac:dyDescent="0.25">
      <c r="A79" s="6"/>
      <c r="B79" s="7"/>
      <c r="C79" s="8" t="s">
        <v>120</v>
      </c>
      <c r="D79" s="9"/>
      <c r="E79" s="47"/>
      <c r="F79" s="52"/>
      <c r="G79" s="10"/>
    </row>
    <row r="80" spans="1:7" ht="15" x14ac:dyDescent="0.25">
      <c r="A80" s="6"/>
      <c r="B80" s="7"/>
      <c r="C80" s="8" t="s">
        <v>104</v>
      </c>
      <c r="D80" s="25"/>
      <c r="E80" s="48"/>
      <c r="F80" s="53">
        <v>0</v>
      </c>
      <c r="G80" s="13">
        <v>0</v>
      </c>
    </row>
    <row r="81" spans="1:7" ht="15" x14ac:dyDescent="0.25">
      <c r="A81" s="6"/>
      <c r="B81" s="7"/>
      <c r="C81" s="14"/>
      <c r="D81" s="7"/>
      <c r="E81" s="46"/>
      <c r="F81" s="51"/>
      <c r="G81" s="5"/>
    </row>
    <row r="82" spans="1:7" ht="15" x14ac:dyDescent="0.25">
      <c r="A82" s="6"/>
      <c r="B82" s="7"/>
      <c r="C82" s="8" t="s">
        <v>121</v>
      </c>
      <c r="D82" s="9"/>
      <c r="E82" s="47"/>
      <c r="F82" s="52"/>
      <c r="G82" s="10"/>
    </row>
    <row r="83" spans="1:7" ht="15" x14ac:dyDescent="0.25">
      <c r="A83" s="6">
        <v>1</v>
      </c>
      <c r="B83" s="7"/>
      <c r="C83" s="11" t="s">
        <v>730</v>
      </c>
      <c r="D83" s="15"/>
      <c r="E83" s="46"/>
      <c r="F83" s="51">
        <v>78.987903000000003</v>
      </c>
      <c r="G83" s="5">
        <v>2.8903750999999998E-2</v>
      </c>
    </row>
    <row r="84" spans="1:7" ht="15" x14ac:dyDescent="0.25">
      <c r="A84" s="6"/>
      <c r="B84" s="7"/>
      <c r="C84" s="8" t="s">
        <v>104</v>
      </c>
      <c r="D84" s="25"/>
      <c r="E84" s="48"/>
      <c r="F84" s="53">
        <v>78.987903000000003</v>
      </c>
      <c r="G84" s="13">
        <v>2.8903750999999998E-2</v>
      </c>
    </row>
    <row r="85" spans="1:7" ht="15" x14ac:dyDescent="0.25">
      <c r="A85" s="6"/>
      <c r="B85" s="7"/>
      <c r="C85" s="14"/>
      <c r="D85" s="7"/>
      <c r="E85" s="46"/>
      <c r="F85" s="51"/>
      <c r="G85" s="5"/>
    </row>
    <row r="86" spans="1:7" ht="25.5" x14ac:dyDescent="0.25">
      <c r="A86" s="6"/>
      <c r="B86" s="7"/>
      <c r="C86" s="24" t="s">
        <v>122</v>
      </c>
      <c r="D86" s="25"/>
      <c r="E86" s="48"/>
      <c r="F86" s="53">
        <v>78.987903000000003</v>
      </c>
      <c r="G86" s="13">
        <v>2.8903750999999998E-2</v>
      </c>
    </row>
    <row r="87" spans="1:7" ht="15" x14ac:dyDescent="0.25">
      <c r="A87" s="6"/>
      <c r="B87" s="7"/>
      <c r="C87" s="29"/>
      <c r="D87" s="7"/>
      <c r="E87" s="46"/>
      <c r="F87" s="51"/>
      <c r="G87" s="5"/>
    </row>
    <row r="88" spans="1:7" ht="15" x14ac:dyDescent="0.25">
      <c r="A88" s="1"/>
      <c r="B88" s="2"/>
      <c r="C88" s="3" t="s">
        <v>123</v>
      </c>
      <c r="D88" s="4"/>
      <c r="E88" s="46"/>
      <c r="F88" s="51"/>
      <c r="G88" s="5"/>
    </row>
    <row r="89" spans="1:7" ht="25.5" x14ac:dyDescent="0.25">
      <c r="A89" s="6"/>
      <c r="B89" s="7"/>
      <c r="C89" s="8" t="s">
        <v>124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25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7"/>
      <c r="E91" s="46"/>
      <c r="F91" s="51"/>
      <c r="G91" s="5"/>
    </row>
    <row r="92" spans="1:7" ht="15" x14ac:dyDescent="0.25">
      <c r="A92" s="1"/>
      <c r="B92" s="2"/>
      <c r="C92" s="3" t="s">
        <v>125</v>
      </c>
      <c r="D92" s="4"/>
      <c r="E92" s="46"/>
      <c r="F92" s="51"/>
      <c r="G92" s="5"/>
    </row>
    <row r="93" spans="1:7" ht="25.5" x14ac:dyDescent="0.25">
      <c r="A93" s="6"/>
      <c r="B93" s="7"/>
      <c r="C93" s="8" t="s">
        <v>126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25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25.5" x14ac:dyDescent="0.25">
      <c r="A96" s="6"/>
      <c r="B96" s="7"/>
      <c r="C96" s="8" t="s">
        <v>127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25"/>
      <c r="E97" s="48"/>
      <c r="F97" s="53">
        <v>0</v>
      </c>
      <c r="G97" s="13">
        <v>0</v>
      </c>
    </row>
    <row r="98" spans="1:7" ht="15" x14ac:dyDescent="0.25">
      <c r="A98" s="6"/>
      <c r="B98" s="7"/>
      <c r="C98" s="14"/>
      <c r="D98" s="7"/>
      <c r="E98" s="46"/>
      <c r="F98" s="56"/>
      <c r="G98" s="27"/>
    </row>
    <row r="99" spans="1:7" ht="25.5" x14ac:dyDescent="0.25">
      <c r="A99" s="6"/>
      <c r="B99" s="7"/>
      <c r="C99" s="29" t="s">
        <v>128</v>
      </c>
      <c r="D99" s="7"/>
      <c r="E99" s="46"/>
      <c r="F99" s="56">
        <v>7.5652017999999996</v>
      </c>
      <c r="G99" s="27">
        <v>2.7683059999999999E-3</v>
      </c>
    </row>
    <row r="100" spans="1:7" ht="15" x14ac:dyDescent="0.25">
      <c r="A100" s="6"/>
      <c r="B100" s="7"/>
      <c r="C100" s="30" t="s">
        <v>129</v>
      </c>
      <c r="D100" s="12"/>
      <c r="E100" s="48"/>
      <c r="F100" s="53">
        <v>2732.7907503000006</v>
      </c>
      <c r="G100" s="13">
        <v>1.0000000010000001</v>
      </c>
    </row>
    <row r="102" spans="1:7" ht="15" x14ac:dyDescent="0.25">
      <c r="B102" s="279"/>
      <c r="C102" s="279"/>
      <c r="D102" s="279"/>
      <c r="E102" s="279"/>
      <c r="F102" s="279"/>
    </row>
    <row r="103" spans="1:7" ht="15" x14ac:dyDescent="0.25">
      <c r="B103" s="279"/>
      <c r="C103" s="279"/>
      <c r="D103" s="279"/>
      <c r="E103" s="279"/>
      <c r="F103" s="279"/>
    </row>
    <row r="105" spans="1:7" ht="15" x14ac:dyDescent="0.25">
      <c r="B105" s="36" t="s">
        <v>131</v>
      </c>
      <c r="C105" s="37"/>
      <c r="D105" s="38"/>
    </row>
    <row r="106" spans="1:7" ht="15" x14ac:dyDescent="0.25">
      <c r="B106" s="39" t="s">
        <v>132</v>
      </c>
      <c r="C106" s="40"/>
      <c r="D106" s="62" t="s">
        <v>133</v>
      </c>
    </row>
    <row r="107" spans="1:7" ht="15" x14ac:dyDescent="0.25">
      <c r="B107" s="39" t="s">
        <v>134</v>
      </c>
      <c r="C107" s="40"/>
      <c r="D107" s="62" t="s">
        <v>133</v>
      </c>
    </row>
    <row r="108" spans="1:7" ht="15" x14ac:dyDescent="0.25">
      <c r="B108" s="41" t="s">
        <v>135</v>
      </c>
      <c r="C108" s="40"/>
      <c r="D108" s="42"/>
    </row>
    <row r="109" spans="1:7" ht="25.5" customHeight="1" x14ac:dyDescent="0.25">
      <c r="B109" s="42"/>
      <c r="C109" s="32" t="s">
        <v>136</v>
      </c>
      <c r="D109" s="33" t="s">
        <v>137</v>
      </c>
    </row>
    <row r="110" spans="1:7" ht="12.75" customHeight="1" x14ac:dyDescent="0.25">
      <c r="B110" s="57" t="s">
        <v>138</v>
      </c>
      <c r="C110" s="58" t="s">
        <v>139</v>
      </c>
      <c r="D110" s="58" t="s">
        <v>140</v>
      </c>
    </row>
    <row r="111" spans="1:7" ht="15" x14ac:dyDescent="0.25">
      <c r="B111" s="42" t="s">
        <v>141</v>
      </c>
      <c r="C111" s="43">
        <v>12.6721</v>
      </c>
      <c r="D111" s="43">
        <v>12.008100000000001</v>
      </c>
    </row>
    <row r="112" spans="1:7" ht="15" x14ac:dyDescent="0.25">
      <c r="B112" s="42" t="s">
        <v>142</v>
      </c>
      <c r="C112" s="43">
        <v>12.6721</v>
      </c>
      <c r="D112" s="43">
        <v>12.008100000000001</v>
      </c>
    </row>
    <row r="113" spans="2:4" ht="15" x14ac:dyDescent="0.25">
      <c r="B113" s="42" t="s">
        <v>143</v>
      </c>
      <c r="C113" s="43">
        <v>12.314500000000001</v>
      </c>
      <c r="D113" s="43">
        <v>11.6648</v>
      </c>
    </row>
    <row r="114" spans="2:4" ht="15" x14ac:dyDescent="0.25">
      <c r="B114" s="42" t="s">
        <v>144</v>
      </c>
      <c r="C114" s="43">
        <v>12.314500000000001</v>
      </c>
      <c r="D114" s="43">
        <v>11.6648</v>
      </c>
    </row>
    <row r="116" spans="2:4" ht="15" x14ac:dyDescent="0.25">
      <c r="B116" s="59" t="s">
        <v>145</v>
      </c>
      <c r="C116" s="44"/>
      <c r="D116" s="60" t="s">
        <v>133</v>
      </c>
    </row>
    <row r="117" spans="2:4" ht="24.75" customHeight="1" x14ac:dyDescent="0.25">
      <c r="B117" s="61"/>
      <c r="C117" s="61"/>
    </row>
    <row r="118" spans="2:4" ht="15" x14ac:dyDescent="0.25">
      <c r="B118" s="63"/>
      <c r="C118" s="65"/>
      <c r="D118"/>
    </row>
    <row r="120" spans="2:4" ht="15" x14ac:dyDescent="0.25">
      <c r="B120" s="41" t="s">
        <v>146</v>
      </c>
      <c r="C120" s="40"/>
      <c r="D120" s="64" t="s">
        <v>133</v>
      </c>
    </row>
    <row r="121" spans="2:4" ht="15" x14ac:dyDescent="0.25">
      <c r="B121" s="41" t="s">
        <v>147</v>
      </c>
      <c r="C121" s="40"/>
      <c r="D121" s="64" t="s">
        <v>133</v>
      </c>
    </row>
    <row r="122" spans="2:4" ht="15" x14ac:dyDescent="0.25">
      <c r="B122" s="41" t="s">
        <v>148</v>
      </c>
      <c r="C122" s="40"/>
      <c r="D122" s="45">
        <v>3.1416829218660597E-2</v>
      </c>
    </row>
    <row r="123" spans="2:4" ht="15" x14ac:dyDescent="0.25">
      <c r="B123" s="41" t="s">
        <v>149</v>
      </c>
      <c r="C123" s="40"/>
      <c r="D123" s="45" t="s">
        <v>133</v>
      </c>
    </row>
  </sheetData>
  <mergeCells count="5">
    <mergeCell ref="A1:G1"/>
    <mergeCell ref="A2:G2"/>
    <mergeCell ref="A3:G3"/>
    <mergeCell ref="B102:F102"/>
    <mergeCell ref="B103:F10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V123"/>
  <sheetViews>
    <sheetView workbookViewId="0">
      <selection sqref="A1:XFD1048576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819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491</v>
      </c>
      <c r="C7" s="11" t="s">
        <v>492</v>
      </c>
      <c r="D7" s="2" t="s">
        <v>215</v>
      </c>
      <c r="E7" s="46">
        <v>19490</v>
      </c>
      <c r="F7" s="51">
        <v>154.68238500000001</v>
      </c>
      <c r="G7" s="5">
        <v>8.2203134999999997E-2</v>
      </c>
    </row>
    <row r="8" spans="1:7" ht="15" x14ac:dyDescent="0.25">
      <c r="A8" s="6">
        <v>2</v>
      </c>
      <c r="B8" s="7" t="s">
        <v>33</v>
      </c>
      <c r="C8" s="11" t="s">
        <v>34</v>
      </c>
      <c r="D8" s="2" t="s">
        <v>13</v>
      </c>
      <c r="E8" s="46">
        <v>6353</v>
      </c>
      <c r="F8" s="51">
        <v>143.0473245</v>
      </c>
      <c r="G8" s="5">
        <v>7.6019894000000005E-2</v>
      </c>
    </row>
    <row r="9" spans="1:7" ht="15" x14ac:dyDescent="0.25">
      <c r="A9" s="6">
        <v>3</v>
      </c>
      <c r="B9" s="7" t="s">
        <v>487</v>
      </c>
      <c r="C9" s="11" t="s">
        <v>488</v>
      </c>
      <c r="D9" s="2" t="s">
        <v>13</v>
      </c>
      <c r="E9" s="46">
        <v>8920</v>
      </c>
      <c r="F9" s="51">
        <v>135.54386</v>
      </c>
      <c r="G9" s="5">
        <v>7.2032315E-2</v>
      </c>
    </row>
    <row r="10" spans="1:7" ht="15" x14ac:dyDescent="0.25">
      <c r="A10" s="6">
        <v>4</v>
      </c>
      <c r="B10" s="7" t="s">
        <v>328</v>
      </c>
      <c r="C10" s="11" t="s">
        <v>329</v>
      </c>
      <c r="D10" s="2" t="s">
        <v>241</v>
      </c>
      <c r="E10" s="46">
        <v>7905</v>
      </c>
      <c r="F10" s="51">
        <v>132.0806925</v>
      </c>
      <c r="G10" s="5">
        <v>7.0191877999999999E-2</v>
      </c>
    </row>
    <row r="11" spans="1:7" ht="25.5" x14ac:dyDescent="0.25">
      <c r="A11" s="6">
        <v>5</v>
      </c>
      <c r="B11" s="7" t="s">
        <v>564</v>
      </c>
      <c r="C11" s="11" t="s">
        <v>565</v>
      </c>
      <c r="D11" s="2" t="s">
        <v>37</v>
      </c>
      <c r="E11" s="46">
        <v>1048</v>
      </c>
      <c r="F11" s="51">
        <v>122.363432</v>
      </c>
      <c r="G11" s="5">
        <v>6.5027816000000002E-2</v>
      </c>
    </row>
    <row r="12" spans="1:7" ht="25.5" x14ac:dyDescent="0.25">
      <c r="A12" s="6">
        <v>6</v>
      </c>
      <c r="B12" s="7" t="s">
        <v>489</v>
      </c>
      <c r="C12" s="11" t="s">
        <v>490</v>
      </c>
      <c r="D12" s="2" t="s">
        <v>162</v>
      </c>
      <c r="E12" s="46">
        <v>5465</v>
      </c>
      <c r="F12" s="51">
        <v>115.95637000000001</v>
      </c>
      <c r="G12" s="5">
        <v>6.1622900000000001E-2</v>
      </c>
    </row>
    <row r="13" spans="1:7" ht="25.5" x14ac:dyDescent="0.25">
      <c r="A13" s="6">
        <v>7</v>
      </c>
      <c r="B13" s="7" t="s">
        <v>40</v>
      </c>
      <c r="C13" s="11" t="s">
        <v>41</v>
      </c>
      <c r="D13" s="2" t="s">
        <v>42</v>
      </c>
      <c r="E13" s="46">
        <v>9553</v>
      </c>
      <c r="F13" s="51">
        <v>111.4118625</v>
      </c>
      <c r="G13" s="5">
        <v>5.9207804000000003E-2</v>
      </c>
    </row>
    <row r="14" spans="1:7" ht="25.5" x14ac:dyDescent="0.25">
      <c r="A14" s="6">
        <v>8</v>
      </c>
      <c r="B14" s="7" t="s">
        <v>437</v>
      </c>
      <c r="C14" s="11" t="s">
        <v>438</v>
      </c>
      <c r="D14" s="2" t="s">
        <v>59</v>
      </c>
      <c r="E14" s="46">
        <v>9034</v>
      </c>
      <c r="F14" s="51">
        <v>95.430659000000006</v>
      </c>
      <c r="G14" s="5">
        <v>5.0714885000000001E-2</v>
      </c>
    </row>
    <row r="15" spans="1:7" ht="15" x14ac:dyDescent="0.25">
      <c r="A15" s="6">
        <v>9</v>
      </c>
      <c r="B15" s="7" t="s">
        <v>626</v>
      </c>
      <c r="C15" s="11" t="s">
        <v>627</v>
      </c>
      <c r="D15" s="2" t="s">
        <v>241</v>
      </c>
      <c r="E15" s="46">
        <v>17633</v>
      </c>
      <c r="F15" s="51">
        <v>91.885563000000005</v>
      </c>
      <c r="G15" s="5">
        <v>4.8830907999999999E-2</v>
      </c>
    </row>
    <row r="16" spans="1:7" ht="15" x14ac:dyDescent="0.25">
      <c r="A16" s="6">
        <v>10</v>
      </c>
      <c r="B16" s="7" t="s">
        <v>498</v>
      </c>
      <c r="C16" s="11" t="s">
        <v>499</v>
      </c>
      <c r="D16" s="2" t="s">
        <v>170</v>
      </c>
      <c r="E16" s="46">
        <v>45471</v>
      </c>
      <c r="F16" s="51">
        <v>83.325607500000004</v>
      </c>
      <c r="G16" s="5">
        <v>4.4281875999999998E-2</v>
      </c>
    </row>
    <row r="17" spans="1:7" ht="15" x14ac:dyDescent="0.25">
      <c r="A17" s="6">
        <v>11</v>
      </c>
      <c r="B17" s="7" t="s">
        <v>504</v>
      </c>
      <c r="C17" s="11" t="s">
        <v>505</v>
      </c>
      <c r="D17" s="2" t="s">
        <v>215</v>
      </c>
      <c r="E17" s="46">
        <v>12747</v>
      </c>
      <c r="F17" s="51">
        <v>81.102787500000005</v>
      </c>
      <c r="G17" s="5">
        <v>4.3100599000000003E-2</v>
      </c>
    </row>
    <row r="18" spans="1:7" ht="15" x14ac:dyDescent="0.25">
      <c r="A18" s="6">
        <v>12</v>
      </c>
      <c r="B18" s="7" t="s">
        <v>500</v>
      </c>
      <c r="C18" s="11" t="s">
        <v>501</v>
      </c>
      <c r="D18" s="2" t="s">
        <v>226</v>
      </c>
      <c r="E18" s="46">
        <v>1257</v>
      </c>
      <c r="F18" s="51">
        <v>68.754129000000006</v>
      </c>
      <c r="G18" s="5">
        <v>3.6538129000000003E-2</v>
      </c>
    </row>
    <row r="19" spans="1:7" ht="15" x14ac:dyDescent="0.25">
      <c r="A19" s="6">
        <v>13</v>
      </c>
      <c r="B19" s="7" t="s">
        <v>38</v>
      </c>
      <c r="C19" s="11" t="s">
        <v>39</v>
      </c>
      <c r="D19" s="2" t="s">
        <v>16</v>
      </c>
      <c r="E19" s="46">
        <v>333</v>
      </c>
      <c r="F19" s="51">
        <v>67.146952499999998</v>
      </c>
      <c r="G19" s="5">
        <v>3.5684025000000001E-2</v>
      </c>
    </row>
    <row r="20" spans="1:7" ht="15" x14ac:dyDescent="0.25">
      <c r="A20" s="6">
        <v>14</v>
      </c>
      <c r="B20" s="7" t="s">
        <v>398</v>
      </c>
      <c r="C20" s="11" t="s">
        <v>399</v>
      </c>
      <c r="D20" s="2" t="s">
        <v>226</v>
      </c>
      <c r="E20" s="46">
        <v>2717</v>
      </c>
      <c r="F20" s="51">
        <v>64.015236999999999</v>
      </c>
      <c r="G20" s="5">
        <v>3.4019730999999998E-2</v>
      </c>
    </row>
    <row r="21" spans="1:7" ht="15" x14ac:dyDescent="0.25">
      <c r="A21" s="6">
        <v>15</v>
      </c>
      <c r="B21" s="7" t="s">
        <v>426</v>
      </c>
      <c r="C21" s="11" t="s">
        <v>427</v>
      </c>
      <c r="D21" s="2" t="s">
        <v>13</v>
      </c>
      <c r="E21" s="46">
        <v>3581</v>
      </c>
      <c r="F21" s="51">
        <v>50.594158499999999</v>
      </c>
      <c r="G21" s="5">
        <v>2.6887344000000001E-2</v>
      </c>
    </row>
    <row r="22" spans="1:7" ht="15" x14ac:dyDescent="0.25">
      <c r="A22" s="6">
        <v>16</v>
      </c>
      <c r="B22" s="7" t="s">
        <v>435</v>
      </c>
      <c r="C22" s="11" t="s">
        <v>436</v>
      </c>
      <c r="D22" s="2" t="s">
        <v>215</v>
      </c>
      <c r="E22" s="46">
        <v>2132</v>
      </c>
      <c r="F22" s="51">
        <v>47.025523999999997</v>
      </c>
      <c r="G22" s="5">
        <v>2.4990858000000001E-2</v>
      </c>
    </row>
    <row r="23" spans="1:7" ht="15" x14ac:dyDescent="0.25">
      <c r="A23" s="6">
        <v>17</v>
      </c>
      <c r="B23" s="7" t="s">
        <v>322</v>
      </c>
      <c r="C23" s="11" t="s">
        <v>323</v>
      </c>
      <c r="D23" s="2" t="s">
        <v>162</v>
      </c>
      <c r="E23" s="46">
        <v>8622</v>
      </c>
      <c r="F23" s="51">
        <v>44.696447999999997</v>
      </c>
      <c r="G23" s="5">
        <v>2.3753112999999999E-2</v>
      </c>
    </row>
    <row r="24" spans="1:7" ht="15" x14ac:dyDescent="0.25">
      <c r="A24" s="6">
        <v>18</v>
      </c>
      <c r="B24" s="7" t="s">
        <v>532</v>
      </c>
      <c r="C24" s="11" t="s">
        <v>533</v>
      </c>
      <c r="D24" s="2" t="s">
        <v>162</v>
      </c>
      <c r="E24" s="46">
        <v>484</v>
      </c>
      <c r="F24" s="51">
        <v>34.353594000000001</v>
      </c>
      <c r="G24" s="5">
        <v>1.8256591999999999E-2</v>
      </c>
    </row>
    <row r="25" spans="1:7" ht="15" x14ac:dyDescent="0.25">
      <c r="A25" s="6">
        <v>19</v>
      </c>
      <c r="B25" s="7" t="s">
        <v>412</v>
      </c>
      <c r="C25" s="11" t="s">
        <v>413</v>
      </c>
      <c r="D25" s="2" t="s">
        <v>162</v>
      </c>
      <c r="E25" s="46">
        <v>833</v>
      </c>
      <c r="F25" s="51">
        <v>27.0895765</v>
      </c>
      <c r="G25" s="5">
        <v>1.4396262E-2</v>
      </c>
    </row>
    <row r="26" spans="1:7" ht="15" x14ac:dyDescent="0.25">
      <c r="A26" s="6">
        <v>20</v>
      </c>
      <c r="B26" s="7" t="s">
        <v>538</v>
      </c>
      <c r="C26" s="11" t="s">
        <v>539</v>
      </c>
      <c r="D26" s="2" t="s">
        <v>170</v>
      </c>
      <c r="E26" s="46">
        <v>22429</v>
      </c>
      <c r="F26" s="51">
        <v>23.942957499999999</v>
      </c>
      <c r="G26" s="5">
        <v>1.2724048999999999E-2</v>
      </c>
    </row>
    <row r="27" spans="1:7" ht="25.5" x14ac:dyDescent="0.25">
      <c r="A27" s="6">
        <v>21</v>
      </c>
      <c r="B27" s="7" t="s">
        <v>693</v>
      </c>
      <c r="C27" s="11" t="s">
        <v>694</v>
      </c>
      <c r="D27" s="2" t="s">
        <v>30</v>
      </c>
      <c r="E27" s="46">
        <v>22933</v>
      </c>
      <c r="F27" s="51">
        <v>23.552191000000001</v>
      </c>
      <c r="G27" s="5">
        <v>1.2516383000000001E-2</v>
      </c>
    </row>
    <row r="28" spans="1:7" ht="25.5" x14ac:dyDescent="0.25">
      <c r="A28" s="6">
        <v>22</v>
      </c>
      <c r="B28" s="7" t="s">
        <v>566</v>
      </c>
      <c r="C28" s="11" t="s">
        <v>567</v>
      </c>
      <c r="D28" s="2" t="s">
        <v>37</v>
      </c>
      <c r="E28" s="46">
        <v>743</v>
      </c>
      <c r="F28" s="51">
        <v>19.355149999999998</v>
      </c>
      <c r="G28" s="5">
        <v>1.0285941999999999E-2</v>
      </c>
    </row>
    <row r="29" spans="1:7" ht="15" x14ac:dyDescent="0.25">
      <c r="A29" s="6">
        <v>23</v>
      </c>
      <c r="B29" s="7" t="s">
        <v>674</v>
      </c>
      <c r="C29" s="11" t="s">
        <v>675</v>
      </c>
      <c r="D29" s="2" t="s">
        <v>226</v>
      </c>
      <c r="E29" s="46">
        <v>96</v>
      </c>
      <c r="F29" s="51">
        <v>15.694127999999999</v>
      </c>
      <c r="G29" s="5">
        <v>8.3403580000000008E-3</v>
      </c>
    </row>
    <row r="30" spans="1:7" ht="15" x14ac:dyDescent="0.25">
      <c r="A30" s="6">
        <v>24</v>
      </c>
      <c r="B30" s="7" t="s">
        <v>681</v>
      </c>
      <c r="C30" s="11" t="s">
        <v>682</v>
      </c>
      <c r="D30" s="2" t="s">
        <v>226</v>
      </c>
      <c r="E30" s="46">
        <v>22247</v>
      </c>
      <c r="F30" s="51">
        <v>15.5395295</v>
      </c>
      <c r="G30" s="5">
        <v>8.2582000000000003E-3</v>
      </c>
    </row>
    <row r="31" spans="1:7" ht="25.5" x14ac:dyDescent="0.25">
      <c r="A31" s="6">
        <v>25</v>
      </c>
      <c r="B31" s="7" t="s">
        <v>326</v>
      </c>
      <c r="C31" s="11" t="s">
        <v>327</v>
      </c>
      <c r="D31" s="2" t="s">
        <v>37</v>
      </c>
      <c r="E31" s="46">
        <v>4748</v>
      </c>
      <c r="F31" s="51">
        <v>15.198347999999999</v>
      </c>
      <c r="G31" s="5">
        <v>8.0768850000000007E-3</v>
      </c>
    </row>
    <row r="32" spans="1:7" ht="15" x14ac:dyDescent="0.25">
      <c r="A32" s="6">
        <v>26</v>
      </c>
      <c r="B32" s="7" t="s">
        <v>695</v>
      </c>
      <c r="C32" s="11" t="s">
        <v>696</v>
      </c>
      <c r="D32" s="2" t="s">
        <v>51</v>
      </c>
      <c r="E32" s="46">
        <v>32676</v>
      </c>
      <c r="F32" s="51">
        <v>13.96899</v>
      </c>
      <c r="G32" s="5">
        <v>7.423565E-3</v>
      </c>
    </row>
    <row r="33" spans="1:7" ht="15" x14ac:dyDescent="0.25">
      <c r="A33" s="6">
        <v>27</v>
      </c>
      <c r="B33" s="7" t="s">
        <v>514</v>
      </c>
      <c r="C33" s="11" t="s">
        <v>515</v>
      </c>
      <c r="D33" s="2" t="s">
        <v>215</v>
      </c>
      <c r="E33" s="46">
        <v>1200</v>
      </c>
      <c r="F33" s="51">
        <v>12.4146</v>
      </c>
      <c r="G33" s="5">
        <v>6.5975130000000002E-3</v>
      </c>
    </row>
    <row r="34" spans="1:7" ht="15" x14ac:dyDescent="0.25">
      <c r="A34" s="6">
        <v>28</v>
      </c>
      <c r="B34" s="7" t="s">
        <v>610</v>
      </c>
      <c r="C34" s="11" t="s">
        <v>611</v>
      </c>
      <c r="D34" s="2" t="s">
        <v>81</v>
      </c>
      <c r="E34" s="46">
        <v>660</v>
      </c>
      <c r="F34" s="51">
        <v>10.277520000000001</v>
      </c>
      <c r="G34" s="5">
        <v>5.4618009999999996E-3</v>
      </c>
    </row>
    <row r="35" spans="1:7" ht="15" x14ac:dyDescent="0.25">
      <c r="A35" s="6">
        <v>29</v>
      </c>
      <c r="B35" s="7" t="s">
        <v>596</v>
      </c>
      <c r="C35" s="11" t="s">
        <v>597</v>
      </c>
      <c r="D35" s="2" t="s">
        <v>241</v>
      </c>
      <c r="E35" s="46">
        <v>1251</v>
      </c>
      <c r="F35" s="51">
        <v>9.5676480000000002</v>
      </c>
      <c r="G35" s="5">
        <v>5.084552E-3</v>
      </c>
    </row>
    <row r="36" spans="1:7" ht="25.5" x14ac:dyDescent="0.25">
      <c r="A36" s="6">
        <v>30</v>
      </c>
      <c r="B36" s="7" t="s">
        <v>656</v>
      </c>
      <c r="C36" s="11" t="s">
        <v>657</v>
      </c>
      <c r="D36" s="2" t="s">
        <v>162</v>
      </c>
      <c r="E36" s="46">
        <v>723</v>
      </c>
      <c r="F36" s="51">
        <v>7.0076774999999998</v>
      </c>
      <c r="G36" s="5">
        <v>3.7241029999999999E-3</v>
      </c>
    </row>
    <row r="37" spans="1:7" ht="15" x14ac:dyDescent="0.25">
      <c r="A37" s="6">
        <v>31</v>
      </c>
      <c r="B37" s="7" t="s">
        <v>424</v>
      </c>
      <c r="C37" s="11" t="s">
        <v>425</v>
      </c>
      <c r="D37" s="2" t="s">
        <v>241</v>
      </c>
      <c r="E37" s="46">
        <v>1151</v>
      </c>
      <c r="F37" s="51">
        <v>6.5750875000000004</v>
      </c>
      <c r="G37" s="5">
        <v>3.4942100000000002E-3</v>
      </c>
    </row>
    <row r="38" spans="1:7" ht="15" x14ac:dyDescent="0.25">
      <c r="A38" s="1"/>
      <c r="B38" s="2"/>
      <c r="C38" s="8" t="s">
        <v>104</v>
      </c>
      <c r="D38" s="12"/>
      <c r="E38" s="48"/>
      <c r="F38" s="53">
        <v>1843.5999900000002</v>
      </c>
      <c r="G38" s="13">
        <v>0.97974762500000012</v>
      </c>
    </row>
    <row r="39" spans="1:7" ht="15" x14ac:dyDescent="0.25">
      <c r="A39" s="6"/>
      <c r="B39" s="7"/>
      <c r="C39" s="14"/>
      <c r="D39" s="15"/>
      <c r="E39" s="46"/>
      <c r="F39" s="51"/>
      <c r="G39" s="5"/>
    </row>
    <row r="40" spans="1:7" ht="15" x14ac:dyDescent="0.25">
      <c r="A40" s="1"/>
      <c r="B40" s="2"/>
      <c r="C40" s="8" t="s">
        <v>105</v>
      </c>
      <c r="D40" s="9"/>
      <c r="E40" s="47"/>
      <c r="F40" s="52"/>
      <c r="G40" s="10"/>
    </row>
    <row r="41" spans="1:7" ht="15" x14ac:dyDescent="0.25">
      <c r="A41" s="1"/>
      <c r="B41" s="2"/>
      <c r="C41" s="8" t="s">
        <v>104</v>
      </c>
      <c r="D41" s="12"/>
      <c r="E41" s="48"/>
      <c r="F41" s="53">
        <v>0</v>
      </c>
      <c r="G41" s="13">
        <v>0</v>
      </c>
    </row>
    <row r="42" spans="1:7" ht="15" x14ac:dyDescent="0.25">
      <c r="A42" s="6"/>
      <c r="B42" s="7"/>
      <c r="C42" s="14"/>
      <c r="D42" s="15"/>
      <c r="E42" s="46"/>
      <c r="F42" s="51"/>
      <c r="G42" s="5"/>
    </row>
    <row r="43" spans="1:7" ht="15" x14ac:dyDescent="0.25">
      <c r="A43" s="16"/>
      <c r="B43" s="17"/>
      <c r="C43" s="8" t="s">
        <v>106</v>
      </c>
      <c r="D43" s="9"/>
      <c r="E43" s="47"/>
      <c r="F43" s="52"/>
      <c r="G43" s="10"/>
    </row>
    <row r="44" spans="1:7" ht="15" x14ac:dyDescent="0.25">
      <c r="A44" s="18"/>
      <c r="B44" s="19"/>
      <c r="C44" s="8" t="s">
        <v>104</v>
      </c>
      <c r="D44" s="20"/>
      <c r="E44" s="49"/>
      <c r="F44" s="54">
        <v>0</v>
      </c>
      <c r="G44" s="21">
        <v>0</v>
      </c>
    </row>
    <row r="45" spans="1:7" ht="15" x14ac:dyDescent="0.25">
      <c r="A45" s="18"/>
      <c r="B45" s="19"/>
      <c r="C45" s="14"/>
      <c r="D45" s="22"/>
      <c r="E45" s="50"/>
      <c r="F45" s="55"/>
      <c r="G45" s="23"/>
    </row>
    <row r="46" spans="1:7" ht="15" x14ac:dyDescent="0.25">
      <c r="A46" s="1"/>
      <c r="B46" s="2"/>
      <c r="C46" s="8" t="s">
        <v>108</v>
      </c>
      <c r="D46" s="9"/>
      <c r="E46" s="47"/>
      <c r="F46" s="52"/>
      <c r="G46" s="10"/>
    </row>
    <row r="47" spans="1:7" ht="15" x14ac:dyDescent="0.25">
      <c r="A47" s="1"/>
      <c r="B47" s="2"/>
      <c r="C47" s="8" t="s">
        <v>104</v>
      </c>
      <c r="D47" s="12"/>
      <c r="E47" s="48"/>
      <c r="F47" s="53">
        <v>0</v>
      </c>
      <c r="G47" s="13">
        <v>0</v>
      </c>
    </row>
    <row r="48" spans="1:7" ht="15" x14ac:dyDescent="0.25">
      <c r="A48" s="1"/>
      <c r="B48" s="2"/>
      <c r="C48" s="14"/>
      <c r="D48" s="4"/>
      <c r="E48" s="46"/>
      <c r="F48" s="51"/>
      <c r="G48" s="5"/>
    </row>
    <row r="49" spans="1:7" ht="15" x14ac:dyDescent="0.25">
      <c r="A49" s="1"/>
      <c r="B49" s="2"/>
      <c r="C49" s="8" t="s">
        <v>109</v>
      </c>
      <c r="D49" s="9"/>
      <c r="E49" s="47"/>
      <c r="F49" s="52"/>
      <c r="G49" s="10"/>
    </row>
    <row r="50" spans="1:7" ht="15" x14ac:dyDescent="0.25">
      <c r="A50" s="1"/>
      <c r="B50" s="2"/>
      <c r="C50" s="8" t="s">
        <v>104</v>
      </c>
      <c r="D50" s="12"/>
      <c r="E50" s="48"/>
      <c r="F50" s="53">
        <v>0</v>
      </c>
      <c r="G50" s="13">
        <v>0</v>
      </c>
    </row>
    <row r="51" spans="1:7" ht="15" x14ac:dyDescent="0.25">
      <c r="A51" s="1"/>
      <c r="B51" s="2"/>
      <c r="C51" s="14"/>
      <c r="D51" s="4"/>
      <c r="E51" s="46"/>
      <c r="F51" s="51"/>
      <c r="G51" s="5"/>
    </row>
    <row r="52" spans="1:7" ht="15" x14ac:dyDescent="0.25">
      <c r="A52" s="1"/>
      <c r="B52" s="2"/>
      <c r="C52" s="8" t="s">
        <v>110</v>
      </c>
      <c r="D52" s="9"/>
      <c r="E52" s="47"/>
      <c r="F52" s="52"/>
      <c r="G52" s="10"/>
    </row>
    <row r="53" spans="1:7" ht="15" x14ac:dyDescent="0.25">
      <c r="A53" s="1"/>
      <c r="B53" s="2"/>
      <c r="C53" s="8" t="s">
        <v>104</v>
      </c>
      <c r="D53" s="12"/>
      <c r="E53" s="48"/>
      <c r="F53" s="53">
        <v>0</v>
      </c>
      <c r="G53" s="13">
        <v>0</v>
      </c>
    </row>
    <row r="54" spans="1:7" ht="15" x14ac:dyDescent="0.25">
      <c r="A54" s="1"/>
      <c r="B54" s="2"/>
      <c r="C54" s="14"/>
      <c r="D54" s="4"/>
      <c r="E54" s="46"/>
      <c r="F54" s="51"/>
      <c r="G54" s="5"/>
    </row>
    <row r="55" spans="1:7" ht="25.5" x14ac:dyDescent="0.25">
      <c r="A55" s="6"/>
      <c r="B55" s="7"/>
      <c r="C55" s="24" t="s">
        <v>111</v>
      </c>
      <c r="D55" s="25"/>
      <c r="E55" s="48"/>
      <c r="F55" s="53">
        <v>1843.5999900000002</v>
      </c>
      <c r="G55" s="13">
        <v>0.97974762500000012</v>
      </c>
    </row>
    <row r="56" spans="1:7" ht="15" x14ac:dyDescent="0.25">
      <c r="A56" s="1"/>
      <c r="B56" s="2"/>
      <c r="C56" s="11"/>
      <c r="D56" s="4"/>
      <c r="E56" s="46"/>
      <c r="F56" s="51"/>
      <c r="G56" s="5"/>
    </row>
    <row r="57" spans="1:7" ht="15" x14ac:dyDescent="0.25">
      <c r="A57" s="1"/>
      <c r="B57" s="2"/>
      <c r="C57" s="3" t="s">
        <v>112</v>
      </c>
      <c r="D57" s="4"/>
      <c r="E57" s="46"/>
      <c r="F57" s="51"/>
      <c r="G57" s="5"/>
    </row>
    <row r="58" spans="1:7" ht="25.5" x14ac:dyDescent="0.25">
      <c r="A58" s="1"/>
      <c r="B58" s="2"/>
      <c r="C58" s="8" t="s">
        <v>10</v>
      </c>
      <c r="D58" s="9"/>
      <c r="E58" s="47"/>
      <c r="F58" s="52"/>
      <c r="G58" s="10"/>
    </row>
    <row r="59" spans="1:7" ht="15" x14ac:dyDescent="0.25">
      <c r="A59" s="6"/>
      <c r="B59" s="7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6"/>
      <c r="B60" s="7"/>
      <c r="C60" s="14"/>
      <c r="D60" s="4"/>
      <c r="E60" s="46"/>
      <c r="F60" s="51"/>
      <c r="G60" s="5"/>
    </row>
    <row r="61" spans="1:7" ht="15" x14ac:dyDescent="0.25">
      <c r="A61" s="1"/>
      <c r="B61" s="26"/>
      <c r="C61" s="8" t="s">
        <v>113</v>
      </c>
      <c r="D61" s="9"/>
      <c r="E61" s="47"/>
      <c r="F61" s="52"/>
      <c r="G61" s="10"/>
    </row>
    <row r="62" spans="1:7" ht="15" x14ac:dyDescent="0.25">
      <c r="A62" s="6"/>
      <c r="B62" s="7"/>
      <c r="C62" s="8" t="s">
        <v>104</v>
      </c>
      <c r="D62" s="12"/>
      <c r="E62" s="48"/>
      <c r="F62" s="53">
        <v>0</v>
      </c>
      <c r="G62" s="13">
        <v>0</v>
      </c>
    </row>
    <row r="63" spans="1:7" ht="15" x14ac:dyDescent="0.25">
      <c r="A63" s="6"/>
      <c r="B63" s="7"/>
      <c r="C63" s="14"/>
      <c r="D63" s="4"/>
      <c r="E63" s="46"/>
      <c r="F63" s="56"/>
      <c r="G63" s="27"/>
    </row>
    <row r="64" spans="1:7" ht="15" x14ac:dyDescent="0.25">
      <c r="A64" s="1"/>
      <c r="B64" s="2"/>
      <c r="C64" s="8" t="s">
        <v>114</v>
      </c>
      <c r="D64" s="9"/>
      <c r="E64" s="47"/>
      <c r="F64" s="52"/>
      <c r="G64" s="10"/>
    </row>
    <row r="65" spans="1:7" ht="15" x14ac:dyDescent="0.25">
      <c r="A65" s="6"/>
      <c r="B65" s="7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1"/>
      <c r="B66" s="2"/>
      <c r="C66" s="14"/>
      <c r="D66" s="4"/>
      <c r="E66" s="46"/>
      <c r="F66" s="51"/>
      <c r="G66" s="5"/>
    </row>
    <row r="67" spans="1:7" ht="25.5" x14ac:dyDescent="0.25">
      <c r="A67" s="1"/>
      <c r="B67" s="26"/>
      <c r="C67" s="8" t="s">
        <v>115</v>
      </c>
      <c r="D67" s="9"/>
      <c r="E67" s="47"/>
      <c r="F67" s="52"/>
      <c r="G67" s="10"/>
    </row>
    <row r="68" spans="1:7" ht="15" x14ac:dyDescent="0.25">
      <c r="A68" s="6"/>
      <c r="B68" s="7"/>
      <c r="C68" s="8" t="s">
        <v>104</v>
      </c>
      <c r="D68" s="12"/>
      <c r="E68" s="48"/>
      <c r="F68" s="53">
        <v>0</v>
      </c>
      <c r="G68" s="13">
        <v>0</v>
      </c>
    </row>
    <row r="69" spans="1:7" ht="15" x14ac:dyDescent="0.25">
      <c r="A69" s="6"/>
      <c r="B69" s="7"/>
      <c r="C69" s="14"/>
      <c r="D69" s="4"/>
      <c r="E69" s="46"/>
      <c r="F69" s="51"/>
      <c r="G69" s="5"/>
    </row>
    <row r="70" spans="1:7" ht="15" x14ac:dyDescent="0.25">
      <c r="A70" s="6"/>
      <c r="B70" s="7"/>
      <c r="C70" s="28" t="s">
        <v>116</v>
      </c>
      <c r="D70" s="25"/>
      <c r="E70" s="48"/>
      <c r="F70" s="53">
        <v>0</v>
      </c>
      <c r="G70" s="13">
        <v>0</v>
      </c>
    </row>
    <row r="71" spans="1:7" ht="15" x14ac:dyDescent="0.25">
      <c r="A71" s="6"/>
      <c r="B71" s="7"/>
      <c r="C71" s="11"/>
      <c r="D71" s="4"/>
      <c r="E71" s="46"/>
      <c r="F71" s="51"/>
      <c r="G71" s="5"/>
    </row>
    <row r="72" spans="1:7" ht="15" x14ac:dyDescent="0.25">
      <c r="A72" s="1"/>
      <c r="B72" s="2"/>
      <c r="C72" s="3" t="s">
        <v>117</v>
      </c>
      <c r="D72" s="4"/>
      <c r="E72" s="46"/>
      <c r="F72" s="51"/>
      <c r="G72" s="5"/>
    </row>
    <row r="73" spans="1:7" ht="15" x14ac:dyDescent="0.25">
      <c r="A73" s="6"/>
      <c r="B73" s="7"/>
      <c r="C73" s="8" t="s">
        <v>118</v>
      </c>
      <c r="D73" s="9"/>
      <c r="E73" s="47"/>
      <c r="F73" s="52"/>
      <c r="G73" s="10"/>
    </row>
    <row r="74" spans="1:7" ht="15" x14ac:dyDescent="0.25">
      <c r="A74" s="6"/>
      <c r="B74" s="7"/>
      <c r="C74" s="8" t="s">
        <v>104</v>
      </c>
      <c r="D74" s="25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7"/>
      <c r="E75" s="46"/>
      <c r="F75" s="51"/>
      <c r="G75" s="5"/>
    </row>
    <row r="76" spans="1:7" ht="15" x14ac:dyDescent="0.25">
      <c r="A76" s="6"/>
      <c r="B76" s="7"/>
      <c r="C76" s="8" t="s">
        <v>119</v>
      </c>
      <c r="D76" s="9"/>
      <c r="E76" s="47"/>
      <c r="F76" s="52"/>
      <c r="G76" s="10"/>
    </row>
    <row r="77" spans="1:7" ht="15" x14ac:dyDescent="0.25">
      <c r="A77" s="6"/>
      <c r="B77" s="7"/>
      <c r="C77" s="8" t="s">
        <v>104</v>
      </c>
      <c r="D77" s="25"/>
      <c r="E77" s="48"/>
      <c r="F77" s="53">
        <v>0</v>
      </c>
      <c r="G77" s="13">
        <v>0</v>
      </c>
    </row>
    <row r="78" spans="1:7" ht="15" x14ac:dyDescent="0.25">
      <c r="A78" s="6"/>
      <c r="B78" s="7"/>
      <c r="C78" s="14"/>
      <c r="D78" s="7"/>
      <c r="E78" s="46"/>
      <c r="F78" s="51"/>
      <c r="G78" s="5"/>
    </row>
    <row r="79" spans="1:7" ht="15" x14ac:dyDescent="0.25">
      <c r="A79" s="6"/>
      <c r="B79" s="7"/>
      <c r="C79" s="8" t="s">
        <v>120</v>
      </c>
      <c r="D79" s="9"/>
      <c r="E79" s="47"/>
      <c r="F79" s="52"/>
      <c r="G79" s="10"/>
    </row>
    <row r="80" spans="1:7" ht="15" x14ac:dyDescent="0.25">
      <c r="A80" s="6"/>
      <c r="B80" s="7"/>
      <c r="C80" s="8" t="s">
        <v>104</v>
      </c>
      <c r="D80" s="25"/>
      <c r="E80" s="48"/>
      <c r="F80" s="53">
        <v>0</v>
      </c>
      <c r="G80" s="13">
        <v>0</v>
      </c>
    </row>
    <row r="81" spans="1:7" ht="15" x14ac:dyDescent="0.25">
      <c r="A81" s="6"/>
      <c r="B81" s="7"/>
      <c r="C81" s="14"/>
      <c r="D81" s="7"/>
      <c r="E81" s="46"/>
      <c r="F81" s="51"/>
      <c r="G81" s="5"/>
    </row>
    <row r="82" spans="1:7" ht="15" x14ac:dyDescent="0.25">
      <c r="A82" s="6"/>
      <c r="B82" s="7"/>
      <c r="C82" s="8" t="s">
        <v>121</v>
      </c>
      <c r="D82" s="9"/>
      <c r="E82" s="47"/>
      <c r="F82" s="52"/>
      <c r="G82" s="10"/>
    </row>
    <row r="83" spans="1:7" ht="15" x14ac:dyDescent="0.25">
      <c r="A83" s="6">
        <v>1</v>
      </c>
      <c r="B83" s="7"/>
      <c r="C83" s="11" t="s">
        <v>730</v>
      </c>
      <c r="D83" s="15"/>
      <c r="E83" s="46"/>
      <c r="F83" s="51">
        <v>30.995253099999999</v>
      </c>
      <c r="G83" s="5">
        <v>1.6471863E-2</v>
      </c>
    </row>
    <row r="84" spans="1:7" ht="15" x14ac:dyDescent="0.25">
      <c r="A84" s="6"/>
      <c r="B84" s="7"/>
      <c r="C84" s="8" t="s">
        <v>104</v>
      </c>
      <c r="D84" s="25"/>
      <c r="E84" s="48"/>
      <c r="F84" s="53">
        <v>30.995253099999999</v>
      </c>
      <c r="G84" s="13">
        <v>1.6471863E-2</v>
      </c>
    </row>
    <row r="85" spans="1:7" ht="15" x14ac:dyDescent="0.25">
      <c r="A85" s="6"/>
      <c r="B85" s="7"/>
      <c r="C85" s="14"/>
      <c r="D85" s="7"/>
      <c r="E85" s="46"/>
      <c r="F85" s="51"/>
      <c r="G85" s="5"/>
    </row>
    <row r="86" spans="1:7" ht="25.5" x14ac:dyDescent="0.25">
      <c r="A86" s="6"/>
      <c r="B86" s="7"/>
      <c r="C86" s="24" t="s">
        <v>122</v>
      </c>
      <c r="D86" s="25"/>
      <c r="E86" s="48"/>
      <c r="F86" s="53">
        <v>30.995253099999999</v>
      </c>
      <c r="G86" s="13">
        <v>1.6471863E-2</v>
      </c>
    </row>
    <row r="87" spans="1:7" ht="15" x14ac:dyDescent="0.25">
      <c r="A87" s="6"/>
      <c r="B87" s="7"/>
      <c r="C87" s="29"/>
      <c r="D87" s="7"/>
      <c r="E87" s="46"/>
      <c r="F87" s="51"/>
      <c r="G87" s="5"/>
    </row>
    <row r="88" spans="1:7" ht="15" x14ac:dyDescent="0.25">
      <c r="A88" s="1"/>
      <c r="B88" s="2"/>
      <c r="C88" s="3" t="s">
        <v>123</v>
      </c>
      <c r="D88" s="4"/>
      <c r="E88" s="46"/>
      <c r="F88" s="51"/>
      <c r="G88" s="5"/>
    </row>
    <row r="89" spans="1:7" ht="25.5" x14ac:dyDescent="0.25">
      <c r="A89" s="6"/>
      <c r="B89" s="7"/>
      <c r="C89" s="8" t="s">
        <v>124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25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7"/>
      <c r="E91" s="46"/>
      <c r="F91" s="51"/>
      <c r="G91" s="5"/>
    </row>
    <row r="92" spans="1:7" ht="15" x14ac:dyDescent="0.25">
      <c r="A92" s="1"/>
      <c r="B92" s="2"/>
      <c r="C92" s="3" t="s">
        <v>125</v>
      </c>
      <c r="D92" s="4"/>
      <c r="E92" s="46"/>
      <c r="F92" s="51"/>
      <c r="G92" s="5"/>
    </row>
    <row r="93" spans="1:7" ht="25.5" x14ac:dyDescent="0.25">
      <c r="A93" s="6"/>
      <c r="B93" s="7"/>
      <c r="C93" s="8" t="s">
        <v>126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25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25.5" x14ac:dyDescent="0.25">
      <c r="A96" s="6"/>
      <c r="B96" s="7"/>
      <c r="C96" s="8" t="s">
        <v>127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25"/>
      <c r="E97" s="48"/>
      <c r="F97" s="53">
        <v>0</v>
      </c>
      <c r="G97" s="13">
        <v>0</v>
      </c>
    </row>
    <row r="98" spans="1:7" ht="15" x14ac:dyDescent="0.25">
      <c r="A98" s="6"/>
      <c r="B98" s="7"/>
      <c r="C98" s="14"/>
      <c r="D98" s="7"/>
      <c r="E98" s="46"/>
      <c r="F98" s="56"/>
      <c r="G98" s="27"/>
    </row>
    <row r="99" spans="1:7" ht="25.5" x14ac:dyDescent="0.25">
      <c r="A99" s="6"/>
      <c r="B99" s="7"/>
      <c r="C99" s="29" t="s">
        <v>128</v>
      </c>
      <c r="D99" s="7"/>
      <c r="E99" s="46"/>
      <c r="F99" s="56">
        <v>7.1138253200000001</v>
      </c>
      <c r="G99" s="27">
        <v>3.7805130000000001E-3</v>
      </c>
    </row>
    <row r="100" spans="1:7" ht="15" x14ac:dyDescent="0.25">
      <c r="A100" s="6"/>
      <c r="B100" s="7"/>
      <c r="C100" s="30" t="s">
        <v>129</v>
      </c>
      <c r="D100" s="12"/>
      <c r="E100" s="48"/>
      <c r="F100" s="53">
        <v>1881.70906842</v>
      </c>
      <c r="G100" s="13">
        <v>1.0000000010000001</v>
      </c>
    </row>
    <row r="102" spans="1:7" ht="15" x14ac:dyDescent="0.25">
      <c r="B102" s="279"/>
      <c r="C102" s="279"/>
      <c r="D102" s="279"/>
      <c r="E102" s="279"/>
      <c r="F102" s="279"/>
    </row>
    <row r="103" spans="1:7" ht="15" x14ac:dyDescent="0.25">
      <c r="B103" s="279"/>
      <c r="C103" s="279"/>
      <c r="D103" s="279"/>
      <c r="E103" s="279"/>
      <c r="F103" s="279"/>
    </row>
    <row r="105" spans="1:7" ht="15" x14ac:dyDescent="0.25">
      <c r="B105" s="36" t="s">
        <v>131</v>
      </c>
      <c r="C105" s="37"/>
      <c r="D105" s="38"/>
    </row>
    <row r="106" spans="1:7" ht="15" x14ac:dyDescent="0.25">
      <c r="B106" s="39" t="s">
        <v>132</v>
      </c>
      <c r="C106" s="40"/>
      <c r="D106" s="62" t="s">
        <v>133</v>
      </c>
    </row>
    <row r="107" spans="1:7" ht="15" x14ac:dyDescent="0.25">
      <c r="B107" s="39" t="s">
        <v>134</v>
      </c>
      <c r="C107" s="40"/>
      <c r="D107" s="62" t="s">
        <v>133</v>
      </c>
    </row>
    <row r="108" spans="1:7" ht="15" x14ac:dyDescent="0.25">
      <c r="B108" s="41" t="s">
        <v>135</v>
      </c>
      <c r="C108" s="40"/>
      <c r="D108" s="42"/>
    </row>
    <row r="109" spans="1:7" ht="25.5" customHeight="1" x14ac:dyDescent="0.25">
      <c r="B109" s="42"/>
      <c r="C109" s="32" t="s">
        <v>136</v>
      </c>
      <c r="D109" s="33" t="s">
        <v>137</v>
      </c>
    </row>
    <row r="110" spans="1:7" ht="12.75" customHeight="1" x14ac:dyDescent="0.25">
      <c r="B110" s="57" t="s">
        <v>138</v>
      </c>
      <c r="C110" s="58" t="s">
        <v>139</v>
      </c>
      <c r="D110" s="58" t="s">
        <v>140</v>
      </c>
    </row>
    <row r="111" spans="1:7" ht="15" x14ac:dyDescent="0.25">
      <c r="B111" s="42" t="s">
        <v>141</v>
      </c>
      <c r="C111" s="43">
        <v>12.373900000000001</v>
      </c>
      <c r="D111" s="43">
        <v>11.7355</v>
      </c>
    </row>
    <row r="112" spans="1:7" ht="15" x14ac:dyDescent="0.25">
      <c r="B112" s="42" t="s">
        <v>142</v>
      </c>
      <c r="C112" s="43">
        <v>12.373900000000001</v>
      </c>
      <c r="D112" s="43">
        <v>11.7354</v>
      </c>
    </row>
    <row r="113" spans="2:4" ht="15" x14ac:dyDescent="0.25">
      <c r="B113" s="42" t="s">
        <v>143</v>
      </c>
      <c r="C113" s="43">
        <v>12.082599999999999</v>
      </c>
      <c r="D113" s="43">
        <v>11.4541</v>
      </c>
    </row>
    <row r="114" spans="2:4" ht="15" x14ac:dyDescent="0.25">
      <c r="B114" s="42" t="s">
        <v>144</v>
      </c>
      <c r="C114" s="43">
        <v>12.082599999999999</v>
      </c>
      <c r="D114" s="43">
        <v>11.4541</v>
      </c>
    </row>
    <row r="116" spans="2:4" ht="15" x14ac:dyDescent="0.25">
      <c r="B116" s="59" t="s">
        <v>145</v>
      </c>
      <c r="C116" s="44"/>
      <c r="D116" s="60" t="s">
        <v>133</v>
      </c>
    </row>
    <row r="117" spans="2:4" ht="24.75" customHeight="1" x14ac:dyDescent="0.25">
      <c r="B117" s="61"/>
      <c r="C117" s="61"/>
    </row>
    <row r="118" spans="2:4" ht="15" x14ac:dyDescent="0.25">
      <c r="B118" s="63"/>
      <c r="C118" s="65"/>
      <c r="D118"/>
    </row>
    <row r="120" spans="2:4" ht="15" x14ac:dyDescent="0.25">
      <c r="B120" s="41" t="s">
        <v>146</v>
      </c>
      <c r="C120" s="40"/>
      <c r="D120" s="64" t="s">
        <v>133</v>
      </c>
    </row>
    <row r="121" spans="2:4" ht="15" x14ac:dyDescent="0.25">
      <c r="B121" s="41" t="s">
        <v>147</v>
      </c>
      <c r="C121" s="40"/>
      <c r="D121" s="64" t="s">
        <v>133</v>
      </c>
    </row>
    <row r="122" spans="2:4" ht="15" x14ac:dyDescent="0.25">
      <c r="B122" s="41" t="s">
        <v>148</v>
      </c>
      <c r="C122" s="40"/>
      <c r="D122" s="45">
        <v>3.2077429732963583E-2</v>
      </c>
    </row>
    <row r="123" spans="2:4" ht="15" x14ac:dyDescent="0.25">
      <c r="B123" s="41" t="s">
        <v>149</v>
      </c>
      <c r="C123" s="40"/>
      <c r="D123" s="45" t="s">
        <v>133</v>
      </c>
    </row>
  </sheetData>
  <mergeCells count="5">
    <mergeCell ref="A1:G1"/>
    <mergeCell ref="A2:G2"/>
    <mergeCell ref="A3:G3"/>
    <mergeCell ref="B102:F102"/>
    <mergeCell ref="B103:F10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16FC-9948-4CEC-B98B-60ADC6EAD7F1}">
  <dimension ref="A1:IV172"/>
  <sheetViews>
    <sheetView workbookViewId="0">
      <selection sqref="A1:G1"/>
    </sheetView>
  </sheetViews>
  <sheetFormatPr defaultRowHeight="15.95" customHeight="1" x14ac:dyDescent="0.25"/>
  <cols>
    <col min="1" max="1" width="5.7109375" style="67" customWidth="1"/>
    <col min="2" max="2" width="22.7109375" style="67" customWidth="1"/>
    <col min="3" max="3" width="25.7109375" style="67" customWidth="1"/>
    <col min="4" max="4" width="14.7109375" style="67" customWidth="1"/>
    <col min="5" max="10" width="13.7109375" style="67" customWidth="1"/>
    <col min="11" max="256" width="9.140625" style="67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804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05"/>
      <c r="B5" s="104"/>
      <c r="C5" s="103" t="s">
        <v>9</v>
      </c>
      <c r="D5" s="102"/>
      <c r="E5" s="90"/>
      <c r="F5" s="89"/>
      <c r="G5" s="88"/>
    </row>
    <row r="6" spans="1:7" ht="28.5" customHeight="1" x14ac:dyDescent="0.25">
      <c r="A6" s="87"/>
      <c r="B6" s="86"/>
      <c r="C6" s="96" t="s">
        <v>10</v>
      </c>
      <c r="D6" s="100"/>
      <c r="E6" s="99"/>
      <c r="F6" s="98"/>
      <c r="G6" s="97"/>
    </row>
    <row r="7" spans="1:7" ht="15" x14ac:dyDescent="0.25">
      <c r="A7" s="87">
        <v>1</v>
      </c>
      <c r="B7" s="86" t="s">
        <v>11</v>
      </c>
      <c r="C7" s="108" t="s">
        <v>12</v>
      </c>
      <c r="D7" s="104" t="s">
        <v>13</v>
      </c>
      <c r="E7" s="90">
        <v>3135544</v>
      </c>
      <c r="F7" s="89">
        <v>13313.519824000001</v>
      </c>
      <c r="G7" s="88">
        <v>7.7366778999999997E-2</v>
      </c>
    </row>
    <row r="8" spans="1:7" ht="15" x14ac:dyDescent="0.25">
      <c r="A8" s="87">
        <v>2</v>
      </c>
      <c r="B8" s="86" t="s">
        <v>33</v>
      </c>
      <c r="C8" s="108" t="s">
        <v>34</v>
      </c>
      <c r="D8" s="104" t="s">
        <v>13</v>
      </c>
      <c r="E8" s="90">
        <v>535036</v>
      </c>
      <c r="F8" s="89">
        <v>12047.138094</v>
      </c>
      <c r="G8" s="88">
        <v>7.0007652000000004E-2</v>
      </c>
    </row>
    <row r="9" spans="1:7" ht="25.5" x14ac:dyDescent="0.25">
      <c r="A9" s="87">
        <v>3</v>
      </c>
      <c r="B9" s="86" t="s">
        <v>40</v>
      </c>
      <c r="C9" s="108" t="s">
        <v>41</v>
      </c>
      <c r="D9" s="104" t="s">
        <v>42</v>
      </c>
      <c r="E9" s="90">
        <v>578439</v>
      </c>
      <c r="F9" s="89">
        <v>6746.0448374999996</v>
      </c>
      <c r="G9" s="88">
        <v>3.9202237000000001E-2</v>
      </c>
    </row>
    <row r="10" spans="1:7" ht="15" x14ac:dyDescent="0.25">
      <c r="A10" s="87">
        <v>4</v>
      </c>
      <c r="B10" s="86" t="s">
        <v>394</v>
      </c>
      <c r="C10" s="108" t="s">
        <v>395</v>
      </c>
      <c r="D10" s="104" t="s">
        <v>13</v>
      </c>
      <c r="E10" s="90">
        <v>924047</v>
      </c>
      <c r="F10" s="89">
        <v>6229.0008269999998</v>
      </c>
      <c r="G10" s="88">
        <v>3.619762E-2</v>
      </c>
    </row>
    <row r="11" spans="1:7" ht="15" x14ac:dyDescent="0.25">
      <c r="A11" s="87">
        <v>5</v>
      </c>
      <c r="B11" s="86" t="s">
        <v>328</v>
      </c>
      <c r="C11" s="108" t="s">
        <v>329</v>
      </c>
      <c r="D11" s="104" t="s">
        <v>241</v>
      </c>
      <c r="E11" s="90">
        <v>298271</v>
      </c>
      <c r="F11" s="89">
        <v>4983.6610035000003</v>
      </c>
      <c r="G11" s="88">
        <v>2.8960771E-2</v>
      </c>
    </row>
    <row r="12" spans="1:7" ht="25.5" x14ac:dyDescent="0.25">
      <c r="A12" s="87">
        <v>6</v>
      </c>
      <c r="B12" s="86" t="s">
        <v>489</v>
      </c>
      <c r="C12" s="108" t="s">
        <v>490</v>
      </c>
      <c r="D12" s="104" t="s">
        <v>162</v>
      </c>
      <c r="E12" s="90">
        <v>232995</v>
      </c>
      <c r="F12" s="89">
        <v>4943.6879099999996</v>
      </c>
      <c r="G12" s="88">
        <v>2.8728482E-2</v>
      </c>
    </row>
    <row r="13" spans="1:7" ht="25.5" x14ac:dyDescent="0.25">
      <c r="A13" s="87">
        <v>7</v>
      </c>
      <c r="B13" s="86" t="s">
        <v>17</v>
      </c>
      <c r="C13" s="108" t="s">
        <v>18</v>
      </c>
      <c r="D13" s="104" t="s">
        <v>19</v>
      </c>
      <c r="E13" s="90">
        <v>343117</v>
      </c>
      <c r="F13" s="89">
        <v>4760.0621410000003</v>
      </c>
      <c r="G13" s="88">
        <v>2.7661405999999999E-2</v>
      </c>
    </row>
    <row r="14" spans="1:7" ht="15" x14ac:dyDescent="0.25">
      <c r="A14" s="87">
        <v>8</v>
      </c>
      <c r="B14" s="86" t="s">
        <v>487</v>
      </c>
      <c r="C14" s="108" t="s">
        <v>488</v>
      </c>
      <c r="D14" s="104" t="s">
        <v>13</v>
      </c>
      <c r="E14" s="90">
        <v>282783</v>
      </c>
      <c r="F14" s="89">
        <v>4297.0290765</v>
      </c>
      <c r="G14" s="88">
        <v>2.4970653999999998E-2</v>
      </c>
    </row>
    <row r="15" spans="1:7" ht="15" x14ac:dyDescent="0.25">
      <c r="A15" s="87">
        <v>9</v>
      </c>
      <c r="B15" s="86" t="s">
        <v>342</v>
      </c>
      <c r="C15" s="108" t="s">
        <v>343</v>
      </c>
      <c r="D15" s="104" t="s">
        <v>155</v>
      </c>
      <c r="E15" s="90">
        <v>228441</v>
      </c>
      <c r="F15" s="89">
        <v>3805.8270600000001</v>
      </c>
      <c r="G15" s="88">
        <v>2.2116207999999998E-2</v>
      </c>
    </row>
    <row r="16" spans="1:7" ht="25.5" x14ac:dyDescent="0.25">
      <c r="A16" s="87">
        <v>10</v>
      </c>
      <c r="B16" s="86" t="s">
        <v>310</v>
      </c>
      <c r="C16" s="108" t="s">
        <v>311</v>
      </c>
      <c r="D16" s="104" t="s">
        <v>37</v>
      </c>
      <c r="E16" s="90">
        <v>589025</v>
      </c>
      <c r="F16" s="89">
        <v>3763.2807250000001</v>
      </c>
      <c r="G16" s="88">
        <v>2.1868966E-2</v>
      </c>
    </row>
    <row r="17" spans="1:7" ht="25.5" x14ac:dyDescent="0.25">
      <c r="A17" s="87">
        <v>11</v>
      </c>
      <c r="B17" s="86" t="s">
        <v>396</v>
      </c>
      <c r="C17" s="108" t="s">
        <v>397</v>
      </c>
      <c r="D17" s="104" t="s">
        <v>37</v>
      </c>
      <c r="E17" s="90">
        <v>1270166</v>
      </c>
      <c r="F17" s="89">
        <v>3431.9885319999999</v>
      </c>
      <c r="G17" s="88">
        <v>1.9943778999999998E-2</v>
      </c>
    </row>
    <row r="18" spans="1:7" ht="15" x14ac:dyDescent="0.25">
      <c r="A18" s="87">
        <v>12</v>
      </c>
      <c r="B18" s="86" t="s">
        <v>493</v>
      </c>
      <c r="C18" s="108" t="s">
        <v>494</v>
      </c>
      <c r="D18" s="104" t="s">
        <v>27</v>
      </c>
      <c r="E18" s="90">
        <v>2556575</v>
      </c>
      <c r="F18" s="89">
        <v>3235.3456624999999</v>
      </c>
      <c r="G18" s="88">
        <v>1.8801058999999998E-2</v>
      </c>
    </row>
    <row r="19" spans="1:7" ht="15" x14ac:dyDescent="0.25">
      <c r="A19" s="87">
        <v>13</v>
      </c>
      <c r="B19" s="86" t="s">
        <v>435</v>
      </c>
      <c r="C19" s="108" t="s">
        <v>436</v>
      </c>
      <c r="D19" s="104" t="s">
        <v>215</v>
      </c>
      <c r="E19" s="90">
        <v>143519</v>
      </c>
      <c r="F19" s="89">
        <v>3165.598583</v>
      </c>
      <c r="G19" s="88">
        <v>1.8395748999999999E-2</v>
      </c>
    </row>
    <row r="20" spans="1:7" ht="25.5" x14ac:dyDescent="0.25">
      <c r="A20" s="87">
        <v>14</v>
      </c>
      <c r="B20" s="86" t="s">
        <v>390</v>
      </c>
      <c r="C20" s="108" t="s">
        <v>391</v>
      </c>
      <c r="D20" s="104" t="s">
        <v>162</v>
      </c>
      <c r="E20" s="90">
        <v>373568</v>
      </c>
      <c r="F20" s="89">
        <v>2979.391584</v>
      </c>
      <c r="G20" s="88">
        <v>1.7313673000000002E-2</v>
      </c>
    </row>
    <row r="21" spans="1:7" ht="25.5" x14ac:dyDescent="0.25">
      <c r="A21" s="87">
        <v>15</v>
      </c>
      <c r="B21" s="86" t="s">
        <v>297</v>
      </c>
      <c r="C21" s="108" t="s">
        <v>298</v>
      </c>
      <c r="D21" s="104" t="s">
        <v>238</v>
      </c>
      <c r="E21" s="90">
        <v>1475721</v>
      </c>
      <c r="F21" s="89">
        <v>2778.0447825000001</v>
      </c>
      <c r="G21" s="88">
        <v>1.6143617999999998E-2</v>
      </c>
    </row>
    <row r="22" spans="1:7" ht="25.5" x14ac:dyDescent="0.25">
      <c r="A22" s="87">
        <v>16</v>
      </c>
      <c r="B22" s="86" t="s">
        <v>400</v>
      </c>
      <c r="C22" s="108" t="s">
        <v>401</v>
      </c>
      <c r="D22" s="104" t="s">
        <v>37</v>
      </c>
      <c r="E22" s="90">
        <v>177448</v>
      </c>
      <c r="F22" s="89">
        <v>2699.1615280000001</v>
      </c>
      <c r="G22" s="88">
        <v>1.5685215999999998E-2</v>
      </c>
    </row>
    <row r="23" spans="1:7" ht="15" x14ac:dyDescent="0.25">
      <c r="A23" s="87">
        <v>17</v>
      </c>
      <c r="B23" s="86" t="s">
        <v>491</v>
      </c>
      <c r="C23" s="108" t="s">
        <v>492</v>
      </c>
      <c r="D23" s="104" t="s">
        <v>215</v>
      </c>
      <c r="E23" s="90">
        <v>332129</v>
      </c>
      <c r="F23" s="89">
        <v>2635.9418085000002</v>
      </c>
      <c r="G23" s="88">
        <v>1.5317837000000001E-2</v>
      </c>
    </row>
    <row r="24" spans="1:7" ht="25.5" x14ac:dyDescent="0.25">
      <c r="A24" s="87">
        <v>18</v>
      </c>
      <c r="B24" s="86" t="s">
        <v>433</v>
      </c>
      <c r="C24" s="108" t="s">
        <v>434</v>
      </c>
      <c r="D24" s="104" t="s">
        <v>59</v>
      </c>
      <c r="E24" s="90">
        <v>448113</v>
      </c>
      <c r="F24" s="89">
        <v>2612.4987900000001</v>
      </c>
      <c r="G24" s="88">
        <v>1.5181606E-2</v>
      </c>
    </row>
    <row r="25" spans="1:7" ht="15" x14ac:dyDescent="0.25">
      <c r="A25" s="87">
        <v>19</v>
      </c>
      <c r="B25" s="86" t="s">
        <v>291</v>
      </c>
      <c r="C25" s="108" t="s">
        <v>292</v>
      </c>
      <c r="D25" s="104" t="s">
        <v>238</v>
      </c>
      <c r="E25" s="90">
        <v>590455</v>
      </c>
      <c r="F25" s="89">
        <v>2347.9443074999999</v>
      </c>
      <c r="G25" s="88">
        <v>1.3644241999999999E-2</v>
      </c>
    </row>
    <row r="26" spans="1:7" ht="25.5" x14ac:dyDescent="0.25">
      <c r="A26" s="87">
        <v>20</v>
      </c>
      <c r="B26" s="86" t="s">
        <v>406</v>
      </c>
      <c r="C26" s="108" t="s">
        <v>407</v>
      </c>
      <c r="D26" s="104" t="s">
        <v>162</v>
      </c>
      <c r="E26" s="90">
        <v>190935</v>
      </c>
      <c r="F26" s="89">
        <v>2305.2537225000001</v>
      </c>
      <c r="G26" s="88">
        <v>1.3396161E-2</v>
      </c>
    </row>
    <row r="27" spans="1:7" ht="25.5" x14ac:dyDescent="0.25">
      <c r="A27" s="87">
        <v>21</v>
      </c>
      <c r="B27" s="86" t="s">
        <v>402</v>
      </c>
      <c r="C27" s="108" t="s">
        <v>403</v>
      </c>
      <c r="D27" s="104" t="s">
        <v>37</v>
      </c>
      <c r="E27" s="90">
        <v>384758</v>
      </c>
      <c r="F27" s="89">
        <v>2285.6548990000001</v>
      </c>
      <c r="G27" s="88">
        <v>1.3282268999999999E-2</v>
      </c>
    </row>
    <row r="28" spans="1:7" ht="25.5" x14ac:dyDescent="0.25">
      <c r="A28" s="87">
        <v>22</v>
      </c>
      <c r="B28" s="86" t="s">
        <v>495</v>
      </c>
      <c r="C28" s="108" t="s">
        <v>496</v>
      </c>
      <c r="D28" s="104" t="s">
        <v>497</v>
      </c>
      <c r="E28" s="90">
        <v>651367</v>
      </c>
      <c r="F28" s="89">
        <v>2199.0149919999999</v>
      </c>
      <c r="G28" s="88">
        <v>1.2778792000000001E-2</v>
      </c>
    </row>
    <row r="29" spans="1:7" ht="15" x14ac:dyDescent="0.25">
      <c r="A29" s="87">
        <v>23</v>
      </c>
      <c r="B29" s="86" t="s">
        <v>47</v>
      </c>
      <c r="C29" s="108" t="s">
        <v>48</v>
      </c>
      <c r="D29" s="104" t="s">
        <v>13</v>
      </c>
      <c r="E29" s="90">
        <v>648863</v>
      </c>
      <c r="F29" s="89">
        <v>2155.5228860000002</v>
      </c>
      <c r="G29" s="88">
        <v>1.2526054E-2</v>
      </c>
    </row>
    <row r="30" spans="1:7" ht="15" x14ac:dyDescent="0.25">
      <c r="A30" s="87">
        <v>24</v>
      </c>
      <c r="B30" s="86" t="s">
        <v>498</v>
      </c>
      <c r="C30" s="108" t="s">
        <v>499</v>
      </c>
      <c r="D30" s="104" t="s">
        <v>170</v>
      </c>
      <c r="E30" s="90">
        <v>1148365</v>
      </c>
      <c r="F30" s="89">
        <v>2104.3788625000002</v>
      </c>
      <c r="G30" s="88">
        <v>1.2228848E-2</v>
      </c>
    </row>
    <row r="31" spans="1:7" ht="25.5" x14ac:dyDescent="0.25">
      <c r="A31" s="87">
        <v>25</v>
      </c>
      <c r="B31" s="86" t="s">
        <v>388</v>
      </c>
      <c r="C31" s="108" t="s">
        <v>389</v>
      </c>
      <c r="D31" s="104" t="s">
        <v>59</v>
      </c>
      <c r="E31" s="90">
        <v>810391</v>
      </c>
      <c r="F31" s="89">
        <v>1863.4941045</v>
      </c>
      <c r="G31" s="88">
        <v>1.0829032000000001E-2</v>
      </c>
    </row>
    <row r="32" spans="1:7" ht="25.5" x14ac:dyDescent="0.25">
      <c r="A32" s="87">
        <v>26</v>
      </c>
      <c r="B32" s="86" t="s">
        <v>474</v>
      </c>
      <c r="C32" s="108" t="s">
        <v>475</v>
      </c>
      <c r="D32" s="104" t="s">
        <v>162</v>
      </c>
      <c r="E32" s="90">
        <v>800000</v>
      </c>
      <c r="F32" s="89">
        <v>1819.2</v>
      </c>
      <c r="G32" s="88">
        <v>1.0571633E-2</v>
      </c>
    </row>
    <row r="33" spans="1:7" ht="15" x14ac:dyDescent="0.25">
      <c r="A33" s="87">
        <v>27</v>
      </c>
      <c r="B33" s="86" t="s">
        <v>412</v>
      </c>
      <c r="C33" s="108" t="s">
        <v>413</v>
      </c>
      <c r="D33" s="104" t="s">
        <v>162</v>
      </c>
      <c r="E33" s="90">
        <v>54110</v>
      </c>
      <c r="F33" s="89">
        <v>1759.6842549999999</v>
      </c>
      <c r="G33" s="88">
        <v>1.0225778E-2</v>
      </c>
    </row>
    <row r="34" spans="1:7" ht="15" x14ac:dyDescent="0.25">
      <c r="A34" s="87">
        <v>28</v>
      </c>
      <c r="B34" s="86" t="s">
        <v>431</v>
      </c>
      <c r="C34" s="108" t="s">
        <v>432</v>
      </c>
      <c r="D34" s="104" t="s">
        <v>16</v>
      </c>
      <c r="E34" s="90">
        <v>39143</v>
      </c>
      <c r="F34" s="89">
        <v>1701.507067</v>
      </c>
      <c r="G34" s="88">
        <v>9.8877019999999999E-3</v>
      </c>
    </row>
    <row r="35" spans="1:7" ht="25.5" x14ac:dyDescent="0.25">
      <c r="A35" s="87">
        <v>29</v>
      </c>
      <c r="B35" s="86" t="s">
        <v>437</v>
      </c>
      <c r="C35" s="108" t="s">
        <v>438</v>
      </c>
      <c r="D35" s="104" t="s">
        <v>59</v>
      </c>
      <c r="E35" s="90">
        <v>158449</v>
      </c>
      <c r="F35" s="89">
        <v>1673.7760115000001</v>
      </c>
      <c r="G35" s="88">
        <v>9.7265530000000006E-3</v>
      </c>
    </row>
    <row r="36" spans="1:7" ht="25.5" x14ac:dyDescent="0.25">
      <c r="A36" s="87">
        <v>30</v>
      </c>
      <c r="B36" s="86" t="s">
        <v>324</v>
      </c>
      <c r="C36" s="108" t="s">
        <v>325</v>
      </c>
      <c r="D36" s="104" t="s">
        <v>37</v>
      </c>
      <c r="E36" s="90">
        <v>14024</v>
      </c>
      <c r="F36" s="89">
        <v>1528.9455640000001</v>
      </c>
      <c r="G36" s="88">
        <v>8.8849229999999994E-3</v>
      </c>
    </row>
    <row r="37" spans="1:7" ht="51" x14ac:dyDescent="0.25">
      <c r="A37" s="87">
        <v>31</v>
      </c>
      <c r="B37" s="86" t="s">
        <v>320</v>
      </c>
      <c r="C37" s="108" t="s">
        <v>321</v>
      </c>
      <c r="D37" s="104" t="s">
        <v>235</v>
      </c>
      <c r="E37" s="90">
        <v>908886</v>
      </c>
      <c r="F37" s="89">
        <v>1505.569659</v>
      </c>
      <c r="G37" s="88">
        <v>8.749082E-3</v>
      </c>
    </row>
    <row r="38" spans="1:7" ht="15" x14ac:dyDescent="0.25">
      <c r="A38" s="87">
        <v>32</v>
      </c>
      <c r="B38" s="86" t="s">
        <v>336</v>
      </c>
      <c r="C38" s="108" t="s">
        <v>337</v>
      </c>
      <c r="D38" s="104" t="s">
        <v>184</v>
      </c>
      <c r="E38" s="90">
        <v>305669</v>
      </c>
      <c r="F38" s="89">
        <v>1341.1227375000001</v>
      </c>
      <c r="G38" s="88">
        <v>7.7934570000000002E-3</v>
      </c>
    </row>
    <row r="39" spans="1:7" ht="25.5" x14ac:dyDescent="0.25">
      <c r="A39" s="87">
        <v>33</v>
      </c>
      <c r="B39" s="86" t="s">
        <v>171</v>
      </c>
      <c r="C39" s="108" t="s">
        <v>172</v>
      </c>
      <c r="D39" s="104" t="s">
        <v>173</v>
      </c>
      <c r="E39" s="90">
        <v>447561</v>
      </c>
      <c r="F39" s="89">
        <v>1315.6055595</v>
      </c>
      <c r="G39" s="88">
        <v>7.6451729999999999E-3</v>
      </c>
    </row>
    <row r="40" spans="1:7" ht="51" x14ac:dyDescent="0.25">
      <c r="A40" s="87">
        <v>34</v>
      </c>
      <c r="B40" s="86" t="s">
        <v>471</v>
      </c>
      <c r="C40" s="108" t="s">
        <v>472</v>
      </c>
      <c r="D40" s="104" t="s">
        <v>235</v>
      </c>
      <c r="E40" s="90">
        <v>2024692</v>
      </c>
      <c r="F40" s="89">
        <v>1210.7658160000001</v>
      </c>
      <c r="G40" s="88">
        <v>7.0359339999999998E-3</v>
      </c>
    </row>
    <row r="41" spans="1:7" ht="15" x14ac:dyDescent="0.25">
      <c r="A41" s="87">
        <v>35</v>
      </c>
      <c r="B41" s="86" t="s">
        <v>426</v>
      </c>
      <c r="C41" s="108" t="s">
        <v>427</v>
      </c>
      <c r="D41" s="104" t="s">
        <v>13</v>
      </c>
      <c r="E41" s="90">
        <v>76221</v>
      </c>
      <c r="F41" s="89">
        <v>1076.8883985</v>
      </c>
      <c r="G41" s="88">
        <v>6.2579530000000001E-3</v>
      </c>
    </row>
    <row r="42" spans="1:7" ht="15" x14ac:dyDescent="0.25">
      <c r="A42" s="87">
        <v>36</v>
      </c>
      <c r="B42" s="86" t="s">
        <v>14</v>
      </c>
      <c r="C42" s="108" t="s">
        <v>15</v>
      </c>
      <c r="D42" s="104" t="s">
        <v>16</v>
      </c>
      <c r="E42" s="90">
        <v>142905</v>
      </c>
      <c r="F42" s="89">
        <v>1052.3524199999999</v>
      </c>
      <c r="G42" s="88">
        <v>6.1153709999999997E-3</v>
      </c>
    </row>
    <row r="43" spans="1:7" ht="15" x14ac:dyDescent="0.25">
      <c r="A43" s="87">
        <v>37</v>
      </c>
      <c r="B43" s="86" t="s">
        <v>590</v>
      </c>
      <c r="C43" s="108" t="s">
        <v>591</v>
      </c>
      <c r="D43" s="104" t="s">
        <v>238</v>
      </c>
      <c r="E43" s="90">
        <v>58972</v>
      </c>
      <c r="F43" s="89">
        <v>874.37784399999998</v>
      </c>
      <c r="G43" s="88">
        <v>5.0811349999999996E-3</v>
      </c>
    </row>
    <row r="44" spans="1:7" ht="25.5" x14ac:dyDescent="0.25">
      <c r="A44" s="87">
        <v>38</v>
      </c>
      <c r="B44" s="86" t="s">
        <v>301</v>
      </c>
      <c r="C44" s="108" t="s">
        <v>302</v>
      </c>
      <c r="D44" s="104" t="s">
        <v>22</v>
      </c>
      <c r="E44" s="90">
        <v>120636</v>
      </c>
      <c r="F44" s="89">
        <v>855.30924000000005</v>
      </c>
      <c r="G44" s="88">
        <v>4.9703250000000003E-3</v>
      </c>
    </row>
    <row r="45" spans="1:7" ht="15" x14ac:dyDescent="0.25">
      <c r="A45" s="87">
        <v>39</v>
      </c>
      <c r="B45" s="86" t="s">
        <v>500</v>
      </c>
      <c r="C45" s="108" t="s">
        <v>501</v>
      </c>
      <c r="D45" s="104" t="s">
        <v>226</v>
      </c>
      <c r="E45" s="90">
        <v>12600</v>
      </c>
      <c r="F45" s="89">
        <v>689.18219999999997</v>
      </c>
      <c r="G45" s="88">
        <v>4.0049370000000001E-3</v>
      </c>
    </row>
    <row r="46" spans="1:7" ht="25.5" x14ac:dyDescent="0.25">
      <c r="A46" s="87">
        <v>40</v>
      </c>
      <c r="B46" s="86" t="s">
        <v>308</v>
      </c>
      <c r="C46" s="108" t="s">
        <v>309</v>
      </c>
      <c r="D46" s="104" t="s">
        <v>22</v>
      </c>
      <c r="E46" s="90">
        <v>13262</v>
      </c>
      <c r="F46" s="89">
        <v>554.37149299999999</v>
      </c>
      <c r="G46" s="88">
        <v>3.221532E-3</v>
      </c>
    </row>
    <row r="47" spans="1:7" ht="15" x14ac:dyDescent="0.25">
      <c r="A47" s="87">
        <v>41</v>
      </c>
      <c r="B47" s="86" t="s">
        <v>340</v>
      </c>
      <c r="C47" s="108" t="s">
        <v>341</v>
      </c>
      <c r="D47" s="104" t="s">
        <v>13</v>
      </c>
      <c r="E47" s="90">
        <v>136327</v>
      </c>
      <c r="F47" s="89">
        <v>550.62475300000006</v>
      </c>
      <c r="G47" s="88">
        <v>3.1997599999999998E-3</v>
      </c>
    </row>
    <row r="48" spans="1:7" ht="25.5" x14ac:dyDescent="0.25">
      <c r="A48" s="87">
        <v>42</v>
      </c>
      <c r="B48" s="86" t="s">
        <v>350</v>
      </c>
      <c r="C48" s="108" t="s">
        <v>351</v>
      </c>
      <c r="D48" s="104" t="s">
        <v>352</v>
      </c>
      <c r="E48" s="90">
        <v>64800</v>
      </c>
      <c r="F48" s="89">
        <v>540.72360000000003</v>
      </c>
      <c r="G48" s="88">
        <v>3.142223E-3</v>
      </c>
    </row>
    <row r="49" spans="1:7" ht="25.5" x14ac:dyDescent="0.25">
      <c r="A49" s="87">
        <v>43</v>
      </c>
      <c r="B49" s="86" t="s">
        <v>306</v>
      </c>
      <c r="C49" s="108" t="s">
        <v>307</v>
      </c>
      <c r="D49" s="104" t="s">
        <v>59</v>
      </c>
      <c r="E49" s="90">
        <v>30145</v>
      </c>
      <c r="F49" s="89">
        <v>468.5889525</v>
      </c>
      <c r="G49" s="88">
        <v>2.7230380000000001E-3</v>
      </c>
    </row>
    <row r="50" spans="1:7" ht="15" x14ac:dyDescent="0.25">
      <c r="A50" s="87">
        <v>44</v>
      </c>
      <c r="B50" s="86" t="s">
        <v>850</v>
      </c>
      <c r="C50" s="108" t="s">
        <v>381</v>
      </c>
      <c r="D50" s="104" t="s">
        <v>155</v>
      </c>
      <c r="E50" s="90">
        <v>21526</v>
      </c>
      <c r="F50" s="89">
        <v>102.35612999999999</v>
      </c>
      <c r="G50" s="88">
        <v>5.9480600000000002E-4</v>
      </c>
    </row>
    <row r="51" spans="1:7" ht="15" x14ac:dyDescent="0.25">
      <c r="A51" s="105"/>
      <c r="B51" s="104"/>
      <c r="C51" s="96" t="s">
        <v>104</v>
      </c>
      <c r="D51" s="84"/>
      <c r="E51" s="83"/>
      <c r="F51" s="82">
        <v>124309.43824349999</v>
      </c>
      <c r="G51" s="81">
        <v>0.72238002499999976</v>
      </c>
    </row>
    <row r="52" spans="1:7" ht="15" x14ac:dyDescent="0.25">
      <c r="A52" s="87"/>
      <c r="B52" s="86"/>
      <c r="C52" s="101"/>
      <c r="D52" s="107"/>
      <c r="E52" s="90"/>
      <c r="F52" s="89"/>
      <c r="G52" s="88"/>
    </row>
    <row r="53" spans="1:7" ht="15" x14ac:dyDescent="0.25">
      <c r="A53" s="105"/>
      <c r="B53" s="104"/>
      <c r="C53" s="96" t="s">
        <v>105</v>
      </c>
      <c r="D53" s="100"/>
      <c r="E53" s="99"/>
      <c r="F53" s="98"/>
      <c r="G53" s="97"/>
    </row>
    <row r="54" spans="1:7" ht="15" x14ac:dyDescent="0.25">
      <c r="A54" s="105"/>
      <c r="B54" s="104"/>
      <c r="C54" s="96" t="s">
        <v>104</v>
      </c>
      <c r="D54" s="84"/>
      <c r="E54" s="83"/>
      <c r="F54" s="82">
        <v>0</v>
      </c>
      <c r="G54" s="81">
        <v>0</v>
      </c>
    </row>
    <row r="55" spans="1:7" ht="15" x14ac:dyDescent="0.25">
      <c r="A55" s="87"/>
      <c r="B55" s="86"/>
      <c r="C55" s="101"/>
      <c r="D55" s="107"/>
      <c r="E55" s="90"/>
      <c r="F55" s="89"/>
      <c r="G55" s="88"/>
    </row>
    <row r="56" spans="1:7" ht="15" x14ac:dyDescent="0.25">
      <c r="A56" s="125"/>
      <c r="B56" s="124"/>
      <c r="C56" s="96" t="s">
        <v>106</v>
      </c>
      <c r="D56" s="100"/>
      <c r="E56" s="99"/>
      <c r="F56" s="98"/>
      <c r="G56" s="97"/>
    </row>
    <row r="57" spans="1:7" ht="15" x14ac:dyDescent="0.25">
      <c r="A57" s="119"/>
      <c r="B57" s="118"/>
      <c r="C57" s="96" t="s">
        <v>104</v>
      </c>
      <c r="D57" s="123"/>
      <c r="E57" s="122"/>
      <c r="F57" s="121">
        <v>0</v>
      </c>
      <c r="G57" s="120">
        <v>0</v>
      </c>
    </row>
    <row r="58" spans="1:7" ht="15" x14ac:dyDescent="0.25">
      <c r="A58" s="119"/>
      <c r="B58" s="118"/>
      <c r="C58" s="101"/>
      <c r="D58" s="117"/>
      <c r="E58" s="116"/>
      <c r="F58" s="115"/>
      <c r="G58" s="114"/>
    </row>
    <row r="59" spans="1:7" ht="15" x14ac:dyDescent="0.25">
      <c r="A59" s="105"/>
      <c r="B59" s="104"/>
      <c r="C59" s="96" t="s">
        <v>108</v>
      </c>
      <c r="D59" s="100"/>
      <c r="E59" s="99"/>
      <c r="F59" s="98"/>
      <c r="G59" s="97"/>
    </row>
    <row r="60" spans="1:7" ht="15" x14ac:dyDescent="0.25">
      <c r="A60" s="105"/>
      <c r="B60" s="104"/>
      <c r="C60" s="96" t="s">
        <v>104</v>
      </c>
      <c r="D60" s="84"/>
      <c r="E60" s="83"/>
      <c r="F60" s="82">
        <v>0</v>
      </c>
      <c r="G60" s="81">
        <v>0</v>
      </c>
    </row>
    <row r="61" spans="1:7" ht="15" x14ac:dyDescent="0.25">
      <c r="A61" s="105"/>
      <c r="B61" s="104"/>
      <c r="C61" s="101"/>
      <c r="D61" s="102"/>
      <c r="E61" s="90"/>
      <c r="F61" s="89"/>
      <c r="G61" s="88"/>
    </row>
    <row r="62" spans="1:7" ht="15" x14ac:dyDescent="0.25">
      <c r="A62" s="105"/>
      <c r="B62" s="104"/>
      <c r="C62" s="96" t="s">
        <v>109</v>
      </c>
      <c r="D62" s="100"/>
      <c r="E62" s="99"/>
      <c r="F62" s="98"/>
      <c r="G62" s="97"/>
    </row>
    <row r="63" spans="1:7" ht="15" x14ac:dyDescent="0.25">
      <c r="A63" s="105"/>
      <c r="B63" s="104"/>
      <c r="C63" s="96" t="s">
        <v>104</v>
      </c>
      <c r="D63" s="84"/>
      <c r="E63" s="83"/>
      <c r="F63" s="82">
        <v>0</v>
      </c>
      <c r="G63" s="81">
        <v>0</v>
      </c>
    </row>
    <row r="64" spans="1:7" ht="15" x14ac:dyDescent="0.25">
      <c r="A64" s="105"/>
      <c r="B64" s="104"/>
      <c r="C64" s="101"/>
      <c r="D64" s="102"/>
      <c r="E64" s="90"/>
      <c r="F64" s="89"/>
      <c r="G64" s="88"/>
    </row>
    <row r="65" spans="1:7" ht="15" x14ac:dyDescent="0.25">
      <c r="A65" s="105"/>
      <c r="B65" s="104"/>
      <c r="C65" s="96" t="s">
        <v>803</v>
      </c>
      <c r="D65" s="100"/>
      <c r="E65" s="99"/>
      <c r="F65" s="98"/>
      <c r="G65" s="97"/>
    </row>
    <row r="66" spans="1:7" ht="15" x14ac:dyDescent="0.25">
      <c r="A66" s="105"/>
      <c r="B66" s="104"/>
      <c r="C66" s="96" t="s">
        <v>104</v>
      </c>
      <c r="D66" s="84"/>
      <c r="E66" s="83"/>
      <c r="F66" s="82">
        <v>0</v>
      </c>
      <c r="G66" s="81">
        <v>0</v>
      </c>
    </row>
    <row r="67" spans="1:7" ht="15" x14ac:dyDescent="0.25">
      <c r="A67" s="105"/>
      <c r="B67" s="104"/>
      <c r="C67" s="101"/>
      <c r="D67" s="102"/>
      <c r="E67" s="90"/>
      <c r="F67" s="89"/>
      <c r="G67" s="88"/>
    </row>
    <row r="68" spans="1:7" ht="25.5" x14ac:dyDescent="0.25">
      <c r="A68" s="87"/>
      <c r="B68" s="86"/>
      <c r="C68" s="106" t="s">
        <v>111</v>
      </c>
      <c r="D68" s="95"/>
      <c r="E68" s="83"/>
      <c r="F68" s="82">
        <v>124309.43824349999</v>
      </c>
      <c r="G68" s="81">
        <v>0.72238002499999976</v>
      </c>
    </row>
    <row r="69" spans="1:7" ht="15" x14ac:dyDescent="0.25">
      <c r="A69" s="105"/>
      <c r="B69" s="104"/>
      <c r="C69" s="108"/>
      <c r="D69" s="102"/>
      <c r="E69" s="90"/>
      <c r="F69" s="89"/>
      <c r="G69" s="88"/>
    </row>
    <row r="70" spans="1:7" ht="15" x14ac:dyDescent="0.25">
      <c r="A70" s="105"/>
      <c r="B70" s="104"/>
      <c r="C70" s="103" t="s">
        <v>112</v>
      </c>
      <c r="D70" s="102"/>
      <c r="E70" s="90"/>
      <c r="F70" s="89"/>
      <c r="G70" s="88"/>
    </row>
    <row r="71" spans="1:7" ht="25.5" x14ac:dyDescent="0.25">
      <c r="A71" s="105"/>
      <c r="B71" s="104"/>
      <c r="C71" s="96" t="s">
        <v>10</v>
      </c>
      <c r="D71" s="100"/>
      <c r="E71" s="99"/>
      <c r="F71" s="98"/>
      <c r="G71" s="97"/>
    </row>
    <row r="72" spans="1:7" ht="38.25" x14ac:dyDescent="0.25">
      <c r="A72" s="105">
        <v>1</v>
      </c>
      <c r="B72" s="104" t="s">
        <v>802</v>
      </c>
      <c r="C72" s="108" t="s">
        <v>801</v>
      </c>
      <c r="D72" s="102" t="s">
        <v>798</v>
      </c>
      <c r="E72" s="90">
        <v>250</v>
      </c>
      <c r="F72" s="89">
        <v>2554.54</v>
      </c>
      <c r="G72" s="88">
        <v>1.4844799000000001E-2</v>
      </c>
    </row>
    <row r="73" spans="1:7" ht="38.25" x14ac:dyDescent="0.25">
      <c r="A73" s="105">
        <v>2</v>
      </c>
      <c r="B73" s="104" t="s">
        <v>800</v>
      </c>
      <c r="C73" s="108" t="s">
        <v>799</v>
      </c>
      <c r="D73" s="102" t="s">
        <v>798</v>
      </c>
      <c r="E73" s="90">
        <v>250</v>
      </c>
      <c r="F73" s="89">
        <v>2543.0675000000001</v>
      </c>
      <c r="G73" s="88">
        <v>1.4778131E-2</v>
      </c>
    </row>
    <row r="74" spans="1:7" ht="38.25" x14ac:dyDescent="0.25">
      <c r="A74" s="105">
        <v>3</v>
      </c>
      <c r="B74" s="104" t="s">
        <v>797</v>
      </c>
      <c r="C74" s="108" t="s">
        <v>796</v>
      </c>
      <c r="D74" s="102" t="s">
        <v>763</v>
      </c>
      <c r="E74" s="90">
        <v>250</v>
      </c>
      <c r="F74" s="89">
        <v>2504.0500000000002</v>
      </c>
      <c r="G74" s="88">
        <v>1.4551395E-2</v>
      </c>
    </row>
    <row r="75" spans="1:7" ht="25.5" x14ac:dyDescent="0.25">
      <c r="A75" s="105">
        <v>4</v>
      </c>
      <c r="B75" s="104" t="s">
        <v>795</v>
      </c>
      <c r="C75" s="108" t="s">
        <v>794</v>
      </c>
      <c r="D75" s="102" t="s">
        <v>776</v>
      </c>
      <c r="E75" s="90">
        <v>250</v>
      </c>
      <c r="F75" s="89">
        <v>2478.5650000000001</v>
      </c>
      <c r="G75" s="88">
        <v>1.4403298E-2</v>
      </c>
    </row>
    <row r="76" spans="1:7" ht="25.5" x14ac:dyDescent="0.25">
      <c r="A76" s="105">
        <v>5</v>
      </c>
      <c r="B76" s="104" t="s">
        <v>793</v>
      </c>
      <c r="C76" s="108" t="s">
        <v>792</v>
      </c>
      <c r="D76" s="102" t="s">
        <v>776</v>
      </c>
      <c r="E76" s="90">
        <v>230</v>
      </c>
      <c r="F76" s="89">
        <v>2321.3969000000002</v>
      </c>
      <c r="G76" s="88">
        <v>1.3489971E-2</v>
      </c>
    </row>
    <row r="77" spans="1:7" ht="25.5" x14ac:dyDescent="0.25">
      <c r="A77" s="105">
        <v>6</v>
      </c>
      <c r="B77" s="104" t="s">
        <v>791</v>
      </c>
      <c r="C77" s="108" t="s">
        <v>790</v>
      </c>
      <c r="D77" s="102" t="s">
        <v>776</v>
      </c>
      <c r="E77" s="90">
        <v>200</v>
      </c>
      <c r="F77" s="89">
        <v>2003.5</v>
      </c>
      <c r="G77" s="88">
        <v>1.1642626999999999E-2</v>
      </c>
    </row>
    <row r="78" spans="1:7" ht="25.5" x14ac:dyDescent="0.25">
      <c r="A78" s="105">
        <v>7</v>
      </c>
      <c r="B78" s="104" t="s">
        <v>789</v>
      </c>
      <c r="C78" s="108" t="s">
        <v>788</v>
      </c>
      <c r="D78" s="102" t="s">
        <v>776</v>
      </c>
      <c r="E78" s="90">
        <v>200</v>
      </c>
      <c r="F78" s="89">
        <v>1996.816</v>
      </c>
      <c r="G78" s="88">
        <v>1.1603785E-2</v>
      </c>
    </row>
    <row r="79" spans="1:7" ht="25.5" x14ac:dyDescent="0.25">
      <c r="A79" s="105">
        <v>8</v>
      </c>
      <c r="B79" s="104" t="s">
        <v>787</v>
      </c>
      <c r="C79" s="108" t="s">
        <v>786</v>
      </c>
      <c r="D79" s="102" t="s">
        <v>776</v>
      </c>
      <c r="E79" s="90">
        <v>200</v>
      </c>
      <c r="F79" s="89">
        <v>1974.376</v>
      </c>
      <c r="G79" s="88">
        <v>1.1473383E-2</v>
      </c>
    </row>
    <row r="80" spans="1:7" ht="25.5" x14ac:dyDescent="0.25">
      <c r="A80" s="105">
        <v>9</v>
      </c>
      <c r="B80" s="104" t="s">
        <v>785</v>
      </c>
      <c r="C80" s="108" t="s">
        <v>784</v>
      </c>
      <c r="D80" s="102" t="s">
        <v>776</v>
      </c>
      <c r="E80" s="90">
        <v>150</v>
      </c>
      <c r="F80" s="89">
        <v>1554.579</v>
      </c>
      <c r="G80" s="88">
        <v>9.033882E-3</v>
      </c>
    </row>
    <row r="81" spans="1:7" ht="25.5" x14ac:dyDescent="0.25">
      <c r="A81" s="105">
        <v>10</v>
      </c>
      <c r="B81" s="104" t="s">
        <v>783</v>
      </c>
      <c r="C81" s="108" t="s">
        <v>782</v>
      </c>
      <c r="D81" s="102" t="s">
        <v>781</v>
      </c>
      <c r="E81" s="90">
        <v>150</v>
      </c>
      <c r="F81" s="89">
        <v>1526.6804999999999</v>
      </c>
      <c r="G81" s="88">
        <v>8.8717599999999994E-3</v>
      </c>
    </row>
    <row r="82" spans="1:7" ht="15" x14ac:dyDescent="0.25">
      <c r="A82" s="105">
        <v>11</v>
      </c>
      <c r="B82" s="104" t="s">
        <v>780</v>
      </c>
      <c r="C82" s="108" t="s">
        <v>779</v>
      </c>
      <c r="D82" s="102" t="s">
        <v>703</v>
      </c>
      <c r="E82" s="90">
        <v>150</v>
      </c>
      <c r="F82" s="89">
        <v>1484.5395000000001</v>
      </c>
      <c r="G82" s="88">
        <v>8.6268730000000002E-3</v>
      </c>
    </row>
    <row r="83" spans="1:7" ht="25.5" x14ac:dyDescent="0.25">
      <c r="A83" s="105">
        <v>12</v>
      </c>
      <c r="B83" s="104" t="s">
        <v>778</v>
      </c>
      <c r="C83" s="108" t="s">
        <v>777</v>
      </c>
      <c r="D83" s="102" t="s">
        <v>776</v>
      </c>
      <c r="E83" s="90">
        <v>130</v>
      </c>
      <c r="F83" s="89">
        <v>1281.3606</v>
      </c>
      <c r="G83" s="88">
        <v>7.4461709999999997E-3</v>
      </c>
    </row>
    <row r="84" spans="1:7" ht="25.5" x14ac:dyDescent="0.25">
      <c r="A84" s="105">
        <v>13</v>
      </c>
      <c r="B84" s="104" t="s">
        <v>775</v>
      </c>
      <c r="C84" s="108" t="s">
        <v>774</v>
      </c>
      <c r="D84" s="102" t="s">
        <v>703</v>
      </c>
      <c r="E84" s="90">
        <v>100</v>
      </c>
      <c r="F84" s="89">
        <v>1051.4159999999999</v>
      </c>
      <c r="G84" s="88">
        <v>6.1099300000000004E-3</v>
      </c>
    </row>
    <row r="85" spans="1:7" ht="25.5" x14ac:dyDescent="0.25">
      <c r="A85" s="105">
        <v>14</v>
      </c>
      <c r="B85" s="104" t="s">
        <v>704</v>
      </c>
      <c r="C85" s="108" t="s">
        <v>705</v>
      </c>
      <c r="D85" s="102" t="s">
        <v>703</v>
      </c>
      <c r="E85" s="90">
        <v>100</v>
      </c>
      <c r="F85" s="89">
        <v>1017.189</v>
      </c>
      <c r="G85" s="88">
        <v>5.9110320000000001E-3</v>
      </c>
    </row>
    <row r="86" spans="1:7" ht="25.5" x14ac:dyDescent="0.25">
      <c r="A86" s="105">
        <v>15</v>
      </c>
      <c r="B86" s="104" t="s">
        <v>773</v>
      </c>
      <c r="C86" s="108" t="s">
        <v>772</v>
      </c>
      <c r="D86" s="102" t="s">
        <v>703</v>
      </c>
      <c r="E86" s="90">
        <v>100</v>
      </c>
      <c r="F86" s="89">
        <v>1011.421</v>
      </c>
      <c r="G86" s="88">
        <v>5.877513E-3</v>
      </c>
    </row>
    <row r="87" spans="1:7" ht="38.25" x14ac:dyDescent="0.25">
      <c r="A87" s="105">
        <v>16</v>
      </c>
      <c r="B87" s="104" t="s">
        <v>771</v>
      </c>
      <c r="C87" s="108" t="s">
        <v>770</v>
      </c>
      <c r="D87" s="102" t="s">
        <v>703</v>
      </c>
      <c r="E87" s="90">
        <v>100</v>
      </c>
      <c r="F87" s="89">
        <v>1008.845</v>
      </c>
      <c r="G87" s="88">
        <v>5.8625429999999996E-3</v>
      </c>
    </row>
    <row r="88" spans="1:7" ht="25.5" x14ac:dyDescent="0.25">
      <c r="A88" s="105">
        <v>17</v>
      </c>
      <c r="B88" s="104" t="s">
        <v>769</v>
      </c>
      <c r="C88" s="108" t="s">
        <v>768</v>
      </c>
      <c r="D88" s="102" t="s">
        <v>703</v>
      </c>
      <c r="E88" s="90">
        <v>100</v>
      </c>
      <c r="F88" s="89">
        <v>1004.63</v>
      </c>
      <c r="G88" s="88">
        <v>5.8380489999999997E-3</v>
      </c>
    </row>
    <row r="89" spans="1:7" ht="38.25" x14ac:dyDescent="0.25">
      <c r="A89" s="105">
        <v>18</v>
      </c>
      <c r="B89" s="104" t="s">
        <v>767</v>
      </c>
      <c r="C89" s="108" t="s">
        <v>766</v>
      </c>
      <c r="D89" s="102" t="s">
        <v>703</v>
      </c>
      <c r="E89" s="90">
        <v>100</v>
      </c>
      <c r="F89" s="89">
        <v>1004.401</v>
      </c>
      <c r="G89" s="88">
        <v>5.8367189999999998E-3</v>
      </c>
    </row>
    <row r="90" spans="1:7" ht="25.5" x14ac:dyDescent="0.25">
      <c r="A90" s="105">
        <v>19</v>
      </c>
      <c r="B90" s="104" t="s">
        <v>765</v>
      </c>
      <c r="C90" s="108" t="s">
        <v>764</v>
      </c>
      <c r="D90" s="102" t="s">
        <v>763</v>
      </c>
      <c r="E90" s="90">
        <v>100</v>
      </c>
      <c r="F90" s="89">
        <v>1000.636</v>
      </c>
      <c r="G90" s="88">
        <v>5.8148399999999999E-3</v>
      </c>
    </row>
    <row r="91" spans="1:7" ht="25.5" x14ac:dyDescent="0.25">
      <c r="A91" s="105">
        <v>20</v>
      </c>
      <c r="B91" s="104" t="s">
        <v>762</v>
      </c>
      <c r="C91" s="108" t="s">
        <v>761</v>
      </c>
      <c r="D91" s="102" t="s">
        <v>703</v>
      </c>
      <c r="E91" s="90">
        <v>100</v>
      </c>
      <c r="F91" s="89">
        <v>996.67700000000002</v>
      </c>
      <c r="G91" s="88">
        <v>5.7918329999999997E-3</v>
      </c>
    </row>
    <row r="92" spans="1:7" ht="38.25" x14ac:dyDescent="0.25">
      <c r="A92" s="105">
        <v>21</v>
      </c>
      <c r="B92" s="104" t="s">
        <v>760</v>
      </c>
      <c r="C92" s="108" t="s">
        <v>759</v>
      </c>
      <c r="D92" s="102" t="s">
        <v>758</v>
      </c>
      <c r="E92" s="90">
        <v>1000</v>
      </c>
      <c r="F92" s="89">
        <v>995.45899999999995</v>
      </c>
      <c r="G92" s="88">
        <v>5.7847549999999999E-3</v>
      </c>
    </row>
    <row r="93" spans="1:7" ht="25.5" x14ac:dyDescent="0.25">
      <c r="A93" s="105">
        <v>22</v>
      </c>
      <c r="B93" s="104" t="s">
        <v>757</v>
      </c>
      <c r="C93" s="108" t="s">
        <v>756</v>
      </c>
      <c r="D93" s="102" t="s">
        <v>755</v>
      </c>
      <c r="E93" s="90">
        <v>91</v>
      </c>
      <c r="F93" s="89">
        <v>886.28722000000005</v>
      </c>
      <c r="G93" s="88">
        <v>5.1503429999999999E-3</v>
      </c>
    </row>
    <row r="94" spans="1:7" ht="25.5" x14ac:dyDescent="0.25">
      <c r="A94" s="105">
        <v>23</v>
      </c>
      <c r="B94" s="104" t="s">
        <v>754</v>
      </c>
      <c r="C94" s="108" t="s">
        <v>753</v>
      </c>
      <c r="D94" s="102" t="s">
        <v>752</v>
      </c>
      <c r="E94" s="90">
        <v>98</v>
      </c>
      <c r="F94" s="89">
        <v>850.64490000000001</v>
      </c>
      <c r="G94" s="88">
        <v>4.9432199999999999E-3</v>
      </c>
    </row>
    <row r="95" spans="1:7" ht="25.5" x14ac:dyDescent="0.25">
      <c r="A95" s="105">
        <v>24</v>
      </c>
      <c r="B95" s="104" t="s">
        <v>751</v>
      </c>
      <c r="C95" s="108" t="s">
        <v>750</v>
      </c>
      <c r="D95" s="102" t="s">
        <v>703</v>
      </c>
      <c r="E95" s="90">
        <v>50</v>
      </c>
      <c r="F95" s="89">
        <v>520.18600000000004</v>
      </c>
      <c r="G95" s="88">
        <v>3.0228759999999999E-3</v>
      </c>
    </row>
    <row r="96" spans="1:7" ht="25.5" x14ac:dyDescent="0.25">
      <c r="A96" s="105">
        <v>25</v>
      </c>
      <c r="B96" s="104" t="s">
        <v>749</v>
      </c>
      <c r="C96" s="108" t="s">
        <v>748</v>
      </c>
      <c r="D96" s="102" t="s">
        <v>703</v>
      </c>
      <c r="E96" s="90">
        <v>50</v>
      </c>
      <c r="F96" s="89">
        <v>512.53399999999999</v>
      </c>
      <c r="G96" s="88">
        <v>2.978409E-3</v>
      </c>
    </row>
    <row r="97" spans="1:7" ht="38.25" x14ac:dyDescent="0.25">
      <c r="A97" s="105">
        <v>26</v>
      </c>
      <c r="B97" s="104" t="s">
        <v>701</v>
      </c>
      <c r="C97" s="108" t="s">
        <v>702</v>
      </c>
      <c r="D97" s="102" t="s">
        <v>703</v>
      </c>
      <c r="E97" s="90">
        <v>50</v>
      </c>
      <c r="F97" s="89">
        <v>510.14049999999997</v>
      </c>
      <c r="G97" s="88">
        <v>2.9645000000000001E-3</v>
      </c>
    </row>
    <row r="98" spans="1:7" ht="25.5" x14ac:dyDescent="0.25">
      <c r="A98" s="105">
        <v>27</v>
      </c>
      <c r="B98" s="104" t="s">
        <v>747</v>
      </c>
      <c r="C98" s="108" t="s">
        <v>746</v>
      </c>
      <c r="D98" s="102" t="s">
        <v>703</v>
      </c>
      <c r="E98" s="90">
        <v>50</v>
      </c>
      <c r="F98" s="89">
        <v>496.77800000000002</v>
      </c>
      <c r="G98" s="88">
        <v>2.886848E-3</v>
      </c>
    </row>
    <row r="99" spans="1:7" ht="25.5" x14ac:dyDescent="0.25">
      <c r="A99" s="105">
        <v>28</v>
      </c>
      <c r="B99" s="104" t="s">
        <v>745</v>
      </c>
      <c r="C99" s="108" t="s">
        <v>744</v>
      </c>
      <c r="D99" s="102" t="s">
        <v>703</v>
      </c>
      <c r="E99" s="90">
        <v>20</v>
      </c>
      <c r="F99" s="89">
        <v>201.6934</v>
      </c>
      <c r="G99" s="88">
        <v>1.172069E-3</v>
      </c>
    </row>
    <row r="100" spans="1:7" ht="25.5" x14ac:dyDescent="0.25">
      <c r="A100" s="105">
        <v>29</v>
      </c>
      <c r="B100" s="104" t="s">
        <v>743</v>
      </c>
      <c r="C100" s="108" t="s">
        <v>742</v>
      </c>
      <c r="D100" s="102" t="s">
        <v>741</v>
      </c>
      <c r="E100" s="90">
        <v>20</v>
      </c>
      <c r="F100" s="89">
        <v>189.50299999999999</v>
      </c>
      <c r="G100" s="88">
        <v>1.101229E-3</v>
      </c>
    </row>
    <row r="101" spans="1:7" ht="15" x14ac:dyDescent="0.25">
      <c r="A101" s="87"/>
      <c r="B101" s="86"/>
      <c r="C101" s="96" t="s">
        <v>104</v>
      </c>
      <c r="D101" s="84"/>
      <c r="E101" s="83"/>
      <c r="F101" s="82">
        <v>37481.912019999989</v>
      </c>
      <c r="G101" s="81">
        <v>0.21781278300000004</v>
      </c>
    </row>
    <row r="102" spans="1:7" ht="15" x14ac:dyDescent="0.25">
      <c r="A102" s="87"/>
      <c r="B102" s="86"/>
      <c r="C102" s="101"/>
      <c r="D102" s="102"/>
      <c r="E102" s="90"/>
      <c r="F102" s="89"/>
      <c r="G102" s="88"/>
    </row>
    <row r="103" spans="1:7" ht="15" x14ac:dyDescent="0.25">
      <c r="A103" s="105"/>
      <c r="B103" s="110"/>
      <c r="C103" s="96" t="s">
        <v>113</v>
      </c>
      <c r="D103" s="100"/>
      <c r="E103" s="99"/>
      <c r="F103" s="98"/>
      <c r="G103" s="97"/>
    </row>
    <row r="104" spans="1:7" ht="25.5" x14ac:dyDescent="0.25">
      <c r="A104" s="105">
        <v>1</v>
      </c>
      <c r="B104" s="110" t="s">
        <v>740</v>
      </c>
      <c r="C104" s="108" t="s">
        <v>739</v>
      </c>
      <c r="D104" s="110" t="s">
        <v>738</v>
      </c>
      <c r="E104" s="113">
        <v>250</v>
      </c>
      <c r="F104" s="112">
        <v>3079.5725000000002</v>
      </c>
      <c r="G104" s="111">
        <v>1.7895839E-2</v>
      </c>
    </row>
    <row r="105" spans="1:7" ht="25.5" x14ac:dyDescent="0.25">
      <c r="A105" s="105">
        <v>2</v>
      </c>
      <c r="B105" s="110" t="s">
        <v>737</v>
      </c>
      <c r="C105" s="108" t="s">
        <v>736</v>
      </c>
      <c r="D105" s="110" t="s">
        <v>703</v>
      </c>
      <c r="E105" s="113">
        <v>50</v>
      </c>
      <c r="F105" s="112">
        <v>509.70699999999999</v>
      </c>
      <c r="G105" s="111">
        <v>2.9619809999999998E-3</v>
      </c>
    </row>
    <row r="106" spans="1:7" ht="15" x14ac:dyDescent="0.25">
      <c r="A106" s="87"/>
      <c r="B106" s="86"/>
      <c r="C106" s="96" t="s">
        <v>104</v>
      </c>
      <c r="D106" s="84"/>
      <c r="E106" s="83"/>
      <c r="F106" s="82">
        <v>3589.2795000000001</v>
      </c>
      <c r="G106" s="81">
        <v>2.0857819999999999E-2</v>
      </c>
    </row>
    <row r="107" spans="1:7" ht="15" x14ac:dyDescent="0.25">
      <c r="A107" s="87"/>
      <c r="B107" s="86"/>
      <c r="C107" s="101"/>
      <c r="D107" s="102"/>
      <c r="E107" s="90"/>
      <c r="F107" s="94"/>
      <c r="G107" s="93"/>
    </row>
    <row r="108" spans="1:7" ht="15" x14ac:dyDescent="0.25">
      <c r="A108" s="105"/>
      <c r="B108" s="104"/>
      <c r="C108" s="96" t="s">
        <v>114</v>
      </c>
      <c r="D108" s="100"/>
      <c r="E108" s="99"/>
      <c r="F108" s="98"/>
      <c r="G108" s="97"/>
    </row>
    <row r="109" spans="1:7" ht="25.5" x14ac:dyDescent="0.25">
      <c r="A109" s="105">
        <v>1</v>
      </c>
      <c r="B109" s="104" t="s">
        <v>735</v>
      </c>
      <c r="C109" s="108" t="s">
        <v>734</v>
      </c>
      <c r="D109" s="104" t="s">
        <v>733</v>
      </c>
      <c r="E109" s="90">
        <v>26100</v>
      </c>
      <c r="F109" s="94">
        <v>26.1450225</v>
      </c>
      <c r="G109" s="93">
        <v>1.5193199999999999E-4</v>
      </c>
    </row>
    <row r="110" spans="1:7" ht="15" x14ac:dyDescent="0.25">
      <c r="A110" s="87"/>
      <c r="B110" s="86"/>
      <c r="C110" s="96" t="s">
        <v>104</v>
      </c>
      <c r="D110" s="84"/>
      <c r="E110" s="83"/>
      <c r="F110" s="82">
        <v>26.1450225</v>
      </c>
      <c r="G110" s="81">
        <v>1.5193199999999999E-4</v>
      </c>
    </row>
    <row r="111" spans="1:7" ht="15" x14ac:dyDescent="0.25">
      <c r="A111" s="105"/>
      <c r="B111" s="104"/>
      <c r="C111" s="101"/>
      <c r="D111" s="102"/>
      <c r="E111" s="90"/>
      <c r="F111" s="89"/>
      <c r="G111" s="88"/>
    </row>
    <row r="112" spans="1:7" ht="25.5" x14ac:dyDescent="0.25">
      <c r="A112" s="105"/>
      <c r="B112" s="110"/>
      <c r="C112" s="96" t="s">
        <v>115</v>
      </c>
      <c r="D112" s="100"/>
      <c r="E112" s="99"/>
      <c r="F112" s="98"/>
      <c r="G112" s="97"/>
    </row>
    <row r="113" spans="1:7" ht="15" x14ac:dyDescent="0.25">
      <c r="A113" s="87"/>
      <c r="B113" s="86"/>
      <c r="C113" s="96" t="s">
        <v>104</v>
      </c>
      <c r="D113" s="84"/>
      <c r="E113" s="83"/>
      <c r="F113" s="82">
        <v>0</v>
      </c>
      <c r="G113" s="81">
        <v>0</v>
      </c>
    </row>
    <row r="114" spans="1:7" ht="15" x14ac:dyDescent="0.25">
      <c r="A114" s="87"/>
      <c r="B114" s="86"/>
      <c r="C114" s="101"/>
      <c r="D114" s="102"/>
      <c r="E114" s="90"/>
      <c r="F114" s="89"/>
      <c r="G114" s="88"/>
    </row>
    <row r="115" spans="1:7" ht="15" x14ac:dyDescent="0.25">
      <c r="A115" s="87"/>
      <c r="B115" s="86"/>
      <c r="C115" s="109" t="s">
        <v>116</v>
      </c>
      <c r="D115" s="95"/>
      <c r="E115" s="83"/>
      <c r="F115" s="82">
        <v>41097.336542499994</v>
      </c>
      <c r="G115" s="81">
        <v>0.23882253500000003</v>
      </c>
    </row>
    <row r="116" spans="1:7" ht="15" x14ac:dyDescent="0.25">
      <c r="A116" s="87"/>
      <c r="B116" s="86"/>
      <c r="C116" s="108"/>
      <c r="D116" s="102"/>
      <c r="E116" s="90"/>
      <c r="F116" s="89"/>
      <c r="G116" s="88"/>
    </row>
    <row r="117" spans="1:7" ht="15" x14ac:dyDescent="0.25">
      <c r="A117" s="105"/>
      <c r="B117" s="104"/>
      <c r="C117" s="103" t="s">
        <v>117</v>
      </c>
      <c r="D117" s="102"/>
      <c r="E117" s="90"/>
      <c r="F117" s="89"/>
      <c r="G117" s="88"/>
    </row>
    <row r="118" spans="1:7" ht="15" x14ac:dyDescent="0.25">
      <c r="A118" s="87"/>
      <c r="B118" s="86"/>
      <c r="C118" s="96" t="s">
        <v>118</v>
      </c>
      <c r="D118" s="100"/>
      <c r="E118" s="99"/>
      <c r="F118" s="98"/>
      <c r="G118" s="97"/>
    </row>
    <row r="119" spans="1:7" ht="15" x14ac:dyDescent="0.25">
      <c r="A119" s="87"/>
      <c r="B119" s="86"/>
      <c r="C119" s="96" t="s">
        <v>104</v>
      </c>
      <c r="D119" s="95"/>
      <c r="E119" s="83"/>
      <c r="F119" s="82">
        <v>0</v>
      </c>
      <c r="G119" s="81">
        <v>0</v>
      </c>
    </row>
    <row r="120" spans="1:7" ht="15" x14ac:dyDescent="0.25">
      <c r="A120" s="87"/>
      <c r="B120" s="86"/>
      <c r="C120" s="101"/>
      <c r="D120" s="86"/>
      <c r="E120" s="90"/>
      <c r="F120" s="89"/>
      <c r="G120" s="88"/>
    </row>
    <row r="121" spans="1:7" ht="15" x14ac:dyDescent="0.25">
      <c r="A121" s="87"/>
      <c r="B121" s="86"/>
      <c r="C121" s="96" t="s">
        <v>119</v>
      </c>
      <c r="D121" s="100"/>
      <c r="E121" s="99"/>
      <c r="F121" s="98"/>
      <c r="G121" s="97"/>
    </row>
    <row r="122" spans="1:7" ht="15" x14ac:dyDescent="0.25">
      <c r="A122" s="87"/>
      <c r="B122" s="86"/>
      <c r="C122" s="96" t="s">
        <v>104</v>
      </c>
      <c r="D122" s="95"/>
      <c r="E122" s="83"/>
      <c r="F122" s="82">
        <v>0</v>
      </c>
      <c r="G122" s="81">
        <v>0</v>
      </c>
    </row>
    <row r="123" spans="1:7" ht="15" x14ac:dyDescent="0.25">
      <c r="A123" s="87"/>
      <c r="B123" s="86"/>
      <c r="C123" s="101"/>
      <c r="D123" s="86"/>
      <c r="E123" s="90"/>
      <c r="F123" s="89"/>
      <c r="G123" s="88"/>
    </row>
    <row r="124" spans="1:7" ht="15" x14ac:dyDescent="0.25">
      <c r="A124" s="87"/>
      <c r="B124" s="86"/>
      <c r="C124" s="96" t="s">
        <v>120</v>
      </c>
      <c r="D124" s="100"/>
      <c r="E124" s="99"/>
      <c r="F124" s="98"/>
      <c r="G124" s="97"/>
    </row>
    <row r="125" spans="1:7" ht="15" x14ac:dyDescent="0.25">
      <c r="A125" s="87"/>
      <c r="B125" s="86"/>
      <c r="C125" s="96" t="s">
        <v>104</v>
      </c>
      <c r="D125" s="95"/>
      <c r="E125" s="83"/>
      <c r="F125" s="82">
        <v>0</v>
      </c>
      <c r="G125" s="81">
        <v>0</v>
      </c>
    </row>
    <row r="126" spans="1:7" ht="15" x14ac:dyDescent="0.25">
      <c r="A126" s="87"/>
      <c r="B126" s="86"/>
      <c r="C126" s="101"/>
      <c r="D126" s="86"/>
      <c r="E126" s="90"/>
      <c r="F126" s="89"/>
      <c r="G126" s="88"/>
    </row>
    <row r="127" spans="1:7" ht="15" x14ac:dyDescent="0.25">
      <c r="A127" s="87"/>
      <c r="B127" s="86"/>
      <c r="C127" s="96" t="s">
        <v>121</v>
      </c>
      <c r="D127" s="100"/>
      <c r="E127" s="99"/>
      <c r="F127" s="98"/>
      <c r="G127" s="97"/>
    </row>
    <row r="128" spans="1:7" ht="15" x14ac:dyDescent="0.25">
      <c r="A128" s="87">
        <v>1</v>
      </c>
      <c r="B128" s="86"/>
      <c r="C128" s="108" t="s">
        <v>730</v>
      </c>
      <c r="D128" s="107"/>
      <c r="E128" s="90"/>
      <c r="F128" s="89">
        <v>2802.5707851000002</v>
      </c>
      <c r="G128" s="88">
        <v>1.6286142E-2</v>
      </c>
    </row>
    <row r="129" spans="1:7" ht="15" x14ac:dyDescent="0.25">
      <c r="A129" s="87"/>
      <c r="B129" s="86"/>
      <c r="C129" s="96" t="s">
        <v>104</v>
      </c>
      <c r="D129" s="95"/>
      <c r="E129" s="83"/>
      <c r="F129" s="82">
        <v>2802.5707851000002</v>
      </c>
      <c r="G129" s="81">
        <v>1.6286142E-2</v>
      </c>
    </row>
    <row r="130" spans="1:7" ht="15" x14ac:dyDescent="0.25">
      <c r="A130" s="87"/>
      <c r="B130" s="86"/>
      <c r="C130" s="101"/>
      <c r="D130" s="86"/>
      <c r="E130" s="90"/>
      <c r="F130" s="89"/>
      <c r="G130" s="88"/>
    </row>
    <row r="131" spans="1:7" ht="25.5" x14ac:dyDescent="0.25">
      <c r="A131" s="87"/>
      <c r="B131" s="86"/>
      <c r="C131" s="106" t="s">
        <v>122</v>
      </c>
      <c r="D131" s="95"/>
      <c r="E131" s="83"/>
      <c r="F131" s="82">
        <v>2802.5707851000002</v>
      </c>
      <c r="G131" s="81">
        <v>1.6286142E-2</v>
      </c>
    </row>
    <row r="132" spans="1:7" ht="15" x14ac:dyDescent="0.25">
      <c r="A132" s="87"/>
      <c r="B132" s="86"/>
      <c r="C132" s="92"/>
      <c r="D132" s="86"/>
      <c r="E132" s="90"/>
      <c r="F132" s="89"/>
      <c r="G132" s="88"/>
    </row>
    <row r="133" spans="1:7" ht="15" x14ac:dyDescent="0.25">
      <c r="A133" s="105"/>
      <c r="B133" s="104"/>
      <c r="C133" s="103" t="s">
        <v>123</v>
      </c>
      <c r="D133" s="102"/>
      <c r="E133" s="90"/>
      <c r="F133" s="89"/>
      <c r="G133" s="88"/>
    </row>
    <row r="134" spans="1:7" ht="25.5" x14ac:dyDescent="0.25">
      <c r="A134" s="87"/>
      <c r="B134" s="86"/>
      <c r="C134" s="96" t="s">
        <v>124</v>
      </c>
      <c r="D134" s="100"/>
      <c r="E134" s="99"/>
      <c r="F134" s="98"/>
      <c r="G134" s="97"/>
    </row>
    <row r="135" spans="1:7" ht="15" x14ac:dyDescent="0.25">
      <c r="A135" s="87"/>
      <c r="B135" s="86"/>
      <c r="C135" s="96" t="s">
        <v>104</v>
      </c>
      <c r="D135" s="95"/>
      <c r="E135" s="83"/>
      <c r="F135" s="82">
        <v>0</v>
      </c>
      <c r="G135" s="81">
        <v>0</v>
      </c>
    </row>
    <row r="136" spans="1:7" ht="15" x14ac:dyDescent="0.25">
      <c r="A136" s="87"/>
      <c r="B136" s="86"/>
      <c r="C136" s="101"/>
      <c r="D136" s="86"/>
      <c r="E136" s="90"/>
      <c r="F136" s="89"/>
      <c r="G136" s="88"/>
    </row>
    <row r="137" spans="1:7" ht="15" x14ac:dyDescent="0.25">
      <c r="A137" s="105"/>
      <c r="B137" s="104"/>
      <c r="C137" s="103" t="s">
        <v>125</v>
      </c>
      <c r="D137" s="102"/>
      <c r="E137" s="90"/>
      <c r="F137" s="89"/>
      <c r="G137" s="88"/>
    </row>
    <row r="138" spans="1:7" ht="25.5" x14ac:dyDescent="0.25">
      <c r="A138" s="87"/>
      <c r="B138" s="86"/>
      <c r="C138" s="96" t="s">
        <v>126</v>
      </c>
      <c r="D138" s="100"/>
      <c r="E138" s="99"/>
      <c r="F138" s="98"/>
      <c r="G138" s="97"/>
    </row>
    <row r="139" spans="1:7" ht="15" x14ac:dyDescent="0.25">
      <c r="A139" s="87"/>
      <c r="B139" s="86"/>
      <c r="C139" s="96" t="s">
        <v>104</v>
      </c>
      <c r="D139" s="95"/>
      <c r="E139" s="83"/>
      <c r="F139" s="82">
        <v>0</v>
      </c>
      <c r="G139" s="81">
        <v>0</v>
      </c>
    </row>
    <row r="140" spans="1:7" ht="15" x14ac:dyDescent="0.25">
      <c r="A140" s="87"/>
      <c r="B140" s="86"/>
      <c r="C140" s="101"/>
      <c r="D140" s="86"/>
      <c r="E140" s="90"/>
      <c r="F140" s="89"/>
      <c r="G140" s="88"/>
    </row>
    <row r="141" spans="1:7" ht="25.5" x14ac:dyDescent="0.25">
      <c r="A141" s="87"/>
      <c r="B141" s="86"/>
      <c r="C141" s="96" t="s">
        <v>127</v>
      </c>
      <c r="D141" s="100"/>
      <c r="E141" s="99"/>
      <c r="F141" s="98"/>
      <c r="G141" s="97"/>
    </row>
    <row r="142" spans="1:7" ht="15" x14ac:dyDescent="0.25">
      <c r="A142" s="87"/>
      <c r="B142" s="86"/>
      <c r="C142" s="96" t="s">
        <v>104</v>
      </c>
      <c r="D142" s="95"/>
      <c r="E142" s="83"/>
      <c r="F142" s="82">
        <v>0</v>
      </c>
      <c r="G142" s="81">
        <v>0</v>
      </c>
    </row>
    <row r="143" spans="1:7" ht="25.5" x14ac:dyDescent="0.25">
      <c r="A143" s="87"/>
      <c r="B143" s="86"/>
      <c r="C143" s="92" t="s">
        <v>128</v>
      </c>
      <c r="D143" s="86"/>
      <c r="E143" s="90"/>
      <c r="F143" s="94">
        <v>3873.8151601999998</v>
      </c>
      <c r="G143" s="93">
        <v>2.2511297E-2</v>
      </c>
    </row>
    <row r="144" spans="1:7" ht="15" x14ac:dyDescent="0.25">
      <c r="A144" s="87"/>
      <c r="B144" s="86"/>
      <c r="C144" s="92"/>
      <c r="D144" s="91"/>
      <c r="E144" s="90"/>
      <c r="F144" s="89"/>
      <c r="G144" s="88"/>
    </row>
    <row r="145" spans="1:7" ht="15" x14ac:dyDescent="0.25">
      <c r="A145" s="87"/>
      <c r="B145" s="86"/>
      <c r="C145" s="85" t="s">
        <v>129</v>
      </c>
      <c r="D145" s="84"/>
      <c r="E145" s="83"/>
      <c r="F145" s="82">
        <v>172083.16073130001</v>
      </c>
      <c r="G145" s="81">
        <v>0.9999999989999997</v>
      </c>
    </row>
    <row r="147" spans="1:7" ht="15" x14ac:dyDescent="0.25">
      <c r="B147" s="280" t="s">
        <v>716</v>
      </c>
      <c r="C147" s="280"/>
      <c r="D147" s="280"/>
      <c r="E147" s="280"/>
      <c r="F147" s="280"/>
    </row>
    <row r="148" spans="1:7" ht="15" x14ac:dyDescent="0.25">
      <c r="B148" s="281" t="s">
        <v>849</v>
      </c>
      <c r="C148" s="281"/>
      <c r="D148" s="281"/>
      <c r="E148" s="281"/>
      <c r="F148" s="281"/>
    </row>
    <row r="150" spans="1:7" ht="15" x14ac:dyDescent="0.25">
      <c r="B150" s="80" t="s">
        <v>131</v>
      </c>
      <c r="C150" s="79"/>
      <c r="D150" s="78"/>
    </row>
    <row r="151" spans="1:7" ht="15" x14ac:dyDescent="0.25">
      <c r="B151" s="39" t="s">
        <v>132</v>
      </c>
      <c r="C151" s="70"/>
      <c r="D151" s="77" t="s">
        <v>133</v>
      </c>
    </row>
    <row r="152" spans="1:7" ht="15" x14ac:dyDescent="0.25">
      <c r="B152" s="39" t="s">
        <v>134</v>
      </c>
      <c r="C152" s="70"/>
      <c r="D152" s="77" t="s">
        <v>133</v>
      </c>
    </row>
    <row r="153" spans="1:7" ht="15" x14ac:dyDescent="0.25">
      <c r="B153" s="39" t="s">
        <v>135</v>
      </c>
      <c r="C153" s="70"/>
      <c r="D153" s="74"/>
    </row>
    <row r="154" spans="1:7" ht="25.5" customHeight="1" x14ac:dyDescent="0.25">
      <c r="B154" s="74"/>
      <c r="C154" s="76" t="s">
        <v>136</v>
      </c>
      <c r="D154" s="75" t="s">
        <v>137</v>
      </c>
    </row>
    <row r="155" spans="1:7" ht="12.75" customHeight="1" x14ac:dyDescent="0.25">
      <c r="B155" s="57" t="s">
        <v>138</v>
      </c>
      <c r="C155" s="58" t="s">
        <v>139</v>
      </c>
      <c r="D155" s="58" t="s">
        <v>140</v>
      </c>
    </row>
    <row r="156" spans="1:7" ht="15" x14ac:dyDescent="0.25">
      <c r="B156" s="74" t="s">
        <v>141</v>
      </c>
      <c r="C156" s="73">
        <v>96.983699999999999</v>
      </c>
      <c r="D156" s="73">
        <v>93.913899999999998</v>
      </c>
    </row>
    <row r="157" spans="1:7" ht="15" x14ac:dyDescent="0.25">
      <c r="B157" s="74" t="s">
        <v>142</v>
      </c>
      <c r="C157" s="73">
        <v>15.1714</v>
      </c>
      <c r="D157" s="73">
        <v>14.530900000000001</v>
      </c>
    </row>
    <row r="158" spans="1:7" ht="15" x14ac:dyDescent="0.25">
      <c r="B158" s="74" t="s">
        <v>143</v>
      </c>
      <c r="C158" s="73">
        <v>92.096500000000006</v>
      </c>
      <c r="D158" s="73">
        <v>89.111199999999997</v>
      </c>
    </row>
    <row r="159" spans="1:7" ht="15" x14ac:dyDescent="0.25">
      <c r="B159" s="74" t="s">
        <v>144</v>
      </c>
      <c r="C159" s="73">
        <v>14.1623</v>
      </c>
      <c r="D159" s="73">
        <v>13.542899999999999</v>
      </c>
    </row>
    <row r="161" spans="2:256" ht="15" x14ac:dyDescent="0.25">
      <c r="B161" s="126" t="s">
        <v>145</v>
      </c>
      <c r="C161" s="127"/>
      <c r="IV161"/>
    </row>
    <row r="162" spans="2:256" ht="24.75" customHeight="1" x14ac:dyDescent="0.25">
      <c r="B162" s="128" t="s">
        <v>138</v>
      </c>
      <c r="C162" s="128" t="s">
        <v>386</v>
      </c>
      <c r="IV162"/>
    </row>
    <row r="163" spans="2:256" ht="15" x14ac:dyDescent="0.25">
      <c r="B163" s="74" t="s">
        <v>142</v>
      </c>
      <c r="C163" s="129">
        <v>0.14166500000000001</v>
      </c>
      <c r="IV163"/>
    </row>
    <row r="164" spans="2:256" ht="15" x14ac:dyDescent="0.25">
      <c r="B164" s="74" t="s">
        <v>144</v>
      </c>
      <c r="C164" s="129">
        <v>0.14166500000000001</v>
      </c>
      <c r="IV164"/>
    </row>
    <row r="166" spans="2:256" ht="15" x14ac:dyDescent="0.25">
      <c r="B166" s="39" t="s">
        <v>146</v>
      </c>
      <c r="C166" s="70"/>
      <c r="D166" s="72" t="s">
        <v>133</v>
      </c>
    </row>
    <row r="167" spans="2:256" ht="15" x14ac:dyDescent="0.25">
      <c r="B167" s="39" t="s">
        <v>732</v>
      </c>
      <c r="C167" s="70"/>
      <c r="D167" s="72" t="s">
        <v>133</v>
      </c>
    </row>
    <row r="168" spans="2:256" ht="15" x14ac:dyDescent="0.25">
      <c r="B168" s="39" t="s">
        <v>805</v>
      </c>
      <c r="C168" s="70"/>
      <c r="D168" s="71">
        <v>0.7130000000000003</v>
      </c>
    </row>
    <row r="169" spans="2:256" ht="15" x14ac:dyDescent="0.25">
      <c r="B169" s="39" t="s">
        <v>806</v>
      </c>
      <c r="C169" s="70"/>
      <c r="D169" s="71">
        <v>0.54900000000000027</v>
      </c>
    </row>
    <row r="170" spans="2:256" ht="15" x14ac:dyDescent="0.25">
      <c r="B170" s="39" t="s">
        <v>839</v>
      </c>
      <c r="C170" s="70"/>
      <c r="D170" s="69">
        <v>8.4372021062714186E-2</v>
      </c>
    </row>
    <row r="171" spans="2:256" ht="15" x14ac:dyDescent="0.25">
      <c r="B171" s="39" t="s">
        <v>840</v>
      </c>
      <c r="C171" s="70"/>
      <c r="D171" s="69" t="s">
        <v>133</v>
      </c>
    </row>
    <row r="172" spans="2:256" ht="15" x14ac:dyDescent="0.25">
      <c r="B172" s="68"/>
      <c r="C172" s="68"/>
      <c r="D172" s="68"/>
      <c r="E172" s="68"/>
    </row>
  </sheetData>
  <mergeCells count="5">
    <mergeCell ref="A1:G1"/>
    <mergeCell ref="A2:G2"/>
    <mergeCell ref="A3:G3"/>
    <mergeCell ref="B147:F147"/>
    <mergeCell ref="B148:F148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V167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697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25.5" x14ac:dyDescent="0.25">
      <c r="A7" s="6">
        <v>1</v>
      </c>
      <c r="B7" s="7" t="s">
        <v>489</v>
      </c>
      <c r="C7" s="11" t="s">
        <v>490</v>
      </c>
      <c r="D7" s="2" t="s">
        <v>162</v>
      </c>
      <c r="E7" s="46">
        <v>37000</v>
      </c>
      <c r="F7" s="51">
        <v>785.06600000000003</v>
      </c>
      <c r="G7" s="5">
        <v>5.611758E-2</v>
      </c>
    </row>
    <row r="8" spans="1:7" ht="15" x14ac:dyDescent="0.25">
      <c r="A8" s="6">
        <v>2</v>
      </c>
      <c r="B8" s="7" t="s">
        <v>33</v>
      </c>
      <c r="C8" s="11" t="s">
        <v>34</v>
      </c>
      <c r="D8" s="2" t="s">
        <v>13</v>
      </c>
      <c r="E8" s="46">
        <v>34150</v>
      </c>
      <c r="F8" s="51">
        <v>768.93847500000004</v>
      </c>
      <c r="G8" s="5">
        <v>5.4964763E-2</v>
      </c>
    </row>
    <row r="9" spans="1:7" ht="25.5" x14ac:dyDescent="0.25">
      <c r="A9" s="6">
        <v>3</v>
      </c>
      <c r="B9" s="7" t="s">
        <v>40</v>
      </c>
      <c r="C9" s="11" t="s">
        <v>41</v>
      </c>
      <c r="D9" s="2" t="s">
        <v>42</v>
      </c>
      <c r="E9" s="46">
        <v>49700</v>
      </c>
      <c r="F9" s="51">
        <v>579.62625000000003</v>
      </c>
      <c r="G9" s="5">
        <v>4.1432469E-2</v>
      </c>
    </row>
    <row r="10" spans="1:7" ht="15" x14ac:dyDescent="0.25">
      <c r="A10" s="6">
        <v>4</v>
      </c>
      <c r="B10" s="7" t="s">
        <v>491</v>
      </c>
      <c r="C10" s="11" t="s">
        <v>492</v>
      </c>
      <c r="D10" s="2" t="s">
        <v>215</v>
      </c>
      <c r="E10" s="46">
        <v>70980</v>
      </c>
      <c r="F10" s="51">
        <v>563.33276999999998</v>
      </c>
      <c r="G10" s="5">
        <v>4.0267788999999998E-2</v>
      </c>
    </row>
    <row r="11" spans="1:7" ht="25.5" x14ac:dyDescent="0.25">
      <c r="A11" s="6">
        <v>5</v>
      </c>
      <c r="B11" s="7" t="s">
        <v>396</v>
      </c>
      <c r="C11" s="11" t="s">
        <v>397</v>
      </c>
      <c r="D11" s="2" t="s">
        <v>37</v>
      </c>
      <c r="E11" s="46">
        <v>175450</v>
      </c>
      <c r="F11" s="51">
        <v>474.0659</v>
      </c>
      <c r="G11" s="5">
        <v>3.3886871999999998E-2</v>
      </c>
    </row>
    <row r="12" spans="1:7" ht="25.5" x14ac:dyDescent="0.25">
      <c r="A12" s="6">
        <v>6</v>
      </c>
      <c r="B12" s="7" t="s">
        <v>518</v>
      </c>
      <c r="C12" s="11" t="s">
        <v>519</v>
      </c>
      <c r="D12" s="2" t="s">
        <v>37</v>
      </c>
      <c r="E12" s="46">
        <v>23020</v>
      </c>
      <c r="F12" s="51">
        <v>397.47483</v>
      </c>
      <c r="G12" s="5">
        <v>2.8412039E-2</v>
      </c>
    </row>
    <row r="13" spans="1:7" ht="15" x14ac:dyDescent="0.25">
      <c r="A13" s="6">
        <v>7</v>
      </c>
      <c r="B13" s="7" t="s">
        <v>420</v>
      </c>
      <c r="C13" s="11" t="s">
        <v>421</v>
      </c>
      <c r="D13" s="2" t="s">
        <v>226</v>
      </c>
      <c r="E13" s="46">
        <v>70900</v>
      </c>
      <c r="F13" s="51">
        <v>389.95</v>
      </c>
      <c r="G13" s="5">
        <v>2.7874154000000002E-2</v>
      </c>
    </row>
    <row r="14" spans="1:7" ht="25.5" x14ac:dyDescent="0.25">
      <c r="A14" s="6">
        <v>8</v>
      </c>
      <c r="B14" s="7" t="s">
        <v>568</v>
      </c>
      <c r="C14" s="11" t="s">
        <v>569</v>
      </c>
      <c r="D14" s="2" t="s">
        <v>37</v>
      </c>
      <c r="E14" s="46">
        <v>90250</v>
      </c>
      <c r="F14" s="51">
        <v>384.87112500000001</v>
      </c>
      <c r="G14" s="5">
        <v>2.7511108999999999E-2</v>
      </c>
    </row>
    <row r="15" spans="1:7" ht="15" x14ac:dyDescent="0.25">
      <c r="A15" s="6">
        <v>9</v>
      </c>
      <c r="B15" s="7" t="s">
        <v>435</v>
      </c>
      <c r="C15" s="11" t="s">
        <v>436</v>
      </c>
      <c r="D15" s="2" t="s">
        <v>215</v>
      </c>
      <c r="E15" s="46">
        <v>16155</v>
      </c>
      <c r="F15" s="51">
        <v>356.33083499999998</v>
      </c>
      <c r="G15" s="5">
        <v>2.5471009999999999E-2</v>
      </c>
    </row>
    <row r="16" spans="1:7" ht="15" x14ac:dyDescent="0.25">
      <c r="A16" s="6">
        <v>10</v>
      </c>
      <c r="B16" s="7" t="s">
        <v>11</v>
      </c>
      <c r="C16" s="11" t="s">
        <v>12</v>
      </c>
      <c r="D16" s="2" t="s">
        <v>13</v>
      </c>
      <c r="E16" s="46">
        <v>81000</v>
      </c>
      <c r="F16" s="51">
        <v>343.92599999999999</v>
      </c>
      <c r="G16" s="5">
        <v>2.4584295999999999E-2</v>
      </c>
    </row>
    <row r="17" spans="1:7" ht="15" x14ac:dyDescent="0.25">
      <c r="A17" s="6">
        <v>11</v>
      </c>
      <c r="B17" s="7" t="s">
        <v>506</v>
      </c>
      <c r="C17" s="11" t="s">
        <v>507</v>
      </c>
      <c r="D17" s="2" t="s">
        <v>16</v>
      </c>
      <c r="E17" s="46">
        <v>38750</v>
      </c>
      <c r="F17" s="51">
        <v>305.48562500000003</v>
      </c>
      <c r="G17" s="5">
        <v>2.1836525999999998E-2</v>
      </c>
    </row>
    <row r="18" spans="1:7" ht="15" x14ac:dyDescent="0.25">
      <c r="A18" s="6">
        <v>12</v>
      </c>
      <c r="B18" s="7" t="s">
        <v>394</v>
      </c>
      <c r="C18" s="11" t="s">
        <v>395</v>
      </c>
      <c r="D18" s="2" t="s">
        <v>13</v>
      </c>
      <c r="E18" s="46">
        <v>40250</v>
      </c>
      <c r="F18" s="51">
        <v>271.32524999999998</v>
      </c>
      <c r="G18" s="5">
        <v>1.9394695999999999E-2</v>
      </c>
    </row>
    <row r="19" spans="1:7" ht="15" x14ac:dyDescent="0.25">
      <c r="A19" s="6">
        <v>13</v>
      </c>
      <c r="B19" s="7" t="s">
        <v>487</v>
      </c>
      <c r="C19" s="11" t="s">
        <v>488</v>
      </c>
      <c r="D19" s="2" t="s">
        <v>13</v>
      </c>
      <c r="E19" s="46">
        <v>14950</v>
      </c>
      <c r="F19" s="51">
        <v>227.17272500000001</v>
      </c>
      <c r="G19" s="5">
        <v>1.6238613999999998E-2</v>
      </c>
    </row>
    <row r="20" spans="1:7" ht="25.5" x14ac:dyDescent="0.25">
      <c r="A20" s="6">
        <v>14</v>
      </c>
      <c r="B20" s="7" t="s">
        <v>17</v>
      </c>
      <c r="C20" s="11" t="s">
        <v>18</v>
      </c>
      <c r="D20" s="2" t="s">
        <v>19</v>
      </c>
      <c r="E20" s="46">
        <v>16000</v>
      </c>
      <c r="F20" s="51">
        <v>221.96799999999999</v>
      </c>
      <c r="G20" s="5">
        <v>1.5866572999999998E-2</v>
      </c>
    </row>
    <row r="21" spans="1:7" ht="15" x14ac:dyDescent="0.25">
      <c r="A21" s="6">
        <v>15</v>
      </c>
      <c r="B21" s="7" t="s">
        <v>47</v>
      </c>
      <c r="C21" s="11" t="s">
        <v>48</v>
      </c>
      <c r="D21" s="2" t="s">
        <v>13</v>
      </c>
      <c r="E21" s="46">
        <v>64000</v>
      </c>
      <c r="F21" s="51">
        <v>212.608</v>
      </c>
      <c r="G21" s="5">
        <v>1.5197508E-2</v>
      </c>
    </row>
    <row r="22" spans="1:7" ht="15" x14ac:dyDescent="0.25">
      <c r="A22" s="6">
        <v>16</v>
      </c>
      <c r="B22" s="7" t="s">
        <v>626</v>
      </c>
      <c r="C22" s="11" t="s">
        <v>627</v>
      </c>
      <c r="D22" s="2" t="s">
        <v>241</v>
      </c>
      <c r="E22" s="46">
        <v>38800</v>
      </c>
      <c r="F22" s="51">
        <v>202.18680000000001</v>
      </c>
      <c r="G22" s="5">
        <v>1.4452586E-2</v>
      </c>
    </row>
    <row r="23" spans="1:7" ht="15" x14ac:dyDescent="0.25">
      <c r="A23" s="6">
        <v>17</v>
      </c>
      <c r="B23" s="7" t="s">
        <v>670</v>
      </c>
      <c r="C23" s="11" t="s">
        <v>671</v>
      </c>
      <c r="D23" s="2" t="s">
        <v>13</v>
      </c>
      <c r="E23" s="46">
        <v>211850</v>
      </c>
      <c r="F23" s="51">
        <v>193.2072</v>
      </c>
      <c r="G23" s="5">
        <v>1.3810711999999999E-2</v>
      </c>
    </row>
    <row r="24" spans="1:7" ht="25.5" x14ac:dyDescent="0.25">
      <c r="A24" s="6">
        <v>18</v>
      </c>
      <c r="B24" s="7" t="s">
        <v>656</v>
      </c>
      <c r="C24" s="11" t="s">
        <v>657</v>
      </c>
      <c r="D24" s="2" t="s">
        <v>162</v>
      </c>
      <c r="E24" s="46">
        <v>18600</v>
      </c>
      <c r="F24" s="51">
        <v>180.28049999999999</v>
      </c>
      <c r="G24" s="5">
        <v>1.2886694000000001E-2</v>
      </c>
    </row>
    <row r="25" spans="1:7" ht="25.5" x14ac:dyDescent="0.25">
      <c r="A25" s="6">
        <v>19</v>
      </c>
      <c r="B25" s="7" t="s">
        <v>100</v>
      </c>
      <c r="C25" s="11" t="s">
        <v>101</v>
      </c>
      <c r="D25" s="2" t="s">
        <v>30</v>
      </c>
      <c r="E25" s="46">
        <v>277500</v>
      </c>
      <c r="F25" s="51">
        <v>163.44749999999999</v>
      </c>
      <c r="G25" s="5">
        <v>1.1683449E-2</v>
      </c>
    </row>
    <row r="26" spans="1:7" ht="25.5" x14ac:dyDescent="0.25">
      <c r="A26" s="6">
        <v>20</v>
      </c>
      <c r="B26" s="7" t="s">
        <v>390</v>
      </c>
      <c r="C26" s="11" t="s">
        <v>391</v>
      </c>
      <c r="D26" s="2" t="s">
        <v>162</v>
      </c>
      <c r="E26" s="46">
        <v>20100</v>
      </c>
      <c r="F26" s="51">
        <v>160.30754999999999</v>
      </c>
      <c r="G26" s="5">
        <v>1.1459001E-2</v>
      </c>
    </row>
    <row r="27" spans="1:7" ht="15" x14ac:dyDescent="0.25">
      <c r="A27" s="6">
        <v>21</v>
      </c>
      <c r="B27" s="7" t="s">
        <v>532</v>
      </c>
      <c r="C27" s="11" t="s">
        <v>533</v>
      </c>
      <c r="D27" s="2" t="s">
        <v>162</v>
      </c>
      <c r="E27" s="46">
        <v>1900</v>
      </c>
      <c r="F27" s="51">
        <v>134.85915</v>
      </c>
      <c r="G27" s="5">
        <v>9.6399150000000006E-3</v>
      </c>
    </row>
    <row r="28" spans="1:7" ht="15" x14ac:dyDescent="0.25">
      <c r="A28" s="6">
        <v>22</v>
      </c>
      <c r="B28" s="7" t="s">
        <v>328</v>
      </c>
      <c r="C28" s="11" t="s">
        <v>329</v>
      </c>
      <c r="D28" s="2" t="s">
        <v>241</v>
      </c>
      <c r="E28" s="46">
        <v>6500</v>
      </c>
      <c r="F28" s="51">
        <v>108.60525</v>
      </c>
      <c r="G28" s="5">
        <v>7.7632500000000002E-3</v>
      </c>
    </row>
    <row r="29" spans="1:7" ht="15" x14ac:dyDescent="0.25">
      <c r="A29" s="6">
        <v>23</v>
      </c>
      <c r="B29" s="7" t="s">
        <v>514</v>
      </c>
      <c r="C29" s="11" t="s">
        <v>515</v>
      </c>
      <c r="D29" s="2" t="s">
        <v>215</v>
      </c>
      <c r="E29" s="46">
        <v>10300</v>
      </c>
      <c r="F29" s="51">
        <v>106.55865</v>
      </c>
      <c r="G29" s="5">
        <v>7.6169569999999997E-3</v>
      </c>
    </row>
    <row r="30" spans="1:7" ht="15" x14ac:dyDescent="0.25">
      <c r="A30" s="6">
        <v>24</v>
      </c>
      <c r="B30" s="7" t="s">
        <v>504</v>
      </c>
      <c r="C30" s="11" t="s">
        <v>505</v>
      </c>
      <c r="D30" s="2" t="s">
        <v>215</v>
      </c>
      <c r="E30" s="46">
        <v>16745</v>
      </c>
      <c r="F30" s="51">
        <v>106.5400625</v>
      </c>
      <c r="G30" s="5">
        <v>7.6156280000000002E-3</v>
      </c>
    </row>
    <row r="31" spans="1:7" ht="25.5" x14ac:dyDescent="0.25">
      <c r="A31" s="6">
        <v>25</v>
      </c>
      <c r="B31" s="7" t="s">
        <v>698</v>
      </c>
      <c r="C31" s="11" t="s">
        <v>699</v>
      </c>
      <c r="D31" s="2" t="s">
        <v>37</v>
      </c>
      <c r="E31" s="46">
        <v>1380</v>
      </c>
      <c r="F31" s="51">
        <v>102.28905</v>
      </c>
      <c r="G31" s="5">
        <v>7.3117599999999996E-3</v>
      </c>
    </row>
    <row r="32" spans="1:7" ht="25.5" x14ac:dyDescent="0.25">
      <c r="A32" s="6">
        <v>26</v>
      </c>
      <c r="B32" s="7" t="s">
        <v>408</v>
      </c>
      <c r="C32" s="11" t="s">
        <v>409</v>
      </c>
      <c r="D32" s="2" t="s">
        <v>162</v>
      </c>
      <c r="E32" s="46">
        <v>20300</v>
      </c>
      <c r="F32" s="51">
        <v>100.18049999999999</v>
      </c>
      <c r="G32" s="5">
        <v>7.1610379999999998E-3</v>
      </c>
    </row>
    <row r="33" spans="1:7" ht="15" x14ac:dyDescent="0.25">
      <c r="A33" s="6">
        <v>27</v>
      </c>
      <c r="B33" s="7" t="s">
        <v>54</v>
      </c>
      <c r="C33" s="11" t="s">
        <v>55</v>
      </c>
      <c r="D33" s="2" t="s">
        <v>56</v>
      </c>
      <c r="E33" s="46">
        <v>73600</v>
      </c>
      <c r="F33" s="51">
        <v>99.433599999999998</v>
      </c>
      <c r="G33" s="5">
        <v>7.1076480000000003E-3</v>
      </c>
    </row>
    <row r="34" spans="1:7" ht="15" x14ac:dyDescent="0.25">
      <c r="A34" s="6">
        <v>28</v>
      </c>
      <c r="B34" s="7" t="s">
        <v>500</v>
      </c>
      <c r="C34" s="11" t="s">
        <v>501</v>
      </c>
      <c r="D34" s="2" t="s">
        <v>226</v>
      </c>
      <c r="E34" s="46">
        <v>1800</v>
      </c>
      <c r="F34" s="51">
        <v>98.454599999999999</v>
      </c>
      <c r="G34" s="5">
        <v>7.0376680000000004E-3</v>
      </c>
    </row>
    <row r="35" spans="1:7" ht="25.5" x14ac:dyDescent="0.25">
      <c r="A35" s="6">
        <v>29</v>
      </c>
      <c r="B35" s="7" t="s">
        <v>648</v>
      </c>
      <c r="C35" s="11" t="s">
        <v>649</v>
      </c>
      <c r="D35" s="2" t="s">
        <v>621</v>
      </c>
      <c r="E35" s="46">
        <v>60000</v>
      </c>
      <c r="F35" s="51">
        <v>92.46</v>
      </c>
      <c r="G35" s="5">
        <v>6.6091659999999997E-3</v>
      </c>
    </row>
    <row r="36" spans="1:7" ht="25.5" x14ac:dyDescent="0.25">
      <c r="A36" s="6">
        <v>30</v>
      </c>
      <c r="B36" s="7" t="s">
        <v>402</v>
      </c>
      <c r="C36" s="11" t="s">
        <v>403</v>
      </c>
      <c r="D36" s="2" t="s">
        <v>37</v>
      </c>
      <c r="E36" s="46">
        <v>14680</v>
      </c>
      <c r="F36" s="51">
        <v>87.206540000000004</v>
      </c>
      <c r="G36" s="5">
        <v>6.2336420000000002E-3</v>
      </c>
    </row>
    <row r="37" spans="1:7" ht="15" x14ac:dyDescent="0.25">
      <c r="A37" s="6">
        <v>31</v>
      </c>
      <c r="B37" s="7" t="s">
        <v>560</v>
      </c>
      <c r="C37" s="11" t="s">
        <v>561</v>
      </c>
      <c r="D37" s="2" t="s">
        <v>16</v>
      </c>
      <c r="E37" s="46">
        <v>5500</v>
      </c>
      <c r="F37" s="51">
        <v>85.822000000000003</v>
      </c>
      <c r="G37" s="5">
        <v>6.1346730000000002E-3</v>
      </c>
    </row>
    <row r="38" spans="1:7" ht="25.5" x14ac:dyDescent="0.25">
      <c r="A38" s="6">
        <v>32</v>
      </c>
      <c r="B38" s="7" t="s">
        <v>510</v>
      </c>
      <c r="C38" s="11" t="s">
        <v>511</v>
      </c>
      <c r="D38" s="2" t="s">
        <v>37</v>
      </c>
      <c r="E38" s="46">
        <v>6750</v>
      </c>
      <c r="F38" s="51">
        <v>80.308125000000004</v>
      </c>
      <c r="G38" s="5">
        <v>5.7405329999999999E-3</v>
      </c>
    </row>
    <row r="39" spans="1:7" ht="15" x14ac:dyDescent="0.25">
      <c r="A39" s="6">
        <v>33</v>
      </c>
      <c r="B39" s="7" t="s">
        <v>608</v>
      </c>
      <c r="C39" s="11" t="s">
        <v>609</v>
      </c>
      <c r="D39" s="2" t="s">
        <v>241</v>
      </c>
      <c r="E39" s="46">
        <v>3000</v>
      </c>
      <c r="F39" s="51">
        <v>77.238</v>
      </c>
      <c r="G39" s="5">
        <v>5.5210770000000001E-3</v>
      </c>
    </row>
    <row r="40" spans="1:7" ht="25.5" x14ac:dyDescent="0.25">
      <c r="A40" s="6">
        <v>34</v>
      </c>
      <c r="B40" s="7" t="s">
        <v>564</v>
      </c>
      <c r="C40" s="11" t="s">
        <v>565</v>
      </c>
      <c r="D40" s="2" t="s">
        <v>37</v>
      </c>
      <c r="E40" s="46">
        <v>650</v>
      </c>
      <c r="F40" s="51">
        <v>75.893349999999998</v>
      </c>
      <c r="G40" s="5">
        <v>5.424959E-3</v>
      </c>
    </row>
    <row r="41" spans="1:7" ht="15" x14ac:dyDescent="0.25">
      <c r="A41" s="6">
        <v>35</v>
      </c>
      <c r="B41" s="7" t="s">
        <v>520</v>
      </c>
      <c r="C41" s="11" t="s">
        <v>521</v>
      </c>
      <c r="D41" s="2" t="s">
        <v>305</v>
      </c>
      <c r="E41" s="46">
        <v>31000</v>
      </c>
      <c r="F41" s="51">
        <v>73.299499999999995</v>
      </c>
      <c r="G41" s="5">
        <v>5.2395469999999998E-3</v>
      </c>
    </row>
    <row r="42" spans="1:7" ht="15" x14ac:dyDescent="0.25">
      <c r="A42" s="6">
        <v>36</v>
      </c>
      <c r="B42" s="7" t="s">
        <v>14</v>
      </c>
      <c r="C42" s="11" t="s">
        <v>15</v>
      </c>
      <c r="D42" s="2" t="s">
        <v>16</v>
      </c>
      <c r="E42" s="46">
        <v>9800</v>
      </c>
      <c r="F42" s="51">
        <v>72.167199999999994</v>
      </c>
      <c r="G42" s="5">
        <v>5.1586089999999998E-3</v>
      </c>
    </row>
    <row r="43" spans="1:7" ht="25.5" x14ac:dyDescent="0.25">
      <c r="A43" s="6">
        <v>37</v>
      </c>
      <c r="B43" s="7" t="s">
        <v>388</v>
      </c>
      <c r="C43" s="11" t="s">
        <v>389</v>
      </c>
      <c r="D43" s="2" t="s">
        <v>59</v>
      </c>
      <c r="E43" s="46">
        <v>29500</v>
      </c>
      <c r="F43" s="51">
        <v>67.835250000000002</v>
      </c>
      <c r="G43" s="5">
        <v>4.8489550000000003E-3</v>
      </c>
    </row>
    <row r="44" spans="1:7" ht="15" x14ac:dyDescent="0.25">
      <c r="A44" s="6">
        <v>38</v>
      </c>
      <c r="B44" s="7" t="s">
        <v>493</v>
      </c>
      <c r="C44" s="11" t="s">
        <v>494</v>
      </c>
      <c r="D44" s="2" t="s">
        <v>27</v>
      </c>
      <c r="E44" s="46">
        <v>50000</v>
      </c>
      <c r="F44" s="51">
        <v>63.274999999999999</v>
      </c>
      <c r="G44" s="5">
        <v>4.5229830000000004E-3</v>
      </c>
    </row>
    <row r="45" spans="1:7" ht="25.5" x14ac:dyDescent="0.25">
      <c r="A45" s="6">
        <v>39</v>
      </c>
      <c r="B45" s="7" t="s">
        <v>293</v>
      </c>
      <c r="C45" s="11" t="s">
        <v>294</v>
      </c>
      <c r="D45" s="2" t="s">
        <v>167</v>
      </c>
      <c r="E45" s="46">
        <v>4200</v>
      </c>
      <c r="F45" s="51">
        <v>56.767200000000003</v>
      </c>
      <c r="G45" s="5">
        <v>4.0577959999999998E-3</v>
      </c>
    </row>
    <row r="46" spans="1:7" ht="25.5" x14ac:dyDescent="0.25">
      <c r="A46" s="6">
        <v>40</v>
      </c>
      <c r="B46" s="7" t="s">
        <v>522</v>
      </c>
      <c r="C46" s="11" t="s">
        <v>523</v>
      </c>
      <c r="D46" s="2" t="s">
        <v>42</v>
      </c>
      <c r="E46" s="46">
        <v>36600</v>
      </c>
      <c r="F46" s="51">
        <v>50.983800000000002</v>
      </c>
      <c r="G46" s="5">
        <v>3.6443909999999999E-3</v>
      </c>
    </row>
    <row r="47" spans="1:7" ht="25.5" x14ac:dyDescent="0.25">
      <c r="A47" s="6">
        <v>41</v>
      </c>
      <c r="B47" s="7" t="s">
        <v>572</v>
      </c>
      <c r="C47" s="11" t="s">
        <v>573</v>
      </c>
      <c r="D47" s="2" t="s">
        <v>37</v>
      </c>
      <c r="E47" s="46">
        <v>13750</v>
      </c>
      <c r="F47" s="51">
        <v>50.435000000000002</v>
      </c>
      <c r="G47" s="5">
        <v>3.6051619999999999E-3</v>
      </c>
    </row>
    <row r="48" spans="1:7" ht="25.5" x14ac:dyDescent="0.25">
      <c r="A48" s="6">
        <v>42</v>
      </c>
      <c r="B48" s="7" t="s">
        <v>429</v>
      </c>
      <c r="C48" s="11" t="s">
        <v>430</v>
      </c>
      <c r="D48" s="2" t="s">
        <v>30</v>
      </c>
      <c r="E48" s="46">
        <v>4300</v>
      </c>
      <c r="F48" s="51">
        <v>49.224249999999998</v>
      </c>
      <c r="G48" s="5">
        <v>3.518616E-3</v>
      </c>
    </row>
    <row r="49" spans="1:7" ht="15" x14ac:dyDescent="0.25">
      <c r="A49" s="6">
        <v>43</v>
      </c>
      <c r="B49" s="7" t="s">
        <v>299</v>
      </c>
      <c r="C49" s="11" t="s">
        <v>300</v>
      </c>
      <c r="D49" s="2" t="s">
        <v>13</v>
      </c>
      <c r="E49" s="46">
        <v>53000</v>
      </c>
      <c r="F49" s="51">
        <v>48.972000000000001</v>
      </c>
      <c r="G49" s="5">
        <v>3.5005850000000001E-3</v>
      </c>
    </row>
    <row r="50" spans="1:7" ht="15" x14ac:dyDescent="0.25">
      <c r="A50" s="6">
        <v>44</v>
      </c>
      <c r="B50" s="7" t="s">
        <v>424</v>
      </c>
      <c r="C50" s="11" t="s">
        <v>425</v>
      </c>
      <c r="D50" s="2" t="s">
        <v>241</v>
      </c>
      <c r="E50" s="46">
        <v>8000</v>
      </c>
      <c r="F50" s="51">
        <v>45.7</v>
      </c>
      <c r="G50" s="5">
        <v>3.2666980000000002E-3</v>
      </c>
    </row>
    <row r="51" spans="1:7" ht="25.5" x14ac:dyDescent="0.25">
      <c r="A51" s="6">
        <v>45</v>
      </c>
      <c r="B51" s="7" t="s">
        <v>619</v>
      </c>
      <c r="C51" s="11" t="s">
        <v>620</v>
      </c>
      <c r="D51" s="2" t="s">
        <v>621</v>
      </c>
      <c r="E51" s="46">
        <v>20000</v>
      </c>
      <c r="F51" s="51">
        <v>38.11</v>
      </c>
      <c r="G51" s="5">
        <v>2.7241539999999999E-3</v>
      </c>
    </row>
    <row r="52" spans="1:7" ht="25.5" x14ac:dyDescent="0.25">
      <c r="A52" s="6">
        <v>46</v>
      </c>
      <c r="B52" s="7" t="s">
        <v>566</v>
      </c>
      <c r="C52" s="11" t="s">
        <v>567</v>
      </c>
      <c r="D52" s="2" t="s">
        <v>37</v>
      </c>
      <c r="E52" s="46">
        <v>750</v>
      </c>
      <c r="F52" s="51">
        <v>19.537500000000001</v>
      </c>
      <c r="G52" s="5">
        <v>1.396567E-3</v>
      </c>
    </row>
    <row r="53" spans="1:7" ht="15" x14ac:dyDescent="0.25">
      <c r="A53" s="1"/>
      <c r="B53" s="2"/>
      <c r="C53" s="8" t="s">
        <v>104</v>
      </c>
      <c r="D53" s="12"/>
      <c r="E53" s="48"/>
      <c r="F53" s="53">
        <v>9173.7269125000003</v>
      </c>
      <c r="G53" s="13">
        <v>0.65575041700000003</v>
      </c>
    </row>
    <row r="54" spans="1:7" ht="15" x14ac:dyDescent="0.25">
      <c r="A54" s="6"/>
      <c r="B54" s="7"/>
      <c r="C54" s="14"/>
      <c r="D54" s="15"/>
      <c r="E54" s="46"/>
      <c r="F54" s="51"/>
      <c r="G54" s="5"/>
    </row>
    <row r="55" spans="1:7" ht="15" x14ac:dyDescent="0.25">
      <c r="A55" s="1"/>
      <c r="B55" s="2"/>
      <c r="C55" s="8" t="s">
        <v>105</v>
      </c>
      <c r="D55" s="9"/>
      <c r="E55" s="47"/>
      <c r="F55" s="52"/>
      <c r="G55" s="10"/>
    </row>
    <row r="56" spans="1:7" ht="15" x14ac:dyDescent="0.25">
      <c r="A56" s="1"/>
      <c r="B56" s="2"/>
      <c r="C56" s="8" t="s">
        <v>104</v>
      </c>
      <c r="D56" s="12"/>
      <c r="E56" s="48"/>
      <c r="F56" s="53">
        <v>0</v>
      </c>
      <c r="G56" s="13">
        <v>0</v>
      </c>
    </row>
    <row r="57" spans="1:7" ht="15" x14ac:dyDescent="0.25">
      <c r="A57" s="6"/>
      <c r="B57" s="7"/>
      <c r="C57" s="14"/>
      <c r="D57" s="15"/>
      <c r="E57" s="46"/>
      <c r="F57" s="51"/>
      <c r="G57" s="5"/>
    </row>
    <row r="58" spans="1:7" ht="15" x14ac:dyDescent="0.25">
      <c r="A58" s="16"/>
      <c r="B58" s="17"/>
      <c r="C58" s="8" t="s">
        <v>106</v>
      </c>
      <c r="D58" s="9"/>
      <c r="E58" s="47"/>
      <c r="F58" s="52"/>
      <c r="G58" s="10"/>
    </row>
    <row r="59" spans="1:7" ht="15" x14ac:dyDescent="0.25">
      <c r="A59" s="18"/>
      <c r="B59" s="19"/>
      <c r="C59" s="8" t="s">
        <v>104</v>
      </c>
      <c r="D59" s="20"/>
      <c r="E59" s="49"/>
      <c r="F59" s="54">
        <v>0</v>
      </c>
      <c r="G59" s="21">
        <v>0</v>
      </c>
    </row>
    <row r="60" spans="1:7" ht="15" x14ac:dyDescent="0.25">
      <c r="A60" s="18"/>
      <c r="B60" s="19"/>
      <c r="C60" s="14"/>
      <c r="D60" s="22"/>
      <c r="E60" s="50"/>
      <c r="F60" s="55"/>
      <c r="G60" s="23"/>
    </row>
    <row r="61" spans="1:7" ht="15" x14ac:dyDescent="0.25">
      <c r="A61" s="1"/>
      <c r="B61" s="2"/>
      <c r="C61" s="8" t="s">
        <v>108</v>
      </c>
      <c r="D61" s="9"/>
      <c r="E61" s="47"/>
      <c r="F61" s="52"/>
      <c r="G61" s="10"/>
    </row>
    <row r="62" spans="1:7" ht="15" x14ac:dyDescent="0.25">
      <c r="A62" s="1"/>
      <c r="B62" s="2"/>
      <c r="C62" s="8" t="s">
        <v>104</v>
      </c>
      <c r="D62" s="12"/>
      <c r="E62" s="48"/>
      <c r="F62" s="53">
        <v>0</v>
      </c>
      <c r="G62" s="13">
        <v>0</v>
      </c>
    </row>
    <row r="63" spans="1:7" ht="15" x14ac:dyDescent="0.25">
      <c r="A63" s="1"/>
      <c r="B63" s="2"/>
      <c r="C63" s="14"/>
      <c r="D63" s="4"/>
      <c r="E63" s="46"/>
      <c r="F63" s="51"/>
      <c r="G63" s="5"/>
    </row>
    <row r="64" spans="1:7" ht="15" x14ac:dyDescent="0.25">
      <c r="A64" s="1"/>
      <c r="B64" s="2"/>
      <c r="C64" s="8" t="s">
        <v>109</v>
      </c>
      <c r="D64" s="9"/>
      <c r="E64" s="47"/>
      <c r="F64" s="52"/>
      <c r="G64" s="10"/>
    </row>
    <row r="65" spans="1:7" ht="15" x14ac:dyDescent="0.25">
      <c r="A65" s="1"/>
      <c r="B65" s="2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1"/>
      <c r="B66" s="2"/>
      <c r="C66" s="14"/>
      <c r="D66" s="4"/>
      <c r="E66" s="46"/>
      <c r="F66" s="51"/>
      <c r="G66" s="5"/>
    </row>
    <row r="67" spans="1:7" ht="15" x14ac:dyDescent="0.25">
      <c r="A67" s="1"/>
      <c r="B67" s="2"/>
      <c r="C67" s="8" t="s">
        <v>110</v>
      </c>
      <c r="D67" s="9"/>
      <c r="E67" s="47"/>
      <c r="F67" s="52"/>
      <c r="G67" s="10"/>
    </row>
    <row r="68" spans="1:7" ht="15" x14ac:dyDescent="0.25">
      <c r="A68" s="6">
        <v>1</v>
      </c>
      <c r="B68" s="7"/>
      <c r="C68" s="11" t="s">
        <v>820</v>
      </c>
      <c r="D68" s="15" t="s">
        <v>700</v>
      </c>
      <c r="E68" s="134">
        <v>2250</v>
      </c>
      <c r="F68" s="135">
        <v>250.47450000000001</v>
      </c>
      <c r="G68" s="136">
        <v>1.7904256325489996E-2</v>
      </c>
    </row>
    <row r="69" spans="1:7" ht="15" x14ac:dyDescent="0.25">
      <c r="A69" s="6">
        <v>2</v>
      </c>
      <c r="B69" s="7"/>
      <c r="C69" s="11" t="s">
        <v>821</v>
      </c>
      <c r="D69" s="15" t="s">
        <v>382</v>
      </c>
      <c r="E69" s="134">
        <v>-60000</v>
      </c>
      <c r="F69" s="135">
        <v>-92.76</v>
      </c>
      <c r="G69" s="136">
        <v>-6.6306103685303376E-3</v>
      </c>
    </row>
    <row r="70" spans="1:7" ht="25.5" x14ac:dyDescent="0.25">
      <c r="A70" s="6">
        <v>3</v>
      </c>
      <c r="B70" s="7"/>
      <c r="C70" s="11" t="s">
        <v>822</v>
      </c>
      <c r="D70" s="15" t="s">
        <v>382</v>
      </c>
      <c r="E70" s="134">
        <v>-1800</v>
      </c>
      <c r="F70" s="135">
        <v>-97.527600000000007</v>
      </c>
      <c r="G70" s="136">
        <v>-6.971404870395422E-3</v>
      </c>
    </row>
    <row r="71" spans="1:7" ht="25.5" x14ac:dyDescent="0.25">
      <c r="A71" s="6">
        <v>4</v>
      </c>
      <c r="B71" s="7"/>
      <c r="C71" s="11" t="s">
        <v>823</v>
      </c>
      <c r="D71" s="15" t="s">
        <v>382</v>
      </c>
      <c r="E71" s="134">
        <v>-73600</v>
      </c>
      <c r="F71" s="135">
        <v>-99.912000000000006</v>
      </c>
      <c r="G71" s="136">
        <v>-7.1418450101401795E-3</v>
      </c>
    </row>
    <row r="72" spans="1:7" ht="15" x14ac:dyDescent="0.25">
      <c r="A72" s="6">
        <v>5</v>
      </c>
      <c r="B72" s="7"/>
      <c r="C72" s="11" t="s">
        <v>824</v>
      </c>
      <c r="D72" s="15" t="s">
        <v>382</v>
      </c>
      <c r="E72" s="134">
        <v>-20400</v>
      </c>
      <c r="F72" s="135">
        <v>-138.3426</v>
      </c>
      <c r="G72" s="136">
        <v>-9.8889163213609858E-3</v>
      </c>
    </row>
    <row r="73" spans="1:7" ht="15" x14ac:dyDescent="0.25">
      <c r="A73" s="6">
        <v>6</v>
      </c>
      <c r="B73" s="7"/>
      <c r="C73" s="11" t="s">
        <v>825</v>
      </c>
      <c r="D73" s="15" t="s">
        <v>382</v>
      </c>
      <c r="E73" s="134">
        <v>-31000</v>
      </c>
      <c r="F73" s="135">
        <v>-161.63399999999999</v>
      </c>
      <c r="G73" s="136">
        <v>-1.1553817122758003E-2</v>
      </c>
    </row>
    <row r="74" spans="1:7" ht="25.5" x14ac:dyDescent="0.25">
      <c r="A74" s="6">
        <v>7</v>
      </c>
      <c r="B74" s="7"/>
      <c r="C74" s="11" t="s">
        <v>826</v>
      </c>
      <c r="D74" s="15" t="s">
        <v>382</v>
      </c>
      <c r="E74" s="134">
        <v>-277500</v>
      </c>
      <c r="F74" s="135">
        <v>-164.14125000000001</v>
      </c>
      <c r="G74" s="136">
        <v>-1.1733038746803905E-2</v>
      </c>
    </row>
    <row r="75" spans="1:7" ht="25.5" x14ac:dyDescent="0.25">
      <c r="A75" s="6">
        <v>8</v>
      </c>
      <c r="B75" s="7"/>
      <c r="C75" s="11" t="s">
        <v>827</v>
      </c>
      <c r="D75" s="15" t="s">
        <v>382</v>
      </c>
      <c r="E75" s="134">
        <v>-21750</v>
      </c>
      <c r="F75" s="135">
        <v>-170.43299999999999</v>
      </c>
      <c r="G75" s="136">
        <v>-1.2182781553899643E-2</v>
      </c>
    </row>
    <row r="76" spans="1:7" ht="25.5" x14ac:dyDescent="0.25">
      <c r="A76" s="6">
        <v>9</v>
      </c>
      <c r="B76" s="7"/>
      <c r="C76" s="11" t="s">
        <v>828</v>
      </c>
      <c r="D76" s="15" t="s">
        <v>382</v>
      </c>
      <c r="E76" s="134">
        <v>-18600</v>
      </c>
      <c r="F76" s="135">
        <v>-181.21979999999999</v>
      </c>
      <c r="G76" s="136">
        <v>-1.2953836619911533E-2</v>
      </c>
    </row>
    <row r="77" spans="1:7" ht="15" x14ac:dyDescent="0.25">
      <c r="A77" s="6">
        <v>10</v>
      </c>
      <c r="B77" s="7"/>
      <c r="C77" s="11" t="s">
        <v>829</v>
      </c>
      <c r="D77" s="15" t="s">
        <v>382</v>
      </c>
      <c r="E77" s="134">
        <v>-211200</v>
      </c>
      <c r="F77" s="135">
        <v>-193.14240000000001</v>
      </c>
      <c r="G77" s="136">
        <v>-1.380608020744754E-2</v>
      </c>
    </row>
    <row r="78" spans="1:7" ht="15" x14ac:dyDescent="0.25">
      <c r="A78" s="6">
        <v>11</v>
      </c>
      <c r="B78" s="7"/>
      <c r="C78" s="11" t="s">
        <v>830</v>
      </c>
      <c r="D78" s="15" t="s">
        <v>382</v>
      </c>
      <c r="E78" s="134">
        <v>-74400</v>
      </c>
      <c r="F78" s="135">
        <v>-201.5496</v>
      </c>
      <c r="G78" s="136">
        <v>-1.4407038244212397E-2</v>
      </c>
    </row>
    <row r="79" spans="1:7" ht="15" x14ac:dyDescent="0.25">
      <c r="A79" s="6">
        <v>12</v>
      </c>
      <c r="B79" s="7"/>
      <c r="C79" s="11" t="s">
        <v>831</v>
      </c>
      <c r="D79" s="15" t="s">
        <v>382</v>
      </c>
      <c r="E79" s="134">
        <v>-30000</v>
      </c>
      <c r="F79" s="135">
        <v>-238.68</v>
      </c>
      <c r="G79" s="136">
        <v>-1.7061169499362018E-2</v>
      </c>
    </row>
    <row r="80" spans="1:7" ht="25.5" x14ac:dyDescent="0.25">
      <c r="A80" s="6">
        <v>13</v>
      </c>
      <c r="B80" s="7"/>
      <c r="C80" s="11" t="s">
        <v>832</v>
      </c>
      <c r="D80" s="15" t="s">
        <v>382</v>
      </c>
      <c r="E80" s="134">
        <v>-12250</v>
      </c>
      <c r="F80" s="135">
        <v>-270.62700000000001</v>
      </c>
      <c r="G80" s="136">
        <v>-1.9344784305781151E-2</v>
      </c>
    </row>
    <row r="81" spans="1:7" ht="25.5" x14ac:dyDescent="0.25">
      <c r="A81" s="6">
        <v>14</v>
      </c>
      <c r="B81" s="7"/>
      <c r="C81" s="11" t="s">
        <v>833</v>
      </c>
      <c r="D81" s="15" t="s">
        <v>382</v>
      </c>
      <c r="E81" s="134">
        <v>-26000</v>
      </c>
      <c r="F81" s="135">
        <v>-302.822</v>
      </c>
      <c r="G81" s="136">
        <v>-2.164612648791606E-2</v>
      </c>
    </row>
    <row r="82" spans="1:7" ht="15" x14ac:dyDescent="0.25">
      <c r="A82" s="6">
        <v>15</v>
      </c>
      <c r="B82" s="7"/>
      <c r="C82" s="11" t="s">
        <v>834</v>
      </c>
      <c r="D82" s="15" t="s">
        <v>382</v>
      </c>
      <c r="E82" s="134">
        <v>-13750</v>
      </c>
      <c r="F82" s="135">
        <v>-310.46125000000001</v>
      </c>
      <c r="G82" s="136">
        <v>-2.2192190419112648E-2</v>
      </c>
    </row>
    <row r="83" spans="1:7" ht="25.5" x14ac:dyDescent="0.25">
      <c r="A83" s="6">
        <v>16</v>
      </c>
      <c r="B83" s="7"/>
      <c r="C83" s="11" t="s">
        <v>835</v>
      </c>
      <c r="D83" s="15" t="s">
        <v>382</v>
      </c>
      <c r="E83" s="134">
        <v>-61000</v>
      </c>
      <c r="F83" s="135">
        <v>-336.23200000000003</v>
      </c>
      <c r="G83" s="136">
        <v>-2.4034318514787541E-2</v>
      </c>
    </row>
    <row r="84" spans="1:7" ht="15" x14ac:dyDescent="0.25">
      <c r="A84" s="6">
        <v>17</v>
      </c>
      <c r="B84" s="7"/>
      <c r="C84" s="11" t="s">
        <v>836</v>
      </c>
      <c r="D84" s="15" t="s">
        <v>382</v>
      </c>
      <c r="E84" s="134">
        <v>-83750</v>
      </c>
      <c r="F84" s="135">
        <v>-358.03125</v>
      </c>
      <c r="G84" s="136">
        <v>-2.5592558414272069E-2</v>
      </c>
    </row>
    <row r="85" spans="1:7" ht="25.5" x14ac:dyDescent="0.25">
      <c r="A85" s="6">
        <v>18</v>
      </c>
      <c r="B85" s="7"/>
      <c r="C85" s="11" t="s">
        <v>837</v>
      </c>
      <c r="D85" s="15" t="s">
        <v>382</v>
      </c>
      <c r="E85" s="134">
        <v>-22200</v>
      </c>
      <c r="F85" s="135">
        <v>-384.49290000000002</v>
      </c>
      <c r="G85" s="136">
        <v>-2.7484072977213218E-2</v>
      </c>
    </row>
    <row r="86" spans="1:7" ht="25.5" x14ac:dyDescent="0.25">
      <c r="A86" s="6">
        <v>19</v>
      </c>
      <c r="B86" s="7"/>
      <c r="C86" s="11" t="s">
        <v>838</v>
      </c>
      <c r="D86" s="15" t="s">
        <v>382</v>
      </c>
      <c r="E86" s="134">
        <v>-20500</v>
      </c>
      <c r="F86" s="135">
        <v>-436.51675</v>
      </c>
      <c r="G86" s="136">
        <v>-3.1202808199516655E-2</v>
      </c>
    </row>
    <row r="87" spans="1:7" ht="15" x14ac:dyDescent="0.25">
      <c r="A87" s="1"/>
      <c r="B87" s="2"/>
      <c r="C87" s="8" t="s">
        <v>104</v>
      </c>
      <c r="D87" s="12"/>
      <c r="E87" s="48"/>
      <c r="F87" s="142">
        <v>-3888.0509000000002</v>
      </c>
      <c r="G87" s="138">
        <v>-0.27792314155793135</v>
      </c>
    </row>
    <row r="88" spans="1:7" ht="15" x14ac:dyDescent="0.25">
      <c r="A88" s="1"/>
      <c r="B88" s="2"/>
      <c r="C88" s="14"/>
      <c r="D88" s="4"/>
      <c r="E88" s="46"/>
      <c r="F88" s="51"/>
      <c r="G88" s="5"/>
    </row>
    <row r="89" spans="1:7" ht="25.5" x14ac:dyDescent="0.25">
      <c r="A89" s="6"/>
      <c r="B89" s="7"/>
      <c r="C89" s="24" t="s">
        <v>111</v>
      </c>
      <c r="D89" s="25"/>
      <c r="E89" s="48"/>
      <c r="F89" s="53">
        <v>9424.2014125000005</v>
      </c>
      <c r="G89" s="13">
        <v>0.67365467332549001</v>
      </c>
    </row>
    <row r="90" spans="1:7" ht="15" x14ac:dyDescent="0.25">
      <c r="A90" s="1"/>
      <c r="B90" s="2"/>
      <c r="C90" s="11"/>
      <c r="D90" s="4"/>
      <c r="E90" s="46"/>
      <c r="F90" s="51"/>
      <c r="G90" s="5"/>
    </row>
    <row r="91" spans="1:7" ht="15" x14ac:dyDescent="0.25">
      <c r="A91" s="1"/>
      <c r="B91" s="2"/>
      <c r="C91" s="3" t="s">
        <v>112</v>
      </c>
      <c r="D91" s="4"/>
      <c r="E91" s="46"/>
      <c r="F91" s="51"/>
      <c r="G91" s="5"/>
    </row>
    <row r="92" spans="1:7" ht="25.5" x14ac:dyDescent="0.25">
      <c r="A92" s="1"/>
      <c r="B92" s="2"/>
      <c r="C92" s="8" t="s">
        <v>10</v>
      </c>
      <c r="D92" s="9"/>
      <c r="E92" s="47"/>
      <c r="F92" s="52"/>
      <c r="G92" s="10"/>
    </row>
    <row r="93" spans="1:7" ht="38.25" x14ac:dyDescent="0.25">
      <c r="A93" s="1">
        <v>1</v>
      </c>
      <c r="B93" s="2" t="s">
        <v>701</v>
      </c>
      <c r="C93" s="11" t="s">
        <v>702</v>
      </c>
      <c r="D93" s="4" t="s">
        <v>703</v>
      </c>
      <c r="E93" s="46">
        <v>50</v>
      </c>
      <c r="F93" s="51">
        <v>510.14049999999997</v>
      </c>
      <c r="G93" s="5">
        <v>3.6465534000000001E-2</v>
      </c>
    </row>
    <row r="94" spans="1:7" ht="25.5" x14ac:dyDescent="0.25">
      <c r="A94" s="1">
        <v>2</v>
      </c>
      <c r="B94" s="2" t="s">
        <v>704</v>
      </c>
      <c r="C94" s="11" t="s">
        <v>705</v>
      </c>
      <c r="D94" s="4" t="s">
        <v>703</v>
      </c>
      <c r="E94" s="46">
        <v>50</v>
      </c>
      <c r="F94" s="51">
        <v>508.59449999999998</v>
      </c>
      <c r="G94" s="5">
        <v>3.6355023E-2</v>
      </c>
    </row>
    <row r="95" spans="1:7" ht="38.25" x14ac:dyDescent="0.25">
      <c r="A95" s="1">
        <v>3</v>
      </c>
      <c r="B95" s="2" t="s">
        <v>706</v>
      </c>
      <c r="C95" s="11" t="s">
        <v>707</v>
      </c>
      <c r="D95" s="4" t="s">
        <v>703</v>
      </c>
      <c r="E95" s="46">
        <v>50</v>
      </c>
      <c r="F95" s="51">
        <v>505.32600000000002</v>
      </c>
      <c r="G95" s="5">
        <v>3.6121386999999998E-2</v>
      </c>
    </row>
    <row r="96" spans="1:7" ht="25.5" x14ac:dyDescent="0.25">
      <c r="A96" s="1">
        <v>4</v>
      </c>
      <c r="B96" s="2" t="s">
        <v>708</v>
      </c>
      <c r="C96" s="11" t="s">
        <v>709</v>
      </c>
      <c r="D96" s="4" t="s">
        <v>703</v>
      </c>
      <c r="E96" s="46">
        <v>50</v>
      </c>
      <c r="F96" s="51">
        <v>505.15199999999999</v>
      </c>
      <c r="G96" s="5">
        <v>3.6108949000000001E-2</v>
      </c>
    </row>
    <row r="97" spans="1:7" ht="25.5" x14ac:dyDescent="0.25">
      <c r="A97" s="1">
        <v>5</v>
      </c>
      <c r="B97" s="2" t="s">
        <v>710</v>
      </c>
      <c r="C97" s="11" t="s">
        <v>711</v>
      </c>
      <c r="D97" s="4" t="s">
        <v>703</v>
      </c>
      <c r="E97" s="46">
        <v>40</v>
      </c>
      <c r="F97" s="51">
        <v>400.42720000000003</v>
      </c>
      <c r="G97" s="5">
        <v>2.8623078E-2</v>
      </c>
    </row>
    <row r="98" spans="1:7" ht="25.5" x14ac:dyDescent="0.25">
      <c r="A98" s="1">
        <v>6</v>
      </c>
      <c r="B98" s="2" t="s">
        <v>712</v>
      </c>
      <c r="C98" s="11" t="s">
        <v>713</v>
      </c>
      <c r="D98" s="4" t="s">
        <v>703</v>
      </c>
      <c r="E98" s="46">
        <v>37</v>
      </c>
      <c r="F98" s="51">
        <v>370.15539999999999</v>
      </c>
      <c r="G98" s="5">
        <v>2.6459209000000001E-2</v>
      </c>
    </row>
    <row r="99" spans="1:7" ht="38.25" x14ac:dyDescent="0.25">
      <c r="A99" s="1">
        <v>7</v>
      </c>
      <c r="B99" s="2" t="s">
        <v>714</v>
      </c>
      <c r="C99" s="11" t="s">
        <v>715</v>
      </c>
      <c r="D99" s="4" t="s">
        <v>703</v>
      </c>
      <c r="E99" s="46">
        <v>20</v>
      </c>
      <c r="F99" s="51">
        <v>252.85050000000001</v>
      </c>
      <c r="G99" s="5">
        <v>1.8074096000000001E-2</v>
      </c>
    </row>
    <row r="100" spans="1:7" ht="15" x14ac:dyDescent="0.25">
      <c r="A100" s="6"/>
      <c r="B100" s="7"/>
      <c r="C100" s="8" t="s">
        <v>104</v>
      </c>
      <c r="D100" s="12"/>
      <c r="E100" s="48"/>
      <c r="F100" s="53">
        <v>3052.6460999999999</v>
      </c>
      <c r="G100" s="13">
        <v>0.21820727600000003</v>
      </c>
    </row>
    <row r="101" spans="1:7" ht="15" x14ac:dyDescent="0.25">
      <c r="A101" s="6"/>
      <c r="B101" s="7"/>
      <c r="C101" s="14"/>
      <c r="D101" s="4"/>
      <c r="E101" s="46"/>
      <c r="F101" s="51"/>
      <c r="G101" s="5"/>
    </row>
    <row r="102" spans="1:7" ht="15" x14ac:dyDescent="0.25">
      <c r="A102" s="1"/>
      <c r="B102" s="26"/>
      <c r="C102" s="8" t="s">
        <v>113</v>
      </c>
      <c r="D102" s="9"/>
      <c r="E102" s="47"/>
      <c r="F102" s="52"/>
      <c r="G102" s="10"/>
    </row>
    <row r="103" spans="1:7" ht="15" x14ac:dyDescent="0.25">
      <c r="A103" s="6"/>
      <c r="B103" s="7"/>
      <c r="C103" s="8" t="s">
        <v>104</v>
      </c>
      <c r="D103" s="12"/>
      <c r="E103" s="48"/>
      <c r="F103" s="53">
        <v>0</v>
      </c>
      <c r="G103" s="13">
        <v>0</v>
      </c>
    </row>
    <row r="104" spans="1:7" ht="15" x14ac:dyDescent="0.25">
      <c r="A104" s="6"/>
      <c r="B104" s="7"/>
      <c r="C104" s="14"/>
      <c r="D104" s="4"/>
      <c r="E104" s="46"/>
      <c r="F104" s="56"/>
      <c r="G104" s="27"/>
    </row>
    <row r="105" spans="1:7" ht="15" x14ac:dyDescent="0.25">
      <c r="A105" s="1"/>
      <c r="B105" s="2"/>
      <c r="C105" s="8" t="s">
        <v>114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12"/>
      <c r="E106" s="48"/>
      <c r="F106" s="53">
        <v>0</v>
      </c>
      <c r="G106" s="13">
        <v>0</v>
      </c>
    </row>
    <row r="107" spans="1:7" ht="15" x14ac:dyDescent="0.25">
      <c r="A107" s="1"/>
      <c r="B107" s="2"/>
      <c r="C107" s="14"/>
      <c r="D107" s="4"/>
      <c r="E107" s="46"/>
      <c r="F107" s="51"/>
      <c r="G107" s="5"/>
    </row>
    <row r="108" spans="1:7" ht="25.5" x14ac:dyDescent="0.25">
      <c r="A108" s="1"/>
      <c r="B108" s="26"/>
      <c r="C108" s="8" t="s">
        <v>115</v>
      </c>
      <c r="D108" s="9"/>
      <c r="E108" s="47"/>
      <c r="F108" s="52"/>
      <c r="G108" s="10"/>
    </row>
    <row r="109" spans="1:7" ht="15" x14ac:dyDescent="0.25">
      <c r="A109" s="6"/>
      <c r="B109" s="7"/>
      <c r="C109" s="8" t="s">
        <v>104</v>
      </c>
      <c r="D109" s="12"/>
      <c r="E109" s="48"/>
      <c r="F109" s="53">
        <v>0</v>
      </c>
      <c r="G109" s="13">
        <v>0</v>
      </c>
    </row>
    <row r="110" spans="1:7" ht="15" x14ac:dyDescent="0.25">
      <c r="A110" s="6"/>
      <c r="B110" s="7"/>
      <c r="C110" s="14"/>
      <c r="D110" s="4"/>
      <c r="E110" s="46"/>
      <c r="F110" s="51"/>
      <c r="G110" s="5"/>
    </row>
    <row r="111" spans="1:7" ht="15" x14ac:dyDescent="0.25">
      <c r="A111" s="6"/>
      <c r="B111" s="7"/>
      <c r="C111" s="28" t="s">
        <v>116</v>
      </c>
      <c r="D111" s="25"/>
      <c r="E111" s="48"/>
      <c r="F111" s="53">
        <v>3052.6460999999999</v>
      </c>
      <c r="G111" s="13">
        <v>0.21820727600000003</v>
      </c>
    </row>
    <row r="112" spans="1:7" ht="15" x14ac:dyDescent="0.25">
      <c r="A112" s="6"/>
      <c r="B112" s="7"/>
      <c r="C112" s="11"/>
      <c r="D112" s="4"/>
      <c r="E112" s="46"/>
      <c r="F112" s="51"/>
      <c r="G112" s="5"/>
    </row>
    <row r="113" spans="1:7" ht="15" x14ac:dyDescent="0.25">
      <c r="A113" s="1"/>
      <c r="B113" s="2"/>
      <c r="C113" s="3" t="s">
        <v>117</v>
      </c>
      <c r="D113" s="4"/>
      <c r="E113" s="46"/>
      <c r="F113" s="51"/>
      <c r="G113" s="5"/>
    </row>
    <row r="114" spans="1:7" ht="15" x14ac:dyDescent="0.25">
      <c r="A114" s="6"/>
      <c r="B114" s="7"/>
      <c r="C114" s="8" t="s">
        <v>118</v>
      </c>
      <c r="D114" s="9"/>
      <c r="E114" s="47"/>
      <c r="F114" s="52"/>
      <c r="G114" s="10"/>
    </row>
    <row r="115" spans="1:7" ht="15" x14ac:dyDescent="0.25">
      <c r="A115" s="6"/>
      <c r="B115" s="7"/>
      <c r="C115" s="8" t="s">
        <v>104</v>
      </c>
      <c r="D115" s="25"/>
      <c r="E115" s="48"/>
      <c r="F115" s="53">
        <v>0</v>
      </c>
      <c r="G115" s="13">
        <v>0</v>
      </c>
    </row>
    <row r="116" spans="1:7" ht="15" x14ac:dyDescent="0.25">
      <c r="A116" s="6"/>
      <c r="B116" s="7"/>
      <c r="C116" s="14"/>
      <c r="D116" s="7"/>
      <c r="E116" s="46"/>
      <c r="F116" s="51"/>
      <c r="G116" s="5"/>
    </row>
    <row r="117" spans="1:7" ht="15" x14ac:dyDescent="0.25">
      <c r="A117" s="6"/>
      <c r="B117" s="7"/>
      <c r="C117" s="8" t="s">
        <v>119</v>
      </c>
      <c r="D117" s="9"/>
      <c r="E117" s="47"/>
      <c r="F117" s="52"/>
      <c r="G117" s="10"/>
    </row>
    <row r="118" spans="1:7" ht="15" x14ac:dyDescent="0.25">
      <c r="A118" s="6"/>
      <c r="B118" s="7"/>
      <c r="C118" s="8" t="s">
        <v>104</v>
      </c>
      <c r="D118" s="25"/>
      <c r="E118" s="48"/>
      <c r="F118" s="53">
        <v>0</v>
      </c>
      <c r="G118" s="13">
        <v>0</v>
      </c>
    </row>
    <row r="119" spans="1:7" ht="15" x14ac:dyDescent="0.25">
      <c r="A119" s="6"/>
      <c r="B119" s="7"/>
      <c r="C119" s="14"/>
      <c r="D119" s="7"/>
      <c r="E119" s="46"/>
      <c r="F119" s="51"/>
      <c r="G119" s="5"/>
    </row>
    <row r="120" spans="1:7" ht="15" x14ac:dyDescent="0.25">
      <c r="A120" s="6"/>
      <c r="B120" s="7"/>
      <c r="C120" s="8" t="s">
        <v>120</v>
      </c>
      <c r="D120" s="9"/>
      <c r="E120" s="47"/>
      <c r="F120" s="52"/>
      <c r="G120" s="10"/>
    </row>
    <row r="121" spans="1:7" ht="15" x14ac:dyDescent="0.25">
      <c r="A121" s="6"/>
      <c r="B121" s="7"/>
      <c r="C121" s="8" t="s">
        <v>104</v>
      </c>
      <c r="D121" s="25"/>
      <c r="E121" s="48"/>
      <c r="F121" s="53">
        <v>0</v>
      </c>
      <c r="G121" s="13">
        <v>0</v>
      </c>
    </row>
    <row r="122" spans="1:7" ht="15" x14ac:dyDescent="0.25">
      <c r="A122" s="6"/>
      <c r="B122" s="7"/>
      <c r="C122" s="14"/>
      <c r="D122" s="7"/>
      <c r="E122" s="46"/>
      <c r="F122" s="51"/>
      <c r="G122" s="5"/>
    </row>
    <row r="123" spans="1:7" ht="15" x14ac:dyDescent="0.25">
      <c r="A123" s="6"/>
      <c r="B123" s="7"/>
      <c r="C123" s="8" t="s">
        <v>121</v>
      </c>
      <c r="D123" s="9"/>
      <c r="E123" s="47"/>
      <c r="F123" s="52"/>
      <c r="G123" s="10"/>
    </row>
    <row r="124" spans="1:7" ht="15" x14ac:dyDescent="0.25">
      <c r="A124" s="6">
        <v>1</v>
      </c>
      <c r="B124" s="7"/>
      <c r="C124" s="11" t="s">
        <v>730</v>
      </c>
      <c r="D124" s="15"/>
      <c r="E124" s="46"/>
      <c r="F124" s="51">
        <v>428.93430849999999</v>
      </c>
      <c r="G124" s="5">
        <v>3.0660804999999999E-2</v>
      </c>
    </row>
    <row r="125" spans="1:7" ht="15" x14ac:dyDescent="0.25">
      <c r="A125" s="6"/>
      <c r="B125" s="7"/>
      <c r="C125" s="8" t="s">
        <v>104</v>
      </c>
      <c r="D125" s="25"/>
      <c r="E125" s="48"/>
      <c r="F125" s="53">
        <v>428.93430849999999</v>
      </c>
      <c r="G125" s="13">
        <v>3.0660804999999999E-2</v>
      </c>
    </row>
    <row r="126" spans="1:7" ht="15" x14ac:dyDescent="0.25">
      <c r="A126" s="6"/>
      <c r="B126" s="7"/>
      <c r="C126" s="14"/>
      <c r="D126" s="7"/>
      <c r="E126" s="46"/>
      <c r="F126" s="51"/>
      <c r="G126" s="5"/>
    </row>
    <row r="127" spans="1:7" ht="25.5" x14ac:dyDescent="0.25">
      <c r="A127" s="6"/>
      <c r="B127" s="7"/>
      <c r="C127" s="24" t="s">
        <v>122</v>
      </c>
      <c r="D127" s="25"/>
      <c r="E127" s="48"/>
      <c r="F127" s="53">
        <v>428.93430849999999</v>
      </c>
      <c r="G127" s="13">
        <v>3.0660804999999999E-2</v>
      </c>
    </row>
    <row r="128" spans="1:7" ht="15" x14ac:dyDescent="0.25">
      <c r="A128" s="6"/>
      <c r="B128" s="7"/>
      <c r="C128" s="29"/>
      <c r="D128" s="7"/>
      <c r="E128" s="46"/>
      <c r="F128" s="51"/>
      <c r="G128" s="5"/>
    </row>
    <row r="129" spans="1:8" ht="15" x14ac:dyDescent="0.25">
      <c r="A129" s="1"/>
      <c r="B129" s="2"/>
      <c r="C129" s="3" t="s">
        <v>123</v>
      </c>
      <c r="D129" s="4"/>
      <c r="E129" s="46"/>
      <c r="F129" s="51"/>
      <c r="G129" s="5"/>
    </row>
    <row r="130" spans="1:8" ht="25.5" x14ac:dyDescent="0.25">
      <c r="A130" s="6"/>
      <c r="B130" s="7"/>
      <c r="C130" s="8" t="s">
        <v>124</v>
      </c>
      <c r="D130" s="9"/>
      <c r="E130" s="47"/>
      <c r="F130" s="52"/>
      <c r="G130" s="10"/>
    </row>
    <row r="131" spans="1:8" ht="15" x14ac:dyDescent="0.25">
      <c r="A131" s="6"/>
      <c r="B131" s="7"/>
      <c r="C131" s="8" t="s">
        <v>104</v>
      </c>
      <c r="D131" s="25"/>
      <c r="E131" s="48"/>
      <c r="F131" s="53">
        <v>0</v>
      </c>
      <c r="G131" s="13">
        <v>0</v>
      </c>
    </row>
    <row r="132" spans="1:8" ht="15" x14ac:dyDescent="0.25">
      <c r="A132" s="6"/>
      <c r="B132" s="7"/>
      <c r="C132" s="14"/>
      <c r="D132" s="7"/>
      <c r="E132" s="46"/>
      <c r="F132" s="51"/>
      <c r="G132" s="5"/>
    </row>
    <row r="133" spans="1:8" ht="15" x14ac:dyDescent="0.25">
      <c r="A133" s="1"/>
      <c r="B133" s="2"/>
      <c r="C133" s="3" t="s">
        <v>125</v>
      </c>
      <c r="D133" s="4"/>
      <c r="E133" s="46"/>
      <c r="F133" s="51"/>
      <c r="G133" s="5"/>
    </row>
    <row r="134" spans="1:8" ht="25.5" x14ac:dyDescent="0.25">
      <c r="A134" s="6"/>
      <c r="B134" s="7"/>
      <c r="C134" s="8" t="s">
        <v>126</v>
      </c>
      <c r="D134" s="9"/>
      <c r="E134" s="47"/>
      <c r="F134" s="52"/>
      <c r="G134" s="10"/>
    </row>
    <row r="135" spans="1:8" ht="15" x14ac:dyDescent="0.25">
      <c r="A135" s="6"/>
      <c r="B135" s="7"/>
      <c r="C135" s="8" t="s">
        <v>104</v>
      </c>
      <c r="D135" s="25"/>
      <c r="E135" s="48"/>
      <c r="F135" s="53">
        <v>0</v>
      </c>
      <c r="G135" s="13">
        <v>0</v>
      </c>
    </row>
    <row r="136" spans="1:8" ht="15" x14ac:dyDescent="0.25">
      <c r="A136" s="6"/>
      <c r="B136" s="7"/>
      <c r="C136" s="14"/>
      <c r="D136" s="7"/>
      <c r="E136" s="46"/>
      <c r="F136" s="51"/>
      <c r="G136" s="5"/>
    </row>
    <row r="137" spans="1:8" ht="25.5" x14ac:dyDescent="0.25">
      <c r="A137" s="6"/>
      <c r="B137" s="7"/>
      <c r="C137" s="8" t="s">
        <v>127</v>
      </c>
      <c r="D137" s="9"/>
      <c r="E137" s="47"/>
      <c r="F137" s="52"/>
      <c r="G137" s="10"/>
    </row>
    <row r="138" spans="1:8" ht="15" x14ac:dyDescent="0.25">
      <c r="A138" s="6"/>
      <c r="B138" s="7"/>
      <c r="C138" s="8" t="s">
        <v>104</v>
      </c>
      <c r="D138" s="25"/>
      <c r="E138" s="48"/>
      <c r="F138" s="53">
        <v>0</v>
      </c>
      <c r="G138" s="13">
        <v>0</v>
      </c>
    </row>
    <row r="139" spans="1:8" ht="15" x14ac:dyDescent="0.25">
      <c r="A139" s="6"/>
      <c r="B139" s="7"/>
      <c r="C139" s="14"/>
      <c r="D139" s="7"/>
      <c r="E139" s="46"/>
      <c r="F139" s="56"/>
      <c r="G139" s="27"/>
    </row>
    <row r="140" spans="1:8" ht="15" x14ac:dyDescent="0.25">
      <c r="A140" s="6"/>
      <c r="B140" s="7"/>
      <c r="C140" s="14" t="s">
        <v>383</v>
      </c>
      <c r="D140" s="7"/>
      <c r="E140" s="46"/>
      <c r="F140" s="56">
        <v>1080.9117543</v>
      </c>
      <c r="G140" s="27">
        <v>7.7265034999999996E-2</v>
      </c>
    </row>
    <row r="141" spans="1:8" ht="25.5" x14ac:dyDescent="0.25">
      <c r="A141" s="6"/>
      <c r="B141" s="7"/>
      <c r="C141" s="29" t="s">
        <v>128</v>
      </c>
      <c r="D141" s="7"/>
      <c r="E141" s="46"/>
      <c r="F141" s="56">
        <v>2.9687399899994489</v>
      </c>
      <c r="G141" s="27">
        <v>2.1220955324666876E-4</v>
      </c>
      <c r="H141" s="143"/>
    </row>
    <row r="142" spans="1:8" ht="15" x14ac:dyDescent="0.25">
      <c r="A142" s="6"/>
      <c r="B142" s="7"/>
      <c r="C142" s="30" t="s">
        <v>129</v>
      </c>
      <c r="D142" s="12"/>
      <c r="E142" s="48"/>
      <c r="F142" s="53">
        <v>13989.662315290001</v>
      </c>
      <c r="G142" s="13">
        <v>0.99999999999999956</v>
      </c>
    </row>
    <row r="144" spans="1:8" ht="15" x14ac:dyDescent="0.25">
      <c r="B144" s="279" t="s">
        <v>716</v>
      </c>
      <c r="C144" s="279"/>
      <c r="D144" s="279"/>
      <c r="E144" s="279"/>
      <c r="F144" s="279"/>
    </row>
    <row r="145" spans="2:6" ht="15" x14ac:dyDescent="0.25">
      <c r="B145" s="279"/>
      <c r="C145" s="279"/>
      <c r="D145" s="279"/>
      <c r="E145" s="279"/>
      <c r="F145" s="279"/>
    </row>
    <row r="147" spans="2:6" ht="15" x14ac:dyDescent="0.25">
      <c r="B147" s="36" t="s">
        <v>131</v>
      </c>
      <c r="C147" s="37"/>
      <c r="D147" s="38"/>
    </row>
    <row r="148" spans="2:6" ht="15" x14ac:dyDescent="0.25">
      <c r="B148" s="39" t="s">
        <v>132</v>
      </c>
      <c r="C148" s="40"/>
      <c r="D148" s="62" t="s">
        <v>133</v>
      </c>
    </row>
    <row r="149" spans="2:6" ht="15" x14ac:dyDescent="0.25">
      <c r="B149" s="39" t="s">
        <v>134</v>
      </c>
      <c r="C149" s="40"/>
      <c r="D149" s="62" t="s">
        <v>133</v>
      </c>
    </row>
    <row r="150" spans="2:6" ht="15" x14ac:dyDescent="0.25">
      <c r="B150" s="41" t="s">
        <v>135</v>
      </c>
      <c r="C150" s="40"/>
      <c r="D150" s="42"/>
    </row>
    <row r="151" spans="2:6" ht="25.5" customHeight="1" x14ac:dyDescent="0.25">
      <c r="B151" s="42"/>
      <c r="C151" s="32" t="s">
        <v>136</v>
      </c>
      <c r="D151" s="33" t="s">
        <v>137</v>
      </c>
    </row>
    <row r="152" spans="2:6" ht="12.75" customHeight="1" x14ac:dyDescent="0.25">
      <c r="B152" s="57" t="s">
        <v>138</v>
      </c>
      <c r="C152" s="58" t="s">
        <v>139</v>
      </c>
      <c r="D152" s="58" t="s">
        <v>140</v>
      </c>
    </row>
    <row r="153" spans="2:6" ht="15" x14ac:dyDescent="0.25">
      <c r="B153" s="42" t="s">
        <v>141</v>
      </c>
      <c r="C153" s="43">
        <v>10.593299999999999</v>
      </c>
      <c r="D153" s="43">
        <v>10.478199999999999</v>
      </c>
    </row>
    <row r="154" spans="2:6" ht="15" x14ac:dyDescent="0.25">
      <c r="B154" s="42" t="s">
        <v>142</v>
      </c>
      <c r="C154" s="43">
        <v>10.593299999999999</v>
      </c>
      <c r="D154" s="43">
        <v>10.478199999999999</v>
      </c>
    </row>
    <row r="155" spans="2:6" ht="15" x14ac:dyDescent="0.25">
      <c r="B155" s="42" t="s">
        <v>143</v>
      </c>
      <c r="C155" s="43">
        <v>10.4841</v>
      </c>
      <c r="D155" s="43">
        <v>10.354799999999999</v>
      </c>
    </row>
    <row r="156" spans="2:6" ht="15" x14ac:dyDescent="0.25">
      <c r="B156" s="42" t="s">
        <v>144</v>
      </c>
      <c r="C156" s="43">
        <v>10.484</v>
      </c>
      <c r="D156" s="43">
        <v>10.354699999999999</v>
      </c>
    </row>
    <row r="158" spans="2:6" ht="15" x14ac:dyDescent="0.25">
      <c r="B158" s="59" t="s">
        <v>145</v>
      </c>
      <c r="C158" s="44"/>
      <c r="D158" s="60" t="s">
        <v>133</v>
      </c>
    </row>
    <row r="159" spans="2:6" ht="24.75" customHeight="1" x14ac:dyDescent="0.25">
      <c r="B159" s="61"/>
      <c r="C159" s="61"/>
    </row>
    <row r="160" spans="2:6" ht="15" x14ac:dyDescent="0.25">
      <c r="B160" s="63"/>
      <c r="C160" s="65"/>
      <c r="D160"/>
    </row>
    <row r="162" spans="1:256" ht="15" x14ac:dyDescent="0.25">
      <c r="A162" s="67"/>
      <c r="B162" s="39" t="s">
        <v>146</v>
      </c>
      <c r="C162" s="70"/>
      <c r="D162" s="72" t="s">
        <v>722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  <c r="EA162" s="67"/>
      <c r="EB162" s="67"/>
      <c r="EC162" s="67"/>
      <c r="ED162" s="67"/>
      <c r="EE162" s="67"/>
      <c r="EF162" s="67"/>
      <c r="EG162" s="67"/>
      <c r="EH162" s="67"/>
      <c r="EI162" s="67"/>
      <c r="EJ162" s="67"/>
      <c r="EK162" s="67"/>
      <c r="EL162" s="67"/>
      <c r="EM162" s="67"/>
      <c r="EN162" s="67"/>
      <c r="EO162" s="67"/>
      <c r="EP162" s="67"/>
      <c r="EQ162" s="67"/>
      <c r="ER162" s="67"/>
      <c r="ES162" s="67"/>
      <c r="ET162" s="67"/>
      <c r="EU162" s="67"/>
      <c r="EV162" s="67"/>
      <c r="EW162" s="67"/>
      <c r="EX162" s="67"/>
      <c r="EY162" s="67"/>
      <c r="EZ162" s="67"/>
      <c r="FA162" s="67"/>
      <c r="FB162" s="67"/>
      <c r="FC162" s="67"/>
      <c r="FD162" s="67"/>
      <c r="FE162" s="67"/>
      <c r="FF162" s="67"/>
      <c r="FG162" s="67"/>
      <c r="FH162" s="67"/>
      <c r="FI162" s="67"/>
      <c r="FJ162" s="67"/>
      <c r="FK162" s="67"/>
      <c r="FL162" s="67"/>
      <c r="FM162" s="67"/>
      <c r="FN162" s="67"/>
      <c r="FO162" s="67"/>
      <c r="FP162" s="67"/>
      <c r="FQ162" s="67"/>
      <c r="FR162" s="67"/>
      <c r="FS162" s="67"/>
      <c r="FT162" s="67"/>
      <c r="FU162" s="67"/>
      <c r="FV162" s="67"/>
      <c r="FW162" s="67"/>
      <c r="FX162" s="67"/>
      <c r="FY162" s="67"/>
      <c r="FZ162" s="67"/>
      <c r="GA162" s="67"/>
      <c r="GB162" s="67"/>
      <c r="GC162" s="67"/>
      <c r="GD162" s="67"/>
      <c r="GE162" s="67"/>
      <c r="GF162" s="67"/>
      <c r="GG162" s="67"/>
      <c r="GH162" s="67"/>
      <c r="GI162" s="67"/>
      <c r="GJ162" s="67"/>
      <c r="GK162" s="67"/>
      <c r="GL162" s="67"/>
      <c r="GM162" s="67"/>
      <c r="GN162" s="67"/>
      <c r="GO162" s="67"/>
      <c r="GP162" s="67"/>
      <c r="GQ162" s="67"/>
      <c r="GR162" s="67"/>
      <c r="GS162" s="67"/>
      <c r="GT162" s="67"/>
      <c r="GU162" s="67"/>
      <c r="GV162" s="67"/>
      <c r="GW162" s="67"/>
      <c r="GX162" s="67"/>
      <c r="GY162" s="67"/>
      <c r="GZ162" s="67"/>
      <c r="HA162" s="67"/>
      <c r="HB162" s="67"/>
      <c r="HC162" s="67"/>
      <c r="HD162" s="67"/>
      <c r="HE162" s="67"/>
      <c r="HF162" s="67"/>
      <c r="HG162" s="67"/>
      <c r="HH162" s="67"/>
      <c r="HI162" s="67"/>
      <c r="HJ162" s="67"/>
      <c r="HK162" s="67"/>
      <c r="HL162" s="67"/>
      <c r="HM162" s="67"/>
      <c r="HN162" s="67"/>
      <c r="HO162" s="67"/>
      <c r="HP162" s="67"/>
      <c r="HQ162" s="67"/>
      <c r="HR162" s="67"/>
      <c r="HS162" s="67"/>
      <c r="HT162" s="67"/>
      <c r="HU162" s="67"/>
      <c r="HV162" s="67"/>
      <c r="HW162" s="67"/>
      <c r="HX162" s="67"/>
      <c r="HY162" s="67"/>
      <c r="HZ162" s="67"/>
      <c r="IA162" s="67"/>
      <c r="IB162" s="67"/>
      <c r="IC162" s="67"/>
      <c r="ID162" s="67"/>
      <c r="IE162" s="67"/>
      <c r="IF162" s="67"/>
      <c r="IG162" s="67"/>
      <c r="IH162" s="67"/>
      <c r="II162" s="67"/>
      <c r="IJ162" s="67"/>
      <c r="IK162" s="67"/>
      <c r="IL162" s="67"/>
      <c r="IM162" s="67"/>
      <c r="IN162" s="67"/>
      <c r="IO162" s="67"/>
      <c r="IP162" s="67"/>
      <c r="IQ162" s="67"/>
      <c r="IR162" s="67"/>
      <c r="IS162" s="67"/>
      <c r="IT162" s="67"/>
      <c r="IU162" s="67"/>
      <c r="IV162" s="67"/>
    </row>
    <row r="163" spans="1:256" ht="15" x14ac:dyDescent="0.25">
      <c r="A163" s="67"/>
      <c r="B163" s="39" t="s">
        <v>732</v>
      </c>
      <c r="C163" s="70"/>
      <c r="D163" s="72" t="s">
        <v>133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  <c r="EA163" s="67"/>
      <c r="EB163" s="67"/>
      <c r="EC163" s="67"/>
      <c r="ED163" s="67"/>
      <c r="EE163" s="67"/>
      <c r="EF163" s="67"/>
      <c r="EG163" s="67"/>
      <c r="EH163" s="67"/>
      <c r="EI163" s="67"/>
      <c r="EJ163" s="67"/>
      <c r="EK163" s="67"/>
      <c r="EL163" s="67"/>
      <c r="EM163" s="67"/>
      <c r="EN163" s="67"/>
      <c r="EO163" s="67"/>
      <c r="EP163" s="67"/>
      <c r="EQ163" s="67"/>
      <c r="ER163" s="67"/>
      <c r="ES163" s="67"/>
      <c r="ET163" s="67"/>
      <c r="EU163" s="67"/>
      <c r="EV163" s="67"/>
      <c r="EW163" s="67"/>
      <c r="EX163" s="67"/>
      <c r="EY163" s="67"/>
      <c r="EZ163" s="67"/>
      <c r="FA163" s="67"/>
      <c r="FB163" s="67"/>
      <c r="FC163" s="67"/>
      <c r="FD163" s="67"/>
      <c r="FE163" s="67"/>
      <c r="FF163" s="67"/>
      <c r="FG163" s="67"/>
      <c r="FH163" s="67"/>
      <c r="FI163" s="67"/>
      <c r="FJ163" s="67"/>
      <c r="FK163" s="67"/>
      <c r="FL163" s="67"/>
      <c r="FM163" s="67"/>
      <c r="FN163" s="67"/>
      <c r="FO163" s="67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67"/>
      <c r="GI163" s="67"/>
      <c r="GJ163" s="67"/>
      <c r="GK163" s="67"/>
      <c r="GL163" s="67"/>
      <c r="GM163" s="67"/>
      <c r="GN163" s="67"/>
      <c r="GO163" s="67"/>
      <c r="GP163" s="67"/>
      <c r="GQ163" s="67"/>
      <c r="GR163" s="67"/>
      <c r="GS163" s="67"/>
      <c r="GT163" s="67"/>
      <c r="GU163" s="67"/>
      <c r="GV163" s="67"/>
      <c r="GW163" s="67"/>
      <c r="GX163" s="67"/>
      <c r="GY163" s="67"/>
      <c r="GZ163" s="67"/>
      <c r="HA163" s="67"/>
      <c r="HB163" s="67"/>
      <c r="HC163" s="67"/>
      <c r="HD163" s="67"/>
      <c r="HE163" s="67"/>
      <c r="HF163" s="67"/>
      <c r="HG163" s="67"/>
      <c r="HH163" s="67"/>
      <c r="HI163" s="67"/>
      <c r="HJ163" s="67"/>
      <c r="HK163" s="67"/>
      <c r="HL163" s="67"/>
      <c r="HM163" s="67"/>
      <c r="HN163" s="67"/>
      <c r="HO163" s="67"/>
      <c r="HP163" s="67"/>
      <c r="HQ163" s="67"/>
      <c r="HR163" s="67"/>
      <c r="HS163" s="67"/>
      <c r="HT163" s="67"/>
      <c r="HU163" s="67"/>
      <c r="HV163" s="67"/>
      <c r="HW163" s="67"/>
      <c r="HX163" s="67"/>
      <c r="HY163" s="67"/>
      <c r="HZ163" s="67"/>
      <c r="IA163" s="67"/>
      <c r="IB163" s="67"/>
      <c r="IC163" s="67"/>
      <c r="ID163" s="67"/>
      <c r="IE163" s="67"/>
      <c r="IF163" s="67"/>
      <c r="IG163" s="67"/>
      <c r="IH163" s="67"/>
      <c r="II163" s="67"/>
      <c r="IJ163" s="67"/>
      <c r="IK163" s="67"/>
      <c r="IL163" s="67"/>
      <c r="IM163" s="67"/>
      <c r="IN163" s="67"/>
      <c r="IO163" s="67"/>
      <c r="IP163" s="67"/>
      <c r="IQ163" s="67"/>
      <c r="IR163" s="67"/>
      <c r="IS163" s="67"/>
      <c r="IT163" s="67"/>
      <c r="IU163" s="67"/>
      <c r="IV163" s="67"/>
    </row>
    <row r="164" spans="1:256" ht="15" x14ac:dyDescent="0.25">
      <c r="A164" s="67"/>
      <c r="B164" s="39" t="s">
        <v>805</v>
      </c>
      <c r="C164" s="70"/>
      <c r="D164" s="71">
        <v>0.32898377482420271</v>
      </c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  <c r="EA164" s="67"/>
      <c r="EB164" s="67"/>
      <c r="EC164" s="67"/>
      <c r="ED164" s="67"/>
      <c r="EE164" s="67"/>
      <c r="EF164" s="67"/>
      <c r="EG164" s="67"/>
      <c r="EH164" s="67"/>
      <c r="EI164" s="67"/>
      <c r="EJ164" s="67"/>
      <c r="EK164" s="67"/>
      <c r="EL164" s="67"/>
      <c r="EM164" s="67"/>
      <c r="EN164" s="67"/>
      <c r="EO164" s="67"/>
      <c r="EP164" s="67"/>
      <c r="EQ164" s="67"/>
      <c r="ER164" s="67"/>
      <c r="ES164" s="67"/>
      <c r="ET164" s="67"/>
      <c r="EU164" s="67"/>
      <c r="EV164" s="67"/>
      <c r="EW164" s="67"/>
      <c r="EX164" s="67"/>
      <c r="EY164" s="67"/>
      <c r="EZ164" s="67"/>
      <c r="FA164" s="67"/>
      <c r="FB164" s="67"/>
      <c r="FC164" s="67"/>
      <c r="FD164" s="67"/>
      <c r="FE164" s="67"/>
      <c r="FF164" s="67"/>
      <c r="FG164" s="67"/>
      <c r="FH164" s="67"/>
      <c r="FI164" s="67"/>
      <c r="FJ164" s="67"/>
      <c r="FK164" s="67"/>
      <c r="FL164" s="67"/>
      <c r="FM164" s="67"/>
      <c r="FN164" s="67"/>
      <c r="FO164" s="67"/>
      <c r="FP164" s="67"/>
      <c r="FQ164" s="67"/>
      <c r="FR164" s="67"/>
      <c r="FS164" s="67"/>
      <c r="FT164" s="67"/>
      <c r="FU164" s="67"/>
      <c r="FV164" s="67"/>
      <c r="FW164" s="67"/>
      <c r="FX164" s="67"/>
      <c r="FY164" s="67"/>
      <c r="FZ164" s="67"/>
      <c r="GA164" s="67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67"/>
      <c r="HJ164" s="67"/>
      <c r="HK164" s="67"/>
      <c r="HL164" s="67"/>
      <c r="HM164" s="67"/>
      <c r="HN164" s="67"/>
      <c r="HO164" s="67"/>
      <c r="HP164" s="67"/>
      <c r="HQ164" s="67"/>
      <c r="HR164" s="67"/>
      <c r="HS164" s="67"/>
      <c r="HT164" s="67"/>
      <c r="HU164" s="67"/>
      <c r="HV164" s="67"/>
      <c r="HW164" s="67"/>
      <c r="HX164" s="67"/>
      <c r="HY164" s="67"/>
      <c r="HZ164" s="67"/>
      <c r="IA164" s="67"/>
      <c r="IB164" s="67"/>
      <c r="IC164" s="67"/>
      <c r="ID164" s="67"/>
      <c r="IE164" s="67"/>
      <c r="IF164" s="67"/>
      <c r="IG164" s="67"/>
      <c r="IH164" s="67"/>
      <c r="II164" s="67"/>
      <c r="IJ164" s="67"/>
      <c r="IK164" s="67"/>
      <c r="IL164" s="67"/>
      <c r="IM164" s="67"/>
      <c r="IN164" s="67"/>
      <c r="IO164" s="67"/>
      <c r="IP164" s="67"/>
      <c r="IQ164" s="67"/>
      <c r="IR164" s="67"/>
      <c r="IS164" s="67"/>
      <c r="IT164" s="67"/>
      <c r="IU164" s="67"/>
      <c r="IV164" s="67"/>
    </row>
    <row r="165" spans="1:256" ht="15" x14ac:dyDescent="0.25">
      <c r="A165" s="67"/>
      <c r="B165" s="39" t="s">
        <v>806</v>
      </c>
      <c r="C165" s="70"/>
      <c r="D165" s="71">
        <v>0.31225629350792838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67"/>
      <c r="FC165" s="67"/>
      <c r="FD165" s="67"/>
      <c r="FE165" s="67"/>
      <c r="FF165" s="67"/>
      <c r="FG165" s="67"/>
      <c r="FH165" s="67"/>
      <c r="FI165" s="67"/>
      <c r="FJ165" s="67"/>
      <c r="FK165" s="67"/>
      <c r="FL165" s="67"/>
      <c r="FM165" s="67"/>
      <c r="FN165" s="67"/>
      <c r="FO165" s="67"/>
      <c r="FP165" s="67"/>
      <c r="FQ165" s="67"/>
      <c r="FR165" s="67"/>
      <c r="FS165" s="67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  <c r="GD165" s="67"/>
      <c r="GE165" s="67"/>
      <c r="GF165" s="67"/>
      <c r="GG165" s="67"/>
      <c r="GH165" s="67"/>
      <c r="GI165" s="67"/>
      <c r="GJ165" s="67"/>
      <c r="GK165" s="67"/>
      <c r="GL165" s="67"/>
      <c r="GM165" s="67"/>
      <c r="GN165" s="67"/>
      <c r="GO165" s="67"/>
      <c r="GP165" s="67"/>
      <c r="GQ165" s="67"/>
      <c r="GR165" s="67"/>
      <c r="GS165" s="67"/>
      <c r="GT165" s="67"/>
      <c r="GU165" s="67"/>
      <c r="GV165" s="67"/>
      <c r="GW165" s="67"/>
      <c r="GX165" s="67"/>
      <c r="GY165" s="67"/>
      <c r="GZ165" s="67"/>
      <c r="HA165" s="67"/>
      <c r="HB165" s="67"/>
      <c r="HC165" s="67"/>
      <c r="HD165" s="67"/>
      <c r="HE165" s="67"/>
      <c r="HF165" s="67"/>
      <c r="HG165" s="67"/>
      <c r="HH165" s="67"/>
      <c r="HI165" s="67"/>
      <c r="HJ165" s="67"/>
      <c r="HK165" s="67"/>
      <c r="HL165" s="67"/>
      <c r="HM165" s="67"/>
      <c r="HN165" s="67"/>
      <c r="HO165" s="67"/>
      <c r="HP165" s="67"/>
      <c r="HQ165" s="67"/>
      <c r="HR165" s="67"/>
      <c r="HS165" s="67"/>
      <c r="HT165" s="67"/>
      <c r="HU165" s="67"/>
      <c r="HV165" s="67"/>
      <c r="HW165" s="67"/>
      <c r="HX165" s="67"/>
      <c r="HY165" s="67"/>
      <c r="HZ165" s="67"/>
      <c r="IA165" s="67"/>
      <c r="IB165" s="67"/>
      <c r="IC165" s="67"/>
      <c r="ID165" s="67"/>
      <c r="IE165" s="67"/>
      <c r="IF165" s="67"/>
      <c r="IG165" s="67"/>
      <c r="IH165" s="67"/>
      <c r="II165" s="67"/>
      <c r="IJ165" s="67"/>
      <c r="IK165" s="67"/>
      <c r="IL165" s="67"/>
      <c r="IM165" s="67"/>
      <c r="IN165" s="67"/>
      <c r="IO165" s="67"/>
      <c r="IP165" s="67"/>
      <c r="IQ165" s="67"/>
      <c r="IR165" s="67"/>
      <c r="IS165" s="67"/>
      <c r="IT165" s="67"/>
      <c r="IU165" s="67"/>
      <c r="IV165" s="67"/>
    </row>
    <row r="166" spans="1:256" ht="15.95" customHeight="1" x14ac:dyDescent="0.25">
      <c r="A166" s="67"/>
      <c r="B166" s="39" t="s">
        <v>839</v>
      </c>
      <c r="C166" s="70"/>
      <c r="D166" s="69">
        <v>0.47325879265970383</v>
      </c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  <c r="EA166" s="67"/>
      <c r="EB166" s="67"/>
      <c r="EC166" s="67"/>
      <c r="ED166" s="67"/>
      <c r="EE166" s="67"/>
      <c r="EF166" s="67"/>
      <c r="EG166" s="67"/>
      <c r="EH166" s="67"/>
      <c r="EI166" s="67"/>
      <c r="EJ166" s="67"/>
      <c r="EK166" s="67"/>
      <c r="EL166" s="67"/>
      <c r="EM166" s="67"/>
      <c r="EN166" s="67"/>
      <c r="EO166" s="67"/>
      <c r="EP166" s="67"/>
      <c r="EQ166" s="67"/>
      <c r="ER166" s="67"/>
      <c r="ES166" s="67"/>
      <c r="ET166" s="67"/>
      <c r="EU166" s="67"/>
      <c r="EV166" s="67"/>
      <c r="EW166" s="67"/>
      <c r="EX166" s="67"/>
      <c r="EY166" s="67"/>
      <c r="EZ166" s="67"/>
      <c r="FA166" s="67"/>
      <c r="FB166" s="67"/>
      <c r="FC166" s="67"/>
      <c r="FD166" s="67"/>
      <c r="FE166" s="67"/>
      <c r="FF166" s="67"/>
      <c r="FG166" s="67"/>
      <c r="FH166" s="67"/>
      <c r="FI166" s="67"/>
      <c r="FJ166" s="67"/>
      <c r="FK166" s="67"/>
      <c r="FL166" s="67"/>
      <c r="FM166" s="67"/>
      <c r="FN166" s="67"/>
      <c r="FO166" s="67"/>
      <c r="FP166" s="67"/>
      <c r="FQ166" s="67"/>
      <c r="FR166" s="67"/>
      <c r="FS166" s="67"/>
      <c r="FT166" s="67"/>
      <c r="FU166" s="67"/>
      <c r="FV166" s="67"/>
      <c r="FW166" s="67"/>
      <c r="FX166" s="67"/>
      <c r="FY166" s="67"/>
      <c r="FZ166" s="67"/>
      <c r="GA166" s="67"/>
      <c r="GB166" s="67"/>
      <c r="GC166" s="67"/>
      <c r="GD166" s="67"/>
      <c r="GE166" s="67"/>
      <c r="GF166" s="67"/>
      <c r="GG166" s="67"/>
      <c r="GH166" s="67"/>
      <c r="GI166" s="67"/>
      <c r="GJ166" s="67"/>
      <c r="GK166" s="67"/>
      <c r="GL166" s="67"/>
      <c r="GM166" s="67"/>
      <c r="GN166" s="67"/>
      <c r="GO166" s="67"/>
      <c r="GP166" s="67"/>
      <c r="GQ166" s="67"/>
      <c r="GR166" s="67"/>
      <c r="GS166" s="67"/>
      <c r="GT166" s="67"/>
      <c r="GU166" s="67"/>
      <c r="GV166" s="67"/>
      <c r="GW166" s="67"/>
      <c r="GX166" s="67"/>
      <c r="GY166" s="67"/>
      <c r="GZ166" s="67"/>
      <c r="HA166" s="67"/>
      <c r="HB166" s="67"/>
      <c r="HC166" s="67"/>
      <c r="HD166" s="67"/>
      <c r="HE166" s="67"/>
      <c r="HF166" s="67"/>
      <c r="HG166" s="67"/>
      <c r="HH166" s="67"/>
      <c r="HI166" s="67"/>
      <c r="HJ166" s="67"/>
      <c r="HK166" s="67"/>
      <c r="HL166" s="67"/>
      <c r="HM166" s="67"/>
      <c r="HN166" s="67"/>
      <c r="HO166" s="67"/>
      <c r="HP166" s="67"/>
      <c r="HQ166" s="67"/>
      <c r="HR166" s="67"/>
      <c r="HS166" s="67"/>
      <c r="HT166" s="67"/>
      <c r="HU166" s="67"/>
      <c r="HV166" s="67"/>
      <c r="HW166" s="67"/>
      <c r="HX166" s="67"/>
      <c r="HY166" s="67"/>
      <c r="HZ166" s="67"/>
      <c r="IA166" s="67"/>
      <c r="IB166" s="67"/>
      <c r="IC166" s="67"/>
      <c r="ID166" s="67"/>
      <c r="IE166" s="67"/>
      <c r="IF166" s="67"/>
      <c r="IG166" s="67"/>
      <c r="IH166" s="67"/>
      <c r="II166" s="67"/>
      <c r="IJ166" s="67"/>
      <c r="IK166" s="67"/>
      <c r="IL166" s="67"/>
      <c r="IM166" s="67"/>
      <c r="IN166" s="67"/>
      <c r="IO166" s="67"/>
      <c r="IP166" s="67"/>
      <c r="IQ166" s="67"/>
      <c r="IR166" s="67"/>
      <c r="IS166" s="67"/>
      <c r="IT166" s="67"/>
      <c r="IU166" s="67"/>
      <c r="IV166" s="67"/>
    </row>
    <row r="167" spans="1:256" ht="15.95" customHeight="1" x14ac:dyDescent="0.25">
      <c r="A167" s="67"/>
      <c r="B167" s="39" t="s">
        <v>840</v>
      </c>
      <c r="C167" s="70"/>
      <c r="D167" s="69" t="s">
        <v>133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  <c r="EA167" s="67"/>
      <c r="EB167" s="67"/>
      <c r="EC167" s="67"/>
      <c r="ED167" s="67"/>
      <c r="EE167" s="67"/>
      <c r="EF167" s="67"/>
      <c r="EG167" s="67"/>
      <c r="EH167" s="67"/>
      <c r="EI167" s="67"/>
      <c r="EJ167" s="67"/>
      <c r="EK167" s="67"/>
      <c r="EL167" s="67"/>
      <c r="EM167" s="67"/>
      <c r="EN167" s="67"/>
      <c r="EO167" s="67"/>
      <c r="EP167" s="67"/>
      <c r="EQ167" s="67"/>
      <c r="ER167" s="67"/>
      <c r="ES167" s="67"/>
      <c r="ET167" s="67"/>
      <c r="EU167" s="67"/>
      <c r="EV167" s="67"/>
      <c r="EW167" s="67"/>
      <c r="EX167" s="67"/>
      <c r="EY167" s="67"/>
      <c r="EZ167" s="67"/>
      <c r="FA167" s="67"/>
      <c r="FB167" s="67"/>
      <c r="FC167" s="67"/>
      <c r="FD167" s="67"/>
      <c r="FE167" s="67"/>
      <c r="FF167" s="67"/>
      <c r="FG167" s="67"/>
      <c r="FH167" s="67"/>
      <c r="FI167" s="67"/>
      <c r="FJ167" s="67"/>
      <c r="FK167" s="67"/>
      <c r="FL167" s="67"/>
      <c r="FM167" s="67"/>
      <c r="FN167" s="67"/>
      <c r="FO167" s="67"/>
      <c r="FP167" s="67"/>
      <c r="FQ167" s="67"/>
      <c r="FR167" s="67"/>
      <c r="FS167" s="67"/>
      <c r="FT167" s="67"/>
      <c r="FU167" s="67"/>
      <c r="FV167" s="67"/>
      <c r="FW167" s="67"/>
      <c r="FX167" s="67"/>
      <c r="FY167" s="67"/>
      <c r="FZ167" s="67"/>
      <c r="GA167" s="67"/>
      <c r="GB167" s="67"/>
      <c r="GC167" s="67"/>
      <c r="GD167" s="67"/>
      <c r="GE167" s="67"/>
      <c r="GF167" s="67"/>
      <c r="GG167" s="67"/>
      <c r="GH167" s="67"/>
      <c r="GI167" s="67"/>
      <c r="GJ167" s="67"/>
      <c r="GK167" s="67"/>
      <c r="GL167" s="67"/>
      <c r="GM167" s="67"/>
      <c r="GN167" s="67"/>
      <c r="GO167" s="67"/>
      <c r="GP167" s="67"/>
      <c r="GQ167" s="67"/>
      <c r="GR167" s="67"/>
      <c r="GS167" s="67"/>
      <c r="GT167" s="67"/>
      <c r="GU167" s="67"/>
      <c r="GV167" s="67"/>
      <c r="GW167" s="67"/>
      <c r="GX167" s="67"/>
      <c r="GY167" s="67"/>
      <c r="GZ167" s="67"/>
      <c r="HA167" s="67"/>
      <c r="HB167" s="67"/>
      <c r="HC167" s="67"/>
      <c r="HD167" s="67"/>
      <c r="HE167" s="67"/>
      <c r="HF167" s="67"/>
      <c r="HG167" s="67"/>
      <c r="HH167" s="67"/>
      <c r="HI167" s="67"/>
      <c r="HJ167" s="67"/>
      <c r="HK167" s="67"/>
      <c r="HL167" s="67"/>
      <c r="HM167" s="67"/>
      <c r="HN167" s="67"/>
      <c r="HO167" s="67"/>
      <c r="HP167" s="67"/>
      <c r="HQ167" s="67"/>
      <c r="HR167" s="67"/>
      <c r="HS167" s="67"/>
      <c r="HT167" s="67"/>
      <c r="HU167" s="67"/>
      <c r="HV167" s="67"/>
      <c r="HW167" s="67"/>
      <c r="HX167" s="67"/>
      <c r="HY167" s="67"/>
      <c r="HZ167" s="67"/>
      <c r="IA167" s="67"/>
      <c r="IB167" s="67"/>
      <c r="IC167" s="67"/>
      <c r="ID167" s="67"/>
      <c r="IE167" s="67"/>
      <c r="IF167" s="67"/>
      <c r="IG167" s="67"/>
      <c r="IH167" s="67"/>
      <c r="II167" s="67"/>
      <c r="IJ167" s="67"/>
      <c r="IK167" s="67"/>
      <c r="IL167" s="67"/>
      <c r="IM167" s="67"/>
      <c r="IN167" s="67"/>
      <c r="IO167" s="67"/>
      <c r="IP167" s="67"/>
      <c r="IQ167" s="67"/>
      <c r="IR167" s="67"/>
      <c r="IS167" s="67"/>
      <c r="IT167" s="67"/>
      <c r="IU167" s="67"/>
      <c r="IV167" s="67"/>
    </row>
  </sheetData>
  <mergeCells count="5">
    <mergeCell ref="A1:G1"/>
    <mergeCell ref="A2:G2"/>
    <mergeCell ref="A3:G3"/>
    <mergeCell ref="B144:F144"/>
    <mergeCell ref="B145:F145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V112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717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33</v>
      </c>
      <c r="C7" s="11" t="s">
        <v>34</v>
      </c>
      <c r="D7" s="2" t="s">
        <v>13</v>
      </c>
      <c r="E7" s="46">
        <v>192640</v>
      </c>
      <c r="F7" s="51">
        <v>4337.5785599999999</v>
      </c>
      <c r="G7" s="5">
        <v>0.240438447</v>
      </c>
    </row>
    <row r="8" spans="1:7" ht="15" x14ac:dyDescent="0.25">
      <c r="A8" s="6">
        <v>2</v>
      </c>
      <c r="B8" s="7" t="s">
        <v>11</v>
      </c>
      <c r="C8" s="11" t="s">
        <v>12</v>
      </c>
      <c r="D8" s="2" t="s">
        <v>13</v>
      </c>
      <c r="E8" s="46">
        <v>700154</v>
      </c>
      <c r="F8" s="51">
        <v>2972.8538840000001</v>
      </c>
      <c r="G8" s="5">
        <v>0.164789723</v>
      </c>
    </row>
    <row r="9" spans="1:7" ht="25.5" x14ac:dyDescent="0.25">
      <c r="A9" s="6">
        <v>3</v>
      </c>
      <c r="B9" s="7" t="s">
        <v>489</v>
      </c>
      <c r="C9" s="11" t="s">
        <v>490</v>
      </c>
      <c r="D9" s="2" t="s">
        <v>162</v>
      </c>
      <c r="E9" s="46">
        <v>102667</v>
      </c>
      <c r="F9" s="51">
        <v>2178.388406</v>
      </c>
      <c r="G9" s="5">
        <v>0.120751317</v>
      </c>
    </row>
    <row r="10" spans="1:7" ht="15" x14ac:dyDescent="0.25">
      <c r="A10" s="6">
        <v>4</v>
      </c>
      <c r="B10" s="7" t="s">
        <v>487</v>
      </c>
      <c r="C10" s="11" t="s">
        <v>488</v>
      </c>
      <c r="D10" s="2" t="s">
        <v>13</v>
      </c>
      <c r="E10" s="46">
        <v>120794</v>
      </c>
      <c r="F10" s="51">
        <v>1835.5252270000001</v>
      </c>
      <c r="G10" s="5">
        <v>0.1017459</v>
      </c>
    </row>
    <row r="11" spans="1:7" ht="15" x14ac:dyDescent="0.25">
      <c r="A11" s="6">
        <v>5</v>
      </c>
      <c r="B11" s="7" t="s">
        <v>394</v>
      </c>
      <c r="C11" s="11" t="s">
        <v>395</v>
      </c>
      <c r="D11" s="2" t="s">
        <v>13</v>
      </c>
      <c r="E11" s="46">
        <v>202926</v>
      </c>
      <c r="F11" s="51">
        <v>1367.924166</v>
      </c>
      <c r="G11" s="5">
        <v>7.5826076000000006E-2</v>
      </c>
    </row>
    <row r="12" spans="1:7" ht="15" x14ac:dyDescent="0.25">
      <c r="A12" s="6">
        <v>6</v>
      </c>
      <c r="B12" s="7" t="s">
        <v>47</v>
      </c>
      <c r="C12" s="11" t="s">
        <v>48</v>
      </c>
      <c r="D12" s="2" t="s">
        <v>13</v>
      </c>
      <c r="E12" s="46">
        <v>388132</v>
      </c>
      <c r="F12" s="51">
        <v>1289.3745039999999</v>
      </c>
      <c r="G12" s="5">
        <v>7.1471951000000006E-2</v>
      </c>
    </row>
    <row r="13" spans="1:7" ht="15" x14ac:dyDescent="0.25">
      <c r="A13" s="6">
        <v>7</v>
      </c>
      <c r="B13" s="7" t="s">
        <v>412</v>
      </c>
      <c r="C13" s="11" t="s">
        <v>413</v>
      </c>
      <c r="D13" s="2" t="s">
        <v>162</v>
      </c>
      <c r="E13" s="46">
        <v>25301</v>
      </c>
      <c r="F13" s="51">
        <v>822.80117050000001</v>
      </c>
      <c r="G13" s="5">
        <v>4.5609096000000002E-2</v>
      </c>
    </row>
    <row r="14" spans="1:7" ht="15" x14ac:dyDescent="0.25">
      <c r="A14" s="6">
        <v>8</v>
      </c>
      <c r="B14" s="7" t="s">
        <v>532</v>
      </c>
      <c r="C14" s="11" t="s">
        <v>533</v>
      </c>
      <c r="D14" s="2" t="s">
        <v>162</v>
      </c>
      <c r="E14" s="46">
        <v>5482</v>
      </c>
      <c r="F14" s="51">
        <v>389.10413699999998</v>
      </c>
      <c r="G14" s="5">
        <v>2.1568621999999999E-2</v>
      </c>
    </row>
    <row r="15" spans="1:7" ht="25.5" x14ac:dyDescent="0.25">
      <c r="A15" s="6">
        <v>9</v>
      </c>
      <c r="B15" s="7" t="s">
        <v>390</v>
      </c>
      <c r="C15" s="11" t="s">
        <v>391</v>
      </c>
      <c r="D15" s="2" t="s">
        <v>162</v>
      </c>
      <c r="E15" s="46">
        <v>46983</v>
      </c>
      <c r="F15" s="51">
        <v>374.71291650000001</v>
      </c>
      <c r="G15" s="5">
        <v>2.0770896E-2</v>
      </c>
    </row>
    <row r="16" spans="1:7" ht="25.5" x14ac:dyDescent="0.25">
      <c r="A16" s="6">
        <v>10</v>
      </c>
      <c r="B16" s="7" t="s">
        <v>404</v>
      </c>
      <c r="C16" s="11" t="s">
        <v>405</v>
      </c>
      <c r="D16" s="2" t="s">
        <v>162</v>
      </c>
      <c r="E16" s="46">
        <v>15128</v>
      </c>
      <c r="F16" s="51">
        <v>325.13097599999998</v>
      </c>
      <c r="G16" s="5">
        <v>1.8022494999999999E-2</v>
      </c>
    </row>
    <row r="17" spans="1:7" ht="25.5" x14ac:dyDescent="0.25">
      <c r="A17" s="6">
        <v>11</v>
      </c>
      <c r="B17" s="7" t="s">
        <v>406</v>
      </c>
      <c r="C17" s="11" t="s">
        <v>407</v>
      </c>
      <c r="D17" s="2" t="s">
        <v>162</v>
      </c>
      <c r="E17" s="46">
        <v>26481</v>
      </c>
      <c r="F17" s="51">
        <v>319.71835349999998</v>
      </c>
      <c r="G17" s="5">
        <v>1.7722465E-2</v>
      </c>
    </row>
    <row r="18" spans="1:7" ht="15" x14ac:dyDescent="0.25">
      <c r="A18" s="6">
        <v>12</v>
      </c>
      <c r="B18" s="7" t="s">
        <v>361</v>
      </c>
      <c r="C18" s="11" t="s">
        <v>362</v>
      </c>
      <c r="D18" s="2" t="s">
        <v>162</v>
      </c>
      <c r="E18" s="46">
        <v>102993</v>
      </c>
      <c r="F18" s="51">
        <v>224.62773300000001</v>
      </c>
      <c r="G18" s="5">
        <v>1.2451449999999999E-2</v>
      </c>
    </row>
    <row r="19" spans="1:7" ht="15" x14ac:dyDescent="0.25">
      <c r="A19" s="6">
        <v>13</v>
      </c>
      <c r="B19" s="7" t="s">
        <v>338</v>
      </c>
      <c r="C19" s="11" t="s">
        <v>339</v>
      </c>
      <c r="D19" s="2" t="s">
        <v>162</v>
      </c>
      <c r="E19" s="46">
        <v>50000</v>
      </c>
      <c r="F19" s="51">
        <v>208.6</v>
      </c>
      <c r="G19" s="5">
        <v>1.1563009000000001E-2</v>
      </c>
    </row>
    <row r="20" spans="1:7" ht="25.5" x14ac:dyDescent="0.25">
      <c r="A20" s="6">
        <v>14</v>
      </c>
      <c r="B20" s="7" t="s">
        <v>408</v>
      </c>
      <c r="C20" s="11" t="s">
        <v>409</v>
      </c>
      <c r="D20" s="2" t="s">
        <v>162</v>
      </c>
      <c r="E20" s="46">
        <v>39000</v>
      </c>
      <c r="F20" s="51">
        <v>192.465</v>
      </c>
      <c r="G20" s="5">
        <v>1.0668621999999999E-2</v>
      </c>
    </row>
    <row r="21" spans="1:7" ht="15" x14ac:dyDescent="0.25">
      <c r="A21" s="6">
        <v>15</v>
      </c>
      <c r="B21" s="7" t="s">
        <v>163</v>
      </c>
      <c r="C21" s="11" t="s">
        <v>164</v>
      </c>
      <c r="D21" s="2" t="s">
        <v>13</v>
      </c>
      <c r="E21" s="46">
        <v>73395</v>
      </c>
      <c r="F21" s="51">
        <v>143.487225</v>
      </c>
      <c r="G21" s="5">
        <v>7.9537110000000005E-3</v>
      </c>
    </row>
    <row r="22" spans="1:7" ht="15" x14ac:dyDescent="0.25">
      <c r="A22" s="6">
        <v>16</v>
      </c>
      <c r="B22" s="7" t="s">
        <v>264</v>
      </c>
      <c r="C22" s="11" t="s">
        <v>265</v>
      </c>
      <c r="D22" s="2" t="s">
        <v>162</v>
      </c>
      <c r="E22" s="46">
        <v>184713</v>
      </c>
      <c r="F22" s="51">
        <v>123.66535349999999</v>
      </c>
      <c r="G22" s="5">
        <v>6.8549550000000002E-3</v>
      </c>
    </row>
    <row r="23" spans="1:7" ht="15" x14ac:dyDescent="0.25">
      <c r="A23" s="6">
        <v>17</v>
      </c>
      <c r="B23" s="7" t="s">
        <v>375</v>
      </c>
      <c r="C23" s="11" t="s">
        <v>376</v>
      </c>
      <c r="D23" s="2" t="s">
        <v>162</v>
      </c>
      <c r="E23" s="46">
        <v>6531</v>
      </c>
      <c r="F23" s="51">
        <v>69.748141050000001</v>
      </c>
      <c r="G23" s="5">
        <v>3.8662430000000001E-3</v>
      </c>
    </row>
    <row r="24" spans="1:7" ht="15" x14ac:dyDescent="0.25">
      <c r="A24" s="6">
        <v>18</v>
      </c>
      <c r="B24" s="7" t="s">
        <v>379</v>
      </c>
      <c r="C24" s="11" t="s">
        <v>380</v>
      </c>
      <c r="D24" s="2" t="s">
        <v>162</v>
      </c>
      <c r="E24" s="46">
        <v>45714</v>
      </c>
      <c r="F24" s="51">
        <v>9.9633663000000006</v>
      </c>
      <c r="G24" s="5">
        <v>5.52284E-4</v>
      </c>
    </row>
    <row r="25" spans="1:7" ht="15" x14ac:dyDescent="0.25">
      <c r="A25" s="1"/>
      <c r="B25" s="2"/>
      <c r="C25" s="8" t="s">
        <v>104</v>
      </c>
      <c r="D25" s="12"/>
      <c r="E25" s="48"/>
      <c r="F25" s="53">
        <v>17185.669119350001</v>
      </c>
      <c r="G25" s="13">
        <v>0.95262726199999981</v>
      </c>
    </row>
    <row r="26" spans="1:7" ht="15" x14ac:dyDescent="0.25">
      <c r="A26" s="6"/>
      <c r="B26" s="7"/>
      <c r="C26" s="14"/>
      <c r="D26" s="15"/>
      <c r="E26" s="46"/>
      <c r="F26" s="51"/>
      <c r="G26" s="5"/>
    </row>
    <row r="27" spans="1:7" ht="15" x14ac:dyDescent="0.25">
      <c r="A27" s="1"/>
      <c r="B27" s="2"/>
      <c r="C27" s="8" t="s">
        <v>105</v>
      </c>
      <c r="D27" s="9"/>
      <c r="E27" s="47"/>
      <c r="F27" s="52"/>
      <c r="G27" s="10"/>
    </row>
    <row r="28" spans="1:7" ht="15" x14ac:dyDescent="0.25">
      <c r="A28" s="1"/>
      <c r="B28" s="2"/>
      <c r="C28" s="8" t="s">
        <v>104</v>
      </c>
      <c r="D28" s="12"/>
      <c r="E28" s="48"/>
      <c r="F28" s="53">
        <v>0</v>
      </c>
      <c r="G28" s="13">
        <v>0</v>
      </c>
    </row>
    <row r="29" spans="1:7" ht="15" x14ac:dyDescent="0.25">
      <c r="A29" s="6"/>
      <c r="B29" s="7"/>
      <c r="C29" s="14"/>
      <c r="D29" s="15"/>
      <c r="E29" s="46"/>
      <c r="F29" s="51"/>
      <c r="G29" s="5"/>
    </row>
    <row r="30" spans="1:7" ht="15" x14ac:dyDescent="0.25">
      <c r="A30" s="16"/>
      <c r="B30" s="17"/>
      <c r="C30" s="8" t="s">
        <v>106</v>
      </c>
      <c r="D30" s="9"/>
      <c r="E30" s="47"/>
      <c r="F30" s="52"/>
      <c r="G30" s="10"/>
    </row>
    <row r="31" spans="1:7" ht="15" x14ac:dyDescent="0.25">
      <c r="A31" s="18"/>
      <c r="B31" s="19"/>
      <c r="C31" s="8" t="s">
        <v>104</v>
      </c>
      <c r="D31" s="20"/>
      <c r="E31" s="49"/>
      <c r="F31" s="54">
        <v>0</v>
      </c>
      <c r="G31" s="21">
        <v>0</v>
      </c>
    </row>
    <row r="32" spans="1:7" ht="15" x14ac:dyDescent="0.25">
      <c r="A32" s="18"/>
      <c r="B32" s="19"/>
      <c r="C32" s="14"/>
      <c r="D32" s="22"/>
      <c r="E32" s="50"/>
      <c r="F32" s="55"/>
      <c r="G32" s="23"/>
    </row>
    <row r="33" spans="1:7" ht="15" x14ac:dyDescent="0.25">
      <c r="A33" s="1"/>
      <c r="B33" s="2"/>
      <c r="C33" s="8" t="s">
        <v>108</v>
      </c>
      <c r="D33" s="9"/>
      <c r="E33" s="47"/>
      <c r="F33" s="52"/>
      <c r="G33" s="10"/>
    </row>
    <row r="34" spans="1:7" ht="15" x14ac:dyDescent="0.25">
      <c r="A34" s="1"/>
      <c r="B34" s="2"/>
      <c r="C34" s="8" t="s">
        <v>104</v>
      </c>
      <c r="D34" s="12"/>
      <c r="E34" s="48"/>
      <c r="F34" s="53">
        <v>0</v>
      </c>
      <c r="G34" s="13">
        <v>0</v>
      </c>
    </row>
    <row r="35" spans="1:7" ht="15" x14ac:dyDescent="0.25">
      <c r="A35" s="1"/>
      <c r="B35" s="2"/>
      <c r="C35" s="14"/>
      <c r="D35" s="4"/>
      <c r="E35" s="46"/>
      <c r="F35" s="51"/>
      <c r="G35" s="5"/>
    </row>
    <row r="36" spans="1:7" ht="15" x14ac:dyDescent="0.25">
      <c r="A36" s="1"/>
      <c r="B36" s="2"/>
      <c r="C36" s="8" t="s">
        <v>109</v>
      </c>
      <c r="D36" s="9"/>
      <c r="E36" s="47"/>
      <c r="F36" s="52"/>
      <c r="G36" s="10"/>
    </row>
    <row r="37" spans="1:7" ht="15" x14ac:dyDescent="0.25">
      <c r="A37" s="1"/>
      <c r="B37" s="2"/>
      <c r="C37" s="8" t="s">
        <v>104</v>
      </c>
      <c r="D37" s="12"/>
      <c r="E37" s="48"/>
      <c r="F37" s="53">
        <v>0</v>
      </c>
      <c r="G37" s="13">
        <v>0</v>
      </c>
    </row>
    <row r="38" spans="1:7" ht="15" x14ac:dyDescent="0.25">
      <c r="A38" s="1"/>
      <c r="B38" s="2"/>
      <c r="C38" s="14"/>
      <c r="D38" s="4"/>
      <c r="E38" s="46"/>
      <c r="F38" s="51"/>
      <c r="G38" s="5"/>
    </row>
    <row r="39" spans="1:7" ht="15" x14ac:dyDescent="0.25">
      <c r="A39" s="1"/>
      <c r="B39" s="2"/>
      <c r="C39" s="8" t="s">
        <v>110</v>
      </c>
      <c r="D39" s="9"/>
      <c r="E39" s="47"/>
      <c r="F39" s="52"/>
      <c r="G39" s="10"/>
    </row>
    <row r="40" spans="1:7" ht="15" x14ac:dyDescent="0.25">
      <c r="A40" s="1"/>
      <c r="B40" s="2"/>
      <c r="C40" s="8" t="s">
        <v>104</v>
      </c>
      <c r="D40" s="12"/>
      <c r="E40" s="48"/>
      <c r="F40" s="53">
        <v>0</v>
      </c>
      <c r="G40" s="13">
        <v>0</v>
      </c>
    </row>
    <row r="41" spans="1:7" ht="15" x14ac:dyDescent="0.25">
      <c r="A41" s="1"/>
      <c r="B41" s="2"/>
      <c r="C41" s="14"/>
      <c r="D41" s="4"/>
      <c r="E41" s="46"/>
      <c r="F41" s="51"/>
      <c r="G41" s="5"/>
    </row>
    <row r="42" spans="1:7" ht="25.5" x14ac:dyDescent="0.25">
      <c r="A42" s="6"/>
      <c r="B42" s="7"/>
      <c r="C42" s="24" t="s">
        <v>111</v>
      </c>
      <c r="D42" s="25"/>
      <c r="E42" s="48"/>
      <c r="F42" s="53">
        <v>17185.669119350001</v>
      </c>
      <c r="G42" s="13">
        <v>0.95262726199999981</v>
      </c>
    </row>
    <row r="43" spans="1:7" ht="15" x14ac:dyDescent="0.25">
      <c r="A43" s="1"/>
      <c r="B43" s="2"/>
      <c r="C43" s="11"/>
      <c r="D43" s="4"/>
      <c r="E43" s="46"/>
      <c r="F43" s="51"/>
      <c r="G43" s="5"/>
    </row>
    <row r="44" spans="1:7" ht="15" x14ac:dyDescent="0.25">
      <c r="A44" s="1"/>
      <c r="B44" s="2"/>
      <c r="C44" s="3" t="s">
        <v>112</v>
      </c>
      <c r="D44" s="4"/>
      <c r="E44" s="46"/>
      <c r="F44" s="51"/>
      <c r="G44" s="5"/>
    </row>
    <row r="45" spans="1:7" ht="25.5" x14ac:dyDescent="0.25">
      <c r="A45" s="1"/>
      <c r="B45" s="2"/>
      <c r="C45" s="8" t="s">
        <v>10</v>
      </c>
      <c r="D45" s="9"/>
      <c r="E45" s="47"/>
      <c r="F45" s="52"/>
      <c r="G45" s="10"/>
    </row>
    <row r="46" spans="1:7" ht="15" x14ac:dyDescent="0.25">
      <c r="A46" s="6"/>
      <c r="B46" s="7"/>
      <c r="C46" s="8" t="s">
        <v>104</v>
      </c>
      <c r="D46" s="12"/>
      <c r="E46" s="48"/>
      <c r="F46" s="53">
        <v>0</v>
      </c>
      <c r="G46" s="13">
        <v>0</v>
      </c>
    </row>
    <row r="47" spans="1:7" ht="15" x14ac:dyDescent="0.25">
      <c r="A47" s="6"/>
      <c r="B47" s="7"/>
      <c r="C47" s="14"/>
      <c r="D47" s="4"/>
      <c r="E47" s="46"/>
      <c r="F47" s="51"/>
      <c r="G47" s="5"/>
    </row>
    <row r="48" spans="1:7" ht="15" x14ac:dyDescent="0.25">
      <c r="A48" s="1"/>
      <c r="B48" s="26"/>
      <c r="C48" s="8" t="s">
        <v>113</v>
      </c>
      <c r="D48" s="9"/>
      <c r="E48" s="47"/>
      <c r="F48" s="52"/>
      <c r="G48" s="10"/>
    </row>
    <row r="49" spans="1:7" ht="15" x14ac:dyDescent="0.25">
      <c r="A49" s="6"/>
      <c r="B49" s="7"/>
      <c r="C49" s="8" t="s">
        <v>104</v>
      </c>
      <c r="D49" s="12"/>
      <c r="E49" s="48"/>
      <c r="F49" s="53">
        <v>0</v>
      </c>
      <c r="G49" s="13">
        <v>0</v>
      </c>
    </row>
    <row r="50" spans="1:7" ht="15" x14ac:dyDescent="0.25">
      <c r="A50" s="6"/>
      <c r="B50" s="7"/>
      <c r="C50" s="14"/>
      <c r="D50" s="4"/>
      <c r="E50" s="46"/>
      <c r="F50" s="56"/>
      <c r="G50" s="27"/>
    </row>
    <row r="51" spans="1:7" ht="15" x14ac:dyDescent="0.25">
      <c r="A51" s="1"/>
      <c r="B51" s="2"/>
      <c r="C51" s="8" t="s">
        <v>114</v>
      </c>
      <c r="D51" s="9"/>
      <c r="E51" s="47"/>
      <c r="F51" s="52"/>
      <c r="G51" s="10"/>
    </row>
    <row r="52" spans="1:7" ht="15" x14ac:dyDescent="0.25">
      <c r="A52" s="6"/>
      <c r="B52" s="7"/>
      <c r="C52" s="8" t="s">
        <v>104</v>
      </c>
      <c r="D52" s="12"/>
      <c r="E52" s="48"/>
      <c r="F52" s="53">
        <v>0</v>
      </c>
      <c r="G52" s="13">
        <v>0</v>
      </c>
    </row>
    <row r="53" spans="1:7" ht="15" x14ac:dyDescent="0.25">
      <c r="A53" s="1"/>
      <c r="B53" s="2"/>
      <c r="C53" s="14"/>
      <c r="D53" s="4"/>
      <c r="E53" s="46"/>
      <c r="F53" s="51"/>
      <c r="G53" s="5"/>
    </row>
    <row r="54" spans="1:7" ht="25.5" x14ac:dyDescent="0.25">
      <c r="A54" s="1"/>
      <c r="B54" s="26"/>
      <c r="C54" s="8" t="s">
        <v>115</v>
      </c>
      <c r="D54" s="9"/>
      <c r="E54" s="47"/>
      <c r="F54" s="52"/>
      <c r="G54" s="10"/>
    </row>
    <row r="55" spans="1:7" ht="15" x14ac:dyDescent="0.25">
      <c r="A55" s="6"/>
      <c r="B55" s="7"/>
      <c r="C55" s="8" t="s">
        <v>104</v>
      </c>
      <c r="D55" s="12"/>
      <c r="E55" s="48"/>
      <c r="F55" s="53">
        <v>0</v>
      </c>
      <c r="G55" s="13">
        <v>0</v>
      </c>
    </row>
    <row r="56" spans="1:7" ht="15" x14ac:dyDescent="0.25">
      <c r="A56" s="6"/>
      <c r="B56" s="7"/>
      <c r="C56" s="14"/>
      <c r="D56" s="4"/>
      <c r="E56" s="46"/>
      <c r="F56" s="51"/>
      <c r="G56" s="5"/>
    </row>
    <row r="57" spans="1:7" ht="15" x14ac:dyDescent="0.25">
      <c r="A57" s="6"/>
      <c r="B57" s="7"/>
      <c r="C57" s="28" t="s">
        <v>116</v>
      </c>
      <c r="D57" s="25"/>
      <c r="E57" s="48"/>
      <c r="F57" s="53">
        <v>0</v>
      </c>
      <c r="G57" s="13">
        <v>0</v>
      </c>
    </row>
    <row r="58" spans="1:7" ht="15" x14ac:dyDescent="0.25">
      <c r="A58" s="6"/>
      <c r="B58" s="7"/>
      <c r="C58" s="11"/>
      <c r="D58" s="4"/>
      <c r="E58" s="46"/>
      <c r="F58" s="51"/>
      <c r="G58" s="5"/>
    </row>
    <row r="59" spans="1:7" ht="15" x14ac:dyDescent="0.25">
      <c r="A59" s="1"/>
      <c r="B59" s="2"/>
      <c r="C59" s="3" t="s">
        <v>117</v>
      </c>
      <c r="D59" s="4"/>
      <c r="E59" s="46"/>
      <c r="F59" s="51"/>
      <c r="G59" s="5"/>
    </row>
    <row r="60" spans="1:7" ht="15" x14ac:dyDescent="0.25">
      <c r="A60" s="6"/>
      <c r="B60" s="7"/>
      <c r="C60" s="8" t="s">
        <v>118</v>
      </c>
      <c r="D60" s="9"/>
      <c r="E60" s="47"/>
      <c r="F60" s="52"/>
      <c r="G60" s="10"/>
    </row>
    <row r="61" spans="1:7" ht="15" x14ac:dyDescent="0.25">
      <c r="A61" s="6"/>
      <c r="B61" s="7"/>
      <c r="C61" s="8" t="s">
        <v>104</v>
      </c>
      <c r="D61" s="25"/>
      <c r="E61" s="48"/>
      <c r="F61" s="53">
        <v>0</v>
      </c>
      <c r="G61" s="13">
        <v>0</v>
      </c>
    </row>
    <row r="62" spans="1:7" ht="15" x14ac:dyDescent="0.25">
      <c r="A62" s="6"/>
      <c r="B62" s="7"/>
      <c r="C62" s="14"/>
      <c r="D62" s="7"/>
      <c r="E62" s="46"/>
      <c r="F62" s="51"/>
      <c r="G62" s="5"/>
    </row>
    <row r="63" spans="1:7" ht="15" x14ac:dyDescent="0.25">
      <c r="A63" s="6"/>
      <c r="B63" s="7"/>
      <c r="C63" s="8" t="s">
        <v>119</v>
      </c>
      <c r="D63" s="9"/>
      <c r="E63" s="47"/>
      <c r="F63" s="52"/>
      <c r="G63" s="10"/>
    </row>
    <row r="64" spans="1:7" ht="15" x14ac:dyDescent="0.25">
      <c r="A64" s="6"/>
      <c r="B64" s="7"/>
      <c r="C64" s="8" t="s">
        <v>104</v>
      </c>
      <c r="D64" s="25"/>
      <c r="E64" s="48"/>
      <c r="F64" s="53">
        <v>0</v>
      </c>
      <c r="G64" s="13">
        <v>0</v>
      </c>
    </row>
    <row r="65" spans="1:7" ht="15" x14ac:dyDescent="0.25">
      <c r="A65" s="6"/>
      <c r="B65" s="7"/>
      <c r="C65" s="14"/>
      <c r="D65" s="7"/>
      <c r="E65" s="46"/>
      <c r="F65" s="51"/>
      <c r="G65" s="5"/>
    </row>
    <row r="66" spans="1:7" ht="15" x14ac:dyDescent="0.25">
      <c r="A66" s="6"/>
      <c r="B66" s="7"/>
      <c r="C66" s="8" t="s">
        <v>120</v>
      </c>
      <c r="D66" s="9"/>
      <c r="E66" s="47"/>
      <c r="F66" s="52"/>
      <c r="G66" s="10"/>
    </row>
    <row r="67" spans="1:7" ht="15" x14ac:dyDescent="0.25">
      <c r="A67" s="6"/>
      <c r="B67" s="7"/>
      <c r="C67" s="8" t="s">
        <v>104</v>
      </c>
      <c r="D67" s="25"/>
      <c r="E67" s="48"/>
      <c r="F67" s="53">
        <v>0</v>
      </c>
      <c r="G67" s="13">
        <v>0</v>
      </c>
    </row>
    <row r="68" spans="1:7" ht="15" x14ac:dyDescent="0.25">
      <c r="A68" s="6"/>
      <c r="B68" s="7"/>
      <c r="C68" s="14"/>
      <c r="D68" s="7"/>
      <c r="E68" s="46"/>
      <c r="F68" s="51"/>
      <c r="G68" s="5"/>
    </row>
    <row r="69" spans="1:7" ht="15" x14ac:dyDescent="0.25">
      <c r="A69" s="6"/>
      <c r="B69" s="7"/>
      <c r="C69" s="8" t="s">
        <v>121</v>
      </c>
      <c r="D69" s="9"/>
      <c r="E69" s="47"/>
      <c r="F69" s="52"/>
      <c r="G69" s="10"/>
    </row>
    <row r="70" spans="1:7" ht="15" x14ac:dyDescent="0.25">
      <c r="A70" s="6">
        <v>1</v>
      </c>
      <c r="B70" s="7"/>
      <c r="C70" s="11" t="s">
        <v>730</v>
      </c>
      <c r="D70" s="15"/>
      <c r="E70" s="46"/>
      <c r="F70" s="51">
        <v>782.88010159999999</v>
      </c>
      <c r="G70" s="5">
        <v>4.3396210999999997E-2</v>
      </c>
    </row>
    <row r="71" spans="1:7" ht="15" x14ac:dyDescent="0.25">
      <c r="A71" s="6"/>
      <c r="B71" s="7"/>
      <c r="C71" s="8" t="s">
        <v>104</v>
      </c>
      <c r="D71" s="25"/>
      <c r="E71" s="48"/>
      <c r="F71" s="53">
        <v>782.88010159999999</v>
      </c>
      <c r="G71" s="13">
        <v>4.3396210999999997E-2</v>
      </c>
    </row>
    <row r="72" spans="1:7" ht="15" x14ac:dyDescent="0.25">
      <c r="A72" s="6"/>
      <c r="B72" s="7"/>
      <c r="C72" s="14"/>
      <c r="D72" s="7"/>
      <c r="E72" s="46"/>
      <c r="F72" s="51"/>
      <c r="G72" s="5"/>
    </row>
    <row r="73" spans="1:7" ht="25.5" x14ac:dyDescent="0.25">
      <c r="A73" s="6"/>
      <c r="B73" s="7"/>
      <c r="C73" s="24" t="s">
        <v>122</v>
      </c>
      <c r="D73" s="25"/>
      <c r="E73" s="48"/>
      <c r="F73" s="53">
        <v>782.88010159999999</v>
      </c>
      <c r="G73" s="13">
        <v>4.3396210999999997E-2</v>
      </c>
    </row>
    <row r="74" spans="1:7" ht="15" x14ac:dyDescent="0.25">
      <c r="A74" s="6"/>
      <c r="B74" s="7"/>
      <c r="C74" s="29"/>
      <c r="D74" s="7"/>
      <c r="E74" s="46"/>
      <c r="F74" s="51"/>
      <c r="G74" s="5"/>
    </row>
    <row r="75" spans="1:7" ht="15" x14ac:dyDescent="0.25">
      <c r="A75" s="1"/>
      <c r="B75" s="2"/>
      <c r="C75" s="3" t="s">
        <v>123</v>
      </c>
      <c r="D75" s="4"/>
      <c r="E75" s="46"/>
      <c r="F75" s="51"/>
      <c r="G75" s="5"/>
    </row>
    <row r="76" spans="1:7" ht="25.5" x14ac:dyDescent="0.25">
      <c r="A76" s="6"/>
      <c r="B76" s="7"/>
      <c r="C76" s="8" t="s">
        <v>124</v>
      </c>
      <c r="D76" s="9"/>
      <c r="E76" s="47"/>
      <c r="F76" s="52"/>
      <c r="G76" s="10"/>
    </row>
    <row r="77" spans="1:7" ht="15" x14ac:dyDescent="0.25">
      <c r="A77" s="6"/>
      <c r="B77" s="7"/>
      <c r="C77" s="8" t="s">
        <v>104</v>
      </c>
      <c r="D77" s="25"/>
      <c r="E77" s="48"/>
      <c r="F77" s="53">
        <v>0</v>
      </c>
      <c r="G77" s="13">
        <v>0</v>
      </c>
    </row>
    <row r="78" spans="1:7" ht="15" x14ac:dyDescent="0.25">
      <c r="A78" s="6"/>
      <c r="B78" s="7"/>
      <c r="C78" s="14"/>
      <c r="D78" s="7"/>
      <c r="E78" s="46"/>
      <c r="F78" s="51"/>
      <c r="G78" s="5"/>
    </row>
    <row r="79" spans="1:7" ht="15" x14ac:dyDescent="0.25">
      <c r="A79" s="1"/>
      <c r="B79" s="2"/>
      <c r="C79" s="3" t="s">
        <v>125</v>
      </c>
      <c r="D79" s="4"/>
      <c r="E79" s="46"/>
      <c r="F79" s="51"/>
      <c r="G79" s="5"/>
    </row>
    <row r="80" spans="1:7" ht="25.5" x14ac:dyDescent="0.25">
      <c r="A80" s="6"/>
      <c r="B80" s="7"/>
      <c r="C80" s="8" t="s">
        <v>126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7"/>
      <c r="E82" s="46"/>
      <c r="F82" s="51"/>
      <c r="G82" s="5"/>
    </row>
    <row r="83" spans="1:7" ht="25.5" x14ac:dyDescent="0.25">
      <c r="A83" s="6"/>
      <c r="B83" s="7"/>
      <c r="C83" s="8" t="s">
        <v>127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25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7"/>
      <c r="E85" s="46"/>
      <c r="F85" s="56"/>
      <c r="G85" s="27"/>
    </row>
    <row r="86" spans="1:7" ht="25.5" x14ac:dyDescent="0.25">
      <c r="A86" s="6"/>
      <c r="B86" s="7"/>
      <c r="C86" s="29" t="s">
        <v>128</v>
      </c>
      <c r="D86" s="7"/>
      <c r="E86" s="46"/>
      <c r="F86" s="56">
        <v>71.737670910000006</v>
      </c>
      <c r="G86" s="27">
        <v>3.9765260000000002E-3</v>
      </c>
    </row>
    <row r="87" spans="1:7" ht="15" x14ac:dyDescent="0.25">
      <c r="A87" s="6"/>
      <c r="B87" s="7"/>
      <c r="C87" s="30" t="s">
        <v>129</v>
      </c>
      <c r="D87" s="12"/>
      <c r="E87" s="48"/>
      <c r="F87" s="53">
        <v>18040.28689186</v>
      </c>
      <c r="G87" s="13">
        <v>0.99999999899999981</v>
      </c>
    </row>
    <row r="89" spans="1:7" ht="15" x14ac:dyDescent="0.25">
      <c r="B89" s="279"/>
      <c r="C89" s="279"/>
      <c r="D89" s="279"/>
      <c r="E89" s="279"/>
      <c r="F89" s="279"/>
    </row>
    <row r="90" spans="1:7" ht="15" x14ac:dyDescent="0.25">
      <c r="B90" s="279"/>
      <c r="C90" s="279"/>
      <c r="D90" s="279"/>
      <c r="E90" s="279"/>
      <c r="F90" s="279"/>
    </row>
    <row r="92" spans="1:7" ht="15" x14ac:dyDescent="0.25">
      <c r="B92" s="36" t="s">
        <v>131</v>
      </c>
      <c r="C92" s="37"/>
      <c r="D92" s="38"/>
    </row>
    <row r="93" spans="1:7" ht="15" x14ac:dyDescent="0.25">
      <c r="B93" s="39" t="s">
        <v>132</v>
      </c>
      <c r="C93" s="40"/>
      <c r="D93" s="62" t="s">
        <v>133</v>
      </c>
    </row>
    <row r="94" spans="1:7" ht="15" x14ac:dyDescent="0.25">
      <c r="B94" s="39" t="s">
        <v>134</v>
      </c>
      <c r="C94" s="40"/>
      <c r="D94" s="62" t="s">
        <v>133</v>
      </c>
    </row>
    <row r="95" spans="1:7" ht="15" x14ac:dyDescent="0.25">
      <c r="B95" s="41" t="s">
        <v>135</v>
      </c>
      <c r="C95" s="40"/>
      <c r="D95" s="42"/>
    </row>
    <row r="96" spans="1:7" ht="25.5" customHeight="1" x14ac:dyDescent="0.25">
      <c r="B96" s="42"/>
      <c r="C96" s="32" t="s">
        <v>136</v>
      </c>
      <c r="D96" s="33" t="s">
        <v>137</v>
      </c>
    </row>
    <row r="97" spans="2:4" ht="12.75" customHeight="1" x14ac:dyDescent="0.25">
      <c r="B97" s="57" t="s">
        <v>138</v>
      </c>
      <c r="C97" s="58" t="s">
        <v>139</v>
      </c>
      <c r="D97" s="58" t="s">
        <v>140</v>
      </c>
    </row>
    <row r="98" spans="2:4" ht="15" x14ac:dyDescent="0.25">
      <c r="B98" s="42" t="s">
        <v>141</v>
      </c>
      <c r="C98" s="43">
        <v>46.359900000000003</v>
      </c>
      <c r="D98" s="43">
        <v>43.8399</v>
      </c>
    </row>
    <row r="99" spans="2:4" ht="15" x14ac:dyDescent="0.25">
      <c r="B99" s="42" t="s">
        <v>142</v>
      </c>
      <c r="C99" s="43">
        <v>20.9999</v>
      </c>
      <c r="D99" s="43">
        <v>19.8584</v>
      </c>
    </row>
    <row r="100" spans="2:4" ht="15" x14ac:dyDescent="0.25">
      <c r="B100" s="42" t="s">
        <v>384</v>
      </c>
      <c r="C100" s="43">
        <v>47.667700000000004</v>
      </c>
      <c r="D100" s="43">
        <v>45.076599999999999</v>
      </c>
    </row>
    <row r="101" spans="2:4" ht="15" x14ac:dyDescent="0.25">
      <c r="B101" s="42" t="s">
        <v>385</v>
      </c>
      <c r="C101" s="43">
        <v>21.348600000000001</v>
      </c>
      <c r="D101" s="43">
        <v>20.1877</v>
      </c>
    </row>
    <row r="102" spans="2:4" ht="15" x14ac:dyDescent="0.25">
      <c r="B102" s="42" t="s">
        <v>143</v>
      </c>
      <c r="C102" s="43">
        <v>44.462699999999998</v>
      </c>
      <c r="D102" s="43">
        <v>42.019799999999996</v>
      </c>
    </row>
    <row r="103" spans="2:4" ht="15" x14ac:dyDescent="0.25">
      <c r="B103" s="42" t="s">
        <v>144</v>
      </c>
      <c r="C103" s="43">
        <v>19.898399999999999</v>
      </c>
      <c r="D103" s="43">
        <v>18.805199999999999</v>
      </c>
    </row>
    <row r="105" spans="2:4" ht="15" x14ac:dyDescent="0.25">
      <c r="B105" s="59" t="s">
        <v>145</v>
      </c>
      <c r="C105" s="44"/>
      <c r="D105" s="60" t="s">
        <v>133</v>
      </c>
    </row>
    <row r="106" spans="2:4" ht="24.75" customHeight="1" x14ac:dyDescent="0.25">
      <c r="B106" s="61"/>
      <c r="C106" s="61"/>
    </row>
    <row r="107" spans="2:4" ht="15" x14ac:dyDescent="0.25">
      <c r="B107" s="63"/>
      <c r="C107" s="65"/>
      <c r="D107"/>
    </row>
    <row r="109" spans="2:4" ht="15" x14ac:dyDescent="0.25">
      <c r="B109" s="41" t="s">
        <v>146</v>
      </c>
      <c r="C109" s="40"/>
      <c r="D109" s="64" t="s">
        <v>133</v>
      </c>
    </row>
    <row r="110" spans="2:4" ht="15" x14ac:dyDescent="0.25">
      <c r="B110" s="41" t="s">
        <v>147</v>
      </c>
      <c r="C110" s="40"/>
      <c r="D110" s="64" t="s">
        <v>133</v>
      </c>
    </row>
    <row r="111" spans="2:4" ht="15" x14ac:dyDescent="0.25">
      <c r="B111" s="41" t="s">
        <v>148</v>
      </c>
      <c r="C111" s="40"/>
      <c r="D111" s="45">
        <v>2.7151120653175098E-2</v>
      </c>
    </row>
    <row r="112" spans="2:4" ht="15" x14ac:dyDescent="0.25">
      <c r="B112" s="41" t="s">
        <v>149</v>
      </c>
      <c r="C112" s="40"/>
      <c r="D112" s="45" t="s">
        <v>133</v>
      </c>
    </row>
  </sheetData>
  <mergeCells count="5">
    <mergeCell ref="A1:G1"/>
    <mergeCell ref="A2:G2"/>
    <mergeCell ref="A3:G3"/>
    <mergeCell ref="B89:F89"/>
    <mergeCell ref="B90:F90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V134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718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87853</v>
      </c>
      <c r="F7" s="51">
        <v>373.02383800000001</v>
      </c>
      <c r="G7" s="5">
        <v>7.1544899999999995E-2</v>
      </c>
    </row>
    <row r="8" spans="1:7" ht="15" x14ac:dyDescent="0.25">
      <c r="A8" s="6">
        <v>2</v>
      </c>
      <c r="B8" s="7" t="s">
        <v>47</v>
      </c>
      <c r="C8" s="11" t="s">
        <v>48</v>
      </c>
      <c r="D8" s="2" t="s">
        <v>13</v>
      </c>
      <c r="E8" s="46">
        <v>99397</v>
      </c>
      <c r="F8" s="51">
        <v>330.19683400000002</v>
      </c>
      <c r="G8" s="5">
        <v>6.3330803000000005E-2</v>
      </c>
    </row>
    <row r="9" spans="1:7" ht="25.5" x14ac:dyDescent="0.25">
      <c r="A9" s="6">
        <v>3</v>
      </c>
      <c r="B9" s="7" t="s">
        <v>17</v>
      </c>
      <c r="C9" s="11" t="s">
        <v>18</v>
      </c>
      <c r="D9" s="2" t="s">
        <v>19</v>
      </c>
      <c r="E9" s="46">
        <v>18969</v>
      </c>
      <c r="F9" s="51">
        <v>263.15693700000003</v>
      </c>
      <c r="G9" s="5">
        <v>5.0472744E-2</v>
      </c>
    </row>
    <row r="10" spans="1:7" ht="15" x14ac:dyDescent="0.25">
      <c r="A10" s="6">
        <v>4</v>
      </c>
      <c r="B10" s="7" t="s">
        <v>516</v>
      </c>
      <c r="C10" s="11" t="s">
        <v>517</v>
      </c>
      <c r="D10" s="2" t="s">
        <v>13</v>
      </c>
      <c r="E10" s="46">
        <v>225242</v>
      </c>
      <c r="F10" s="51">
        <v>240.333214</v>
      </c>
      <c r="G10" s="5">
        <v>4.6095219E-2</v>
      </c>
    </row>
    <row r="11" spans="1:7" ht="25.5" x14ac:dyDescent="0.25">
      <c r="A11" s="6">
        <v>5</v>
      </c>
      <c r="B11" s="7" t="s">
        <v>495</v>
      </c>
      <c r="C11" s="11" t="s">
        <v>496</v>
      </c>
      <c r="D11" s="2" t="s">
        <v>497</v>
      </c>
      <c r="E11" s="46">
        <v>49619</v>
      </c>
      <c r="F11" s="51">
        <v>167.513744</v>
      </c>
      <c r="G11" s="5">
        <v>3.2128654999999999E-2</v>
      </c>
    </row>
    <row r="12" spans="1:7" ht="15" x14ac:dyDescent="0.25">
      <c r="A12" s="6">
        <v>6</v>
      </c>
      <c r="B12" s="7" t="s">
        <v>493</v>
      </c>
      <c r="C12" s="11" t="s">
        <v>494</v>
      </c>
      <c r="D12" s="2" t="s">
        <v>27</v>
      </c>
      <c r="E12" s="46">
        <v>130840</v>
      </c>
      <c r="F12" s="51">
        <v>165.57802000000001</v>
      </c>
      <c r="G12" s="5">
        <v>3.1757387999999998E-2</v>
      </c>
    </row>
    <row r="13" spans="1:7" ht="15" x14ac:dyDescent="0.25">
      <c r="A13" s="6">
        <v>7</v>
      </c>
      <c r="B13" s="7" t="s">
        <v>608</v>
      </c>
      <c r="C13" s="11" t="s">
        <v>609</v>
      </c>
      <c r="D13" s="2" t="s">
        <v>241</v>
      </c>
      <c r="E13" s="46">
        <v>6378</v>
      </c>
      <c r="F13" s="51">
        <v>164.207988</v>
      </c>
      <c r="G13" s="5">
        <v>3.1494620000000001E-2</v>
      </c>
    </row>
    <row r="14" spans="1:7" ht="15" x14ac:dyDescent="0.25">
      <c r="A14" s="6">
        <v>8</v>
      </c>
      <c r="B14" s="7" t="s">
        <v>394</v>
      </c>
      <c r="C14" s="11" t="s">
        <v>395</v>
      </c>
      <c r="D14" s="2" t="s">
        <v>13</v>
      </c>
      <c r="E14" s="46">
        <v>22592</v>
      </c>
      <c r="F14" s="51">
        <v>152.29267200000001</v>
      </c>
      <c r="G14" s="5">
        <v>2.9209296999999999E-2</v>
      </c>
    </row>
    <row r="15" spans="1:7" ht="15" x14ac:dyDescent="0.25">
      <c r="A15" s="6">
        <v>9</v>
      </c>
      <c r="B15" s="7" t="s">
        <v>424</v>
      </c>
      <c r="C15" s="11" t="s">
        <v>425</v>
      </c>
      <c r="D15" s="2" t="s">
        <v>241</v>
      </c>
      <c r="E15" s="46">
        <v>26311</v>
      </c>
      <c r="F15" s="51">
        <v>150.30158750000001</v>
      </c>
      <c r="G15" s="5">
        <v>2.8827412E-2</v>
      </c>
    </row>
    <row r="16" spans="1:7" ht="15" x14ac:dyDescent="0.25">
      <c r="A16" s="6">
        <v>10</v>
      </c>
      <c r="B16" s="7" t="s">
        <v>299</v>
      </c>
      <c r="C16" s="11" t="s">
        <v>300</v>
      </c>
      <c r="D16" s="2" t="s">
        <v>13</v>
      </c>
      <c r="E16" s="46">
        <v>154727</v>
      </c>
      <c r="F16" s="51">
        <v>142.967748</v>
      </c>
      <c r="G16" s="5">
        <v>2.7420803000000001E-2</v>
      </c>
    </row>
    <row r="17" spans="1:7" ht="25.5" x14ac:dyDescent="0.25">
      <c r="A17" s="6">
        <v>11</v>
      </c>
      <c r="B17" s="7" t="s">
        <v>52</v>
      </c>
      <c r="C17" s="11" t="s">
        <v>53</v>
      </c>
      <c r="D17" s="2" t="s">
        <v>30</v>
      </c>
      <c r="E17" s="46">
        <v>32080</v>
      </c>
      <c r="F17" s="51">
        <v>137.31844000000001</v>
      </c>
      <c r="G17" s="5">
        <v>2.6337282E-2</v>
      </c>
    </row>
    <row r="18" spans="1:7" ht="15" x14ac:dyDescent="0.25">
      <c r="A18" s="6">
        <v>12</v>
      </c>
      <c r="B18" s="7" t="s">
        <v>719</v>
      </c>
      <c r="C18" s="11" t="s">
        <v>720</v>
      </c>
      <c r="D18" s="2" t="s">
        <v>241</v>
      </c>
      <c r="E18" s="46">
        <v>14025</v>
      </c>
      <c r="F18" s="51">
        <v>134.05095</v>
      </c>
      <c r="G18" s="5">
        <v>2.5710587E-2</v>
      </c>
    </row>
    <row r="19" spans="1:7" ht="15" x14ac:dyDescent="0.25">
      <c r="A19" s="6">
        <v>13</v>
      </c>
      <c r="B19" s="7" t="s">
        <v>520</v>
      </c>
      <c r="C19" s="11" t="s">
        <v>521</v>
      </c>
      <c r="D19" s="2" t="s">
        <v>305</v>
      </c>
      <c r="E19" s="46">
        <v>55815</v>
      </c>
      <c r="F19" s="51">
        <v>131.97456750000001</v>
      </c>
      <c r="G19" s="5">
        <v>2.5312343000000001E-2</v>
      </c>
    </row>
    <row r="20" spans="1:7" ht="15" x14ac:dyDescent="0.25">
      <c r="A20" s="6">
        <v>14</v>
      </c>
      <c r="B20" s="7" t="s">
        <v>626</v>
      </c>
      <c r="C20" s="11" t="s">
        <v>627</v>
      </c>
      <c r="D20" s="2" t="s">
        <v>241</v>
      </c>
      <c r="E20" s="46">
        <v>25186</v>
      </c>
      <c r="F20" s="51">
        <v>131.244246</v>
      </c>
      <c r="G20" s="5">
        <v>2.5172269000000001E-2</v>
      </c>
    </row>
    <row r="21" spans="1:7" ht="25.5" x14ac:dyDescent="0.25">
      <c r="A21" s="6">
        <v>15</v>
      </c>
      <c r="B21" s="7" t="s">
        <v>43</v>
      </c>
      <c r="C21" s="11" t="s">
        <v>44</v>
      </c>
      <c r="D21" s="2" t="s">
        <v>30</v>
      </c>
      <c r="E21" s="46">
        <v>123708</v>
      </c>
      <c r="F21" s="51">
        <v>130.57379399999999</v>
      </c>
      <c r="G21" s="5">
        <v>2.5043678E-2</v>
      </c>
    </row>
    <row r="22" spans="1:7" ht="25.5" x14ac:dyDescent="0.25">
      <c r="A22" s="6">
        <v>16</v>
      </c>
      <c r="B22" s="7" t="s">
        <v>522</v>
      </c>
      <c r="C22" s="11" t="s">
        <v>523</v>
      </c>
      <c r="D22" s="2" t="s">
        <v>42</v>
      </c>
      <c r="E22" s="46">
        <v>74925</v>
      </c>
      <c r="F22" s="51">
        <v>104.370525</v>
      </c>
      <c r="G22" s="5">
        <v>2.0017967000000001E-2</v>
      </c>
    </row>
    <row r="23" spans="1:7" ht="25.5" x14ac:dyDescent="0.25">
      <c r="A23" s="6">
        <v>17</v>
      </c>
      <c r="B23" s="7" t="s">
        <v>45</v>
      </c>
      <c r="C23" s="11" t="s">
        <v>46</v>
      </c>
      <c r="D23" s="2" t="s">
        <v>22</v>
      </c>
      <c r="E23" s="46">
        <v>16377</v>
      </c>
      <c r="F23" s="51">
        <v>100.210863</v>
      </c>
      <c r="G23" s="5">
        <v>1.9220154999999999E-2</v>
      </c>
    </row>
    <row r="24" spans="1:7" ht="25.5" x14ac:dyDescent="0.25">
      <c r="A24" s="6">
        <v>18</v>
      </c>
      <c r="B24" s="7" t="s">
        <v>199</v>
      </c>
      <c r="C24" s="11" t="s">
        <v>200</v>
      </c>
      <c r="D24" s="2" t="s">
        <v>22</v>
      </c>
      <c r="E24" s="46">
        <v>13400</v>
      </c>
      <c r="F24" s="51">
        <v>98.436400000000006</v>
      </c>
      <c r="G24" s="5">
        <v>1.8879818999999999E-2</v>
      </c>
    </row>
    <row r="25" spans="1:7" ht="25.5" x14ac:dyDescent="0.25">
      <c r="A25" s="6">
        <v>19</v>
      </c>
      <c r="B25" s="7" t="s">
        <v>512</v>
      </c>
      <c r="C25" s="11" t="s">
        <v>513</v>
      </c>
      <c r="D25" s="2" t="s">
        <v>37</v>
      </c>
      <c r="E25" s="46">
        <v>69375</v>
      </c>
      <c r="F25" s="51">
        <v>98.269687500000003</v>
      </c>
      <c r="G25" s="5">
        <v>1.8847843999999999E-2</v>
      </c>
    </row>
    <row r="26" spans="1:7" ht="25.5" x14ac:dyDescent="0.25">
      <c r="A26" s="6">
        <v>20</v>
      </c>
      <c r="B26" s="7" t="s">
        <v>100</v>
      </c>
      <c r="C26" s="11" t="s">
        <v>101</v>
      </c>
      <c r="D26" s="2" t="s">
        <v>30</v>
      </c>
      <c r="E26" s="46">
        <v>165909</v>
      </c>
      <c r="F26" s="51">
        <v>97.720400999999995</v>
      </c>
      <c r="G26" s="5">
        <v>1.8742491999999999E-2</v>
      </c>
    </row>
    <row r="27" spans="1:7" ht="15" x14ac:dyDescent="0.25">
      <c r="A27" s="6">
        <v>21</v>
      </c>
      <c r="B27" s="7" t="s">
        <v>158</v>
      </c>
      <c r="C27" s="11" t="s">
        <v>159</v>
      </c>
      <c r="D27" s="2" t="s">
        <v>16</v>
      </c>
      <c r="E27" s="46">
        <v>108332</v>
      </c>
      <c r="F27" s="51">
        <v>95.115495999999993</v>
      </c>
      <c r="G27" s="5">
        <v>1.8242879E-2</v>
      </c>
    </row>
    <row r="28" spans="1:7" ht="15" x14ac:dyDescent="0.25">
      <c r="A28" s="6">
        <v>22</v>
      </c>
      <c r="B28" s="7" t="s">
        <v>54</v>
      </c>
      <c r="C28" s="11" t="s">
        <v>55</v>
      </c>
      <c r="D28" s="2" t="s">
        <v>56</v>
      </c>
      <c r="E28" s="46">
        <v>67262</v>
      </c>
      <c r="F28" s="51">
        <v>90.870962000000006</v>
      </c>
      <c r="G28" s="5">
        <v>1.7428789E-2</v>
      </c>
    </row>
    <row r="29" spans="1:7" ht="15" x14ac:dyDescent="0.25">
      <c r="A29" s="6">
        <v>23</v>
      </c>
      <c r="B29" s="7" t="s">
        <v>222</v>
      </c>
      <c r="C29" s="11" t="s">
        <v>223</v>
      </c>
      <c r="D29" s="2" t="s">
        <v>215</v>
      </c>
      <c r="E29" s="46">
        <v>19365</v>
      </c>
      <c r="F29" s="51">
        <v>89.543760000000006</v>
      </c>
      <c r="G29" s="5">
        <v>1.7174235999999999E-2</v>
      </c>
    </row>
    <row r="30" spans="1:7" ht="25.5" x14ac:dyDescent="0.25">
      <c r="A30" s="6">
        <v>24</v>
      </c>
      <c r="B30" s="7" t="s">
        <v>64</v>
      </c>
      <c r="C30" s="11" t="s">
        <v>65</v>
      </c>
      <c r="D30" s="2" t="s">
        <v>19</v>
      </c>
      <c r="E30" s="46">
        <v>119206</v>
      </c>
      <c r="F30" s="51">
        <v>87.199189000000004</v>
      </c>
      <c r="G30" s="5">
        <v>1.6724553999999999E-2</v>
      </c>
    </row>
    <row r="31" spans="1:7" ht="15" x14ac:dyDescent="0.25">
      <c r="A31" s="6">
        <v>25</v>
      </c>
      <c r="B31" s="7" t="s">
        <v>508</v>
      </c>
      <c r="C31" s="11" t="s">
        <v>509</v>
      </c>
      <c r="D31" s="2" t="s">
        <v>269</v>
      </c>
      <c r="E31" s="46">
        <v>9286</v>
      </c>
      <c r="F31" s="51">
        <v>84.558316000000005</v>
      </c>
      <c r="G31" s="5">
        <v>1.6218041999999998E-2</v>
      </c>
    </row>
    <row r="32" spans="1:7" ht="15" x14ac:dyDescent="0.25">
      <c r="A32" s="6">
        <v>26</v>
      </c>
      <c r="B32" s="7" t="s">
        <v>617</v>
      </c>
      <c r="C32" s="11" t="s">
        <v>618</v>
      </c>
      <c r="D32" s="2" t="s">
        <v>241</v>
      </c>
      <c r="E32" s="46">
        <v>34770</v>
      </c>
      <c r="F32" s="51">
        <v>79.206059999999994</v>
      </c>
      <c r="G32" s="5">
        <v>1.5191494999999999E-2</v>
      </c>
    </row>
    <row r="33" spans="1:7" ht="15" x14ac:dyDescent="0.25">
      <c r="A33" s="6">
        <v>27</v>
      </c>
      <c r="B33" s="7" t="s">
        <v>514</v>
      </c>
      <c r="C33" s="11" t="s">
        <v>515</v>
      </c>
      <c r="D33" s="2" t="s">
        <v>215</v>
      </c>
      <c r="E33" s="46">
        <v>7641</v>
      </c>
      <c r="F33" s="51">
        <v>79.049965499999999</v>
      </c>
      <c r="G33" s="5">
        <v>1.5161556E-2</v>
      </c>
    </row>
    <row r="34" spans="1:7" ht="15" x14ac:dyDescent="0.25">
      <c r="A34" s="6">
        <v>28</v>
      </c>
      <c r="B34" s="7" t="s">
        <v>359</v>
      </c>
      <c r="C34" s="11" t="s">
        <v>360</v>
      </c>
      <c r="D34" s="2" t="s">
        <v>27</v>
      </c>
      <c r="E34" s="46">
        <v>127945</v>
      </c>
      <c r="F34" s="51">
        <v>77.4706975</v>
      </c>
      <c r="G34" s="5">
        <v>1.4858657000000001E-2</v>
      </c>
    </row>
    <row r="35" spans="1:7" ht="25.5" x14ac:dyDescent="0.25">
      <c r="A35" s="6">
        <v>29</v>
      </c>
      <c r="B35" s="7" t="s">
        <v>536</v>
      </c>
      <c r="C35" s="11" t="s">
        <v>537</v>
      </c>
      <c r="D35" s="2" t="s">
        <v>19</v>
      </c>
      <c r="E35" s="46">
        <v>502820</v>
      </c>
      <c r="F35" s="51">
        <v>75.171589999999995</v>
      </c>
      <c r="G35" s="5">
        <v>1.4417694999999999E-2</v>
      </c>
    </row>
    <row r="36" spans="1:7" ht="51" x14ac:dyDescent="0.25">
      <c r="A36" s="6">
        <v>30</v>
      </c>
      <c r="B36" s="7" t="s">
        <v>286</v>
      </c>
      <c r="C36" s="11" t="s">
        <v>287</v>
      </c>
      <c r="D36" s="2" t="s">
        <v>235</v>
      </c>
      <c r="E36" s="46">
        <v>230444</v>
      </c>
      <c r="F36" s="51">
        <v>74.202967999999998</v>
      </c>
      <c r="G36" s="5">
        <v>1.4231916000000001E-2</v>
      </c>
    </row>
    <row r="37" spans="1:7" ht="25.5" x14ac:dyDescent="0.25">
      <c r="A37" s="6">
        <v>31</v>
      </c>
      <c r="B37" s="7" t="s">
        <v>429</v>
      </c>
      <c r="C37" s="11" t="s">
        <v>430</v>
      </c>
      <c r="D37" s="2" t="s">
        <v>30</v>
      </c>
      <c r="E37" s="46">
        <v>6287</v>
      </c>
      <c r="F37" s="51">
        <v>71.970432500000001</v>
      </c>
      <c r="G37" s="5">
        <v>1.3803721999999999E-2</v>
      </c>
    </row>
    <row r="38" spans="1:7" ht="25.5" x14ac:dyDescent="0.25">
      <c r="A38" s="6">
        <v>32</v>
      </c>
      <c r="B38" s="7" t="s">
        <v>31</v>
      </c>
      <c r="C38" s="11" t="s">
        <v>32</v>
      </c>
      <c r="D38" s="2" t="s">
        <v>30</v>
      </c>
      <c r="E38" s="46">
        <v>5900</v>
      </c>
      <c r="F38" s="51">
        <v>64.873450000000005</v>
      </c>
      <c r="G38" s="5">
        <v>1.2442541E-2</v>
      </c>
    </row>
    <row r="39" spans="1:7" ht="25.5" x14ac:dyDescent="0.25">
      <c r="A39" s="6">
        <v>33</v>
      </c>
      <c r="B39" s="7" t="s">
        <v>476</v>
      </c>
      <c r="C39" s="11" t="s">
        <v>477</v>
      </c>
      <c r="D39" s="2" t="s">
        <v>42</v>
      </c>
      <c r="E39" s="46">
        <v>52228</v>
      </c>
      <c r="F39" s="51">
        <v>63.352564000000001</v>
      </c>
      <c r="G39" s="5">
        <v>1.215084E-2</v>
      </c>
    </row>
    <row r="40" spans="1:7" ht="25.5" x14ac:dyDescent="0.25">
      <c r="A40" s="6">
        <v>34</v>
      </c>
      <c r="B40" s="7" t="s">
        <v>619</v>
      </c>
      <c r="C40" s="11" t="s">
        <v>620</v>
      </c>
      <c r="D40" s="2" t="s">
        <v>621</v>
      </c>
      <c r="E40" s="46">
        <v>31693</v>
      </c>
      <c r="F40" s="51">
        <v>60.391011499999998</v>
      </c>
      <c r="G40" s="5">
        <v>1.1582822E-2</v>
      </c>
    </row>
    <row r="41" spans="1:7" ht="15" x14ac:dyDescent="0.25">
      <c r="A41" s="6">
        <v>35</v>
      </c>
      <c r="B41" s="7" t="s">
        <v>270</v>
      </c>
      <c r="C41" s="11" t="s">
        <v>271</v>
      </c>
      <c r="D41" s="2" t="s">
        <v>16</v>
      </c>
      <c r="E41" s="46">
        <v>35630</v>
      </c>
      <c r="F41" s="51">
        <v>59.573360000000001</v>
      </c>
      <c r="G41" s="5">
        <v>1.1425998999999999E-2</v>
      </c>
    </row>
    <row r="42" spans="1:7" ht="15" x14ac:dyDescent="0.25">
      <c r="A42" s="6">
        <v>36</v>
      </c>
      <c r="B42" s="7" t="s">
        <v>596</v>
      </c>
      <c r="C42" s="11" t="s">
        <v>597</v>
      </c>
      <c r="D42" s="2" t="s">
        <v>241</v>
      </c>
      <c r="E42" s="46">
        <v>6839</v>
      </c>
      <c r="F42" s="51">
        <v>52.304671999999997</v>
      </c>
      <c r="G42" s="5">
        <v>1.0031886E-2</v>
      </c>
    </row>
    <row r="43" spans="1:7" ht="15" x14ac:dyDescent="0.25">
      <c r="A43" s="6">
        <v>37</v>
      </c>
      <c r="B43" s="7" t="s">
        <v>504</v>
      </c>
      <c r="C43" s="11" t="s">
        <v>505</v>
      </c>
      <c r="D43" s="2" t="s">
        <v>215</v>
      </c>
      <c r="E43" s="46">
        <v>7515</v>
      </c>
      <c r="F43" s="51">
        <v>47.814187500000003</v>
      </c>
      <c r="G43" s="5">
        <v>9.1706240000000005E-3</v>
      </c>
    </row>
    <row r="44" spans="1:7" ht="15" x14ac:dyDescent="0.25">
      <c r="A44" s="6">
        <v>38</v>
      </c>
      <c r="B44" s="7" t="s">
        <v>348</v>
      </c>
      <c r="C44" s="11" t="s">
        <v>349</v>
      </c>
      <c r="D44" s="2" t="s">
        <v>241</v>
      </c>
      <c r="E44" s="46">
        <v>7262</v>
      </c>
      <c r="F44" s="51">
        <v>37.402931000000002</v>
      </c>
      <c r="G44" s="5">
        <v>7.1737750000000003E-3</v>
      </c>
    </row>
    <row r="45" spans="1:7" ht="15" x14ac:dyDescent="0.25">
      <c r="A45" s="6">
        <v>39</v>
      </c>
      <c r="B45" s="7" t="s">
        <v>670</v>
      </c>
      <c r="C45" s="11" t="s">
        <v>671</v>
      </c>
      <c r="D45" s="2" t="s">
        <v>13</v>
      </c>
      <c r="E45" s="46">
        <v>36537</v>
      </c>
      <c r="F45" s="51">
        <v>33.321744000000002</v>
      </c>
      <c r="G45" s="5">
        <v>6.3910149999999999E-3</v>
      </c>
    </row>
    <row r="46" spans="1:7" ht="25.5" x14ac:dyDescent="0.25">
      <c r="A46" s="6">
        <v>40</v>
      </c>
      <c r="B46" s="7" t="s">
        <v>229</v>
      </c>
      <c r="C46" s="11" t="s">
        <v>230</v>
      </c>
      <c r="D46" s="2" t="s">
        <v>37</v>
      </c>
      <c r="E46" s="46">
        <v>70432</v>
      </c>
      <c r="F46" s="51">
        <v>7.2544959999999996</v>
      </c>
      <c r="G46" s="5">
        <v>1.3913910000000001E-3</v>
      </c>
    </row>
    <row r="47" spans="1:7" ht="15" x14ac:dyDescent="0.25">
      <c r="A47" s="1"/>
      <c r="B47" s="2"/>
      <c r="C47" s="8" t="s">
        <v>104</v>
      </c>
      <c r="D47" s="12"/>
      <c r="E47" s="48"/>
      <c r="F47" s="53">
        <v>4644.3903089999994</v>
      </c>
      <c r="G47" s="13">
        <v>0.890780711</v>
      </c>
    </row>
    <row r="48" spans="1:7" ht="15" x14ac:dyDescent="0.25">
      <c r="A48" s="6"/>
      <c r="B48" s="7"/>
      <c r="C48" s="14"/>
      <c r="D48" s="15"/>
      <c r="E48" s="46"/>
      <c r="F48" s="51"/>
      <c r="G48" s="5"/>
    </row>
    <row r="49" spans="1:7" ht="15" x14ac:dyDescent="0.25">
      <c r="A49" s="1"/>
      <c r="B49" s="2"/>
      <c r="C49" s="8" t="s">
        <v>105</v>
      </c>
      <c r="D49" s="9"/>
      <c r="E49" s="47"/>
      <c r="F49" s="52"/>
      <c r="G49" s="10"/>
    </row>
    <row r="50" spans="1:7" ht="15" x14ac:dyDescent="0.25">
      <c r="A50" s="1"/>
      <c r="B50" s="2"/>
      <c r="C50" s="8" t="s">
        <v>104</v>
      </c>
      <c r="D50" s="12"/>
      <c r="E50" s="48"/>
      <c r="F50" s="53">
        <v>0</v>
      </c>
      <c r="G50" s="13">
        <v>0</v>
      </c>
    </row>
    <row r="51" spans="1:7" ht="15" x14ac:dyDescent="0.25">
      <c r="A51" s="6"/>
      <c r="B51" s="7"/>
      <c r="C51" s="14"/>
      <c r="D51" s="15"/>
      <c r="E51" s="46"/>
      <c r="F51" s="51"/>
      <c r="G51" s="5"/>
    </row>
    <row r="52" spans="1:7" ht="15" x14ac:dyDescent="0.25">
      <c r="A52" s="16"/>
      <c r="B52" s="17"/>
      <c r="C52" s="8" t="s">
        <v>106</v>
      </c>
      <c r="D52" s="9"/>
      <c r="E52" s="47"/>
      <c r="F52" s="52"/>
      <c r="G52" s="10"/>
    </row>
    <row r="53" spans="1:7" ht="15" x14ac:dyDescent="0.25">
      <c r="A53" s="18"/>
      <c r="B53" s="19"/>
      <c r="C53" s="8" t="s">
        <v>104</v>
      </c>
      <c r="D53" s="20"/>
      <c r="E53" s="49"/>
      <c r="F53" s="54">
        <v>0</v>
      </c>
      <c r="G53" s="21">
        <v>0</v>
      </c>
    </row>
    <row r="54" spans="1:7" ht="15" x14ac:dyDescent="0.25">
      <c r="A54" s="18"/>
      <c r="B54" s="19"/>
      <c r="C54" s="14"/>
      <c r="D54" s="22"/>
      <c r="E54" s="50"/>
      <c r="F54" s="55"/>
      <c r="G54" s="23"/>
    </row>
    <row r="55" spans="1:7" ht="15" x14ac:dyDescent="0.25">
      <c r="A55" s="1"/>
      <c r="B55" s="2"/>
      <c r="C55" s="8" t="s">
        <v>108</v>
      </c>
      <c r="D55" s="9"/>
      <c r="E55" s="47"/>
      <c r="F55" s="52"/>
      <c r="G55" s="10"/>
    </row>
    <row r="56" spans="1:7" ht="15" x14ac:dyDescent="0.25">
      <c r="A56" s="1"/>
      <c r="B56" s="2"/>
      <c r="C56" s="8" t="s">
        <v>104</v>
      </c>
      <c r="D56" s="12"/>
      <c r="E56" s="48"/>
      <c r="F56" s="53">
        <v>0</v>
      </c>
      <c r="G56" s="13">
        <v>0</v>
      </c>
    </row>
    <row r="57" spans="1:7" ht="15" x14ac:dyDescent="0.25">
      <c r="A57" s="1"/>
      <c r="B57" s="2"/>
      <c r="C57" s="14"/>
      <c r="D57" s="4"/>
      <c r="E57" s="46"/>
      <c r="F57" s="51"/>
      <c r="G57" s="5"/>
    </row>
    <row r="58" spans="1:7" ht="15" x14ac:dyDescent="0.25">
      <c r="A58" s="1"/>
      <c r="B58" s="2"/>
      <c r="C58" s="8" t="s">
        <v>109</v>
      </c>
      <c r="D58" s="9"/>
      <c r="E58" s="47"/>
      <c r="F58" s="52"/>
      <c r="G58" s="10"/>
    </row>
    <row r="59" spans="1:7" ht="15" x14ac:dyDescent="0.25">
      <c r="A59" s="1"/>
      <c r="B59" s="2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1"/>
      <c r="B60" s="2"/>
      <c r="C60" s="14"/>
      <c r="D60" s="4"/>
      <c r="E60" s="46"/>
      <c r="F60" s="51"/>
      <c r="G60" s="5"/>
    </row>
    <row r="61" spans="1:7" ht="15" x14ac:dyDescent="0.25">
      <c r="A61" s="1"/>
      <c r="B61" s="2"/>
      <c r="C61" s="8" t="s">
        <v>110</v>
      </c>
      <c r="D61" s="9"/>
      <c r="E61" s="47"/>
      <c r="F61" s="52"/>
      <c r="G61" s="10"/>
    </row>
    <row r="62" spans="1:7" ht="15" x14ac:dyDescent="0.25">
      <c r="A62" s="6">
        <v>1</v>
      </c>
      <c r="B62" s="7"/>
      <c r="C62" s="11" t="s">
        <v>841</v>
      </c>
      <c r="D62" s="15" t="s">
        <v>721</v>
      </c>
      <c r="E62" s="46">
        <v>38625</v>
      </c>
      <c r="F62" s="51">
        <v>117.80625000000001</v>
      </c>
      <c r="G62" s="5">
        <v>2.2594900000000001E-2</v>
      </c>
    </row>
    <row r="63" spans="1:7" ht="15" x14ac:dyDescent="0.25">
      <c r="A63" s="6">
        <v>2</v>
      </c>
      <c r="B63" s="7"/>
      <c r="C63" s="11" t="s">
        <v>842</v>
      </c>
      <c r="D63" s="15" t="s">
        <v>721</v>
      </c>
      <c r="E63" s="46">
        <v>10500</v>
      </c>
      <c r="F63" s="51">
        <v>29.317533000000001</v>
      </c>
      <c r="G63" s="5">
        <v>5.6230189999999999E-3</v>
      </c>
    </row>
    <row r="64" spans="1:7" ht="15" x14ac:dyDescent="0.25">
      <c r="A64" s="1"/>
      <c r="B64" s="2"/>
      <c r="C64" s="8" t="s">
        <v>104</v>
      </c>
      <c r="D64" s="12"/>
      <c r="E64" s="48"/>
      <c r="F64" s="53">
        <v>147.123783</v>
      </c>
      <c r="G64" s="13">
        <v>2.8217919000000001E-2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25.5" x14ac:dyDescent="0.25">
      <c r="A66" s="6"/>
      <c r="B66" s="7"/>
      <c r="C66" s="24" t="s">
        <v>111</v>
      </c>
      <c r="D66" s="25"/>
      <c r="E66" s="48"/>
      <c r="F66" s="53">
        <v>4791.5140919999994</v>
      </c>
      <c r="G66" s="13">
        <v>0.91899862999999993</v>
      </c>
    </row>
    <row r="67" spans="1:7" ht="15" x14ac:dyDescent="0.25">
      <c r="A67" s="1"/>
      <c r="B67" s="2"/>
      <c r="C67" s="11"/>
      <c r="D67" s="4"/>
      <c r="E67" s="46"/>
      <c r="F67" s="51"/>
      <c r="G67" s="5"/>
    </row>
    <row r="68" spans="1:7" ht="15" x14ac:dyDescent="0.25">
      <c r="A68" s="1"/>
      <c r="B68" s="2"/>
      <c r="C68" s="3" t="s">
        <v>112</v>
      </c>
      <c r="D68" s="4"/>
      <c r="E68" s="46"/>
      <c r="F68" s="51"/>
      <c r="G68" s="5"/>
    </row>
    <row r="69" spans="1:7" ht="25.5" x14ac:dyDescent="0.25">
      <c r="A69" s="1"/>
      <c r="B69" s="2"/>
      <c r="C69" s="8" t="s">
        <v>10</v>
      </c>
      <c r="D69" s="9"/>
      <c r="E69" s="47"/>
      <c r="F69" s="52"/>
      <c r="G69" s="10"/>
    </row>
    <row r="70" spans="1:7" ht="15" x14ac:dyDescent="0.25">
      <c r="A70" s="6"/>
      <c r="B70" s="7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6"/>
      <c r="B71" s="7"/>
      <c r="C71" s="14"/>
      <c r="D71" s="4"/>
      <c r="E71" s="46"/>
      <c r="F71" s="51"/>
      <c r="G71" s="5"/>
    </row>
    <row r="72" spans="1:7" ht="15" x14ac:dyDescent="0.25">
      <c r="A72" s="1"/>
      <c r="B72" s="26"/>
      <c r="C72" s="8" t="s">
        <v>113</v>
      </c>
      <c r="D72" s="9"/>
      <c r="E72" s="47"/>
      <c r="F72" s="52"/>
      <c r="G72" s="10"/>
    </row>
    <row r="73" spans="1:7" ht="15" x14ac:dyDescent="0.25">
      <c r="A73" s="6"/>
      <c r="B73" s="7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4"/>
      <c r="E74" s="46"/>
      <c r="F74" s="56"/>
      <c r="G74" s="27"/>
    </row>
    <row r="75" spans="1:7" ht="15" x14ac:dyDescent="0.25">
      <c r="A75" s="1"/>
      <c r="B75" s="2"/>
      <c r="C75" s="8" t="s">
        <v>114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25.5" x14ac:dyDescent="0.25">
      <c r="A78" s="1"/>
      <c r="B78" s="26"/>
      <c r="C78" s="8" t="s">
        <v>115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1"/>
      <c r="G80" s="5"/>
    </row>
    <row r="81" spans="1:7" ht="15" x14ac:dyDescent="0.25">
      <c r="A81" s="6"/>
      <c r="B81" s="7"/>
      <c r="C81" s="28" t="s">
        <v>116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117</v>
      </c>
      <c r="D83" s="4"/>
      <c r="E83" s="46"/>
      <c r="F83" s="51"/>
      <c r="G83" s="5"/>
    </row>
    <row r="84" spans="1:7" ht="15" x14ac:dyDescent="0.25">
      <c r="A84" s="6"/>
      <c r="B84" s="7"/>
      <c r="C84" s="8" t="s">
        <v>118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25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7"/>
      <c r="E86" s="46"/>
      <c r="F86" s="51"/>
      <c r="G86" s="5"/>
    </row>
    <row r="87" spans="1:7" ht="15" x14ac:dyDescent="0.25">
      <c r="A87" s="6"/>
      <c r="B87" s="7"/>
      <c r="C87" s="8" t="s">
        <v>119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7"/>
      <c r="E89" s="46"/>
      <c r="F89" s="51"/>
      <c r="G89" s="5"/>
    </row>
    <row r="90" spans="1:7" ht="15" x14ac:dyDescent="0.25">
      <c r="A90" s="6"/>
      <c r="B90" s="7"/>
      <c r="C90" s="8" t="s">
        <v>120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121</v>
      </c>
      <c r="D93" s="9"/>
      <c r="E93" s="47"/>
      <c r="F93" s="52"/>
      <c r="G93" s="10"/>
    </row>
    <row r="94" spans="1:7" ht="15" x14ac:dyDescent="0.25">
      <c r="A94" s="6">
        <v>1</v>
      </c>
      <c r="B94" s="7"/>
      <c r="C94" s="11" t="s">
        <v>730</v>
      </c>
      <c r="D94" s="15"/>
      <c r="E94" s="46"/>
      <c r="F94" s="51">
        <v>364.94410870000002</v>
      </c>
      <c r="G94" s="5">
        <v>6.9995231000000005E-2</v>
      </c>
    </row>
    <row r="95" spans="1:7" ht="15" x14ac:dyDescent="0.25">
      <c r="A95" s="6"/>
      <c r="B95" s="7"/>
      <c r="C95" s="8" t="s">
        <v>104</v>
      </c>
      <c r="D95" s="25"/>
      <c r="E95" s="48"/>
      <c r="F95" s="53">
        <v>364.94410870000002</v>
      </c>
      <c r="G95" s="13">
        <v>6.9995231000000005E-2</v>
      </c>
    </row>
    <row r="96" spans="1:7" ht="15" x14ac:dyDescent="0.25">
      <c r="A96" s="6"/>
      <c r="B96" s="7"/>
      <c r="C96" s="14"/>
      <c r="D96" s="7"/>
      <c r="E96" s="46"/>
      <c r="F96" s="51"/>
      <c r="G96" s="5"/>
    </row>
    <row r="97" spans="1:7" ht="25.5" x14ac:dyDescent="0.25">
      <c r="A97" s="6"/>
      <c r="B97" s="7"/>
      <c r="C97" s="24" t="s">
        <v>122</v>
      </c>
      <c r="D97" s="25"/>
      <c r="E97" s="48"/>
      <c r="F97" s="53">
        <v>364.94410870000002</v>
      </c>
      <c r="G97" s="13">
        <v>6.9995231000000005E-2</v>
      </c>
    </row>
    <row r="98" spans="1:7" ht="15" x14ac:dyDescent="0.25">
      <c r="A98" s="6"/>
      <c r="B98" s="7"/>
      <c r="C98" s="29"/>
      <c r="D98" s="7"/>
      <c r="E98" s="46"/>
      <c r="F98" s="51"/>
      <c r="G98" s="5"/>
    </row>
    <row r="99" spans="1:7" ht="15" x14ac:dyDescent="0.25">
      <c r="A99" s="1"/>
      <c r="B99" s="2"/>
      <c r="C99" s="3" t="s">
        <v>123</v>
      </c>
      <c r="D99" s="4"/>
      <c r="E99" s="46"/>
      <c r="F99" s="51"/>
      <c r="G99" s="5"/>
    </row>
    <row r="100" spans="1:7" ht="25.5" x14ac:dyDescent="0.25">
      <c r="A100" s="6"/>
      <c r="B100" s="7"/>
      <c r="C100" s="8" t="s">
        <v>124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15" x14ac:dyDescent="0.25">
      <c r="A103" s="1"/>
      <c r="B103" s="2"/>
      <c r="C103" s="3" t="s">
        <v>125</v>
      </c>
      <c r="D103" s="4"/>
      <c r="E103" s="46"/>
      <c r="F103" s="51"/>
      <c r="G103" s="5"/>
    </row>
    <row r="104" spans="1:7" ht="25.5" x14ac:dyDescent="0.25">
      <c r="A104" s="6"/>
      <c r="B104" s="7"/>
      <c r="C104" s="8" t="s">
        <v>126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25.5" x14ac:dyDescent="0.25">
      <c r="A107" s="6"/>
      <c r="B107" s="7"/>
      <c r="C107" s="8" t="s">
        <v>127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6"/>
      <c r="G109" s="27"/>
    </row>
    <row r="110" spans="1:7" ht="25.5" x14ac:dyDescent="0.25">
      <c r="A110" s="6"/>
      <c r="B110" s="7"/>
      <c r="C110" s="29" t="s">
        <v>128</v>
      </c>
      <c r="D110" s="7"/>
      <c r="E110" s="46"/>
      <c r="F110" s="56">
        <v>57.384289199999998</v>
      </c>
      <c r="G110" s="27">
        <v>1.1006142E-2</v>
      </c>
    </row>
    <row r="111" spans="1:7" ht="15" x14ac:dyDescent="0.25">
      <c r="A111" s="6"/>
      <c r="B111" s="7"/>
      <c r="C111" s="30" t="s">
        <v>129</v>
      </c>
      <c r="D111" s="12"/>
      <c r="E111" s="48"/>
      <c r="F111" s="53">
        <v>5213.8424899000001</v>
      </c>
      <c r="G111" s="13">
        <v>1.0000000029999998</v>
      </c>
    </row>
    <row r="113" spans="2:6" ht="15" x14ac:dyDescent="0.25">
      <c r="B113" s="279"/>
      <c r="C113" s="279"/>
      <c r="D113" s="279"/>
      <c r="E113" s="279"/>
      <c r="F113" s="279"/>
    </row>
    <row r="114" spans="2:6" ht="15" x14ac:dyDescent="0.25">
      <c r="B114" s="279"/>
      <c r="C114" s="279"/>
      <c r="D114" s="279"/>
      <c r="E114" s="279"/>
      <c r="F114" s="279"/>
    </row>
    <row r="116" spans="2:6" ht="15" x14ac:dyDescent="0.25">
      <c r="B116" s="36" t="s">
        <v>131</v>
      </c>
      <c r="C116" s="37"/>
      <c r="D116" s="38"/>
    </row>
    <row r="117" spans="2:6" ht="15" x14ac:dyDescent="0.25">
      <c r="B117" s="39" t="s">
        <v>132</v>
      </c>
      <c r="C117" s="40"/>
      <c r="D117" s="62" t="s">
        <v>133</v>
      </c>
    </row>
    <row r="118" spans="2:6" ht="15" x14ac:dyDescent="0.25">
      <c r="B118" s="39" t="s">
        <v>134</v>
      </c>
      <c r="C118" s="40"/>
      <c r="D118" s="62" t="s">
        <v>133</v>
      </c>
    </row>
    <row r="119" spans="2:6" ht="15" x14ac:dyDescent="0.25">
      <c r="B119" s="41" t="s">
        <v>135</v>
      </c>
      <c r="C119" s="40"/>
      <c r="D119" s="42"/>
    </row>
    <row r="120" spans="2:6" ht="25.5" customHeight="1" x14ac:dyDescent="0.25">
      <c r="B120" s="42"/>
      <c r="C120" s="32" t="s">
        <v>136</v>
      </c>
      <c r="D120" s="33" t="s">
        <v>137</v>
      </c>
    </row>
    <row r="121" spans="2:6" ht="12.75" customHeight="1" x14ac:dyDescent="0.25">
      <c r="B121" s="57" t="s">
        <v>138</v>
      </c>
      <c r="C121" s="58" t="s">
        <v>139</v>
      </c>
      <c r="D121" s="58" t="s">
        <v>140</v>
      </c>
    </row>
    <row r="122" spans="2:6" ht="15" x14ac:dyDescent="0.25">
      <c r="B122" s="42" t="s">
        <v>141</v>
      </c>
      <c r="C122" s="43">
        <v>9.3894000000000002</v>
      </c>
      <c r="D122" s="43">
        <v>8.7318999999999996</v>
      </c>
    </row>
    <row r="123" spans="2:6" ht="15" x14ac:dyDescent="0.25">
      <c r="B123" s="42" t="s">
        <v>142</v>
      </c>
      <c r="C123" s="43">
        <v>9.3894000000000002</v>
      </c>
      <c r="D123" s="43">
        <v>8.7318999999999996</v>
      </c>
    </row>
    <row r="124" spans="2:6" ht="15" x14ac:dyDescent="0.25">
      <c r="B124" s="42" t="s">
        <v>143</v>
      </c>
      <c r="C124" s="43">
        <v>9.1641999999999992</v>
      </c>
      <c r="D124" s="43">
        <v>8.5180000000000007</v>
      </c>
    </row>
    <row r="125" spans="2:6" ht="15" x14ac:dyDescent="0.25">
      <c r="B125" s="42" t="s">
        <v>144</v>
      </c>
      <c r="C125" s="43">
        <v>9.1641999999999992</v>
      </c>
      <c r="D125" s="43">
        <v>8.5180000000000007</v>
      </c>
    </row>
    <row r="127" spans="2:6" ht="15" x14ac:dyDescent="0.25">
      <c r="B127" s="59" t="s">
        <v>145</v>
      </c>
      <c r="C127" s="44"/>
      <c r="D127" s="60" t="s">
        <v>133</v>
      </c>
    </row>
    <row r="128" spans="2:6" ht="24.75" customHeight="1" x14ac:dyDescent="0.25">
      <c r="B128" s="61"/>
      <c r="C128" s="61"/>
    </row>
    <row r="129" spans="2:4" ht="15" x14ac:dyDescent="0.25">
      <c r="B129" s="63"/>
      <c r="C129" s="65"/>
      <c r="D129"/>
    </row>
    <row r="131" spans="2:4" ht="15" x14ac:dyDescent="0.25">
      <c r="B131" s="41" t="s">
        <v>146</v>
      </c>
      <c r="C131" s="40"/>
      <c r="D131" s="64" t="s">
        <v>722</v>
      </c>
    </row>
    <row r="132" spans="2:4" ht="15" x14ac:dyDescent="0.25">
      <c r="B132" s="41" t="s">
        <v>147</v>
      </c>
      <c r="C132" s="40"/>
      <c r="D132" s="64" t="s">
        <v>133</v>
      </c>
    </row>
    <row r="133" spans="2:4" ht="15" x14ac:dyDescent="0.25">
      <c r="B133" s="41" t="s">
        <v>148</v>
      </c>
      <c r="C133" s="40"/>
      <c r="D133" s="45">
        <v>3.1397264053084038E-2</v>
      </c>
    </row>
    <row r="134" spans="2:4" ht="15" x14ac:dyDescent="0.25">
      <c r="B134" s="41" t="s">
        <v>149</v>
      </c>
      <c r="C134" s="40"/>
      <c r="D134" s="45" t="s">
        <v>133</v>
      </c>
    </row>
  </sheetData>
  <mergeCells count="5">
    <mergeCell ref="A1:G1"/>
    <mergeCell ref="A2:G2"/>
    <mergeCell ref="A3:G3"/>
    <mergeCell ref="B113:F113"/>
    <mergeCell ref="B114:F114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V134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843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46240</v>
      </c>
      <c r="F7" s="51">
        <v>196.33503999999999</v>
      </c>
      <c r="G7" s="5">
        <v>6.2220428000000001E-2</v>
      </c>
    </row>
    <row r="8" spans="1:7" ht="15" x14ac:dyDescent="0.25">
      <c r="A8" s="6">
        <v>2</v>
      </c>
      <c r="B8" s="7" t="s">
        <v>491</v>
      </c>
      <c r="C8" s="11" t="s">
        <v>492</v>
      </c>
      <c r="D8" s="2" t="s">
        <v>215</v>
      </c>
      <c r="E8" s="46">
        <v>22452</v>
      </c>
      <c r="F8" s="51">
        <v>178.19029800000001</v>
      </c>
      <c r="G8" s="5">
        <v>5.6470186999999998E-2</v>
      </c>
    </row>
    <row r="9" spans="1:7" ht="15" x14ac:dyDescent="0.25">
      <c r="A9" s="6">
        <v>3</v>
      </c>
      <c r="B9" s="7" t="s">
        <v>33</v>
      </c>
      <c r="C9" s="11" t="s">
        <v>34</v>
      </c>
      <c r="D9" s="2" t="s">
        <v>13</v>
      </c>
      <c r="E9" s="46">
        <v>7412</v>
      </c>
      <c r="F9" s="51">
        <v>166.89229800000001</v>
      </c>
      <c r="G9" s="5">
        <v>5.2889745000000002E-2</v>
      </c>
    </row>
    <row r="10" spans="1:7" ht="15" x14ac:dyDescent="0.25">
      <c r="A10" s="6">
        <v>4</v>
      </c>
      <c r="B10" s="7" t="s">
        <v>47</v>
      </c>
      <c r="C10" s="11" t="s">
        <v>48</v>
      </c>
      <c r="D10" s="2" t="s">
        <v>13</v>
      </c>
      <c r="E10" s="46">
        <v>43981</v>
      </c>
      <c r="F10" s="51">
        <v>146.104882</v>
      </c>
      <c r="G10" s="5">
        <v>4.6302016000000001E-2</v>
      </c>
    </row>
    <row r="11" spans="1:7" ht="25.5" x14ac:dyDescent="0.25">
      <c r="A11" s="6">
        <v>5</v>
      </c>
      <c r="B11" s="7" t="s">
        <v>17</v>
      </c>
      <c r="C11" s="11" t="s">
        <v>18</v>
      </c>
      <c r="D11" s="2" t="s">
        <v>19</v>
      </c>
      <c r="E11" s="46">
        <v>9713</v>
      </c>
      <c r="F11" s="51">
        <v>134.74844899999999</v>
      </c>
      <c r="G11" s="5">
        <v>4.2703054999999997E-2</v>
      </c>
    </row>
    <row r="12" spans="1:7" ht="25.5" x14ac:dyDescent="0.25">
      <c r="A12" s="6">
        <v>6</v>
      </c>
      <c r="B12" s="7" t="s">
        <v>489</v>
      </c>
      <c r="C12" s="11" t="s">
        <v>490</v>
      </c>
      <c r="D12" s="2" t="s">
        <v>162</v>
      </c>
      <c r="E12" s="46">
        <v>5954</v>
      </c>
      <c r="F12" s="51">
        <v>126.33197199999999</v>
      </c>
      <c r="G12" s="5">
        <v>4.0035794E-2</v>
      </c>
    </row>
    <row r="13" spans="1:7" ht="25.5" x14ac:dyDescent="0.25">
      <c r="A13" s="6">
        <v>7</v>
      </c>
      <c r="B13" s="7" t="s">
        <v>396</v>
      </c>
      <c r="C13" s="11" t="s">
        <v>397</v>
      </c>
      <c r="D13" s="2" t="s">
        <v>37</v>
      </c>
      <c r="E13" s="46">
        <v>43543</v>
      </c>
      <c r="F13" s="51">
        <v>117.65318600000001</v>
      </c>
      <c r="G13" s="5">
        <v>3.7285405000000001E-2</v>
      </c>
    </row>
    <row r="14" spans="1:7" ht="25.5" x14ac:dyDescent="0.25">
      <c r="A14" s="6">
        <v>8</v>
      </c>
      <c r="B14" s="7" t="s">
        <v>40</v>
      </c>
      <c r="C14" s="11" t="s">
        <v>41</v>
      </c>
      <c r="D14" s="2" t="s">
        <v>42</v>
      </c>
      <c r="E14" s="46">
        <v>9875</v>
      </c>
      <c r="F14" s="51">
        <v>115.1671875</v>
      </c>
      <c r="G14" s="5">
        <v>3.6497569000000001E-2</v>
      </c>
    </row>
    <row r="15" spans="1:7" ht="25.5" x14ac:dyDescent="0.25">
      <c r="A15" s="6">
        <v>9</v>
      </c>
      <c r="B15" s="7" t="s">
        <v>418</v>
      </c>
      <c r="C15" s="11" t="s">
        <v>419</v>
      </c>
      <c r="D15" s="2" t="s">
        <v>37</v>
      </c>
      <c r="E15" s="46">
        <v>28855</v>
      </c>
      <c r="F15" s="51">
        <v>95.452340000000007</v>
      </c>
      <c r="G15" s="5">
        <v>3.0249748E-2</v>
      </c>
    </row>
    <row r="16" spans="1:7" ht="15" x14ac:dyDescent="0.25">
      <c r="A16" s="6">
        <v>10</v>
      </c>
      <c r="B16" s="7" t="s">
        <v>504</v>
      </c>
      <c r="C16" s="11" t="s">
        <v>505</v>
      </c>
      <c r="D16" s="2" t="s">
        <v>215</v>
      </c>
      <c r="E16" s="46">
        <v>14474</v>
      </c>
      <c r="F16" s="51">
        <v>92.090824999999995</v>
      </c>
      <c r="G16" s="5">
        <v>2.9184452E-2</v>
      </c>
    </row>
    <row r="17" spans="1:7" ht="15" x14ac:dyDescent="0.25">
      <c r="A17" s="6">
        <v>11</v>
      </c>
      <c r="B17" s="7" t="s">
        <v>506</v>
      </c>
      <c r="C17" s="11" t="s">
        <v>507</v>
      </c>
      <c r="D17" s="2" t="s">
        <v>16</v>
      </c>
      <c r="E17" s="46">
        <v>11243</v>
      </c>
      <c r="F17" s="51">
        <v>88.634190500000003</v>
      </c>
      <c r="G17" s="5">
        <v>2.8089012E-2</v>
      </c>
    </row>
    <row r="18" spans="1:7" ht="15" x14ac:dyDescent="0.25">
      <c r="A18" s="6">
        <v>12</v>
      </c>
      <c r="B18" s="7" t="s">
        <v>332</v>
      </c>
      <c r="C18" s="11" t="s">
        <v>333</v>
      </c>
      <c r="D18" s="2" t="s">
        <v>155</v>
      </c>
      <c r="E18" s="46">
        <v>15000</v>
      </c>
      <c r="F18" s="51">
        <v>86.512500000000003</v>
      </c>
      <c r="G18" s="5">
        <v>2.7416627999999998E-2</v>
      </c>
    </row>
    <row r="19" spans="1:7" ht="25.5" x14ac:dyDescent="0.25">
      <c r="A19" s="6">
        <v>13</v>
      </c>
      <c r="B19" s="7" t="s">
        <v>310</v>
      </c>
      <c r="C19" s="11" t="s">
        <v>311</v>
      </c>
      <c r="D19" s="2" t="s">
        <v>37</v>
      </c>
      <c r="E19" s="46">
        <v>12743</v>
      </c>
      <c r="F19" s="51">
        <v>81.415026999999995</v>
      </c>
      <c r="G19" s="5">
        <v>2.5801191000000001E-2</v>
      </c>
    </row>
    <row r="20" spans="1:7" ht="15" x14ac:dyDescent="0.25">
      <c r="A20" s="6">
        <v>14</v>
      </c>
      <c r="B20" s="7" t="s">
        <v>394</v>
      </c>
      <c r="C20" s="11" t="s">
        <v>395</v>
      </c>
      <c r="D20" s="2" t="s">
        <v>13</v>
      </c>
      <c r="E20" s="46">
        <v>11538</v>
      </c>
      <c r="F20" s="51">
        <v>77.777658000000002</v>
      </c>
      <c r="G20" s="5">
        <v>2.4648474E-2</v>
      </c>
    </row>
    <row r="21" spans="1:7" ht="25.5" x14ac:dyDescent="0.25">
      <c r="A21" s="6">
        <v>15</v>
      </c>
      <c r="B21" s="7" t="s">
        <v>390</v>
      </c>
      <c r="C21" s="11" t="s">
        <v>391</v>
      </c>
      <c r="D21" s="2" t="s">
        <v>162</v>
      </c>
      <c r="E21" s="46">
        <v>9520</v>
      </c>
      <c r="F21" s="51">
        <v>75.926760000000002</v>
      </c>
      <c r="G21" s="5">
        <v>2.4061907E-2</v>
      </c>
    </row>
    <row r="22" spans="1:7" ht="25.5" x14ac:dyDescent="0.25">
      <c r="A22" s="6">
        <v>16</v>
      </c>
      <c r="B22" s="7" t="s">
        <v>153</v>
      </c>
      <c r="C22" s="11" t="s">
        <v>154</v>
      </c>
      <c r="D22" s="2" t="s">
        <v>155</v>
      </c>
      <c r="E22" s="46">
        <v>9588</v>
      </c>
      <c r="F22" s="51">
        <v>59.714064</v>
      </c>
      <c r="G22" s="5">
        <v>1.8923951000000001E-2</v>
      </c>
    </row>
    <row r="23" spans="1:7" ht="25.5" x14ac:dyDescent="0.25">
      <c r="A23" s="6">
        <v>17</v>
      </c>
      <c r="B23" s="7" t="s">
        <v>522</v>
      </c>
      <c r="C23" s="11" t="s">
        <v>523</v>
      </c>
      <c r="D23" s="2" t="s">
        <v>42</v>
      </c>
      <c r="E23" s="46">
        <v>42519</v>
      </c>
      <c r="F23" s="51">
        <v>59.228966999999997</v>
      </c>
      <c r="G23" s="5">
        <v>1.8770219000000001E-2</v>
      </c>
    </row>
    <row r="24" spans="1:7" ht="15" x14ac:dyDescent="0.25">
      <c r="A24" s="6">
        <v>18</v>
      </c>
      <c r="B24" s="7" t="s">
        <v>435</v>
      </c>
      <c r="C24" s="11" t="s">
        <v>436</v>
      </c>
      <c r="D24" s="2" t="s">
        <v>215</v>
      </c>
      <c r="E24" s="46">
        <v>2506</v>
      </c>
      <c r="F24" s="51">
        <v>55.274842</v>
      </c>
      <c r="G24" s="5">
        <v>1.7517119000000001E-2</v>
      </c>
    </row>
    <row r="25" spans="1:7" ht="25.5" x14ac:dyDescent="0.25">
      <c r="A25" s="6">
        <v>19</v>
      </c>
      <c r="B25" s="7" t="s">
        <v>316</v>
      </c>
      <c r="C25" s="11" t="s">
        <v>317</v>
      </c>
      <c r="D25" s="2" t="s">
        <v>37</v>
      </c>
      <c r="E25" s="46">
        <v>21331</v>
      </c>
      <c r="F25" s="51">
        <v>53.668796</v>
      </c>
      <c r="G25" s="5">
        <v>1.7008148000000001E-2</v>
      </c>
    </row>
    <row r="26" spans="1:7" ht="15" x14ac:dyDescent="0.25">
      <c r="A26" s="6">
        <v>20</v>
      </c>
      <c r="B26" s="7" t="s">
        <v>487</v>
      </c>
      <c r="C26" s="11" t="s">
        <v>488</v>
      </c>
      <c r="D26" s="2" t="s">
        <v>13</v>
      </c>
      <c r="E26" s="46">
        <v>3500</v>
      </c>
      <c r="F26" s="51">
        <v>53.184249999999999</v>
      </c>
      <c r="G26" s="5">
        <v>1.6854590999999999E-2</v>
      </c>
    </row>
    <row r="27" spans="1:7" ht="25.5" x14ac:dyDescent="0.25">
      <c r="A27" s="6">
        <v>21</v>
      </c>
      <c r="B27" s="7" t="s">
        <v>297</v>
      </c>
      <c r="C27" s="11" t="s">
        <v>298</v>
      </c>
      <c r="D27" s="2" t="s">
        <v>238</v>
      </c>
      <c r="E27" s="46">
        <v>27732</v>
      </c>
      <c r="F27" s="51">
        <v>52.205489999999998</v>
      </c>
      <c r="G27" s="5">
        <v>1.6544413000000001E-2</v>
      </c>
    </row>
    <row r="28" spans="1:7" ht="15" x14ac:dyDescent="0.25">
      <c r="A28" s="6">
        <v>22</v>
      </c>
      <c r="B28" s="7" t="s">
        <v>508</v>
      </c>
      <c r="C28" s="11" t="s">
        <v>509</v>
      </c>
      <c r="D28" s="2" t="s">
        <v>269</v>
      </c>
      <c r="E28" s="46">
        <v>5441</v>
      </c>
      <c r="F28" s="51">
        <v>49.545746000000001</v>
      </c>
      <c r="G28" s="5">
        <v>1.5701514999999999E-2</v>
      </c>
    </row>
    <row r="29" spans="1:7" ht="15" x14ac:dyDescent="0.25">
      <c r="A29" s="6">
        <v>23</v>
      </c>
      <c r="B29" s="7" t="s">
        <v>420</v>
      </c>
      <c r="C29" s="11" t="s">
        <v>421</v>
      </c>
      <c r="D29" s="2" t="s">
        <v>226</v>
      </c>
      <c r="E29" s="46">
        <v>8597</v>
      </c>
      <c r="F29" s="51">
        <v>47.283499999999997</v>
      </c>
      <c r="G29" s="5">
        <v>1.4984587000000001E-2</v>
      </c>
    </row>
    <row r="30" spans="1:7" ht="25.5" x14ac:dyDescent="0.25">
      <c r="A30" s="6">
        <v>24</v>
      </c>
      <c r="B30" s="7" t="s">
        <v>512</v>
      </c>
      <c r="C30" s="11" t="s">
        <v>513</v>
      </c>
      <c r="D30" s="2" t="s">
        <v>37</v>
      </c>
      <c r="E30" s="46">
        <v>31195</v>
      </c>
      <c r="F30" s="51">
        <v>44.187717499999998</v>
      </c>
      <c r="G30" s="5">
        <v>1.4003504999999999E-2</v>
      </c>
    </row>
    <row r="31" spans="1:7" ht="15" x14ac:dyDescent="0.25">
      <c r="A31" s="6">
        <v>25</v>
      </c>
      <c r="B31" s="7" t="s">
        <v>468</v>
      </c>
      <c r="C31" s="11" t="s">
        <v>469</v>
      </c>
      <c r="D31" s="2" t="s">
        <v>241</v>
      </c>
      <c r="E31" s="46">
        <v>29481</v>
      </c>
      <c r="F31" s="51">
        <v>43.440253499999997</v>
      </c>
      <c r="G31" s="5">
        <v>1.3766626000000001E-2</v>
      </c>
    </row>
    <row r="32" spans="1:7" ht="15" x14ac:dyDescent="0.25">
      <c r="A32" s="6">
        <v>26</v>
      </c>
      <c r="B32" s="7" t="s">
        <v>516</v>
      </c>
      <c r="C32" s="11" t="s">
        <v>517</v>
      </c>
      <c r="D32" s="2" t="s">
        <v>13</v>
      </c>
      <c r="E32" s="46">
        <v>36831</v>
      </c>
      <c r="F32" s="51">
        <v>39.298676999999998</v>
      </c>
      <c r="G32" s="5">
        <v>1.2454122E-2</v>
      </c>
    </row>
    <row r="33" spans="1:7" ht="15" x14ac:dyDescent="0.25">
      <c r="A33" s="6">
        <v>27</v>
      </c>
      <c r="B33" s="7" t="s">
        <v>299</v>
      </c>
      <c r="C33" s="11" t="s">
        <v>300</v>
      </c>
      <c r="D33" s="2" t="s">
        <v>13</v>
      </c>
      <c r="E33" s="46">
        <v>39866</v>
      </c>
      <c r="F33" s="51">
        <v>36.836184000000003</v>
      </c>
      <c r="G33" s="5">
        <v>1.1673734E-2</v>
      </c>
    </row>
    <row r="34" spans="1:7" ht="15" x14ac:dyDescent="0.25">
      <c r="A34" s="6">
        <v>28</v>
      </c>
      <c r="B34" s="7" t="s">
        <v>514</v>
      </c>
      <c r="C34" s="11" t="s">
        <v>515</v>
      </c>
      <c r="D34" s="2" t="s">
        <v>215</v>
      </c>
      <c r="E34" s="46">
        <v>3520</v>
      </c>
      <c r="F34" s="51">
        <v>36.416159999999998</v>
      </c>
      <c r="G34" s="5">
        <v>1.1540625000000001E-2</v>
      </c>
    </row>
    <row r="35" spans="1:7" ht="25.5" x14ac:dyDescent="0.25">
      <c r="A35" s="6">
        <v>29</v>
      </c>
      <c r="B35" s="7" t="s">
        <v>510</v>
      </c>
      <c r="C35" s="11" t="s">
        <v>511</v>
      </c>
      <c r="D35" s="2" t="s">
        <v>37</v>
      </c>
      <c r="E35" s="46">
        <v>3042</v>
      </c>
      <c r="F35" s="51">
        <v>36.192194999999998</v>
      </c>
      <c r="G35" s="5">
        <v>1.1469648000000001E-2</v>
      </c>
    </row>
    <row r="36" spans="1:7" ht="25.5" x14ac:dyDescent="0.25">
      <c r="A36" s="6">
        <v>30</v>
      </c>
      <c r="B36" s="7" t="s">
        <v>518</v>
      </c>
      <c r="C36" s="11" t="s">
        <v>519</v>
      </c>
      <c r="D36" s="2" t="s">
        <v>37</v>
      </c>
      <c r="E36" s="46">
        <v>1904</v>
      </c>
      <c r="F36" s="51">
        <v>32.875416000000001</v>
      </c>
      <c r="G36" s="5">
        <v>1.041853E-2</v>
      </c>
    </row>
    <row r="37" spans="1:7" ht="25.5" x14ac:dyDescent="0.25">
      <c r="A37" s="6">
        <v>31</v>
      </c>
      <c r="B37" s="7" t="s">
        <v>94</v>
      </c>
      <c r="C37" s="11" t="s">
        <v>95</v>
      </c>
      <c r="D37" s="2" t="s">
        <v>22</v>
      </c>
      <c r="E37" s="46">
        <v>32000</v>
      </c>
      <c r="F37" s="51">
        <v>32.783999999999999</v>
      </c>
      <c r="G37" s="5">
        <v>1.0389559E-2</v>
      </c>
    </row>
    <row r="38" spans="1:7" ht="25.5" x14ac:dyDescent="0.25">
      <c r="A38" s="6">
        <v>32</v>
      </c>
      <c r="B38" s="7" t="s">
        <v>301</v>
      </c>
      <c r="C38" s="11" t="s">
        <v>302</v>
      </c>
      <c r="D38" s="2" t="s">
        <v>22</v>
      </c>
      <c r="E38" s="46">
        <v>4608</v>
      </c>
      <c r="F38" s="51">
        <v>32.670720000000003</v>
      </c>
      <c r="G38" s="5">
        <v>1.0353660000000001E-2</v>
      </c>
    </row>
    <row r="39" spans="1:7" ht="15" x14ac:dyDescent="0.25">
      <c r="A39" s="6">
        <v>33</v>
      </c>
      <c r="B39" s="7" t="s">
        <v>520</v>
      </c>
      <c r="C39" s="11" t="s">
        <v>521</v>
      </c>
      <c r="D39" s="2" t="s">
        <v>305</v>
      </c>
      <c r="E39" s="46">
        <v>13719</v>
      </c>
      <c r="F39" s="51">
        <v>32.438575499999999</v>
      </c>
      <c r="G39" s="5">
        <v>1.0280091E-2</v>
      </c>
    </row>
    <row r="40" spans="1:7" ht="15" x14ac:dyDescent="0.25">
      <c r="A40" s="6">
        <v>34</v>
      </c>
      <c r="B40" s="7" t="s">
        <v>336</v>
      </c>
      <c r="C40" s="11" t="s">
        <v>337</v>
      </c>
      <c r="D40" s="2" t="s">
        <v>184</v>
      </c>
      <c r="E40" s="46">
        <v>7000</v>
      </c>
      <c r="F40" s="51">
        <v>30.712499999999999</v>
      </c>
      <c r="G40" s="5">
        <v>9.7330809999999993E-3</v>
      </c>
    </row>
    <row r="41" spans="1:7" ht="25.5" x14ac:dyDescent="0.25">
      <c r="A41" s="6">
        <v>35</v>
      </c>
      <c r="B41" s="7" t="s">
        <v>64</v>
      </c>
      <c r="C41" s="11" t="s">
        <v>65</v>
      </c>
      <c r="D41" s="2" t="s">
        <v>19</v>
      </c>
      <c r="E41" s="46">
        <v>41310</v>
      </c>
      <c r="F41" s="51">
        <v>30.218264999999999</v>
      </c>
      <c r="G41" s="5">
        <v>9.5764530000000004E-3</v>
      </c>
    </row>
    <row r="42" spans="1:7" ht="25.5" x14ac:dyDescent="0.25">
      <c r="A42" s="6">
        <v>36</v>
      </c>
      <c r="B42" s="7" t="s">
        <v>448</v>
      </c>
      <c r="C42" s="11" t="s">
        <v>449</v>
      </c>
      <c r="D42" s="2" t="s">
        <v>81</v>
      </c>
      <c r="E42" s="46">
        <v>10872</v>
      </c>
      <c r="F42" s="51">
        <v>28.51182</v>
      </c>
      <c r="G42" s="5">
        <v>9.035665E-3</v>
      </c>
    </row>
    <row r="43" spans="1:7" ht="25.5" x14ac:dyDescent="0.25">
      <c r="A43" s="6">
        <v>37</v>
      </c>
      <c r="B43" s="7" t="s">
        <v>100</v>
      </c>
      <c r="C43" s="11" t="s">
        <v>101</v>
      </c>
      <c r="D43" s="2" t="s">
        <v>30</v>
      </c>
      <c r="E43" s="46">
        <v>42165</v>
      </c>
      <c r="F43" s="51">
        <v>24.835184999999999</v>
      </c>
      <c r="G43" s="5">
        <v>7.8705049999999999E-3</v>
      </c>
    </row>
    <row r="44" spans="1:7" ht="25.5" x14ac:dyDescent="0.25">
      <c r="A44" s="6">
        <v>38</v>
      </c>
      <c r="B44" s="7" t="s">
        <v>165</v>
      </c>
      <c r="C44" s="11" t="s">
        <v>166</v>
      </c>
      <c r="D44" s="2" t="s">
        <v>167</v>
      </c>
      <c r="E44" s="46">
        <v>21153</v>
      </c>
      <c r="F44" s="51">
        <v>24.378832500000001</v>
      </c>
      <c r="G44" s="5">
        <v>7.7258819999999999E-3</v>
      </c>
    </row>
    <row r="45" spans="1:7" ht="15" x14ac:dyDescent="0.25">
      <c r="A45" s="6">
        <v>39</v>
      </c>
      <c r="B45" s="7" t="s">
        <v>54</v>
      </c>
      <c r="C45" s="11" t="s">
        <v>55</v>
      </c>
      <c r="D45" s="2" t="s">
        <v>56</v>
      </c>
      <c r="E45" s="46">
        <v>16441</v>
      </c>
      <c r="F45" s="51">
        <v>22.211791000000002</v>
      </c>
      <c r="G45" s="5">
        <v>7.0391259999999997E-3</v>
      </c>
    </row>
    <row r="46" spans="1:7" ht="25.5" x14ac:dyDescent="0.25">
      <c r="A46" s="6">
        <v>40</v>
      </c>
      <c r="B46" s="7" t="s">
        <v>524</v>
      </c>
      <c r="C46" s="11" t="s">
        <v>525</v>
      </c>
      <c r="D46" s="2" t="s">
        <v>42</v>
      </c>
      <c r="E46" s="46">
        <v>6238</v>
      </c>
      <c r="F46" s="51">
        <v>21.552289999999999</v>
      </c>
      <c r="G46" s="5">
        <v>6.8301239999999999E-3</v>
      </c>
    </row>
    <row r="47" spans="1:7" ht="25.5" x14ac:dyDescent="0.25">
      <c r="A47" s="6">
        <v>41</v>
      </c>
      <c r="B47" s="7" t="s">
        <v>274</v>
      </c>
      <c r="C47" s="11" t="s">
        <v>275</v>
      </c>
      <c r="D47" s="2" t="s">
        <v>22</v>
      </c>
      <c r="E47" s="46">
        <v>3850</v>
      </c>
      <c r="F47" s="51">
        <v>15.167075000000001</v>
      </c>
      <c r="G47" s="5">
        <v>4.806589E-3</v>
      </c>
    </row>
    <row r="48" spans="1:7" ht="25.5" x14ac:dyDescent="0.25">
      <c r="A48" s="6">
        <v>42</v>
      </c>
      <c r="B48" s="7" t="s">
        <v>526</v>
      </c>
      <c r="C48" s="11" t="s">
        <v>527</v>
      </c>
      <c r="D48" s="2" t="s">
        <v>37</v>
      </c>
      <c r="E48" s="46">
        <v>2000</v>
      </c>
      <c r="F48" s="51">
        <v>13.891999999999999</v>
      </c>
      <c r="G48" s="5">
        <v>4.4025059999999996E-3</v>
      </c>
    </row>
    <row r="49" spans="1:7" ht="15" x14ac:dyDescent="0.25">
      <c r="A49" s="1"/>
      <c r="B49" s="2"/>
      <c r="C49" s="8" t="s">
        <v>104</v>
      </c>
      <c r="D49" s="12"/>
      <c r="E49" s="48"/>
      <c r="F49" s="53">
        <v>2787.9579249999992</v>
      </c>
      <c r="G49" s="13">
        <v>0.88353018500000025</v>
      </c>
    </row>
    <row r="50" spans="1:7" ht="15" x14ac:dyDescent="0.25">
      <c r="A50" s="6"/>
      <c r="B50" s="7"/>
      <c r="C50" s="14"/>
      <c r="D50" s="15"/>
      <c r="E50" s="46"/>
      <c r="F50" s="51"/>
      <c r="G50" s="5"/>
    </row>
    <row r="51" spans="1:7" ht="15" x14ac:dyDescent="0.25">
      <c r="A51" s="1"/>
      <c r="B51" s="2"/>
      <c r="C51" s="8" t="s">
        <v>105</v>
      </c>
      <c r="D51" s="9"/>
      <c r="E51" s="47"/>
      <c r="F51" s="52"/>
      <c r="G51" s="10"/>
    </row>
    <row r="52" spans="1:7" ht="15" x14ac:dyDescent="0.25">
      <c r="A52" s="1"/>
      <c r="B52" s="2"/>
      <c r="C52" s="8" t="s">
        <v>104</v>
      </c>
      <c r="D52" s="12"/>
      <c r="E52" s="48"/>
      <c r="F52" s="53">
        <v>0</v>
      </c>
      <c r="G52" s="13">
        <v>0</v>
      </c>
    </row>
    <row r="53" spans="1:7" ht="15" x14ac:dyDescent="0.25">
      <c r="A53" s="6"/>
      <c r="B53" s="7"/>
      <c r="C53" s="14"/>
      <c r="D53" s="15"/>
      <c r="E53" s="46"/>
      <c r="F53" s="51"/>
      <c r="G53" s="5"/>
    </row>
    <row r="54" spans="1:7" ht="15" x14ac:dyDescent="0.25">
      <c r="A54" s="16"/>
      <c r="B54" s="17"/>
      <c r="C54" s="8" t="s">
        <v>106</v>
      </c>
      <c r="D54" s="9"/>
      <c r="E54" s="47"/>
      <c r="F54" s="52"/>
      <c r="G54" s="10"/>
    </row>
    <row r="55" spans="1:7" ht="15" x14ac:dyDescent="0.25">
      <c r="A55" s="18"/>
      <c r="B55" s="19"/>
      <c r="C55" s="8" t="s">
        <v>104</v>
      </c>
      <c r="D55" s="20"/>
      <c r="E55" s="49"/>
      <c r="F55" s="54">
        <v>0</v>
      </c>
      <c r="G55" s="21">
        <v>0</v>
      </c>
    </row>
    <row r="56" spans="1:7" ht="15" x14ac:dyDescent="0.25">
      <c r="A56" s="18"/>
      <c r="B56" s="19"/>
      <c r="C56" s="14"/>
      <c r="D56" s="22"/>
      <c r="E56" s="50"/>
      <c r="F56" s="55"/>
      <c r="G56" s="23"/>
    </row>
    <row r="57" spans="1:7" ht="15" x14ac:dyDescent="0.25">
      <c r="A57" s="1"/>
      <c r="B57" s="2"/>
      <c r="C57" s="8" t="s">
        <v>108</v>
      </c>
      <c r="D57" s="9"/>
      <c r="E57" s="47"/>
      <c r="F57" s="52"/>
      <c r="G57" s="10"/>
    </row>
    <row r="58" spans="1:7" ht="15" x14ac:dyDescent="0.25">
      <c r="A58" s="1"/>
      <c r="B58" s="2"/>
      <c r="C58" s="8" t="s">
        <v>104</v>
      </c>
      <c r="D58" s="12"/>
      <c r="E58" s="48"/>
      <c r="F58" s="53">
        <v>0</v>
      </c>
      <c r="G58" s="13">
        <v>0</v>
      </c>
    </row>
    <row r="59" spans="1:7" ht="15" x14ac:dyDescent="0.25">
      <c r="A59" s="1"/>
      <c r="B59" s="2"/>
      <c r="C59" s="14"/>
      <c r="D59" s="4"/>
      <c r="E59" s="46"/>
      <c r="F59" s="51"/>
      <c r="G59" s="5"/>
    </row>
    <row r="60" spans="1:7" ht="15" x14ac:dyDescent="0.25">
      <c r="A60" s="1"/>
      <c r="B60" s="2"/>
      <c r="C60" s="8" t="s">
        <v>109</v>
      </c>
      <c r="D60" s="9"/>
      <c r="E60" s="47"/>
      <c r="F60" s="52"/>
      <c r="G60" s="10"/>
    </row>
    <row r="61" spans="1:7" ht="15" x14ac:dyDescent="0.25">
      <c r="A61" s="1"/>
      <c r="B61" s="2"/>
      <c r="C61" s="8" t="s">
        <v>104</v>
      </c>
      <c r="D61" s="12"/>
      <c r="E61" s="48"/>
      <c r="F61" s="53">
        <v>0</v>
      </c>
      <c r="G61" s="13">
        <v>0</v>
      </c>
    </row>
    <row r="62" spans="1:7" ht="15" x14ac:dyDescent="0.25">
      <c r="A62" s="1"/>
      <c r="B62" s="2"/>
      <c r="C62" s="14"/>
      <c r="D62" s="4"/>
      <c r="E62" s="46"/>
      <c r="F62" s="51"/>
      <c r="G62" s="5"/>
    </row>
    <row r="63" spans="1:7" ht="15" x14ac:dyDescent="0.25">
      <c r="A63" s="1"/>
      <c r="B63" s="2"/>
      <c r="C63" s="8" t="s">
        <v>110</v>
      </c>
      <c r="D63" s="9"/>
      <c r="E63" s="47"/>
      <c r="F63" s="52"/>
      <c r="G63" s="10"/>
    </row>
    <row r="64" spans="1:7" ht="15" x14ac:dyDescent="0.25">
      <c r="A64" s="1"/>
      <c r="B64" s="2"/>
      <c r="C64" s="8" t="s">
        <v>104</v>
      </c>
      <c r="D64" s="12"/>
      <c r="E64" s="48"/>
      <c r="F64" s="53">
        <v>0</v>
      </c>
      <c r="G64" s="13">
        <v>0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25.5" x14ac:dyDescent="0.25">
      <c r="A66" s="6"/>
      <c r="B66" s="7"/>
      <c r="C66" s="24" t="s">
        <v>111</v>
      </c>
      <c r="D66" s="25"/>
      <c r="E66" s="48"/>
      <c r="F66" s="53">
        <v>2787.9579249999992</v>
      </c>
      <c r="G66" s="13">
        <v>0.88353018500000025</v>
      </c>
    </row>
    <row r="67" spans="1:7" ht="15" x14ac:dyDescent="0.25">
      <c r="A67" s="1"/>
      <c r="B67" s="2"/>
      <c r="C67" s="11"/>
      <c r="D67" s="4"/>
      <c r="E67" s="46"/>
      <c r="F67" s="51"/>
      <c r="G67" s="5"/>
    </row>
    <row r="68" spans="1:7" ht="15" x14ac:dyDescent="0.25">
      <c r="A68" s="1"/>
      <c r="B68" s="2"/>
      <c r="C68" s="3" t="s">
        <v>112</v>
      </c>
      <c r="D68" s="4"/>
      <c r="E68" s="46"/>
      <c r="F68" s="51"/>
      <c r="G68" s="5"/>
    </row>
    <row r="69" spans="1:7" ht="25.5" x14ac:dyDescent="0.25">
      <c r="A69" s="1"/>
      <c r="B69" s="2"/>
      <c r="C69" s="8" t="s">
        <v>10</v>
      </c>
      <c r="D69" s="9"/>
      <c r="E69" s="47"/>
      <c r="F69" s="52"/>
      <c r="G69" s="10"/>
    </row>
    <row r="70" spans="1:7" ht="15" x14ac:dyDescent="0.25">
      <c r="A70" s="6"/>
      <c r="B70" s="7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6"/>
      <c r="B71" s="7"/>
      <c r="C71" s="14"/>
      <c r="D71" s="4"/>
      <c r="E71" s="46"/>
      <c r="F71" s="51"/>
      <c r="G71" s="5"/>
    </row>
    <row r="72" spans="1:7" ht="15" x14ac:dyDescent="0.25">
      <c r="A72" s="1"/>
      <c r="B72" s="26"/>
      <c r="C72" s="8" t="s">
        <v>113</v>
      </c>
      <c r="D72" s="9"/>
      <c r="E72" s="47"/>
      <c r="F72" s="52"/>
      <c r="G72" s="10"/>
    </row>
    <row r="73" spans="1:7" ht="15" x14ac:dyDescent="0.25">
      <c r="A73" s="6"/>
      <c r="B73" s="7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4"/>
      <c r="E74" s="46"/>
      <c r="F74" s="56"/>
      <c r="G74" s="27"/>
    </row>
    <row r="75" spans="1:7" ht="15" x14ac:dyDescent="0.25">
      <c r="A75" s="1"/>
      <c r="B75" s="2"/>
      <c r="C75" s="8" t="s">
        <v>114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25.5" x14ac:dyDescent="0.25">
      <c r="A78" s="1"/>
      <c r="B78" s="26"/>
      <c r="C78" s="8" t="s">
        <v>115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1"/>
      <c r="G80" s="5"/>
    </row>
    <row r="81" spans="1:7" ht="15" x14ac:dyDescent="0.25">
      <c r="A81" s="6"/>
      <c r="B81" s="7"/>
      <c r="C81" s="28" t="s">
        <v>116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117</v>
      </c>
      <c r="D83" s="4"/>
      <c r="E83" s="46"/>
      <c r="F83" s="51"/>
      <c r="G83" s="5"/>
    </row>
    <row r="84" spans="1:7" ht="15" x14ac:dyDescent="0.25">
      <c r="A84" s="6"/>
      <c r="B84" s="7"/>
      <c r="C84" s="8" t="s">
        <v>118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25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7"/>
      <c r="E86" s="46"/>
      <c r="F86" s="51"/>
      <c r="G86" s="5"/>
    </row>
    <row r="87" spans="1:7" ht="15" x14ac:dyDescent="0.25">
      <c r="A87" s="6"/>
      <c r="B87" s="7"/>
      <c r="C87" s="8" t="s">
        <v>119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7"/>
      <c r="E89" s="46"/>
      <c r="F89" s="51"/>
      <c r="G89" s="5"/>
    </row>
    <row r="90" spans="1:7" ht="15" x14ac:dyDescent="0.25">
      <c r="A90" s="6"/>
      <c r="B90" s="7"/>
      <c r="C90" s="8" t="s">
        <v>120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121</v>
      </c>
      <c r="D93" s="9"/>
      <c r="E93" s="47"/>
      <c r="F93" s="52"/>
      <c r="G93" s="10"/>
    </row>
    <row r="94" spans="1:7" ht="15" x14ac:dyDescent="0.25">
      <c r="A94" s="6">
        <v>1</v>
      </c>
      <c r="B94" s="7"/>
      <c r="C94" s="11" t="s">
        <v>730</v>
      </c>
      <c r="D94" s="15"/>
      <c r="E94" s="46"/>
      <c r="F94" s="51">
        <v>335.94854930000002</v>
      </c>
      <c r="G94" s="5">
        <v>0.106465267</v>
      </c>
    </row>
    <row r="95" spans="1:7" ht="15" x14ac:dyDescent="0.25">
      <c r="A95" s="6"/>
      <c r="B95" s="7"/>
      <c r="C95" s="8" t="s">
        <v>104</v>
      </c>
      <c r="D95" s="25"/>
      <c r="E95" s="48"/>
      <c r="F95" s="53">
        <v>335.94854930000002</v>
      </c>
      <c r="G95" s="13">
        <v>0.106465267</v>
      </c>
    </row>
    <row r="96" spans="1:7" ht="15" x14ac:dyDescent="0.25">
      <c r="A96" s="6"/>
      <c r="B96" s="7"/>
      <c r="C96" s="14"/>
      <c r="D96" s="7"/>
      <c r="E96" s="46"/>
      <c r="F96" s="51"/>
      <c r="G96" s="5"/>
    </row>
    <row r="97" spans="1:7" ht="25.5" x14ac:dyDescent="0.25">
      <c r="A97" s="6"/>
      <c r="B97" s="7"/>
      <c r="C97" s="24" t="s">
        <v>122</v>
      </c>
      <c r="D97" s="25"/>
      <c r="E97" s="48"/>
      <c r="F97" s="53">
        <v>335.94854930000002</v>
      </c>
      <c r="G97" s="13">
        <v>0.106465267</v>
      </c>
    </row>
    <row r="98" spans="1:7" ht="15" x14ac:dyDescent="0.25">
      <c r="A98" s="6"/>
      <c r="B98" s="7"/>
      <c r="C98" s="29"/>
      <c r="D98" s="7"/>
      <c r="E98" s="46"/>
      <c r="F98" s="51"/>
      <c r="G98" s="5"/>
    </row>
    <row r="99" spans="1:7" ht="15" x14ac:dyDescent="0.25">
      <c r="A99" s="1"/>
      <c r="B99" s="2"/>
      <c r="C99" s="3" t="s">
        <v>123</v>
      </c>
      <c r="D99" s="4"/>
      <c r="E99" s="46"/>
      <c r="F99" s="51"/>
      <c r="G99" s="5"/>
    </row>
    <row r="100" spans="1:7" ht="25.5" x14ac:dyDescent="0.25">
      <c r="A100" s="6"/>
      <c r="B100" s="7"/>
      <c r="C100" s="8" t="s">
        <v>124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15" x14ac:dyDescent="0.25">
      <c r="A103" s="1"/>
      <c r="B103" s="2"/>
      <c r="C103" s="3" t="s">
        <v>125</v>
      </c>
      <c r="D103" s="4"/>
      <c r="E103" s="46"/>
      <c r="F103" s="51"/>
      <c r="G103" s="5"/>
    </row>
    <row r="104" spans="1:7" ht="25.5" x14ac:dyDescent="0.25">
      <c r="A104" s="6"/>
      <c r="B104" s="7"/>
      <c r="C104" s="8" t="s">
        <v>126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25.5" x14ac:dyDescent="0.25">
      <c r="A107" s="6"/>
      <c r="B107" s="7"/>
      <c r="C107" s="8" t="s">
        <v>127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6"/>
      <c r="G109" s="27"/>
    </row>
    <row r="110" spans="1:7" ht="25.5" x14ac:dyDescent="0.25">
      <c r="A110" s="6"/>
      <c r="B110" s="7"/>
      <c r="C110" s="29" t="s">
        <v>128</v>
      </c>
      <c r="D110" s="7"/>
      <c r="E110" s="46"/>
      <c r="F110" s="56">
        <v>31.569112619999999</v>
      </c>
      <c r="G110" s="27">
        <v>1.0004549999999999E-2</v>
      </c>
    </row>
    <row r="111" spans="1:7" ht="15" x14ac:dyDescent="0.25">
      <c r="A111" s="6"/>
      <c r="B111" s="7"/>
      <c r="C111" s="30" t="s">
        <v>129</v>
      </c>
      <c r="D111" s="12"/>
      <c r="E111" s="48"/>
      <c r="F111" s="53">
        <v>3155.4755869199994</v>
      </c>
      <c r="G111" s="13">
        <v>1.0000000020000004</v>
      </c>
    </row>
    <row r="113" spans="2:6" ht="15" x14ac:dyDescent="0.25">
      <c r="B113" s="279"/>
      <c r="C113" s="279"/>
      <c r="D113" s="279"/>
      <c r="E113" s="279"/>
      <c r="F113" s="279"/>
    </row>
    <row r="114" spans="2:6" ht="15" x14ac:dyDescent="0.25">
      <c r="B114" s="279"/>
      <c r="C114" s="279"/>
      <c r="D114" s="279"/>
      <c r="E114" s="279"/>
      <c r="F114" s="279"/>
    </row>
    <row r="116" spans="2:6" ht="15" x14ac:dyDescent="0.25">
      <c r="B116" s="36" t="s">
        <v>131</v>
      </c>
      <c r="C116" s="37"/>
      <c r="D116" s="38"/>
    </row>
    <row r="117" spans="2:6" ht="15" x14ac:dyDescent="0.25">
      <c r="B117" s="39" t="s">
        <v>132</v>
      </c>
      <c r="C117" s="40"/>
      <c r="D117" s="62" t="s">
        <v>133</v>
      </c>
    </row>
    <row r="118" spans="2:6" ht="15" x14ac:dyDescent="0.25">
      <c r="B118" s="39" t="s">
        <v>134</v>
      </c>
      <c r="C118" s="40"/>
      <c r="D118" s="62" t="s">
        <v>133</v>
      </c>
    </row>
    <row r="119" spans="2:6" ht="15" x14ac:dyDescent="0.25">
      <c r="B119" s="41" t="s">
        <v>135</v>
      </c>
      <c r="C119" s="40"/>
      <c r="D119" s="42"/>
    </row>
    <row r="120" spans="2:6" ht="25.5" customHeight="1" x14ac:dyDescent="0.25">
      <c r="B120" s="42"/>
      <c r="C120" s="32" t="s">
        <v>136</v>
      </c>
      <c r="D120" s="33" t="s">
        <v>137</v>
      </c>
    </row>
    <row r="121" spans="2:6" ht="12.75" customHeight="1" x14ac:dyDescent="0.25">
      <c r="B121" s="57" t="s">
        <v>138</v>
      </c>
      <c r="C121" s="58" t="s">
        <v>139</v>
      </c>
      <c r="D121" s="58" t="s">
        <v>140</v>
      </c>
    </row>
    <row r="122" spans="2:6" ht="15" x14ac:dyDescent="0.25">
      <c r="B122" s="42" t="s">
        <v>141</v>
      </c>
      <c r="C122" s="43">
        <v>16.4498</v>
      </c>
      <c r="D122" s="43">
        <v>15.3491</v>
      </c>
    </row>
    <row r="123" spans="2:6" ht="15" x14ac:dyDescent="0.25">
      <c r="B123" s="42" t="s">
        <v>142</v>
      </c>
      <c r="C123" s="43">
        <v>13.066000000000001</v>
      </c>
      <c r="D123" s="43">
        <v>12.191700000000001</v>
      </c>
    </row>
    <row r="124" spans="2:6" ht="15" x14ac:dyDescent="0.25">
      <c r="B124" s="42" t="s">
        <v>143</v>
      </c>
      <c r="C124" s="43">
        <v>16.1327</v>
      </c>
      <c r="D124" s="43">
        <v>15.046799999999999</v>
      </c>
    </row>
    <row r="125" spans="2:6" ht="15" x14ac:dyDescent="0.25">
      <c r="B125" s="42" t="s">
        <v>144</v>
      </c>
      <c r="C125" s="43">
        <v>12.770799999999999</v>
      </c>
      <c r="D125" s="43">
        <v>11.911199999999999</v>
      </c>
    </row>
    <row r="127" spans="2:6" ht="15" x14ac:dyDescent="0.25">
      <c r="B127" s="59" t="s">
        <v>145</v>
      </c>
      <c r="C127" s="44"/>
      <c r="D127" s="60" t="s">
        <v>133</v>
      </c>
    </row>
    <row r="128" spans="2:6" ht="24.75" customHeight="1" x14ac:dyDescent="0.25">
      <c r="B128" s="61"/>
      <c r="C128" s="61"/>
    </row>
    <row r="129" spans="2:4" ht="15" x14ac:dyDescent="0.25">
      <c r="B129" s="63"/>
      <c r="C129" s="65"/>
      <c r="D129"/>
    </row>
    <row r="131" spans="2:4" ht="15" x14ac:dyDescent="0.25">
      <c r="B131" s="41" t="s">
        <v>146</v>
      </c>
      <c r="C131" s="40"/>
      <c r="D131" s="64" t="s">
        <v>133</v>
      </c>
    </row>
    <row r="132" spans="2:4" ht="15" x14ac:dyDescent="0.25">
      <c r="B132" s="41" t="s">
        <v>147</v>
      </c>
      <c r="C132" s="40"/>
      <c r="D132" s="64" t="s">
        <v>133</v>
      </c>
    </row>
    <row r="133" spans="2:4" ht="15" x14ac:dyDescent="0.25">
      <c r="B133" s="41" t="s">
        <v>148</v>
      </c>
      <c r="C133" s="40"/>
      <c r="D133" s="45">
        <v>2.3699661861680207E-2</v>
      </c>
    </row>
    <row r="134" spans="2:4" ht="15" x14ac:dyDescent="0.25">
      <c r="B134" s="41" t="s">
        <v>149</v>
      </c>
      <c r="C134" s="40"/>
      <c r="D134" s="45" t="s">
        <v>133</v>
      </c>
    </row>
  </sheetData>
  <mergeCells count="5">
    <mergeCell ref="A1:G1"/>
    <mergeCell ref="A2:G2"/>
    <mergeCell ref="A3:G3"/>
    <mergeCell ref="B113:F113"/>
    <mergeCell ref="B114:F114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V135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844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49713</v>
      </c>
      <c r="F7" s="51">
        <v>211.08139800000001</v>
      </c>
      <c r="G7" s="5">
        <v>6.2385859000000002E-2</v>
      </c>
    </row>
    <row r="8" spans="1:7" ht="15" x14ac:dyDescent="0.25">
      <c r="A8" s="6">
        <v>2</v>
      </c>
      <c r="B8" s="7" t="s">
        <v>491</v>
      </c>
      <c r="C8" s="11" t="s">
        <v>492</v>
      </c>
      <c r="D8" s="2" t="s">
        <v>215</v>
      </c>
      <c r="E8" s="46">
        <v>24015</v>
      </c>
      <c r="F8" s="51">
        <v>190.59504749999999</v>
      </c>
      <c r="G8" s="5">
        <v>5.6331045000000003E-2</v>
      </c>
    </row>
    <row r="9" spans="1:7" ht="15" x14ac:dyDescent="0.25">
      <c r="A9" s="6">
        <v>3</v>
      </c>
      <c r="B9" s="7" t="s">
        <v>33</v>
      </c>
      <c r="C9" s="11" t="s">
        <v>34</v>
      </c>
      <c r="D9" s="2" t="s">
        <v>13</v>
      </c>
      <c r="E9" s="46">
        <v>7960</v>
      </c>
      <c r="F9" s="51">
        <v>179.23133999999999</v>
      </c>
      <c r="G9" s="5">
        <v>5.2972460999999998E-2</v>
      </c>
    </row>
    <row r="10" spans="1:7" ht="15" x14ac:dyDescent="0.25">
      <c r="A10" s="6">
        <v>4</v>
      </c>
      <c r="B10" s="7" t="s">
        <v>47</v>
      </c>
      <c r="C10" s="11" t="s">
        <v>48</v>
      </c>
      <c r="D10" s="2" t="s">
        <v>13</v>
      </c>
      <c r="E10" s="46">
        <v>47254</v>
      </c>
      <c r="F10" s="51">
        <v>156.977788</v>
      </c>
      <c r="G10" s="5">
        <v>4.6395343999999998E-2</v>
      </c>
    </row>
    <row r="11" spans="1:7" ht="25.5" x14ac:dyDescent="0.25">
      <c r="A11" s="6">
        <v>5</v>
      </c>
      <c r="B11" s="7" t="s">
        <v>17</v>
      </c>
      <c r="C11" s="11" t="s">
        <v>18</v>
      </c>
      <c r="D11" s="2" t="s">
        <v>19</v>
      </c>
      <c r="E11" s="46">
        <v>10425</v>
      </c>
      <c r="F11" s="51">
        <v>144.626025</v>
      </c>
      <c r="G11" s="5">
        <v>4.2744736999999998E-2</v>
      </c>
    </row>
    <row r="12" spans="1:7" ht="25.5" x14ac:dyDescent="0.25">
      <c r="A12" s="6">
        <v>6</v>
      </c>
      <c r="B12" s="7" t="s">
        <v>489</v>
      </c>
      <c r="C12" s="11" t="s">
        <v>490</v>
      </c>
      <c r="D12" s="2" t="s">
        <v>162</v>
      </c>
      <c r="E12" s="46">
        <v>6406</v>
      </c>
      <c r="F12" s="51">
        <v>135.92250799999999</v>
      </c>
      <c r="G12" s="5">
        <v>4.0172381E-2</v>
      </c>
    </row>
    <row r="13" spans="1:7" ht="25.5" x14ac:dyDescent="0.25">
      <c r="A13" s="6">
        <v>7</v>
      </c>
      <c r="B13" s="7" t="s">
        <v>396</v>
      </c>
      <c r="C13" s="11" t="s">
        <v>397</v>
      </c>
      <c r="D13" s="2" t="s">
        <v>37</v>
      </c>
      <c r="E13" s="46">
        <v>46735</v>
      </c>
      <c r="F13" s="51">
        <v>126.27797</v>
      </c>
      <c r="G13" s="5">
        <v>3.7321904000000003E-2</v>
      </c>
    </row>
    <row r="14" spans="1:7" ht="25.5" x14ac:dyDescent="0.25">
      <c r="A14" s="6">
        <v>8</v>
      </c>
      <c r="B14" s="7" t="s">
        <v>40</v>
      </c>
      <c r="C14" s="11" t="s">
        <v>41</v>
      </c>
      <c r="D14" s="2" t="s">
        <v>42</v>
      </c>
      <c r="E14" s="46">
        <v>10614</v>
      </c>
      <c r="F14" s="51">
        <v>123.785775</v>
      </c>
      <c r="G14" s="5">
        <v>3.6585327000000001E-2</v>
      </c>
    </row>
    <row r="15" spans="1:7" ht="25.5" x14ac:dyDescent="0.25">
      <c r="A15" s="6">
        <v>9</v>
      </c>
      <c r="B15" s="7" t="s">
        <v>418</v>
      </c>
      <c r="C15" s="11" t="s">
        <v>419</v>
      </c>
      <c r="D15" s="2" t="s">
        <v>37</v>
      </c>
      <c r="E15" s="46">
        <v>30868</v>
      </c>
      <c r="F15" s="51">
        <v>102.111344</v>
      </c>
      <c r="G15" s="5">
        <v>3.0179371E-2</v>
      </c>
    </row>
    <row r="16" spans="1:7" ht="15" x14ac:dyDescent="0.25">
      <c r="A16" s="6">
        <v>10</v>
      </c>
      <c r="B16" s="7" t="s">
        <v>504</v>
      </c>
      <c r="C16" s="11" t="s">
        <v>505</v>
      </c>
      <c r="D16" s="2" t="s">
        <v>215</v>
      </c>
      <c r="E16" s="46">
        <v>15558</v>
      </c>
      <c r="F16" s="51">
        <v>98.987774999999999</v>
      </c>
      <c r="G16" s="5">
        <v>2.9256188999999998E-2</v>
      </c>
    </row>
    <row r="17" spans="1:7" ht="15" x14ac:dyDescent="0.25">
      <c r="A17" s="6">
        <v>11</v>
      </c>
      <c r="B17" s="7" t="s">
        <v>506</v>
      </c>
      <c r="C17" s="11" t="s">
        <v>507</v>
      </c>
      <c r="D17" s="2" t="s">
        <v>16</v>
      </c>
      <c r="E17" s="46">
        <v>12090</v>
      </c>
      <c r="F17" s="51">
        <v>95.311515</v>
      </c>
      <c r="G17" s="5">
        <v>2.8169658E-2</v>
      </c>
    </row>
    <row r="18" spans="1:7" ht="25.5" x14ac:dyDescent="0.25">
      <c r="A18" s="6">
        <v>12</v>
      </c>
      <c r="B18" s="7" t="s">
        <v>310</v>
      </c>
      <c r="C18" s="11" t="s">
        <v>311</v>
      </c>
      <c r="D18" s="2" t="s">
        <v>37</v>
      </c>
      <c r="E18" s="46">
        <v>14537</v>
      </c>
      <c r="F18" s="51">
        <v>92.876892999999995</v>
      </c>
      <c r="G18" s="5">
        <v>2.7450096E-2</v>
      </c>
    </row>
    <row r="19" spans="1:7" ht="15" x14ac:dyDescent="0.25">
      <c r="A19" s="6">
        <v>13</v>
      </c>
      <c r="B19" s="7" t="s">
        <v>394</v>
      </c>
      <c r="C19" s="11" t="s">
        <v>395</v>
      </c>
      <c r="D19" s="2" t="s">
        <v>13</v>
      </c>
      <c r="E19" s="46">
        <v>12324</v>
      </c>
      <c r="F19" s="51">
        <v>83.076083999999994</v>
      </c>
      <c r="G19" s="5">
        <v>2.4553432E-2</v>
      </c>
    </row>
    <row r="20" spans="1:7" ht="25.5" x14ac:dyDescent="0.25">
      <c r="A20" s="6">
        <v>14</v>
      </c>
      <c r="B20" s="7" t="s">
        <v>390</v>
      </c>
      <c r="C20" s="11" t="s">
        <v>391</v>
      </c>
      <c r="D20" s="2" t="s">
        <v>162</v>
      </c>
      <c r="E20" s="46">
        <v>10223</v>
      </c>
      <c r="F20" s="51">
        <v>81.533536499999997</v>
      </c>
      <c r="G20" s="5">
        <v>2.4097527000000001E-2</v>
      </c>
    </row>
    <row r="21" spans="1:7" ht="25.5" x14ac:dyDescent="0.25">
      <c r="A21" s="6">
        <v>15</v>
      </c>
      <c r="B21" s="7" t="s">
        <v>68</v>
      </c>
      <c r="C21" s="11" t="s">
        <v>69</v>
      </c>
      <c r="D21" s="2" t="s">
        <v>19</v>
      </c>
      <c r="E21" s="46">
        <v>60000</v>
      </c>
      <c r="F21" s="51">
        <v>72.540000000000006</v>
      </c>
      <c r="G21" s="5">
        <v>2.1439455E-2</v>
      </c>
    </row>
    <row r="22" spans="1:7" ht="15" x14ac:dyDescent="0.25">
      <c r="A22" s="6">
        <v>16</v>
      </c>
      <c r="B22" s="7" t="s">
        <v>487</v>
      </c>
      <c r="C22" s="11" t="s">
        <v>488</v>
      </c>
      <c r="D22" s="2" t="s">
        <v>13</v>
      </c>
      <c r="E22" s="46">
        <v>4300</v>
      </c>
      <c r="F22" s="51">
        <v>65.340649999999997</v>
      </c>
      <c r="G22" s="5">
        <v>1.9311662E-2</v>
      </c>
    </row>
    <row r="23" spans="1:7" ht="25.5" x14ac:dyDescent="0.25">
      <c r="A23" s="6">
        <v>17</v>
      </c>
      <c r="B23" s="7" t="s">
        <v>153</v>
      </c>
      <c r="C23" s="11" t="s">
        <v>154</v>
      </c>
      <c r="D23" s="2" t="s">
        <v>155</v>
      </c>
      <c r="E23" s="46">
        <v>10232</v>
      </c>
      <c r="F23" s="51">
        <v>63.724896000000001</v>
      </c>
      <c r="G23" s="5">
        <v>1.8834119999999999E-2</v>
      </c>
    </row>
    <row r="24" spans="1:7" ht="25.5" x14ac:dyDescent="0.25">
      <c r="A24" s="6">
        <v>18</v>
      </c>
      <c r="B24" s="7" t="s">
        <v>522</v>
      </c>
      <c r="C24" s="11" t="s">
        <v>523</v>
      </c>
      <c r="D24" s="2" t="s">
        <v>42</v>
      </c>
      <c r="E24" s="46">
        <v>45240</v>
      </c>
      <c r="F24" s="51">
        <v>63.01932</v>
      </c>
      <c r="G24" s="5">
        <v>1.8625584000000001E-2</v>
      </c>
    </row>
    <row r="25" spans="1:7" ht="15" x14ac:dyDescent="0.25">
      <c r="A25" s="6">
        <v>19</v>
      </c>
      <c r="B25" s="7" t="s">
        <v>435</v>
      </c>
      <c r="C25" s="11" t="s">
        <v>436</v>
      </c>
      <c r="D25" s="2" t="s">
        <v>215</v>
      </c>
      <c r="E25" s="46">
        <v>2684</v>
      </c>
      <c r="F25" s="51">
        <v>59.200988000000002</v>
      </c>
      <c r="G25" s="5">
        <v>1.7497063E-2</v>
      </c>
    </row>
    <row r="26" spans="1:7" ht="25.5" x14ac:dyDescent="0.25">
      <c r="A26" s="6">
        <v>20</v>
      </c>
      <c r="B26" s="7" t="s">
        <v>316</v>
      </c>
      <c r="C26" s="11" t="s">
        <v>317</v>
      </c>
      <c r="D26" s="2" t="s">
        <v>37</v>
      </c>
      <c r="E26" s="46">
        <v>22795</v>
      </c>
      <c r="F26" s="51">
        <v>57.352220000000003</v>
      </c>
      <c r="G26" s="5">
        <v>1.6950653E-2</v>
      </c>
    </row>
    <row r="27" spans="1:7" ht="25.5" x14ac:dyDescent="0.25">
      <c r="A27" s="6">
        <v>21</v>
      </c>
      <c r="B27" s="7" t="s">
        <v>297</v>
      </c>
      <c r="C27" s="11" t="s">
        <v>298</v>
      </c>
      <c r="D27" s="2" t="s">
        <v>238</v>
      </c>
      <c r="E27" s="46">
        <v>29761</v>
      </c>
      <c r="F27" s="51">
        <v>56.025082500000003</v>
      </c>
      <c r="G27" s="5">
        <v>1.6558413000000001E-2</v>
      </c>
    </row>
    <row r="28" spans="1:7" ht="15" x14ac:dyDescent="0.25">
      <c r="A28" s="6">
        <v>22</v>
      </c>
      <c r="B28" s="7" t="s">
        <v>508</v>
      </c>
      <c r="C28" s="11" t="s">
        <v>509</v>
      </c>
      <c r="D28" s="2" t="s">
        <v>269</v>
      </c>
      <c r="E28" s="46">
        <v>5821</v>
      </c>
      <c r="F28" s="51">
        <v>53.006025999999999</v>
      </c>
      <c r="G28" s="5">
        <v>1.5666119999999999E-2</v>
      </c>
    </row>
    <row r="29" spans="1:7" ht="15" x14ac:dyDescent="0.25">
      <c r="A29" s="6">
        <v>23</v>
      </c>
      <c r="B29" s="7" t="s">
        <v>420</v>
      </c>
      <c r="C29" s="11" t="s">
        <v>421</v>
      </c>
      <c r="D29" s="2" t="s">
        <v>226</v>
      </c>
      <c r="E29" s="46">
        <v>9230</v>
      </c>
      <c r="F29" s="51">
        <v>50.765000000000001</v>
      </c>
      <c r="G29" s="5">
        <v>1.5003776999999999E-2</v>
      </c>
    </row>
    <row r="30" spans="1:7" ht="15" x14ac:dyDescent="0.25">
      <c r="A30" s="6">
        <v>24</v>
      </c>
      <c r="B30" s="7" t="s">
        <v>332</v>
      </c>
      <c r="C30" s="11" t="s">
        <v>333</v>
      </c>
      <c r="D30" s="2" t="s">
        <v>155</v>
      </c>
      <c r="E30" s="46">
        <v>8277</v>
      </c>
      <c r="F30" s="51">
        <v>47.7375975</v>
      </c>
      <c r="G30" s="5">
        <v>1.4109017E-2</v>
      </c>
    </row>
    <row r="31" spans="1:7" ht="25.5" x14ac:dyDescent="0.25">
      <c r="A31" s="6">
        <v>25</v>
      </c>
      <c r="B31" s="7" t="s">
        <v>512</v>
      </c>
      <c r="C31" s="11" t="s">
        <v>513</v>
      </c>
      <c r="D31" s="2" t="s">
        <v>37</v>
      </c>
      <c r="E31" s="46">
        <v>33421</v>
      </c>
      <c r="F31" s="51">
        <v>47.340846499999998</v>
      </c>
      <c r="G31" s="5">
        <v>1.3991755999999999E-2</v>
      </c>
    </row>
    <row r="32" spans="1:7" ht="15" x14ac:dyDescent="0.25">
      <c r="A32" s="6">
        <v>26</v>
      </c>
      <c r="B32" s="7" t="s">
        <v>468</v>
      </c>
      <c r="C32" s="11" t="s">
        <v>469</v>
      </c>
      <c r="D32" s="2" t="s">
        <v>241</v>
      </c>
      <c r="E32" s="46">
        <v>31526</v>
      </c>
      <c r="F32" s="51">
        <v>46.453561000000001</v>
      </c>
      <c r="G32" s="5">
        <v>1.3729514999999999E-2</v>
      </c>
    </row>
    <row r="33" spans="1:7" ht="15" x14ac:dyDescent="0.25">
      <c r="A33" s="6">
        <v>27</v>
      </c>
      <c r="B33" s="7" t="s">
        <v>516</v>
      </c>
      <c r="C33" s="11" t="s">
        <v>517</v>
      </c>
      <c r="D33" s="2" t="s">
        <v>13</v>
      </c>
      <c r="E33" s="46">
        <v>39445</v>
      </c>
      <c r="F33" s="51">
        <v>42.087814999999999</v>
      </c>
      <c r="G33" s="5">
        <v>1.2439204000000001E-2</v>
      </c>
    </row>
    <row r="34" spans="1:7" ht="15" x14ac:dyDescent="0.25">
      <c r="A34" s="6">
        <v>28</v>
      </c>
      <c r="B34" s="7" t="s">
        <v>299</v>
      </c>
      <c r="C34" s="11" t="s">
        <v>300</v>
      </c>
      <c r="D34" s="2" t="s">
        <v>13</v>
      </c>
      <c r="E34" s="46">
        <v>42769</v>
      </c>
      <c r="F34" s="51">
        <v>39.518555999999997</v>
      </c>
      <c r="G34" s="5">
        <v>1.167985E-2</v>
      </c>
    </row>
    <row r="35" spans="1:7" ht="15" x14ac:dyDescent="0.25">
      <c r="A35" s="6">
        <v>29</v>
      </c>
      <c r="B35" s="7" t="s">
        <v>514</v>
      </c>
      <c r="C35" s="11" t="s">
        <v>515</v>
      </c>
      <c r="D35" s="2" t="s">
        <v>215</v>
      </c>
      <c r="E35" s="46">
        <v>3808</v>
      </c>
      <c r="F35" s="51">
        <v>39.395663999999996</v>
      </c>
      <c r="G35" s="5">
        <v>1.1643529E-2</v>
      </c>
    </row>
    <row r="36" spans="1:7" ht="25.5" x14ac:dyDescent="0.25">
      <c r="A36" s="6">
        <v>30</v>
      </c>
      <c r="B36" s="7" t="s">
        <v>510</v>
      </c>
      <c r="C36" s="11" t="s">
        <v>511</v>
      </c>
      <c r="D36" s="2" t="s">
        <v>37</v>
      </c>
      <c r="E36" s="46">
        <v>3260</v>
      </c>
      <c r="F36" s="51">
        <v>38.785850000000003</v>
      </c>
      <c r="G36" s="5">
        <v>1.1463296E-2</v>
      </c>
    </row>
    <row r="37" spans="1:7" ht="25.5" x14ac:dyDescent="0.25">
      <c r="A37" s="6">
        <v>31</v>
      </c>
      <c r="B37" s="7" t="s">
        <v>94</v>
      </c>
      <c r="C37" s="11" t="s">
        <v>95</v>
      </c>
      <c r="D37" s="2" t="s">
        <v>22</v>
      </c>
      <c r="E37" s="46">
        <v>34500</v>
      </c>
      <c r="F37" s="51">
        <v>35.34525</v>
      </c>
      <c r="G37" s="5">
        <v>1.0446415000000001E-2</v>
      </c>
    </row>
    <row r="38" spans="1:7" ht="25.5" x14ac:dyDescent="0.25">
      <c r="A38" s="6">
        <v>32</v>
      </c>
      <c r="B38" s="7" t="s">
        <v>518</v>
      </c>
      <c r="C38" s="11" t="s">
        <v>519</v>
      </c>
      <c r="D38" s="2" t="s">
        <v>37</v>
      </c>
      <c r="E38" s="46">
        <v>2038</v>
      </c>
      <c r="F38" s="51">
        <v>35.189126999999999</v>
      </c>
      <c r="G38" s="5">
        <v>1.0400272E-2</v>
      </c>
    </row>
    <row r="39" spans="1:7" ht="25.5" x14ac:dyDescent="0.25">
      <c r="A39" s="6">
        <v>33</v>
      </c>
      <c r="B39" s="7" t="s">
        <v>301</v>
      </c>
      <c r="C39" s="11" t="s">
        <v>302</v>
      </c>
      <c r="D39" s="2" t="s">
        <v>22</v>
      </c>
      <c r="E39" s="46">
        <v>4931</v>
      </c>
      <c r="F39" s="51">
        <v>34.960790000000003</v>
      </c>
      <c r="G39" s="5">
        <v>1.0332786E-2</v>
      </c>
    </row>
    <row r="40" spans="1:7" ht="15" x14ac:dyDescent="0.25">
      <c r="A40" s="6">
        <v>34</v>
      </c>
      <c r="B40" s="7" t="s">
        <v>520</v>
      </c>
      <c r="C40" s="11" t="s">
        <v>521</v>
      </c>
      <c r="D40" s="2" t="s">
        <v>305</v>
      </c>
      <c r="E40" s="46">
        <v>14711</v>
      </c>
      <c r="F40" s="51">
        <v>34.784159500000001</v>
      </c>
      <c r="G40" s="5">
        <v>1.0280582E-2</v>
      </c>
    </row>
    <row r="41" spans="1:7" ht="15" x14ac:dyDescent="0.25">
      <c r="A41" s="6">
        <v>35</v>
      </c>
      <c r="B41" s="7" t="s">
        <v>336</v>
      </c>
      <c r="C41" s="11" t="s">
        <v>337</v>
      </c>
      <c r="D41" s="2" t="s">
        <v>184</v>
      </c>
      <c r="E41" s="46">
        <v>7500</v>
      </c>
      <c r="F41" s="51">
        <v>32.90625</v>
      </c>
      <c r="G41" s="5">
        <v>9.7255589999999999E-3</v>
      </c>
    </row>
    <row r="42" spans="1:7" ht="25.5" x14ac:dyDescent="0.25">
      <c r="A42" s="6">
        <v>36</v>
      </c>
      <c r="B42" s="7" t="s">
        <v>64</v>
      </c>
      <c r="C42" s="11" t="s">
        <v>65</v>
      </c>
      <c r="D42" s="2" t="s">
        <v>19</v>
      </c>
      <c r="E42" s="46">
        <v>44785</v>
      </c>
      <c r="F42" s="51">
        <v>32.760227499999999</v>
      </c>
      <c r="G42" s="5">
        <v>9.6824019999999997E-3</v>
      </c>
    </row>
    <row r="43" spans="1:7" ht="25.5" x14ac:dyDescent="0.25">
      <c r="A43" s="6">
        <v>37</v>
      </c>
      <c r="B43" s="7" t="s">
        <v>448</v>
      </c>
      <c r="C43" s="11" t="s">
        <v>449</v>
      </c>
      <c r="D43" s="2" t="s">
        <v>81</v>
      </c>
      <c r="E43" s="46">
        <v>11658</v>
      </c>
      <c r="F43" s="51">
        <v>30.573105000000002</v>
      </c>
      <c r="G43" s="5">
        <v>9.0359900000000007E-3</v>
      </c>
    </row>
    <row r="44" spans="1:7" ht="25.5" x14ac:dyDescent="0.25">
      <c r="A44" s="6">
        <v>38</v>
      </c>
      <c r="B44" s="7" t="s">
        <v>100</v>
      </c>
      <c r="C44" s="11" t="s">
        <v>101</v>
      </c>
      <c r="D44" s="2" t="s">
        <v>30</v>
      </c>
      <c r="E44" s="46">
        <v>45279</v>
      </c>
      <c r="F44" s="51">
        <v>26.669331</v>
      </c>
      <c r="G44" s="5">
        <v>7.8822159999999992E-3</v>
      </c>
    </row>
    <row r="45" spans="1:7" ht="25.5" x14ac:dyDescent="0.25">
      <c r="A45" s="6">
        <v>39</v>
      </c>
      <c r="B45" s="7" t="s">
        <v>165</v>
      </c>
      <c r="C45" s="11" t="s">
        <v>166</v>
      </c>
      <c r="D45" s="2" t="s">
        <v>167</v>
      </c>
      <c r="E45" s="46">
        <v>22000</v>
      </c>
      <c r="F45" s="51">
        <v>25.355</v>
      </c>
      <c r="G45" s="5">
        <v>7.4937609999999998E-3</v>
      </c>
    </row>
    <row r="46" spans="1:7" ht="15" x14ac:dyDescent="0.25">
      <c r="A46" s="6">
        <v>40</v>
      </c>
      <c r="B46" s="7" t="s">
        <v>54</v>
      </c>
      <c r="C46" s="11" t="s">
        <v>55</v>
      </c>
      <c r="D46" s="2" t="s">
        <v>56</v>
      </c>
      <c r="E46" s="46">
        <v>17767</v>
      </c>
      <c r="F46" s="51">
        <v>24.003216999999999</v>
      </c>
      <c r="G46" s="5">
        <v>7.0942360000000003E-3</v>
      </c>
    </row>
    <row r="47" spans="1:7" ht="25.5" x14ac:dyDescent="0.25">
      <c r="A47" s="6">
        <v>41</v>
      </c>
      <c r="B47" s="7" t="s">
        <v>524</v>
      </c>
      <c r="C47" s="11" t="s">
        <v>525</v>
      </c>
      <c r="D47" s="2" t="s">
        <v>42</v>
      </c>
      <c r="E47" s="46">
        <v>6705</v>
      </c>
      <c r="F47" s="51">
        <v>23.165775</v>
      </c>
      <c r="G47" s="5">
        <v>6.8467270000000004E-3</v>
      </c>
    </row>
    <row r="48" spans="1:7" ht="25.5" x14ac:dyDescent="0.25">
      <c r="A48" s="6">
        <v>42</v>
      </c>
      <c r="B48" s="7" t="s">
        <v>274</v>
      </c>
      <c r="C48" s="11" t="s">
        <v>275</v>
      </c>
      <c r="D48" s="2" t="s">
        <v>22</v>
      </c>
      <c r="E48" s="46">
        <v>4100</v>
      </c>
      <c r="F48" s="51">
        <v>16.151949999999999</v>
      </c>
      <c r="G48" s="5">
        <v>4.7737659999999996E-3</v>
      </c>
    </row>
    <row r="49" spans="1:7" ht="25.5" x14ac:dyDescent="0.25">
      <c r="A49" s="6">
        <v>43</v>
      </c>
      <c r="B49" s="7" t="s">
        <v>526</v>
      </c>
      <c r="C49" s="11" t="s">
        <v>527</v>
      </c>
      <c r="D49" s="2" t="s">
        <v>37</v>
      </c>
      <c r="E49" s="46">
        <v>2000</v>
      </c>
      <c r="F49" s="51">
        <v>13.891999999999999</v>
      </c>
      <c r="G49" s="5">
        <v>4.1058300000000004E-3</v>
      </c>
    </row>
    <row r="50" spans="1:7" ht="15" x14ac:dyDescent="0.25">
      <c r="A50" s="1"/>
      <c r="B50" s="2"/>
      <c r="C50" s="8" t="s">
        <v>104</v>
      </c>
      <c r="D50" s="12"/>
      <c r="E50" s="48"/>
      <c r="F50" s="53">
        <v>3030.4452534999996</v>
      </c>
      <c r="G50" s="13">
        <v>0.89565888700000018</v>
      </c>
    </row>
    <row r="51" spans="1:7" ht="15" x14ac:dyDescent="0.25">
      <c r="A51" s="6"/>
      <c r="B51" s="7"/>
      <c r="C51" s="14"/>
      <c r="D51" s="15"/>
      <c r="E51" s="46"/>
      <c r="F51" s="51"/>
      <c r="G51" s="5"/>
    </row>
    <row r="52" spans="1:7" ht="15" x14ac:dyDescent="0.25">
      <c r="A52" s="1"/>
      <c r="B52" s="2"/>
      <c r="C52" s="8" t="s">
        <v>105</v>
      </c>
      <c r="D52" s="9"/>
      <c r="E52" s="47"/>
      <c r="F52" s="52"/>
      <c r="G52" s="10"/>
    </row>
    <row r="53" spans="1:7" ht="15" x14ac:dyDescent="0.25">
      <c r="A53" s="1"/>
      <c r="B53" s="2"/>
      <c r="C53" s="8" t="s">
        <v>104</v>
      </c>
      <c r="D53" s="12"/>
      <c r="E53" s="48"/>
      <c r="F53" s="53">
        <v>0</v>
      </c>
      <c r="G53" s="13">
        <v>0</v>
      </c>
    </row>
    <row r="54" spans="1:7" ht="15" x14ac:dyDescent="0.25">
      <c r="A54" s="6"/>
      <c r="B54" s="7"/>
      <c r="C54" s="14"/>
      <c r="D54" s="15"/>
      <c r="E54" s="46"/>
      <c r="F54" s="51"/>
      <c r="G54" s="5"/>
    </row>
    <row r="55" spans="1:7" ht="15" x14ac:dyDescent="0.25">
      <c r="A55" s="16"/>
      <c r="B55" s="17"/>
      <c r="C55" s="8" t="s">
        <v>106</v>
      </c>
      <c r="D55" s="9"/>
      <c r="E55" s="47"/>
      <c r="F55" s="52"/>
      <c r="G55" s="10"/>
    </row>
    <row r="56" spans="1:7" ht="15" x14ac:dyDescent="0.25">
      <c r="A56" s="18"/>
      <c r="B56" s="19"/>
      <c r="C56" s="8" t="s">
        <v>104</v>
      </c>
      <c r="D56" s="20"/>
      <c r="E56" s="49"/>
      <c r="F56" s="54">
        <v>0</v>
      </c>
      <c r="G56" s="21">
        <v>0</v>
      </c>
    </row>
    <row r="57" spans="1:7" ht="15" x14ac:dyDescent="0.25">
      <c r="A57" s="18"/>
      <c r="B57" s="19"/>
      <c r="C57" s="14"/>
      <c r="D57" s="22"/>
      <c r="E57" s="50"/>
      <c r="F57" s="55"/>
      <c r="G57" s="23"/>
    </row>
    <row r="58" spans="1:7" ht="15" x14ac:dyDescent="0.25">
      <c r="A58" s="1"/>
      <c r="B58" s="2"/>
      <c r="C58" s="8" t="s">
        <v>108</v>
      </c>
      <c r="D58" s="9"/>
      <c r="E58" s="47"/>
      <c r="F58" s="52"/>
      <c r="G58" s="10"/>
    </row>
    <row r="59" spans="1:7" ht="15" x14ac:dyDescent="0.25">
      <c r="A59" s="1"/>
      <c r="B59" s="2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1"/>
      <c r="B60" s="2"/>
      <c r="C60" s="14"/>
      <c r="D60" s="4"/>
      <c r="E60" s="46"/>
      <c r="F60" s="51"/>
      <c r="G60" s="5"/>
    </row>
    <row r="61" spans="1:7" ht="15" x14ac:dyDescent="0.25">
      <c r="A61" s="1"/>
      <c r="B61" s="2"/>
      <c r="C61" s="8" t="s">
        <v>109</v>
      </c>
      <c r="D61" s="9"/>
      <c r="E61" s="47"/>
      <c r="F61" s="52"/>
      <c r="G61" s="10"/>
    </row>
    <row r="62" spans="1:7" ht="15" x14ac:dyDescent="0.25">
      <c r="A62" s="1"/>
      <c r="B62" s="2"/>
      <c r="C62" s="8" t="s">
        <v>104</v>
      </c>
      <c r="D62" s="12"/>
      <c r="E62" s="48"/>
      <c r="F62" s="53">
        <v>0</v>
      </c>
      <c r="G62" s="13">
        <v>0</v>
      </c>
    </row>
    <row r="63" spans="1:7" ht="15" x14ac:dyDescent="0.25">
      <c r="A63" s="1"/>
      <c r="B63" s="2"/>
      <c r="C63" s="14"/>
      <c r="D63" s="4"/>
      <c r="E63" s="46"/>
      <c r="F63" s="51"/>
      <c r="G63" s="5"/>
    </row>
    <row r="64" spans="1:7" ht="15" x14ac:dyDescent="0.25">
      <c r="A64" s="1"/>
      <c r="B64" s="2"/>
      <c r="C64" s="8" t="s">
        <v>110</v>
      </c>
      <c r="D64" s="9"/>
      <c r="E64" s="47"/>
      <c r="F64" s="52"/>
      <c r="G64" s="10"/>
    </row>
    <row r="65" spans="1:7" ht="15" x14ac:dyDescent="0.25">
      <c r="A65" s="1"/>
      <c r="B65" s="2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1"/>
      <c r="B66" s="2"/>
      <c r="C66" s="14"/>
      <c r="D66" s="4"/>
      <c r="E66" s="46"/>
      <c r="F66" s="51"/>
      <c r="G66" s="5"/>
    </row>
    <row r="67" spans="1:7" ht="25.5" x14ac:dyDescent="0.25">
      <c r="A67" s="6"/>
      <c r="B67" s="7"/>
      <c r="C67" s="24" t="s">
        <v>111</v>
      </c>
      <c r="D67" s="25"/>
      <c r="E67" s="48"/>
      <c r="F67" s="53">
        <v>3030.4452534999996</v>
      </c>
      <c r="G67" s="13">
        <v>0.89565888700000018</v>
      </c>
    </row>
    <row r="68" spans="1:7" ht="15" x14ac:dyDescent="0.25">
      <c r="A68" s="1"/>
      <c r="B68" s="2"/>
      <c r="C68" s="11"/>
      <c r="D68" s="4"/>
      <c r="E68" s="46"/>
      <c r="F68" s="51"/>
      <c r="G68" s="5"/>
    </row>
    <row r="69" spans="1:7" ht="15" x14ac:dyDescent="0.25">
      <c r="A69" s="1"/>
      <c r="B69" s="2"/>
      <c r="C69" s="3" t="s">
        <v>112</v>
      </c>
      <c r="D69" s="4"/>
      <c r="E69" s="46"/>
      <c r="F69" s="51"/>
      <c r="G69" s="5"/>
    </row>
    <row r="70" spans="1:7" ht="25.5" x14ac:dyDescent="0.25">
      <c r="A70" s="1"/>
      <c r="B70" s="2"/>
      <c r="C70" s="8" t="s">
        <v>10</v>
      </c>
      <c r="D70" s="9"/>
      <c r="E70" s="47"/>
      <c r="F70" s="52"/>
      <c r="G70" s="10"/>
    </row>
    <row r="71" spans="1:7" ht="15" x14ac:dyDescent="0.25">
      <c r="A71" s="6"/>
      <c r="B71" s="7"/>
      <c r="C71" s="8" t="s">
        <v>104</v>
      </c>
      <c r="D71" s="12"/>
      <c r="E71" s="48"/>
      <c r="F71" s="53">
        <v>0</v>
      </c>
      <c r="G71" s="13">
        <v>0</v>
      </c>
    </row>
    <row r="72" spans="1:7" ht="15" x14ac:dyDescent="0.25">
      <c r="A72" s="6"/>
      <c r="B72" s="7"/>
      <c r="C72" s="14"/>
      <c r="D72" s="4"/>
      <c r="E72" s="46"/>
      <c r="F72" s="51"/>
      <c r="G72" s="5"/>
    </row>
    <row r="73" spans="1:7" ht="15" x14ac:dyDescent="0.25">
      <c r="A73" s="1"/>
      <c r="B73" s="26"/>
      <c r="C73" s="8" t="s">
        <v>113</v>
      </c>
      <c r="D73" s="9"/>
      <c r="E73" s="47"/>
      <c r="F73" s="52"/>
      <c r="G73" s="10"/>
    </row>
    <row r="74" spans="1:7" ht="15" x14ac:dyDescent="0.25">
      <c r="A74" s="6"/>
      <c r="B74" s="7"/>
      <c r="C74" s="8" t="s">
        <v>104</v>
      </c>
      <c r="D74" s="12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4"/>
      <c r="E75" s="46"/>
      <c r="F75" s="56"/>
      <c r="G75" s="27"/>
    </row>
    <row r="76" spans="1:7" ht="15" x14ac:dyDescent="0.25">
      <c r="A76" s="1"/>
      <c r="B76" s="2"/>
      <c r="C76" s="8" t="s">
        <v>114</v>
      </c>
      <c r="D76" s="9"/>
      <c r="E76" s="47"/>
      <c r="F76" s="52"/>
      <c r="G76" s="10"/>
    </row>
    <row r="77" spans="1:7" ht="15" x14ac:dyDescent="0.25">
      <c r="A77" s="6"/>
      <c r="B77" s="7"/>
      <c r="C77" s="8" t="s">
        <v>104</v>
      </c>
      <c r="D77" s="12"/>
      <c r="E77" s="48"/>
      <c r="F77" s="53">
        <v>0</v>
      </c>
      <c r="G77" s="13">
        <v>0</v>
      </c>
    </row>
    <row r="78" spans="1:7" ht="15" x14ac:dyDescent="0.25">
      <c r="A78" s="1"/>
      <c r="B78" s="2"/>
      <c r="C78" s="14"/>
      <c r="D78" s="4"/>
      <c r="E78" s="46"/>
      <c r="F78" s="51"/>
      <c r="G78" s="5"/>
    </row>
    <row r="79" spans="1:7" ht="25.5" x14ac:dyDescent="0.25">
      <c r="A79" s="1"/>
      <c r="B79" s="26"/>
      <c r="C79" s="8" t="s">
        <v>115</v>
      </c>
      <c r="D79" s="9"/>
      <c r="E79" s="47"/>
      <c r="F79" s="52"/>
      <c r="G79" s="10"/>
    </row>
    <row r="80" spans="1:7" ht="15" x14ac:dyDescent="0.25">
      <c r="A80" s="6"/>
      <c r="B80" s="7"/>
      <c r="C80" s="8" t="s">
        <v>104</v>
      </c>
      <c r="D80" s="12"/>
      <c r="E80" s="48"/>
      <c r="F80" s="53">
        <v>0</v>
      </c>
      <c r="G80" s="13">
        <v>0</v>
      </c>
    </row>
    <row r="81" spans="1:7" ht="15" x14ac:dyDescent="0.25">
      <c r="A81" s="6"/>
      <c r="B81" s="7"/>
      <c r="C81" s="14"/>
      <c r="D81" s="4"/>
      <c r="E81" s="46"/>
      <c r="F81" s="51"/>
      <c r="G81" s="5"/>
    </row>
    <row r="82" spans="1:7" ht="15" x14ac:dyDescent="0.25">
      <c r="A82" s="6"/>
      <c r="B82" s="7"/>
      <c r="C82" s="28" t="s">
        <v>116</v>
      </c>
      <c r="D82" s="25"/>
      <c r="E82" s="48"/>
      <c r="F82" s="53">
        <v>0</v>
      </c>
      <c r="G82" s="13">
        <v>0</v>
      </c>
    </row>
    <row r="83" spans="1:7" ht="15" x14ac:dyDescent="0.25">
      <c r="A83" s="6"/>
      <c r="B83" s="7"/>
      <c r="C83" s="11"/>
      <c r="D83" s="4"/>
      <c r="E83" s="46"/>
      <c r="F83" s="51"/>
      <c r="G83" s="5"/>
    </row>
    <row r="84" spans="1:7" ht="15" x14ac:dyDescent="0.25">
      <c r="A84" s="1"/>
      <c r="B84" s="2"/>
      <c r="C84" s="3" t="s">
        <v>117</v>
      </c>
      <c r="D84" s="4"/>
      <c r="E84" s="46"/>
      <c r="F84" s="51"/>
      <c r="G84" s="5"/>
    </row>
    <row r="85" spans="1:7" ht="15" x14ac:dyDescent="0.25">
      <c r="A85" s="6"/>
      <c r="B85" s="7"/>
      <c r="C85" s="8" t="s">
        <v>118</v>
      </c>
      <c r="D85" s="9"/>
      <c r="E85" s="47"/>
      <c r="F85" s="52"/>
      <c r="G85" s="10"/>
    </row>
    <row r="86" spans="1:7" ht="15" x14ac:dyDescent="0.25">
      <c r="A86" s="6"/>
      <c r="B86" s="7"/>
      <c r="C86" s="8" t="s">
        <v>104</v>
      </c>
      <c r="D86" s="25"/>
      <c r="E86" s="48"/>
      <c r="F86" s="53">
        <v>0</v>
      </c>
      <c r="G86" s="13">
        <v>0</v>
      </c>
    </row>
    <row r="87" spans="1:7" ht="15" x14ac:dyDescent="0.25">
      <c r="A87" s="6"/>
      <c r="B87" s="7"/>
      <c r="C87" s="14"/>
      <c r="D87" s="7"/>
      <c r="E87" s="46"/>
      <c r="F87" s="51"/>
      <c r="G87" s="5"/>
    </row>
    <row r="88" spans="1:7" ht="15" x14ac:dyDescent="0.25">
      <c r="A88" s="6"/>
      <c r="B88" s="7"/>
      <c r="C88" s="8" t="s">
        <v>119</v>
      </c>
      <c r="D88" s="9"/>
      <c r="E88" s="47"/>
      <c r="F88" s="52"/>
      <c r="G88" s="10"/>
    </row>
    <row r="89" spans="1:7" ht="15" x14ac:dyDescent="0.25">
      <c r="A89" s="6"/>
      <c r="B89" s="7"/>
      <c r="C89" s="8" t="s">
        <v>104</v>
      </c>
      <c r="D89" s="25"/>
      <c r="E89" s="48"/>
      <c r="F89" s="53">
        <v>0</v>
      </c>
      <c r="G89" s="13">
        <v>0</v>
      </c>
    </row>
    <row r="90" spans="1:7" ht="15" x14ac:dyDescent="0.25">
      <c r="A90" s="6"/>
      <c r="B90" s="7"/>
      <c r="C90" s="14"/>
      <c r="D90" s="7"/>
      <c r="E90" s="46"/>
      <c r="F90" s="51"/>
      <c r="G90" s="5"/>
    </row>
    <row r="91" spans="1:7" ht="15" x14ac:dyDescent="0.25">
      <c r="A91" s="6"/>
      <c r="B91" s="7"/>
      <c r="C91" s="8" t="s">
        <v>120</v>
      </c>
      <c r="D91" s="9"/>
      <c r="E91" s="47"/>
      <c r="F91" s="52"/>
      <c r="G91" s="10"/>
    </row>
    <row r="92" spans="1:7" ht="15" x14ac:dyDescent="0.25">
      <c r="A92" s="6"/>
      <c r="B92" s="7"/>
      <c r="C92" s="8" t="s">
        <v>104</v>
      </c>
      <c r="D92" s="25"/>
      <c r="E92" s="48"/>
      <c r="F92" s="53">
        <v>0</v>
      </c>
      <c r="G92" s="13">
        <v>0</v>
      </c>
    </row>
    <row r="93" spans="1:7" ht="15" x14ac:dyDescent="0.25">
      <c r="A93" s="6"/>
      <c r="B93" s="7"/>
      <c r="C93" s="14"/>
      <c r="D93" s="7"/>
      <c r="E93" s="46"/>
      <c r="F93" s="51"/>
      <c r="G93" s="5"/>
    </row>
    <row r="94" spans="1:7" ht="15" x14ac:dyDescent="0.25">
      <c r="A94" s="6"/>
      <c r="B94" s="7"/>
      <c r="C94" s="8" t="s">
        <v>121</v>
      </c>
      <c r="D94" s="9"/>
      <c r="E94" s="47"/>
      <c r="F94" s="52"/>
      <c r="G94" s="10"/>
    </row>
    <row r="95" spans="1:7" ht="15" x14ac:dyDescent="0.25">
      <c r="A95" s="6">
        <v>1</v>
      </c>
      <c r="B95" s="7"/>
      <c r="C95" s="11" t="s">
        <v>730</v>
      </c>
      <c r="D95" s="15"/>
      <c r="E95" s="46"/>
      <c r="F95" s="51">
        <v>314.95176500000002</v>
      </c>
      <c r="G95" s="5">
        <v>9.3085115999999996E-2</v>
      </c>
    </row>
    <row r="96" spans="1:7" ht="15" x14ac:dyDescent="0.25">
      <c r="A96" s="6"/>
      <c r="B96" s="7"/>
      <c r="C96" s="8" t="s">
        <v>104</v>
      </c>
      <c r="D96" s="25"/>
      <c r="E96" s="48"/>
      <c r="F96" s="53">
        <v>314.95176500000002</v>
      </c>
      <c r="G96" s="13">
        <v>9.3085115999999996E-2</v>
      </c>
    </row>
    <row r="97" spans="1:7" ht="15" x14ac:dyDescent="0.25">
      <c r="A97" s="6"/>
      <c r="B97" s="7"/>
      <c r="C97" s="14"/>
      <c r="D97" s="7"/>
      <c r="E97" s="46"/>
      <c r="F97" s="51"/>
      <c r="G97" s="5"/>
    </row>
    <row r="98" spans="1:7" ht="25.5" x14ac:dyDescent="0.25">
      <c r="A98" s="6"/>
      <c r="B98" s="7"/>
      <c r="C98" s="24" t="s">
        <v>122</v>
      </c>
      <c r="D98" s="25"/>
      <c r="E98" s="48"/>
      <c r="F98" s="53">
        <v>314.95176500000002</v>
      </c>
      <c r="G98" s="13">
        <v>9.3085115999999996E-2</v>
      </c>
    </row>
    <row r="99" spans="1:7" ht="15" x14ac:dyDescent="0.25">
      <c r="A99" s="6"/>
      <c r="B99" s="7"/>
      <c r="C99" s="29"/>
      <c r="D99" s="7"/>
      <c r="E99" s="46"/>
      <c r="F99" s="51"/>
      <c r="G99" s="5"/>
    </row>
    <row r="100" spans="1:7" ht="15" x14ac:dyDescent="0.25">
      <c r="A100" s="1"/>
      <c r="B100" s="2"/>
      <c r="C100" s="3" t="s">
        <v>123</v>
      </c>
      <c r="D100" s="4"/>
      <c r="E100" s="46"/>
      <c r="F100" s="51"/>
      <c r="G100" s="5"/>
    </row>
    <row r="101" spans="1:7" ht="25.5" x14ac:dyDescent="0.25">
      <c r="A101" s="6"/>
      <c r="B101" s="7"/>
      <c r="C101" s="8" t="s">
        <v>124</v>
      </c>
      <c r="D101" s="9"/>
      <c r="E101" s="47"/>
      <c r="F101" s="52"/>
      <c r="G101" s="10"/>
    </row>
    <row r="102" spans="1:7" ht="15" x14ac:dyDescent="0.25">
      <c r="A102" s="6"/>
      <c r="B102" s="7"/>
      <c r="C102" s="8" t="s">
        <v>104</v>
      </c>
      <c r="D102" s="25"/>
      <c r="E102" s="48"/>
      <c r="F102" s="53">
        <v>0</v>
      </c>
      <c r="G102" s="13">
        <v>0</v>
      </c>
    </row>
    <row r="103" spans="1:7" ht="15" x14ac:dyDescent="0.25">
      <c r="A103" s="6"/>
      <c r="B103" s="7"/>
      <c r="C103" s="14"/>
      <c r="D103" s="7"/>
      <c r="E103" s="46"/>
      <c r="F103" s="51"/>
      <c r="G103" s="5"/>
    </row>
    <row r="104" spans="1:7" ht="15" x14ac:dyDescent="0.25">
      <c r="A104" s="1"/>
      <c r="B104" s="2"/>
      <c r="C104" s="3" t="s">
        <v>125</v>
      </c>
      <c r="D104" s="4"/>
      <c r="E104" s="46"/>
      <c r="F104" s="51"/>
      <c r="G104" s="5"/>
    </row>
    <row r="105" spans="1:7" ht="25.5" x14ac:dyDescent="0.25">
      <c r="A105" s="6"/>
      <c r="B105" s="7"/>
      <c r="C105" s="8" t="s">
        <v>126</v>
      </c>
      <c r="D105" s="9"/>
      <c r="E105" s="47"/>
      <c r="F105" s="52"/>
      <c r="G105" s="10"/>
    </row>
    <row r="106" spans="1:7" ht="15" x14ac:dyDescent="0.25">
      <c r="A106" s="6"/>
      <c r="B106" s="7"/>
      <c r="C106" s="8" t="s">
        <v>104</v>
      </c>
      <c r="D106" s="25"/>
      <c r="E106" s="48"/>
      <c r="F106" s="53">
        <v>0</v>
      </c>
      <c r="G106" s="13">
        <v>0</v>
      </c>
    </row>
    <row r="107" spans="1:7" ht="15" x14ac:dyDescent="0.25">
      <c r="A107" s="6"/>
      <c r="B107" s="7"/>
      <c r="C107" s="14"/>
      <c r="D107" s="7"/>
      <c r="E107" s="46"/>
      <c r="F107" s="51"/>
      <c r="G107" s="5"/>
    </row>
    <row r="108" spans="1:7" ht="25.5" x14ac:dyDescent="0.25">
      <c r="A108" s="6"/>
      <c r="B108" s="7"/>
      <c r="C108" s="8" t="s">
        <v>127</v>
      </c>
      <c r="D108" s="9"/>
      <c r="E108" s="47"/>
      <c r="F108" s="52"/>
      <c r="G108" s="10"/>
    </row>
    <row r="109" spans="1:7" ht="15" x14ac:dyDescent="0.25">
      <c r="A109" s="6"/>
      <c r="B109" s="7"/>
      <c r="C109" s="8" t="s">
        <v>104</v>
      </c>
      <c r="D109" s="25"/>
      <c r="E109" s="48"/>
      <c r="F109" s="53">
        <v>0</v>
      </c>
      <c r="G109" s="13">
        <v>0</v>
      </c>
    </row>
    <row r="110" spans="1:7" ht="15" x14ac:dyDescent="0.25">
      <c r="A110" s="6"/>
      <c r="B110" s="7"/>
      <c r="C110" s="14"/>
      <c r="D110" s="7"/>
      <c r="E110" s="46"/>
      <c r="F110" s="56"/>
      <c r="G110" s="27"/>
    </row>
    <row r="111" spans="1:7" ht="25.5" x14ac:dyDescent="0.25">
      <c r="A111" s="6"/>
      <c r="B111" s="7"/>
      <c r="C111" s="29" t="s">
        <v>128</v>
      </c>
      <c r="D111" s="7"/>
      <c r="E111" s="46"/>
      <c r="F111" s="56">
        <v>38.084460380000003</v>
      </c>
      <c r="G111" s="27">
        <v>1.1255998E-2</v>
      </c>
    </row>
    <row r="112" spans="1:7" ht="15" x14ac:dyDescent="0.25">
      <c r="A112" s="6"/>
      <c r="B112" s="7"/>
      <c r="C112" s="30" t="s">
        <v>129</v>
      </c>
      <c r="D112" s="12"/>
      <c r="E112" s="48"/>
      <c r="F112" s="53">
        <v>3383.4814788800004</v>
      </c>
      <c r="G112" s="13">
        <v>1.0000000010000001</v>
      </c>
    </row>
    <row r="114" spans="2:6" ht="15" x14ac:dyDescent="0.25">
      <c r="B114" s="279"/>
      <c r="C114" s="279"/>
      <c r="D114" s="279"/>
      <c r="E114" s="279"/>
      <c r="F114" s="279"/>
    </row>
    <row r="115" spans="2:6" ht="15" x14ac:dyDescent="0.25">
      <c r="B115" s="279"/>
      <c r="C115" s="279"/>
      <c r="D115" s="279"/>
      <c r="E115" s="279"/>
      <c r="F115" s="279"/>
    </row>
    <row r="117" spans="2:6" ht="15" x14ac:dyDescent="0.25">
      <c r="B117" s="36" t="s">
        <v>131</v>
      </c>
      <c r="C117" s="37"/>
      <c r="D117" s="38"/>
    </row>
    <row r="118" spans="2:6" ht="15" x14ac:dyDescent="0.25">
      <c r="B118" s="39" t="s">
        <v>132</v>
      </c>
      <c r="C118" s="40"/>
      <c r="D118" s="62" t="s">
        <v>133</v>
      </c>
    </row>
    <row r="119" spans="2:6" ht="15" x14ac:dyDescent="0.25">
      <c r="B119" s="39" t="s">
        <v>134</v>
      </c>
      <c r="C119" s="40"/>
      <c r="D119" s="62" t="s">
        <v>133</v>
      </c>
    </row>
    <row r="120" spans="2:6" ht="15" x14ac:dyDescent="0.25">
      <c r="B120" s="41" t="s">
        <v>135</v>
      </c>
      <c r="C120" s="40"/>
      <c r="D120" s="42"/>
    </row>
    <row r="121" spans="2:6" ht="25.5" customHeight="1" x14ac:dyDescent="0.25">
      <c r="B121" s="42"/>
      <c r="C121" s="32" t="s">
        <v>136</v>
      </c>
      <c r="D121" s="33" t="s">
        <v>137</v>
      </c>
    </row>
    <row r="122" spans="2:6" ht="12.75" customHeight="1" x14ac:dyDescent="0.25">
      <c r="B122" s="57" t="s">
        <v>138</v>
      </c>
      <c r="C122" s="58" t="s">
        <v>139</v>
      </c>
      <c r="D122" s="58" t="s">
        <v>140</v>
      </c>
    </row>
    <row r="123" spans="2:6" ht="15" x14ac:dyDescent="0.25">
      <c r="B123" s="42" t="s">
        <v>141</v>
      </c>
      <c r="C123" s="43">
        <v>17.209900000000001</v>
      </c>
      <c r="D123" s="43">
        <v>16.018000000000001</v>
      </c>
    </row>
    <row r="124" spans="2:6" ht="15" x14ac:dyDescent="0.25">
      <c r="B124" s="42" t="s">
        <v>142</v>
      </c>
      <c r="C124" s="43">
        <v>13.7651</v>
      </c>
      <c r="D124" s="43">
        <v>12.8118</v>
      </c>
    </row>
    <row r="125" spans="2:6" ht="15" x14ac:dyDescent="0.25">
      <c r="B125" s="42" t="s">
        <v>143</v>
      </c>
      <c r="C125" s="43">
        <v>16.834199999999999</v>
      </c>
      <c r="D125" s="43">
        <v>15.667</v>
      </c>
    </row>
    <row r="126" spans="2:6" ht="15" x14ac:dyDescent="0.25">
      <c r="B126" s="42" t="s">
        <v>144</v>
      </c>
      <c r="C126" s="43">
        <v>13.4353</v>
      </c>
      <c r="D126" s="43">
        <v>12.5038</v>
      </c>
    </row>
    <row r="128" spans="2:6" ht="15" x14ac:dyDescent="0.25">
      <c r="B128" s="59" t="s">
        <v>145</v>
      </c>
      <c r="C128" s="44"/>
      <c r="D128" s="60" t="s">
        <v>133</v>
      </c>
    </row>
    <row r="129" spans="2:4" ht="24.75" customHeight="1" x14ac:dyDescent="0.25">
      <c r="B129" s="61"/>
      <c r="C129" s="61"/>
    </row>
    <row r="130" spans="2:4" ht="15" x14ac:dyDescent="0.25">
      <c r="B130" s="63"/>
      <c r="C130" s="65"/>
      <c r="D130"/>
    </row>
    <row r="132" spans="2:4" ht="15" x14ac:dyDescent="0.25">
      <c r="B132" s="41" t="s">
        <v>146</v>
      </c>
      <c r="C132" s="40"/>
      <c r="D132" s="64" t="s">
        <v>133</v>
      </c>
    </row>
    <row r="133" spans="2:4" ht="15" x14ac:dyDescent="0.25">
      <c r="B133" s="41" t="s">
        <v>147</v>
      </c>
      <c r="C133" s="40"/>
      <c r="D133" s="64" t="s">
        <v>133</v>
      </c>
    </row>
    <row r="134" spans="2:4" ht="15" x14ac:dyDescent="0.25">
      <c r="B134" s="41" t="s">
        <v>148</v>
      </c>
      <c r="C134" s="40"/>
      <c r="D134" s="45">
        <v>2.1828216425685092E-2</v>
      </c>
    </row>
    <row r="135" spans="2:4" ht="15" x14ac:dyDescent="0.25">
      <c r="B135" s="41" t="s">
        <v>149</v>
      </c>
      <c r="C135" s="40"/>
      <c r="D135" s="45" t="s">
        <v>133</v>
      </c>
    </row>
  </sheetData>
  <mergeCells count="5">
    <mergeCell ref="A1:G1"/>
    <mergeCell ref="A2:G2"/>
    <mergeCell ref="A3:G3"/>
    <mergeCell ref="B114:F114"/>
    <mergeCell ref="B115:F115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V123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723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47</v>
      </c>
      <c r="C7" s="11" t="s">
        <v>48</v>
      </c>
      <c r="D7" s="2" t="s">
        <v>13</v>
      </c>
      <c r="E7" s="46">
        <v>47600</v>
      </c>
      <c r="F7" s="51">
        <v>158.12719999999999</v>
      </c>
      <c r="G7" s="5">
        <v>6.6027302999999996E-2</v>
      </c>
    </row>
    <row r="8" spans="1:7" ht="25.5" x14ac:dyDescent="0.25">
      <c r="A8" s="6">
        <v>2</v>
      </c>
      <c r="B8" s="7" t="s">
        <v>20</v>
      </c>
      <c r="C8" s="11" t="s">
        <v>21</v>
      </c>
      <c r="D8" s="2" t="s">
        <v>22</v>
      </c>
      <c r="E8" s="46">
        <v>20000</v>
      </c>
      <c r="F8" s="51">
        <v>135.76</v>
      </c>
      <c r="G8" s="5">
        <v>5.6687696000000003E-2</v>
      </c>
    </row>
    <row r="9" spans="1:7" ht="25.5" x14ac:dyDescent="0.25">
      <c r="A9" s="6">
        <v>3</v>
      </c>
      <c r="B9" s="7" t="s">
        <v>199</v>
      </c>
      <c r="C9" s="11" t="s">
        <v>200</v>
      </c>
      <c r="D9" s="2" t="s">
        <v>22</v>
      </c>
      <c r="E9" s="46">
        <v>16554</v>
      </c>
      <c r="F9" s="51">
        <v>121.605684</v>
      </c>
      <c r="G9" s="5">
        <v>5.0777445999999997E-2</v>
      </c>
    </row>
    <row r="10" spans="1:7" ht="15" x14ac:dyDescent="0.25">
      <c r="A10" s="6">
        <v>4</v>
      </c>
      <c r="B10" s="7" t="s">
        <v>49</v>
      </c>
      <c r="C10" s="11" t="s">
        <v>50</v>
      </c>
      <c r="D10" s="2" t="s">
        <v>51</v>
      </c>
      <c r="E10" s="46">
        <v>45000</v>
      </c>
      <c r="F10" s="51">
        <v>117.72</v>
      </c>
      <c r="G10" s="5">
        <v>4.9154946999999997E-2</v>
      </c>
    </row>
    <row r="11" spans="1:7" ht="15" x14ac:dyDescent="0.25">
      <c r="A11" s="6">
        <v>5</v>
      </c>
      <c r="B11" s="7" t="s">
        <v>11</v>
      </c>
      <c r="C11" s="11" t="s">
        <v>12</v>
      </c>
      <c r="D11" s="2" t="s">
        <v>13</v>
      </c>
      <c r="E11" s="46">
        <v>24770</v>
      </c>
      <c r="F11" s="51">
        <v>105.17341999999999</v>
      </c>
      <c r="G11" s="5">
        <v>4.391602E-2</v>
      </c>
    </row>
    <row r="12" spans="1:7" ht="25.5" x14ac:dyDescent="0.25">
      <c r="A12" s="6">
        <v>6</v>
      </c>
      <c r="B12" s="7" t="s">
        <v>73</v>
      </c>
      <c r="C12" s="11" t="s">
        <v>74</v>
      </c>
      <c r="D12" s="2" t="s">
        <v>30</v>
      </c>
      <c r="E12" s="46">
        <v>70468</v>
      </c>
      <c r="F12" s="51">
        <v>103.482258</v>
      </c>
      <c r="G12" s="5">
        <v>4.3209861000000002E-2</v>
      </c>
    </row>
    <row r="13" spans="1:7" ht="25.5" x14ac:dyDescent="0.25">
      <c r="A13" s="6">
        <v>7</v>
      </c>
      <c r="B13" s="7" t="s">
        <v>495</v>
      </c>
      <c r="C13" s="11" t="s">
        <v>496</v>
      </c>
      <c r="D13" s="2" t="s">
        <v>497</v>
      </c>
      <c r="E13" s="46">
        <v>30461</v>
      </c>
      <c r="F13" s="51">
        <v>102.836336</v>
      </c>
      <c r="G13" s="5">
        <v>4.2940151000000003E-2</v>
      </c>
    </row>
    <row r="14" spans="1:7" ht="25.5" x14ac:dyDescent="0.25">
      <c r="A14" s="6">
        <v>8</v>
      </c>
      <c r="B14" s="7" t="s">
        <v>43</v>
      </c>
      <c r="C14" s="11" t="s">
        <v>44</v>
      </c>
      <c r="D14" s="2" t="s">
        <v>30</v>
      </c>
      <c r="E14" s="46">
        <v>95000</v>
      </c>
      <c r="F14" s="51">
        <v>100.27249999999999</v>
      </c>
      <c r="G14" s="5">
        <v>4.1869600999999999E-2</v>
      </c>
    </row>
    <row r="15" spans="1:7" ht="15" x14ac:dyDescent="0.25">
      <c r="A15" s="6">
        <v>9</v>
      </c>
      <c r="B15" s="7" t="s">
        <v>394</v>
      </c>
      <c r="C15" s="11" t="s">
        <v>395</v>
      </c>
      <c r="D15" s="2" t="s">
        <v>13</v>
      </c>
      <c r="E15" s="46">
        <v>13800</v>
      </c>
      <c r="F15" s="51">
        <v>93.025800000000004</v>
      </c>
      <c r="G15" s="5">
        <v>3.8843681999999997E-2</v>
      </c>
    </row>
    <row r="16" spans="1:7" ht="15" x14ac:dyDescent="0.25">
      <c r="A16" s="6">
        <v>10</v>
      </c>
      <c r="B16" s="7" t="s">
        <v>62</v>
      </c>
      <c r="C16" s="11" t="s">
        <v>63</v>
      </c>
      <c r="D16" s="2" t="s">
        <v>16</v>
      </c>
      <c r="E16" s="46">
        <v>80317</v>
      </c>
      <c r="F16" s="51">
        <v>81.843023000000002</v>
      </c>
      <c r="G16" s="5">
        <v>3.4174221999999997E-2</v>
      </c>
    </row>
    <row r="17" spans="1:7" ht="25.5" x14ac:dyDescent="0.25">
      <c r="A17" s="6">
        <v>11</v>
      </c>
      <c r="B17" s="7" t="s">
        <v>440</v>
      </c>
      <c r="C17" s="11" t="s">
        <v>441</v>
      </c>
      <c r="D17" s="2" t="s">
        <v>59</v>
      </c>
      <c r="E17" s="46">
        <v>52630</v>
      </c>
      <c r="F17" s="51">
        <v>80.602845000000002</v>
      </c>
      <c r="G17" s="5">
        <v>3.3656376000000002E-2</v>
      </c>
    </row>
    <row r="18" spans="1:7" ht="15" x14ac:dyDescent="0.25">
      <c r="A18" s="6">
        <v>12</v>
      </c>
      <c r="B18" s="7" t="s">
        <v>267</v>
      </c>
      <c r="C18" s="11" t="s">
        <v>268</v>
      </c>
      <c r="D18" s="2" t="s">
        <v>269</v>
      </c>
      <c r="E18" s="46">
        <v>10705</v>
      </c>
      <c r="F18" s="51">
        <v>79.709429999999998</v>
      </c>
      <c r="G18" s="5">
        <v>3.3283322999999997E-2</v>
      </c>
    </row>
    <row r="19" spans="1:7" ht="15" x14ac:dyDescent="0.25">
      <c r="A19" s="6">
        <v>13</v>
      </c>
      <c r="B19" s="7" t="s">
        <v>724</v>
      </c>
      <c r="C19" s="11" t="s">
        <v>725</v>
      </c>
      <c r="D19" s="2" t="s">
        <v>16</v>
      </c>
      <c r="E19" s="46">
        <v>108409</v>
      </c>
      <c r="F19" s="51">
        <v>78.271298000000002</v>
      </c>
      <c r="G19" s="5">
        <v>3.2682819000000002E-2</v>
      </c>
    </row>
    <row r="20" spans="1:7" ht="15" x14ac:dyDescent="0.25">
      <c r="A20" s="6">
        <v>14</v>
      </c>
      <c r="B20" s="7" t="s">
        <v>332</v>
      </c>
      <c r="C20" s="11" t="s">
        <v>333</v>
      </c>
      <c r="D20" s="2" t="s">
        <v>155</v>
      </c>
      <c r="E20" s="46">
        <v>12800</v>
      </c>
      <c r="F20" s="51">
        <v>73.823999999999998</v>
      </c>
      <c r="G20" s="5">
        <v>3.0825814E-2</v>
      </c>
    </row>
    <row r="21" spans="1:7" ht="15" x14ac:dyDescent="0.25">
      <c r="A21" s="6">
        <v>15</v>
      </c>
      <c r="B21" s="7" t="s">
        <v>368</v>
      </c>
      <c r="C21" s="11" t="s">
        <v>369</v>
      </c>
      <c r="D21" s="2" t="s">
        <v>162</v>
      </c>
      <c r="E21" s="46">
        <v>5242</v>
      </c>
      <c r="F21" s="51">
        <v>71.524468999999996</v>
      </c>
      <c r="G21" s="5">
        <v>2.9865625999999999E-2</v>
      </c>
    </row>
    <row r="22" spans="1:7" ht="25.5" x14ac:dyDescent="0.25">
      <c r="A22" s="6">
        <v>16</v>
      </c>
      <c r="B22" s="7" t="s">
        <v>52</v>
      </c>
      <c r="C22" s="11" t="s">
        <v>53</v>
      </c>
      <c r="D22" s="2" t="s">
        <v>30</v>
      </c>
      <c r="E22" s="46">
        <v>14750</v>
      </c>
      <c r="F22" s="51">
        <v>63.137374999999999</v>
      </c>
      <c r="G22" s="5">
        <v>2.6363526000000002E-2</v>
      </c>
    </row>
    <row r="23" spans="1:7" ht="15" x14ac:dyDescent="0.25">
      <c r="A23" s="6">
        <v>17</v>
      </c>
      <c r="B23" s="7" t="s">
        <v>54</v>
      </c>
      <c r="C23" s="11" t="s">
        <v>55</v>
      </c>
      <c r="D23" s="2" t="s">
        <v>56</v>
      </c>
      <c r="E23" s="46">
        <v>43511</v>
      </c>
      <c r="F23" s="51">
        <v>58.783360999999999</v>
      </c>
      <c r="G23" s="5">
        <v>2.4545471999999999E-2</v>
      </c>
    </row>
    <row r="24" spans="1:7" ht="15" x14ac:dyDescent="0.25">
      <c r="A24" s="6">
        <v>18</v>
      </c>
      <c r="B24" s="7" t="s">
        <v>158</v>
      </c>
      <c r="C24" s="11" t="s">
        <v>159</v>
      </c>
      <c r="D24" s="2" t="s">
        <v>16</v>
      </c>
      <c r="E24" s="46">
        <v>66333</v>
      </c>
      <c r="F24" s="51">
        <v>58.240374000000003</v>
      </c>
      <c r="G24" s="5">
        <v>2.4318743E-2</v>
      </c>
    </row>
    <row r="25" spans="1:7" ht="25.5" x14ac:dyDescent="0.25">
      <c r="A25" s="6">
        <v>19</v>
      </c>
      <c r="B25" s="7" t="s">
        <v>100</v>
      </c>
      <c r="C25" s="11" t="s">
        <v>101</v>
      </c>
      <c r="D25" s="2" t="s">
        <v>30</v>
      </c>
      <c r="E25" s="46">
        <v>97041</v>
      </c>
      <c r="F25" s="51">
        <v>57.157148999999997</v>
      </c>
      <c r="G25" s="5">
        <v>2.3866433999999999E-2</v>
      </c>
    </row>
    <row r="26" spans="1:7" ht="15" x14ac:dyDescent="0.25">
      <c r="A26" s="6">
        <v>20</v>
      </c>
      <c r="B26" s="7" t="s">
        <v>373</v>
      </c>
      <c r="C26" s="11" t="s">
        <v>374</v>
      </c>
      <c r="D26" s="2" t="s">
        <v>13</v>
      </c>
      <c r="E26" s="46">
        <v>87562</v>
      </c>
      <c r="F26" s="51">
        <v>55.076498000000001</v>
      </c>
      <c r="G26" s="5">
        <v>2.2997640999999999E-2</v>
      </c>
    </row>
    <row r="27" spans="1:7" ht="15" x14ac:dyDescent="0.25">
      <c r="A27" s="6">
        <v>21</v>
      </c>
      <c r="B27" s="7" t="s">
        <v>468</v>
      </c>
      <c r="C27" s="11" t="s">
        <v>469</v>
      </c>
      <c r="D27" s="2" t="s">
        <v>241</v>
      </c>
      <c r="E27" s="46">
        <v>36000</v>
      </c>
      <c r="F27" s="51">
        <v>53.045999999999999</v>
      </c>
      <c r="G27" s="5">
        <v>2.2149789999999999E-2</v>
      </c>
    </row>
    <row r="28" spans="1:7" ht="15" x14ac:dyDescent="0.25">
      <c r="A28" s="6">
        <v>22</v>
      </c>
      <c r="B28" s="7" t="s">
        <v>478</v>
      </c>
      <c r="C28" s="11" t="s">
        <v>479</v>
      </c>
      <c r="D28" s="2" t="s">
        <v>81</v>
      </c>
      <c r="E28" s="46">
        <v>63080</v>
      </c>
      <c r="F28" s="51">
        <v>49.202399999999997</v>
      </c>
      <c r="G28" s="5">
        <v>2.0544863999999999E-2</v>
      </c>
    </row>
    <row r="29" spans="1:7" ht="15" x14ac:dyDescent="0.25">
      <c r="A29" s="6">
        <v>23</v>
      </c>
      <c r="B29" s="7" t="s">
        <v>516</v>
      </c>
      <c r="C29" s="11" t="s">
        <v>517</v>
      </c>
      <c r="D29" s="2" t="s">
        <v>13</v>
      </c>
      <c r="E29" s="46">
        <v>43952</v>
      </c>
      <c r="F29" s="51">
        <v>46.896783999999997</v>
      </c>
      <c r="G29" s="5">
        <v>1.9582135000000001E-2</v>
      </c>
    </row>
    <row r="30" spans="1:7" ht="15" x14ac:dyDescent="0.25">
      <c r="A30" s="6">
        <v>24</v>
      </c>
      <c r="B30" s="7" t="s">
        <v>726</v>
      </c>
      <c r="C30" s="11" t="s">
        <v>727</v>
      </c>
      <c r="D30" s="2" t="s">
        <v>16</v>
      </c>
      <c r="E30" s="46">
        <v>42109</v>
      </c>
      <c r="F30" s="51">
        <v>45.014521000000002</v>
      </c>
      <c r="G30" s="5">
        <v>1.8796180999999999E-2</v>
      </c>
    </row>
    <row r="31" spans="1:7" ht="25.5" x14ac:dyDescent="0.25">
      <c r="A31" s="6">
        <v>25</v>
      </c>
      <c r="B31" s="7" t="s">
        <v>536</v>
      </c>
      <c r="C31" s="11" t="s">
        <v>537</v>
      </c>
      <c r="D31" s="2" t="s">
        <v>19</v>
      </c>
      <c r="E31" s="46">
        <v>300000</v>
      </c>
      <c r="F31" s="51">
        <v>44.85</v>
      </c>
      <c r="G31" s="5">
        <v>1.8727483999999999E-2</v>
      </c>
    </row>
    <row r="32" spans="1:7" ht="15" x14ac:dyDescent="0.25">
      <c r="A32" s="6">
        <v>26</v>
      </c>
      <c r="B32" s="7" t="s">
        <v>359</v>
      </c>
      <c r="C32" s="11" t="s">
        <v>360</v>
      </c>
      <c r="D32" s="2" t="s">
        <v>27</v>
      </c>
      <c r="E32" s="46">
        <v>74000</v>
      </c>
      <c r="F32" s="51">
        <v>44.807000000000002</v>
      </c>
      <c r="G32" s="5">
        <v>1.8709528999999999E-2</v>
      </c>
    </row>
    <row r="33" spans="1:7" ht="15" x14ac:dyDescent="0.25">
      <c r="A33" s="6">
        <v>27</v>
      </c>
      <c r="B33" s="7" t="s">
        <v>508</v>
      </c>
      <c r="C33" s="11" t="s">
        <v>509</v>
      </c>
      <c r="D33" s="2" t="s">
        <v>269</v>
      </c>
      <c r="E33" s="46">
        <v>4712</v>
      </c>
      <c r="F33" s="51">
        <v>42.907471999999999</v>
      </c>
      <c r="G33" s="5">
        <v>1.7916365E-2</v>
      </c>
    </row>
    <row r="34" spans="1:7" ht="25.5" x14ac:dyDescent="0.25">
      <c r="A34" s="6">
        <v>28</v>
      </c>
      <c r="B34" s="7" t="s">
        <v>551</v>
      </c>
      <c r="C34" s="11" t="s">
        <v>552</v>
      </c>
      <c r="D34" s="2" t="s">
        <v>59</v>
      </c>
      <c r="E34" s="46">
        <v>25420</v>
      </c>
      <c r="F34" s="51">
        <v>39.032409999999999</v>
      </c>
      <c r="G34" s="5">
        <v>1.6298301000000001E-2</v>
      </c>
    </row>
    <row r="35" spans="1:7" ht="15" x14ac:dyDescent="0.25">
      <c r="A35" s="6">
        <v>29</v>
      </c>
      <c r="B35" s="7" t="s">
        <v>75</v>
      </c>
      <c r="C35" s="11" t="s">
        <v>76</v>
      </c>
      <c r="D35" s="2" t="s">
        <v>51</v>
      </c>
      <c r="E35" s="46">
        <v>15000</v>
      </c>
      <c r="F35" s="51">
        <v>33.217500000000001</v>
      </c>
      <c r="G35" s="5">
        <v>1.3870238E-2</v>
      </c>
    </row>
    <row r="36" spans="1:7" ht="15" x14ac:dyDescent="0.25">
      <c r="A36" s="6">
        <v>30</v>
      </c>
      <c r="B36" s="7" t="s">
        <v>670</v>
      </c>
      <c r="C36" s="11" t="s">
        <v>671</v>
      </c>
      <c r="D36" s="2" t="s">
        <v>13</v>
      </c>
      <c r="E36" s="46">
        <v>17706</v>
      </c>
      <c r="F36" s="51">
        <v>16.147872</v>
      </c>
      <c r="G36" s="5">
        <v>6.7426760000000004E-3</v>
      </c>
    </row>
    <row r="37" spans="1:7" ht="25.5" x14ac:dyDescent="0.25">
      <c r="A37" s="6">
        <v>31</v>
      </c>
      <c r="B37" s="7" t="s">
        <v>229</v>
      </c>
      <c r="C37" s="11" t="s">
        <v>230</v>
      </c>
      <c r="D37" s="2" t="s">
        <v>37</v>
      </c>
      <c r="E37" s="46">
        <v>62135</v>
      </c>
      <c r="F37" s="51">
        <v>6.3999050000000004</v>
      </c>
      <c r="G37" s="5">
        <v>2.6723329999999998E-3</v>
      </c>
    </row>
    <row r="38" spans="1:7" ht="15" x14ac:dyDescent="0.25">
      <c r="A38" s="1"/>
      <c r="B38" s="2"/>
      <c r="C38" s="8" t="s">
        <v>104</v>
      </c>
      <c r="D38" s="12"/>
      <c r="E38" s="48"/>
      <c r="F38" s="53">
        <v>2217.6948839999995</v>
      </c>
      <c r="G38" s="13">
        <v>0.926016599</v>
      </c>
    </row>
    <row r="39" spans="1:7" ht="15" x14ac:dyDescent="0.25">
      <c r="A39" s="6"/>
      <c r="B39" s="7"/>
      <c r="C39" s="14"/>
      <c r="D39" s="15"/>
      <c r="E39" s="46"/>
      <c r="F39" s="51"/>
      <c r="G39" s="5"/>
    </row>
    <row r="40" spans="1:7" ht="15" x14ac:dyDescent="0.25">
      <c r="A40" s="1"/>
      <c r="B40" s="2"/>
      <c r="C40" s="8" t="s">
        <v>105</v>
      </c>
      <c r="D40" s="9"/>
      <c r="E40" s="47"/>
      <c r="F40" s="52"/>
      <c r="G40" s="10"/>
    </row>
    <row r="41" spans="1:7" ht="15" x14ac:dyDescent="0.25">
      <c r="A41" s="1"/>
      <c r="B41" s="2"/>
      <c r="C41" s="8" t="s">
        <v>104</v>
      </c>
      <c r="D41" s="12"/>
      <c r="E41" s="48"/>
      <c r="F41" s="53">
        <v>0</v>
      </c>
      <c r="G41" s="13">
        <v>0</v>
      </c>
    </row>
    <row r="42" spans="1:7" ht="15" x14ac:dyDescent="0.25">
      <c r="A42" s="6"/>
      <c r="B42" s="7"/>
      <c r="C42" s="14"/>
      <c r="D42" s="15"/>
      <c r="E42" s="46"/>
      <c r="F42" s="51"/>
      <c r="G42" s="5"/>
    </row>
    <row r="43" spans="1:7" ht="15" x14ac:dyDescent="0.25">
      <c r="A43" s="16"/>
      <c r="B43" s="17"/>
      <c r="C43" s="8" t="s">
        <v>106</v>
      </c>
      <c r="D43" s="9"/>
      <c r="E43" s="47"/>
      <c r="F43" s="52"/>
      <c r="G43" s="10"/>
    </row>
    <row r="44" spans="1:7" ht="15" x14ac:dyDescent="0.25">
      <c r="A44" s="18"/>
      <c r="B44" s="19"/>
      <c r="C44" s="8" t="s">
        <v>104</v>
      </c>
      <c r="D44" s="20"/>
      <c r="E44" s="49"/>
      <c r="F44" s="54">
        <v>0</v>
      </c>
      <c r="G44" s="21">
        <v>0</v>
      </c>
    </row>
    <row r="45" spans="1:7" ht="15" x14ac:dyDescent="0.25">
      <c r="A45" s="18"/>
      <c r="B45" s="19"/>
      <c r="C45" s="14"/>
      <c r="D45" s="22"/>
      <c r="E45" s="50"/>
      <c r="F45" s="55"/>
      <c r="G45" s="23"/>
    </row>
    <row r="46" spans="1:7" ht="15" x14ac:dyDescent="0.25">
      <c r="A46" s="1"/>
      <c r="B46" s="2"/>
      <c r="C46" s="8" t="s">
        <v>108</v>
      </c>
      <c r="D46" s="9"/>
      <c r="E46" s="47"/>
      <c r="F46" s="52"/>
      <c r="G46" s="10"/>
    </row>
    <row r="47" spans="1:7" ht="15" x14ac:dyDescent="0.25">
      <c r="A47" s="1"/>
      <c r="B47" s="2"/>
      <c r="C47" s="8" t="s">
        <v>104</v>
      </c>
      <c r="D47" s="12"/>
      <c r="E47" s="48"/>
      <c r="F47" s="53">
        <v>0</v>
      </c>
      <c r="G47" s="13">
        <v>0</v>
      </c>
    </row>
    <row r="48" spans="1:7" ht="15" x14ac:dyDescent="0.25">
      <c r="A48" s="1"/>
      <c r="B48" s="2"/>
      <c r="C48" s="14"/>
      <c r="D48" s="4"/>
      <c r="E48" s="46"/>
      <c r="F48" s="51"/>
      <c r="G48" s="5"/>
    </row>
    <row r="49" spans="1:7" ht="15" x14ac:dyDescent="0.25">
      <c r="A49" s="1"/>
      <c r="B49" s="2"/>
      <c r="C49" s="8" t="s">
        <v>109</v>
      </c>
      <c r="D49" s="9"/>
      <c r="E49" s="47"/>
      <c r="F49" s="52"/>
      <c r="G49" s="10"/>
    </row>
    <row r="50" spans="1:7" ht="15" x14ac:dyDescent="0.25">
      <c r="A50" s="1"/>
      <c r="B50" s="2"/>
      <c r="C50" s="8" t="s">
        <v>104</v>
      </c>
      <c r="D50" s="12"/>
      <c r="E50" s="48"/>
      <c r="F50" s="53">
        <v>0</v>
      </c>
      <c r="G50" s="13">
        <v>0</v>
      </c>
    </row>
    <row r="51" spans="1:7" ht="15" x14ac:dyDescent="0.25">
      <c r="A51" s="1"/>
      <c r="B51" s="2"/>
      <c r="C51" s="14"/>
      <c r="D51" s="4"/>
      <c r="E51" s="46"/>
      <c r="F51" s="51"/>
      <c r="G51" s="5"/>
    </row>
    <row r="52" spans="1:7" ht="15" x14ac:dyDescent="0.25">
      <c r="A52" s="1"/>
      <c r="B52" s="2"/>
      <c r="C52" s="8" t="s">
        <v>110</v>
      </c>
      <c r="D52" s="9"/>
      <c r="E52" s="47"/>
      <c r="F52" s="52"/>
      <c r="G52" s="10"/>
    </row>
    <row r="53" spans="1:7" ht="15" x14ac:dyDescent="0.25">
      <c r="A53" s="1"/>
      <c r="B53" s="2"/>
      <c r="C53" s="8" t="s">
        <v>104</v>
      </c>
      <c r="D53" s="12"/>
      <c r="E53" s="48"/>
      <c r="F53" s="53">
        <v>0</v>
      </c>
      <c r="G53" s="13">
        <v>0</v>
      </c>
    </row>
    <row r="54" spans="1:7" ht="15" x14ac:dyDescent="0.25">
      <c r="A54" s="1"/>
      <c r="B54" s="2"/>
      <c r="C54" s="14"/>
      <c r="D54" s="4"/>
      <c r="E54" s="46"/>
      <c r="F54" s="51"/>
      <c r="G54" s="5"/>
    </row>
    <row r="55" spans="1:7" ht="25.5" x14ac:dyDescent="0.25">
      <c r="A55" s="6"/>
      <c r="B55" s="7"/>
      <c r="C55" s="24" t="s">
        <v>111</v>
      </c>
      <c r="D55" s="25"/>
      <c r="E55" s="48"/>
      <c r="F55" s="53">
        <v>2217.6948839999995</v>
      </c>
      <c r="G55" s="13">
        <v>0.926016599</v>
      </c>
    </row>
    <row r="56" spans="1:7" ht="15" x14ac:dyDescent="0.25">
      <c r="A56" s="1"/>
      <c r="B56" s="2"/>
      <c r="C56" s="11"/>
      <c r="D56" s="4"/>
      <c r="E56" s="46"/>
      <c r="F56" s="51"/>
      <c r="G56" s="5"/>
    </row>
    <row r="57" spans="1:7" ht="15" x14ac:dyDescent="0.25">
      <c r="A57" s="1"/>
      <c r="B57" s="2"/>
      <c r="C57" s="3" t="s">
        <v>112</v>
      </c>
      <c r="D57" s="4"/>
      <c r="E57" s="46"/>
      <c r="F57" s="51"/>
      <c r="G57" s="5"/>
    </row>
    <row r="58" spans="1:7" ht="25.5" x14ac:dyDescent="0.25">
      <c r="A58" s="1"/>
      <c r="B58" s="2"/>
      <c r="C58" s="8" t="s">
        <v>10</v>
      </c>
      <c r="D58" s="9"/>
      <c r="E58" s="47"/>
      <c r="F58" s="52"/>
      <c r="G58" s="10"/>
    </row>
    <row r="59" spans="1:7" ht="15" x14ac:dyDescent="0.25">
      <c r="A59" s="6"/>
      <c r="B59" s="7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6"/>
      <c r="B60" s="7"/>
      <c r="C60" s="14"/>
      <c r="D60" s="4"/>
      <c r="E60" s="46"/>
      <c r="F60" s="51"/>
      <c r="G60" s="5"/>
    </row>
    <row r="61" spans="1:7" ht="15" x14ac:dyDescent="0.25">
      <c r="A61" s="1"/>
      <c r="B61" s="26"/>
      <c r="C61" s="8" t="s">
        <v>113</v>
      </c>
      <c r="D61" s="9"/>
      <c r="E61" s="47"/>
      <c r="F61" s="52"/>
      <c r="G61" s="10"/>
    </row>
    <row r="62" spans="1:7" ht="15" x14ac:dyDescent="0.25">
      <c r="A62" s="6"/>
      <c r="B62" s="7"/>
      <c r="C62" s="8" t="s">
        <v>104</v>
      </c>
      <c r="D62" s="12"/>
      <c r="E62" s="48"/>
      <c r="F62" s="53">
        <v>0</v>
      </c>
      <c r="G62" s="13">
        <v>0</v>
      </c>
    </row>
    <row r="63" spans="1:7" ht="15" x14ac:dyDescent="0.25">
      <c r="A63" s="6"/>
      <c r="B63" s="7"/>
      <c r="C63" s="14"/>
      <c r="D63" s="4"/>
      <c r="E63" s="46"/>
      <c r="F63" s="56"/>
      <c r="G63" s="27"/>
    </row>
    <row r="64" spans="1:7" ht="15" x14ac:dyDescent="0.25">
      <c r="A64" s="1"/>
      <c r="B64" s="2"/>
      <c r="C64" s="8" t="s">
        <v>114</v>
      </c>
      <c r="D64" s="9"/>
      <c r="E64" s="47"/>
      <c r="F64" s="52"/>
      <c r="G64" s="10"/>
    </row>
    <row r="65" spans="1:7" ht="15" x14ac:dyDescent="0.25">
      <c r="A65" s="6"/>
      <c r="B65" s="7"/>
      <c r="C65" s="8" t="s">
        <v>104</v>
      </c>
      <c r="D65" s="12"/>
      <c r="E65" s="48"/>
      <c r="F65" s="53">
        <v>0</v>
      </c>
      <c r="G65" s="13">
        <v>0</v>
      </c>
    </row>
    <row r="66" spans="1:7" ht="15" x14ac:dyDescent="0.25">
      <c r="A66" s="1"/>
      <c r="B66" s="2"/>
      <c r="C66" s="14"/>
      <c r="D66" s="4"/>
      <c r="E66" s="46"/>
      <c r="F66" s="51"/>
      <c r="G66" s="5"/>
    </row>
    <row r="67" spans="1:7" ht="25.5" x14ac:dyDescent="0.25">
      <c r="A67" s="1"/>
      <c r="B67" s="26"/>
      <c r="C67" s="8" t="s">
        <v>115</v>
      </c>
      <c r="D67" s="9"/>
      <c r="E67" s="47"/>
      <c r="F67" s="52"/>
      <c r="G67" s="10"/>
    </row>
    <row r="68" spans="1:7" ht="15" x14ac:dyDescent="0.25">
      <c r="A68" s="6"/>
      <c r="B68" s="7"/>
      <c r="C68" s="8" t="s">
        <v>104</v>
      </c>
      <c r="D68" s="12"/>
      <c r="E68" s="48"/>
      <c r="F68" s="53">
        <v>0</v>
      </c>
      <c r="G68" s="13">
        <v>0</v>
      </c>
    </row>
    <row r="69" spans="1:7" ht="15" x14ac:dyDescent="0.25">
      <c r="A69" s="6"/>
      <c r="B69" s="7"/>
      <c r="C69" s="14"/>
      <c r="D69" s="4"/>
      <c r="E69" s="46"/>
      <c r="F69" s="51"/>
      <c r="G69" s="5"/>
    </row>
    <row r="70" spans="1:7" ht="15" x14ac:dyDescent="0.25">
      <c r="A70" s="6"/>
      <c r="B70" s="7"/>
      <c r="C70" s="28" t="s">
        <v>116</v>
      </c>
      <c r="D70" s="25"/>
      <c r="E70" s="48"/>
      <c r="F70" s="53">
        <v>0</v>
      </c>
      <c r="G70" s="13">
        <v>0</v>
      </c>
    </row>
    <row r="71" spans="1:7" ht="15" x14ac:dyDescent="0.25">
      <c r="A71" s="6"/>
      <c r="B71" s="7"/>
      <c r="C71" s="11"/>
      <c r="D71" s="4"/>
      <c r="E71" s="46"/>
      <c r="F71" s="51"/>
      <c r="G71" s="5"/>
    </row>
    <row r="72" spans="1:7" ht="15" x14ac:dyDescent="0.25">
      <c r="A72" s="1"/>
      <c r="B72" s="2"/>
      <c r="C72" s="3" t="s">
        <v>117</v>
      </c>
      <c r="D72" s="4"/>
      <c r="E72" s="46"/>
      <c r="F72" s="51"/>
      <c r="G72" s="5"/>
    </row>
    <row r="73" spans="1:7" ht="15" x14ac:dyDescent="0.25">
      <c r="A73" s="6"/>
      <c r="B73" s="7"/>
      <c r="C73" s="8" t="s">
        <v>118</v>
      </c>
      <c r="D73" s="9"/>
      <c r="E73" s="47"/>
      <c r="F73" s="52"/>
      <c r="G73" s="10"/>
    </row>
    <row r="74" spans="1:7" ht="15" x14ac:dyDescent="0.25">
      <c r="A74" s="6"/>
      <c r="B74" s="7"/>
      <c r="C74" s="8" t="s">
        <v>104</v>
      </c>
      <c r="D74" s="25"/>
      <c r="E74" s="48"/>
      <c r="F74" s="53">
        <v>0</v>
      </c>
      <c r="G74" s="13">
        <v>0</v>
      </c>
    </row>
    <row r="75" spans="1:7" ht="15" x14ac:dyDescent="0.25">
      <c r="A75" s="6"/>
      <c r="B75" s="7"/>
      <c r="C75" s="14"/>
      <c r="D75" s="7"/>
      <c r="E75" s="46"/>
      <c r="F75" s="51"/>
      <c r="G75" s="5"/>
    </row>
    <row r="76" spans="1:7" ht="15" x14ac:dyDescent="0.25">
      <c r="A76" s="6"/>
      <c r="B76" s="7"/>
      <c r="C76" s="8" t="s">
        <v>119</v>
      </c>
      <c r="D76" s="9"/>
      <c r="E76" s="47"/>
      <c r="F76" s="52"/>
      <c r="G76" s="10"/>
    </row>
    <row r="77" spans="1:7" ht="15" x14ac:dyDescent="0.25">
      <c r="A77" s="6"/>
      <c r="B77" s="7"/>
      <c r="C77" s="8" t="s">
        <v>104</v>
      </c>
      <c r="D77" s="25"/>
      <c r="E77" s="48"/>
      <c r="F77" s="53">
        <v>0</v>
      </c>
      <c r="G77" s="13">
        <v>0</v>
      </c>
    </row>
    <row r="78" spans="1:7" ht="15" x14ac:dyDescent="0.25">
      <c r="A78" s="6"/>
      <c r="B78" s="7"/>
      <c r="C78" s="14"/>
      <c r="D78" s="7"/>
      <c r="E78" s="46"/>
      <c r="F78" s="51"/>
      <c r="G78" s="5"/>
    </row>
    <row r="79" spans="1:7" ht="15" x14ac:dyDescent="0.25">
      <c r="A79" s="6"/>
      <c r="B79" s="7"/>
      <c r="C79" s="8" t="s">
        <v>120</v>
      </c>
      <c r="D79" s="9"/>
      <c r="E79" s="47"/>
      <c r="F79" s="52"/>
      <c r="G79" s="10"/>
    </row>
    <row r="80" spans="1:7" ht="15" x14ac:dyDescent="0.25">
      <c r="A80" s="6"/>
      <c r="B80" s="7"/>
      <c r="C80" s="8" t="s">
        <v>104</v>
      </c>
      <c r="D80" s="25"/>
      <c r="E80" s="48"/>
      <c r="F80" s="53">
        <v>0</v>
      </c>
      <c r="G80" s="13">
        <v>0</v>
      </c>
    </row>
    <row r="81" spans="1:7" ht="15" x14ac:dyDescent="0.25">
      <c r="A81" s="6"/>
      <c r="B81" s="7"/>
      <c r="C81" s="14"/>
      <c r="D81" s="7"/>
      <c r="E81" s="46"/>
      <c r="F81" s="51"/>
      <c r="G81" s="5"/>
    </row>
    <row r="82" spans="1:7" ht="15" x14ac:dyDescent="0.25">
      <c r="A82" s="6"/>
      <c r="B82" s="7"/>
      <c r="C82" s="8" t="s">
        <v>121</v>
      </c>
      <c r="D82" s="9"/>
      <c r="E82" s="47"/>
      <c r="F82" s="52"/>
      <c r="G82" s="10"/>
    </row>
    <row r="83" spans="1:7" ht="15" x14ac:dyDescent="0.25">
      <c r="A83" s="6">
        <v>1</v>
      </c>
      <c r="B83" s="7"/>
      <c r="C83" s="11" t="s">
        <v>730</v>
      </c>
      <c r="D83" s="15"/>
      <c r="E83" s="46"/>
      <c r="F83" s="51">
        <v>168.9741215</v>
      </c>
      <c r="G83" s="5">
        <v>7.0556522999999996E-2</v>
      </c>
    </row>
    <row r="84" spans="1:7" ht="15" x14ac:dyDescent="0.25">
      <c r="A84" s="6"/>
      <c r="B84" s="7"/>
      <c r="C84" s="8" t="s">
        <v>104</v>
      </c>
      <c r="D84" s="25"/>
      <c r="E84" s="48"/>
      <c r="F84" s="53">
        <v>168.9741215</v>
      </c>
      <c r="G84" s="13">
        <v>7.0556522999999996E-2</v>
      </c>
    </row>
    <row r="85" spans="1:7" ht="15" x14ac:dyDescent="0.25">
      <c r="A85" s="6"/>
      <c r="B85" s="7"/>
      <c r="C85" s="14"/>
      <c r="D85" s="7"/>
      <c r="E85" s="46"/>
      <c r="F85" s="51"/>
      <c r="G85" s="5"/>
    </row>
    <row r="86" spans="1:7" ht="25.5" x14ac:dyDescent="0.25">
      <c r="A86" s="6"/>
      <c r="B86" s="7"/>
      <c r="C86" s="24" t="s">
        <v>122</v>
      </c>
      <c r="D86" s="25"/>
      <c r="E86" s="48"/>
      <c r="F86" s="53">
        <v>168.9741215</v>
      </c>
      <c r="G86" s="13">
        <v>7.0556522999999996E-2</v>
      </c>
    </row>
    <row r="87" spans="1:7" ht="15" x14ac:dyDescent="0.25">
      <c r="A87" s="6"/>
      <c r="B87" s="7"/>
      <c r="C87" s="29"/>
      <c r="D87" s="7"/>
      <c r="E87" s="46"/>
      <c r="F87" s="51"/>
      <c r="G87" s="5"/>
    </row>
    <row r="88" spans="1:7" ht="15" x14ac:dyDescent="0.25">
      <c r="A88" s="1"/>
      <c r="B88" s="2"/>
      <c r="C88" s="3" t="s">
        <v>123</v>
      </c>
      <c r="D88" s="4"/>
      <c r="E88" s="46"/>
      <c r="F88" s="51"/>
      <c r="G88" s="5"/>
    </row>
    <row r="89" spans="1:7" ht="25.5" x14ac:dyDescent="0.25">
      <c r="A89" s="6"/>
      <c r="B89" s="7"/>
      <c r="C89" s="8" t="s">
        <v>124</v>
      </c>
      <c r="D89" s="9"/>
      <c r="E89" s="47"/>
      <c r="F89" s="52"/>
      <c r="G89" s="10"/>
    </row>
    <row r="90" spans="1:7" ht="15" x14ac:dyDescent="0.25">
      <c r="A90" s="6"/>
      <c r="B90" s="7"/>
      <c r="C90" s="8" t="s">
        <v>104</v>
      </c>
      <c r="D90" s="25"/>
      <c r="E90" s="48"/>
      <c r="F90" s="53">
        <v>0</v>
      </c>
      <c r="G90" s="13">
        <v>0</v>
      </c>
    </row>
    <row r="91" spans="1:7" ht="15" x14ac:dyDescent="0.25">
      <c r="A91" s="6"/>
      <c r="B91" s="7"/>
      <c r="C91" s="14"/>
      <c r="D91" s="7"/>
      <c r="E91" s="46"/>
      <c r="F91" s="51"/>
      <c r="G91" s="5"/>
    </row>
    <row r="92" spans="1:7" ht="15" x14ac:dyDescent="0.25">
      <c r="A92" s="1"/>
      <c r="B92" s="2"/>
      <c r="C92" s="3" t="s">
        <v>125</v>
      </c>
      <c r="D92" s="4"/>
      <c r="E92" s="46"/>
      <c r="F92" s="51"/>
      <c r="G92" s="5"/>
    </row>
    <row r="93" spans="1:7" ht="25.5" x14ac:dyDescent="0.25">
      <c r="A93" s="6"/>
      <c r="B93" s="7"/>
      <c r="C93" s="8" t="s">
        <v>126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25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25.5" x14ac:dyDescent="0.25">
      <c r="A96" s="6"/>
      <c r="B96" s="7"/>
      <c r="C96" s="8" t="s">
        <v>127</v>
      </c>
      <c r="D96" s="9"/>
      <c r="E96" s="47"/>
      <c r="F96" s="52"/>
      <c r="G96" s="10"/>
    </row>
    <row r="97" spans="1:7" ht="15" x14ac:dyDescent="0.25">
      <c r="A97" s="6"/>
      <c r="B97" s="7"/>
      <c r="C97" s="8" t="s">
        <v>104</v>
      </c>
      <c r="D97" s="25"/>
      <c r="E97" s="48"/>
      <c r="F97" s="53">
        <v>0</v>
      </c>
      <c r="G97" s="13">
        <v>0</v>
      </c>
    </row>
    <row r="98" spans="1:7" ht="15" x14ac:dyDescent="0.25">
      <c r="A98" s="6"/>
      <c r="B98" s="7"/>
      <c r="C98" s="14"/>
      <c r="D98" s="7"/>
      <c r="E98" s="46"/>
      <c r="F98" s="56"/>
      <c r="G98" s="27"/>
    </row>
    <row r="99" spans="1:7" ht="25.5" x14ac:dyDescent="0.25">
      <c r="A99" s="6"/>
      <c r="B99" s="7"/>
      <c r="C99" s="29" t="s">
        <v>128</v>
      </c>
      <c r="D99" s="7"/>
      <c r="E99" s="46"/>
      <c r="F99" s="56">
        <v>8.2069522900000003</v>
      </c>
      <c r="G99" s="27">
        <v>3.4268800000000002E-3</v>
      </c>
    </row>
    <row r="100" spans="1:7" ht="15" x14ac:dyDescent="0.25">
      <c r="A100" s="6"/>
      <c r="B100" s="7"/>
      <c r="C100" s="30" t="s">
        <v>129</v>
      </c>
      <c r="D100" s="12"/>
      <c r="E100" s="48"/>
      <c r="F100" s="53">
        <v>2394.8759577899996</v>
      </c>
      <c r="G100" s="13">
        <v>1.0000000020000002</v>
      </c>
    </row>
    <row r="102" spans="1:7" ht="15" x14ac:dyDescent="0.25">
      <c r="B102" s="279"/>
      <c r="C102" s="279"/>
      <c r="D102" s="279"/>
      <c r="E102" s="279"/>
      <c r="F102" s="279"/>
    </row>
    <row r="103" spans="1:7" ht="15" x14ac:dyDescent="0.25">
      <c r="B103" s="279"/>
      <c r="C103" s="279"/>
      <c r="D103" s="279"/>
      <c r="E103" s="279"/>
      <c r="F103" s="279"/>
    </row>
    <row r="105" spans="1:7" ht="15" x14ac:dyDescent="0.25">
      <c r="B105" s="36" t="s">
        <v>131</v>
      </c>
      <c r="C105" s="37"/>
      <c r="D105" s="38"/>
    </row>
    <row r="106" spans="1:7" ht="15" x14ac:dyDescent="0.25">
      <c r="B106" s="39" t="s">
        <v>132</v>
      </c>
      <c r="C106" s="40"/>
      <c r="D106" s="62" t="s">
        <v>133</v>
      </c>
    </row>
    <row r="107" spans="1:7" ht="15" x14ac:dyDescent="0.25">
      <c r="B107" s="39" t="s">
        <v>134</v>
      </c>
      <c r="C107" s="40"/>
      <c r="D107" s="62" t="s">
        <v>133</v>
      </c>
    </row>
    <row r="108" spans="1:7" ht="15" x14ac:dyDescent="0.25">
      <c r="B108" s="41" t="s">
        <v>135</v>
      </c>
      <c r="C108" s="40"/>
      <c r="D108" s="42"/>
    </row>
    <row r="109" spans="1:7" ht="25.5" customHeight="1" x14ac:dyDescent="0.25">
      <c r="B109" s="42"/>
      <c r="C109" s="32" t="s">
        <v>136</v>
      </c>
      <c r="D109" s="33" t="s">
        <v>137</v>
      </c>
    </row>
    <row r="110" spans="1:7" ht="12.75" customHeight="1" x14ac:dyDescent="0.25">
      <c r="B110" s="57" t="s">
        <v>138</v>
      </c>
      <c r="C110" s="58" t="s">
        <v>139</v>
      </c>
      <c r="D110" s="58" t="s">
        <v>140</v>
      </c>
    </row>
    <row r="111" spans="1:7" ht="15" x14ac:dyDescent="0.25">
      <c r="B111" s="42" t="s">
        <v>141</v>
      </c>
      <c r="C111" s="43">
        <v>9.1298999999999992</v>
      </c>
      <c r="D111" s="43">
        <v>8.2655999999999992</v>
      </c>
    </row>
    <row r="112" spans="1:7" ht="15" x14ac:dyDescent="0.25">
      <c r="B112" s="42" t="s">
        <v>142</v>
      </c>
      <c r="C112" s="43">
        <v>9.1295999999999999</v>
      </c>
      <c r="D112" s="43">
        <v>8.2653999999999996</v>
      </c>
    </row>
    <row r="113" spans="2:4" ht="15" x14ac:dyDescent="0.25">
      <c r="B113" s="42" t="s">
        <v>143</v>
      </c>
      <c r="C113" s="43">
        <v>8.9735999999999994</v>
      </c>
      <c r="D113" s="43">
        <v>8.1205999999999996</v>
      </c>
    </row>
    <row r="114" spans="2:4" ht="15" x14ac:dyDescent="0.25">
      <c r="B114" s="42" t="s">
        <v>144</v>
      </c>
      <c r="C114" s="43">
        <v>8.9735999999999994</v>
      </c>
      <c r="D114" s="43">
        <v>8.1205999999999996</v>
      </c>
    </row>
    <row r="116" spans="2:4" ht="15" x14ac:dyDescent="0.25">
      <c r="B116" s="59" t="s">
        <v>145</v>
      </c>
      <c r="C116" s="44"/>
      <c r="D116" s="60" t="s">
        <v>133</v>
      </c>
    </row>
    <row r="117" spans="2:4" ht="24.75" customHeight="1" x14ac:dyDescent="0.25">
      <c r="B117" s="61"/>
      <c r="C117" s="61"/>
    </row>
    <row r="118" spans="2:4" ht="15" x14ac:dyDescent="0.25">
      <c r="B118" s="63"/>
      <c r="C118" s="65"/>
      <c r="D118"/>
    </row>
    <row r="120" spans="2:4" ht="15" x14ac:dyDescent="0.25">
      <c r="B120" s="41" t="s">
        <v>146</v>
      </c>
      <c r="C120" s="40"/>
      <c r="D120" s="64" t="s">
        <v>133</v>
      </c>
    </row>
    <row r="121" spans="2:4" ht="15" x14ac:dyDescent="0.25">
      <c r="B121" s="41" t="s">
        <v>147</v>
      </c>
      <c r="C121" s="40"/>
      <c r="D121" s="64" t="s">
        <v>133</v>
      </c>
    </row>
    <row r="122" spans="2:4" ht="15" x14ac:dyDescent="0.25">
      <c r="B122" s="41" t="s">
        <v>148</v>
      </c>
      <c r="C122" s="40"/>
      <c r="D122" s="45">
        <v>2.7233697661176129E-2</v>
      </c>
    </row>
    <row r="123" spans="2:4" ht="15" x14ac:dyDescent="0.25">
      <c r="B123" s="41" t="s">
        <v>149</v>
      </c>
      <c r="C123" s="40"/>
      <c r="D123" s="45" t="s">
        <v>133</v>
      </c>
    </row>
  </sheetData>
  <mergeCells count="5">
    <mergeCell ref="A1:G1"/>
    <mergeCell ref="A2:G2"/>
    <mergeCell ref="A3:G3"/>
    <mergeCell ref="B102:F102"/>
    <mergeCell ref="B103:F103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V127"/>
  <sheetViews>
    <sheetView workbookViewId="0">
      <selection sqref="A1:G1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728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127122</v>
      </c>
      <c r="F7" s="51">
        <v>539.76001199999996</v>
      </c>
      <c r="G7" s="5">
        <v>7.0059222000000004E-2</v>
      </c>
    </row>
    <row r="8" spans="1:7" ht="15" x14ac:dyDescent="0.25">
      <c r="A8" s="6">
        <v>2</v>
      </c>
      <c r="B8" s="7" t="s">
        <v>47</v>
      </c>
      <c r="C8" s="11" t="s">
        <v>48</v>
      </c>
      <c r="D8" s="2" t="s">
        <v>13</v>
      </c>
      <c r="E8" s="46">
        <v>143411</v>
      </c>
      <c r="F8" s="51">
        <v>476.41134199999999</v>
      </c>
      <c r="G8" s="5">
        <v>6.1836755E-2</v>
      </c>
    </row>
    <row r="9" spans="1:7" ht="25.5" x14ac:dyDescent="0.25">
      <c r="A9" s="6">
        <v>3</v>
      </c>
      <c r="B9" s="7" t="s">
        <v>17</v>
      </c>
      <c r="C9" s="11" t="s">
        <v>18</v>
      </c>
      <c r="D9" s="2" t="s">
        <v>19</v>
      </c>
      <c r="E9" s="46">
        <v>28152</v>
      </c>
      <c r="F9" s="51">
        <v>390.55269600000003</v>
      </c>
      <c r="G9" s="5">
        <v>5.0692561999999997E-2</v>
      </c>
    </row>
    <row r="10" spans="1:7" ht="15" x14ac:dyDescent="0.25">
      <c r="A10" s="6">
        <v>4</v>
      </c>
      <c r="B10" s="7" t="s">
        <v>394</v>
      </c>
      <c r="C10" s="11" t="s">
        <v>395</v>
      </c>
      <c r="D10" s="2" t="s">
        <v>13</v>
      </c>
      <c r="E10" s="46">
        <v>45034</v>
      </c>
      <c r="F10" s="51">
        <v>303.57419399999998</v>
      </c>
      <c r="G10" s="5">
        <v>3.9403015E-2</v>
      </c>
    </row>
    <row r="11" spans="1:7" ht="15" x14ac:dyDescent="0.25">
      <c r="A11" s="6">
        <v>5</v>
      </c>
      <c r="B11" s="7" t="s">
        <v>516</v>
      </c>
      <c r="C11" s="11" t="s">
        <v>517</v>
      </c>
      <c r="D11" s="2" t="s">
        <v>13</v>
      </c>
      <c r="E11" s="46">
        <v>273155</v>
      </c>
      <c r="F11" s="51">
        <v>291.45638500000001</v>
      </c>
      <c r="G11" s="5">
        <v>3.7830160000000002E-2</v>
      </c>
    </row>
    <row r="12" spans="1:7" ht="15" x14ac:dyDescent="0.25">
      <c r="A12" s="6">
        <v>6</v>
      </c>
      <c r="B12" s="7" t="s">
        <v>493</v>
      </c>
      <c r="C12" s="11" t="s">
        <v>494</v>
      </c>
      <c r="D12" s="2" t="s">
        <v>27</v>
      </c>
      <c r="E12" s="46">
        <v>220413</v>
      </c>
      <c r="F12" s="51">
        <v>278.93265150000002</v>
      </c>
      <c r="G12" s="5">
        <v>3.6204617000000001E-2</v>
      </c>
    </row>
    <row r="13" spans="1:7" ht="25.5" x14ac:dyDescent="0.25">
      <c r="A13" s="6">
        <v>7</v>
      </c>
      <c r="B13" s="7" t="s">
        <v>495</v>
      </c>
      <c r="C13" s="11" t="s">
        <v>496</v>
      </c>
      <c r="D13" s="2" t="s">
        <v>497</v>
      </c>
      <c r="E13" s="46">
        <v>74066</v>
      </c>
      <c r="F13" s="51">
        <v>250.04681600000001</v>
      </c>
      <c r="G13" s="5">
        <v>3.2455323000000001E-2</v>
      </c>
    </row>
    <row r="14" spans="1:7" ht="25.5" x14ac:dyDescent="0.25">
      <c r="A14" s="6">
        <v>8</v>
      </c>
      <c r="B14" s="7" t="s">
        <v>429</v>
      </c>
      <c r="C14" s="11" t="s">
        <v>430</v>
      </c>
      <c r="D14" s="2" t="s">
        <v>30</v>
      </c>
      <c r="E14" s="46">
        <v>21835</v>
      </c>
      <c r="F14" s="51">
        <v>249.9561625</v>
      </c>
      <c r="G14" s="5">
        <v>3.2443555999999998E-2</v>
      </c>
    </row>
    <row r="15" spans="1:7" ht="15" x14ac:dyDescent="0.25">
      <c r="A15" s="6">
        <v>9</v>
      </c>
      <c r="B15" s="7" t="s">
        <v>608</v>
      </c>
      <c r="C15" s="11" t="s">
        <v>609</v>
      </c>
      <c r="D15" s="2" t="s">
        <v>241</v>
      </c>
      <c r="E15" s="46">
        <v>9417</v>
      </c>
      <c r="F15" s="51">
        <v>242.45008200000001</v>
      </c>
      <c r="G15" s="5">
        <v>3.1469288999999998E-2</v>
      </c>
    </row>
    <row r="16" spans="1:7" ht="15" x14ac:dyDescent="0.25">
      <c r="A16" s="6">
        <v>10</v>
      </c>
      <c r="B16" s="7" t="s">
        <v>424</v>
      </c>
      <c r="C16" s="11" t="s">
        <v>425</v>
      </c>
      <c r="D16" s="2" t="s">
        <v>241</v>
      </c>
      <c r="E16" s="46">
        <v>38780</v>
      </c>
      <c r="F16" s="51">
        <v>221.53075000000001</v>
      </c>
      <c r="G16" s="5">
        <v>2.8754023E-2</v>
      </c>
    </row>
    <row r="17" spans="1:7" ht="15" x14ac:dyDescent="0.25">
      <c r="A17" s="6">
        <v>11</v>
      </c>
      <c r="B17" s="7" t="s">
        <v>299</v>
      </c>
      <c r="C17" s="11" t="s">
        <v>300</v>
      </c>
      <c r="D17" s="2" t="s">
        <v>13</v>
      </c>
      <c r="E17" s="46">
        <v>223682</v>
      </c>
      <c r="F17" s="51">
        <v>206.68216799999999</v>
      </c>
      <c r="G17" s="5">
        <v>2.6826722000000001E-2</v>
      </c>
    </row>
    <row r="18" spans="1:7" ht="15" x14ac:dyDescent="0.25">
      <c r="A18" s="6">
        <v>12</v>
      </c>
      <c r="B18" s="7" t="s">
        <v>520</v>
      </c>
      <c r="C18" s="11" t="s">
        <v>521</v>
      </c>
      <c r="D18" s="2" t="s">
        <v>305</v>
      </c>
      <c r="E18" s="46">
        <v>86700</v>
      </c>
      <c r="F18" s="51">
        <v>205.00215</v>
      </c>
      <c r="G18" s="5">
        <v>2.6608660999999999E-2</v>
      </c>
    </row>
    <row r="19" spans="1:7" ht="15" x14ac:dyDescent="0.25">
      <c r="A19" s="6">
        <v>13</v>
      </c>
      <c r="B19" s="7" t="s">
        <v>719</v>
      </c>
      <c r="C19" s="11" t="s">
        <v>720</v>
      </c>
      <c r="D19" s="2" t="s">
        <v>241</v>
      </c>
      <c r="E19" s="46">
        <v>20731</v>
      </c>
      <c r="F19" s="51">
        <v>198.14689799999999</v>
      </c>
      <c r="G19" s="5">
        <v>2.5718870000000001E-2</v>
      </c>
    </row>
    <row r="20" spans="1:7" ht="25.5" x14ac:dyDescent="0.25">
      <c r="A20" s="6">
        <v>14</v>
      </c>
      <c r="B20" s="7" t="s">
        <v>52</v>
      </c>
      <c r="C20" s="11" t="s">
        <v>53</v>
      </c>
      <c r="D20" s="2" t="s">
        <v>30</v>
      </c>
      <c r="E20" s="46">
        <v>45730</v>
      </c>
      <c r="F20" s="51">
        <v>195.747265</v>
      </c>
      <c r="G20" s="5">
        <v>2.5407405000000001E-2</v>
      </c>
    </row>
    <row r="21" spans="1:7" ht="15" x14ac:dyDescent="0.25">
      <c r="A21" s="6">
        <v>15</v>
      </c>
      <c r="B21" s="7" t="s">
        <v>626</v>
      </c>
      <c r="C21" s="11" t="s">
        <v>627</v>
      </c>
      <c r="D21" s="2" t="s">
        <v>241</v>
      </c>
      <c r="E21" s="46">
        <v>37177</v>
      </c>
      <c r="F21" s="51">
        <v>193.72934699999999</v>
      </c>
      <c r="G21" s="5">
        <v>2.5145484999999999E-2</v>
      </c>
    </row>
    <row r="22" spans="1:7" ht="15" x14ac:dyDescent="0.25">
      <c r="A22" s="6">
        <v>16</v>
      </c>
      <c r="B22" s="7" t="s">
        <v>504</v>
      </c>
      <c r="C22" s="11" t="s">
        <v>505</v>
      </c>
      <c r="D22" s="2" t="s">
        <v>215</v>
      </c>
      <c r="E22" s="46">
        <v>30379</v>
      </c>
      <c r="F22" s="51">
        <v>193.28638749999999</v>
      </c>
      <c r="G22" s="5">
        <v>2.5087990000000001E-2</v>
      </c>
    </row>
    <row r="23" spans="1:7" ht="25.5" x14ac:dyDescent="0.25">
      <c r="A23" s="6">
        <v>17</v>
      </c>
      <c r="B23" s="7" t="s">
        <v>31</v>
      </c>
      <c r="C23" s="11" t="s">
        <v>32</v>
      </c>
      <c r="D23" s="2" t="s">
        <v>30</v>
      </c>
      <c r="E23" s="46">
        <v>15000</v>
      </c>
      <c r="F23" s="51">
        <v>164.9325</v>
      </c>
      <c r="G23" s="5">
        <v>2.1407741000000001E-2</v>
      </c>
    </row>
    <row r="24" spans="1:7" ht="25.5" x14ac:dyDescent="0.25">
      <c r="A24" s="6">
        <v>18</v>
      </c>
      <c r="B24" s="7" t="s">
        <v>522</v>
      </c>
      <c r="C24" s="11" t="s">
        <v>523</v>
      </c>
      <c r="D24" s="2" t="s">
        <v>42</v>
      </c>
      <c r="E24" s="46">
        <v>107621</v>
      </c>
      <c r="F24" s="51">
        <v>149.91605300000001</v>
      </c>
      <c r="G24" s="5">
        <v>1.9458652E-2</v>
      </c>
    </row>
    <row r="25" spans="1:7" ht="25.5" x14ac:dyDescent="0.25">
      <c r="A25" s="6">
        <v>19</v>
      </c>
      <c r="B25" s="7" t="s">
        <v>536</v>
      </c>
      <c r="C25" s="11" t="s">
        <v>537</v>
      </c>
      <c r="D25" s="2" t="s">
        <v>19</v>
      </c>
      <c r="E25" s="46">
        <v>996991</v>
      </c>
      <c r="F25" s="51">
        <v>149.05015449999999</v>
      </c>
      <c r="G25" s="5">
        <v>1.9346261E-2</v>
      </c>
    </row>
    <row r="26" spans="1:7" ht="25.5" x14ac:dyDescent="0.25">
      <c r="A26" s="6">
        <v>20</v>
      </c>
      <c r="B26" s="7" t="s">
        <v>45</v>
      </c>
      <c r="C26" s="11" t="s">
        <v>46</v>
      </c>
      <c r="D26" s="2" t="s">
        <v>22</v>
      </c>
      <c r="E26" s="46">
        <v>24100</v>
      </c>
      <c r="F26" s="51">
        <v>147.46789999999999</v>
      </c>
      <c r="G26" s="5">
        <v>1.9140889000000001E-2</v>
      </c>
    </row>
    <row r="27" spans="1:7" ht="25.5" x14ac:dyDescent="0.25">
      <c r="A27" s="6">
        <v>21</v>
      </c>
      <c r="B27" s="7" t="s">
        <v>512</v>
      </c>
      <c r="C27" s="11" t="s">
        <v>513</v>
      </c>
      <c r="D27" s="2" t="s">
        <v>37</v>
      </c>
      <c r="E27" s="46">
        <v>102477</v>
      </c>
      <c r="F27" s="51">
        <v>145.1586705</v>
      </c>
      <c r="G27" s="5">
        <v>1.8841158E-2</v>
      </c>
    </row>
    <row r="28" spans="1:7" ht="25.5" x14ac:dyDescent="0.25">
      <c r="A28" s="6">
        <v>22</v>
      </c>
      <c r="B28" s="7" t="s">
        <v>100</v>
      </c>
      <c r="C28" s="11" t="s">
        <v>101</v>
      </c>
      <c r="D28" s="2" t="s">
        <v>30</v>
      </c>
      <c r="E28" s="46">
        <v>242714</v>
      </c>
      <c r="F28" s="51">
        <v>142.95854600000001</v>
      </c>
      <c r="G28" s="5">
        <v>1.8555588000000001E-2</v>
      </c>
    </row>
    <row r="29" spans="1:7" ht="25.5" x14ac:dyDescent="0.25">
      <c r="A29" s="6">
        <v>23</v>
      </c>
      <c r="B29" s="7" t="s">
        <v>64</v>
      </c>
      <c r="C29" s="11" t="s">
        <v>65</v>
      </c>
      <c r="D29" s="2" t="s">
        <v>19</v>
      </c>
      <c r="E29" s="46">
        <v>193219</v>
      </c>
      <c r="F29" s="51">
        <v>141.3396985</v>
      </c>
      <c r="G29" s="5">
        <v>1.8345467000000001E-2</v>
      </c>
    </row>
    <row r="30" spans="1:7" ht="15" x14ac:dyDescent="0.25">
      <c r="A30" s="6">
        <v>24</v>
      </c>
      <c r="B30" s="7" t="s">
        <v>54</v>
      </c>
      <c r="C30" s="11" t="s">
        <v>55</v>
      </c>
      <c r="D30" s="2" t="s">
        <v>56</v>
      </c>
      <c r="E30" s="46">
        <v>97450</v>
      </c>
      <c r="F30" s="51">
        <v>131.65495000000001</v>
      </c>
      <c r="G30" s="5">
        <v>1.7088414999999999E-2</v>
      </c>
    </row>
    <row r="31" spans="1:7" ht="15" x14ac:dyDescent="0.25">
      <c r="A31" s="6">
        <v>25</v>
      </c>
      <c r="B31" s="7" t="s">
        <v>222</v>
      </c>
      <c r="C31" s="11" t="s">
        <v>223</v>
      </c>
      <c r="D31" s="2" t="s">
        <v>215</v>
      </c>
      <c r="E31" s="46">
        <v>28282</v>
      </c>
      <c r="F31" s="51">
        <v>130.77596800000001</v>
      </c>
      <c r="G31" s="5">
        <v>1.6974326000000001E-2</v>
      </c>
    </row>
    <row r="32" spans="1:7" ht="15" x14ac:dyDescent="0.25">
      <c r="A32" s="6">
        <v>26</v>
      </c>
      <c r="B32" s="7" t="s">
        <v>514</v>
      </c>
      <c r="C32" s="11" t="s">
        <v>515</v>
      </c>
      <c r="D32" s="2" t="s">
        <v>215</v>
      </c>
      <c r="E32" s="46">
        <v>11188</v>
      </c>
      <c r="F32" s="51">
        <v>115.745454</v>
      </c>
      <c r="G32" s="5">
        <v>1.5023411E-2</v>
      </c>
    </row>
    <row r="33" spans="1:7" ht="15" x14ac:dyDescent="0.25">
      <c r="A33" s="6">
        <v>27</v>
      </c>
      <c r="B33" s="7" t="s">
        <v>617</v>
      </c>
      <c r="C33" s="11" t="s">
        <v>618</v>
      </c>
      <c r="D33" s="2" t="s">
        <v>241</v>
      </c>
      <c r="E33" s="46">
        <v>49191</v>
      </c>
      <c r="F33" s="51">
        <v>112.057098</v>
      </c>
      <c r="G33" s="5">
        <v>1.4544672999999999E-2</v>
      </c>
    </row>
    <row r="34" spans="1:7" ht="15" x14ac:dyDescent="0.25">
      <c r="A34" s="6">
        <v>28</v>
      </c>
      <c r="B34" s="7" t="s">
        <v>359</v>
      </c>
      <c r="C34" s="11" t="s">
        <v>360</v>
      </c>
      <c r="D34" s="2" t="s">
        <v>27</v>
      </c>
      <c r="E34" s="46">
        <v>184791</v>
      </c>
      <c r="F34" s="51">
        <v>111.8909505</v>
      </c>
      <c r="G34" s="5">
        <v>1.4523108E-2</v>
      </c>
    </row>
    <row r="35" spans="1:7" ht="25.5" x14ac:dyDescent="0.25">
      <c r="A35" s="6">
        <v>29</v>
      </c>
      <c r="B35" s="7" t="s">
        <v>600</v>
      </c>
      <c r="C35" s="11" t="s">
        <v>601</v>
      </c>
      <c r="D35" s="2" t="s">
        <v>27</v>
      </c>
      <c r="E35" s="46">
        <v>52309</v>
      </c>
      <c r="F35" s="51">
        <v>110.26737199999999</v>
      </c>
      <c r="G35" s="5">
        <v>1.4312372E-2</v>
      </c>
    </row>
    <row r="36" spans="1:7" ht="25.5" x14ac:dyDescent="0.25">
      <c r="A36" s="6">
        <v>30</v>
      </c>
      <c r="B36" s="7" t="s">
        <v>476</v>
      </c>
      <c r="C36" s="11" t="s">
        <v>477</v>
      </c>
      <c r="D36" s="2" t="s">
        <v>42</v>
      </c>
      <c r="E36" s="46">
        <v>79320</v>
      </c>
      <c r="F36" s="51">
        <v>96.215159999999997</v>
      </c>
      <c r="G36" s="5">
        <v>1.2488437999999999E-2</v>
      </c>
    </row>
    <row r="37" spans="1:7" ht="25.5" x14ac:dyDescent="0.25">
      <c r="A37" s="6">
        <v>31</v>
      </c>
      <c r="B37" s="7" t="s">
        <v>619</v>
      </c>
      <c r="C37" s="11" t="s">
        <v>620</v>
      </c>
      <c r="D37" s="2" t="s">
        <v>621</v>
      </c>
      <c r="E37" s="46">
        <v>46165</v>
      </c>
      <c r="F37" s="51">
        <v>87.967407499999993</v>
      </c>
      <c r="G37" s="5">
        <v>1.1417904E-2</v>
      </c>
    </row>
    <row r="38" spans="1:7" ht="15" x14ac:dyDescent="0.25">
      <c r="A38" s="6">
        <v>32</v>
      </c>
      <c r="B38" s="7" t="s">
        <v>596</v>
      </c>
      <c r="C38" s="11" t="s">
        <v>597</v>
      </c>
      <c r="D38" s="2" t="s">
        <v>241</v>
      </c>
      <c r="E38" s="46">
        <v>10002</v>
      </c>
      <c r="F38" s="51">
        <v>76.495295999999996</v>
      </c>
      <c r="G38" s="5">
        <v>9.9288589999999999E-3</v>
      </c>
    </row>
    <row r="39" spans="1:7" ht="15" x14ac:dyDescent="0.25">
      <c r="A39" s="6">
        <v>33</v>
      </c>
      <c r="B39" s="7" t="s">
        <v>348</v>
      </c>
      <c r="C39" s="11" t="s">
        <v>349</v>
      </c>
      <c r="D39" s="2" t="s">
        <v>241</v>
      </c>
      <c r="E39" s="46">
        <v>14467</v>
      </c>
      <c r="F39" s="51">
        <v>74.512283499999995</v>
      </c>
      <c r="G39" s="5">
        <v>9.6714699999999997E-3</v>
      </c>
    </row>
    <row r="40" spans="1:7" ht="15" x14ac:dyDescent="0.25">
      <c r="A40" s="6">
        <v>34</v>
      </c>
      <c r="B40" s="7" t="s">
        <v>72</v>
      </c>
      <c r="C40" s="11" t="s">
        <v>845</v>
      </c>
      <c r="D40" s="2" t="s">
        <v>51</v>
      </c>
      <c r="E40" s="46">
        <v>23447</v>
      </c>
      <c r="F40" s="51">
        <v>55.534219499999999</v>
      </c>
      <c r="G40" s="5">
        <v>7.2081740000000004E-3</v>
      </c>
    </row>
    <row r="41" spans="1:7" ht="15" x14ac:dyDescent="0.25">
      <c r="A41" s="6">
        <v>35</v>
      </c>
      <c r="B41" s="7" t="s">
        <v>670</v>
      </c>
      <c r="C41" s="11" t="s">
        <v>671</v>
      </c>
      <c r="D41" s="2" t="s">
        <v>13</v>
      </c>
      <c r="E41" s="46">
        <v>53066</v>
      </c>
      <c r="F41" s="51">
        <v>48.396191999999999</v>
      </c>
      <c r="G41" s="5">
        <v>6.2816800000000004E-3</v>
      </c>
    </row>
    <row r="42" spans="1:7" ht="15" x14ac:dyDescent="0.25">
      <c r="A42" s="1"/>
      <c r="B42" s="2"/>
      <c r="C42" s="8" t="s">
        <v>104</v>
      </c>
      <c r="D42" s="12"/>
      <c r="E42" s="48"/>
      <c r="F42" s="53">
        <v>6629.6011800000006</v>
      </c>
      <c r="G42" s="13">
        <v>0.86050224099999983</v>
      </c>
    </row>
    <row r="43" spans="1:7" ht="15" x14ac:dyDescent="0.25">
      <c r="A43" s="6"/>
      <c r="B43" s="7"/>
      <c r="C43" s="14"/>
      <c r="D43" s="15"/>
      <c r="E43" s="46"/>
      <c r="F43" s="51"/>
      <c r="G43" s="5"/>
    </row>
    <row r="44" spans="1:7" ht="15" x14ac:dyDescent="0.25">
      <c r="A44" s="1"/>
      <c r="B44" s="2"/>
      <c r="C44" s="8" t="s">
        <v>105</v>
      </c>
      <c r="D44" s="9"/>
      <c r="E44" s="47"/>
      <c r="F44" s="52"/>
      <c r="G44" s="10"/>
    </row>
    <row r="45" spans="1:7" ht="15" x14ac:dyDescent="0.25">
      <c r="A45" s="1"/>
      <c r="B45" s="2"/>
      <c r="C45" s="8" t="s">
        <v>104</v>
      </c>
      <c r="D45" s="12"/>
      <c r="E45" s="48"/>
      <c r="F45" s="53">
        <v>0</v>
      </c>
      <c r="G45" s="13">
        <v>0</v>
      </c>
    </row>
    <row r="46" spans="1:7" ht="15" x14ac:dyDescent="0.25">
      <c r="A46" s="6"/>
      <c r="B46" s="7"/>
      <c r="C46" s="14"/>
      <c r="D46" s="15"/>
      <c r="E46" s="46"/>
      <c r="F46" s="51"/>
      <c r="G46" s="5"/>
    </row>
    <row r="47" spans="1:7" ht="15" x14ac:dyDescent="0.25">
      <c r="A47" s="16"/>
      <c r="B47" s="17"/>
      <c r="C47" s="8" t="s">
        <v>106</v>
      </c>
      <c r="D47" s="9"/>
      <c r="E47" s="47"/>
      <c r="F47" s="52"/>
      <c r="G47" s="10"/>
    </row>
    <row r="48" spans="1:7" ht="15" x14ac:dyDescent="0.25">
      <c r="A48" s="18"/>
      <c r="B48" s="19"/>
      <c r="C48" s="8" t="s">
        <v>104</v>
      </c>
      <c r="D48" s="20"/>
      <c r="E48" s="49"/>
      <c r="F48" s="54">
        <v>0</v>
      </c>
      <c r="G48" s="21">
        <v>0</v>
      </c>
    </row>
    <row r="49" spans="1:7" ht="15" x14ac:dyDescent="0.25">
      <c r="A49" s="18"/>
      <c r="B49" s="19"/>
      <c r="C49" s="14"/>
      <c r="D49" s="22"/>
      <c r="E49" s="50"/>
      <c r="F49" s="55"/>
      <c r="G49" s="23"/>
    </row>
    <row r="50" spans="1:7" ht="15" x14ac:dyDescent="0.25">
      <c r="A50" s="1"/>
      <c r="B50" s="2"/>
      <c r="C50" s="8" t="s">
        <v>108</v>
      </c>
      <c r="D50" s="9"/>
      <c r="E50" s="47"/>
      <c r="F50" s="52"/>
      <c r="G50" s="10"/>
    </row>
    <row r="51" spans="1:7" ht="15" x14ac:dyDescent="0.25">
      <c r="A51" s="1"/>
      <c r="B51" s="2"/>
      <c r="C51" s="8" t="s">
        <v>104</v>
      </c>
      <c r="D51" s="12"/>
      <c r="E51" s="48"/>
      <c r="F51" s="53">
        <v>0</v>
      </c>
      <c r="G51" s="13">
        <v>0</v>
      </c>
    </row>
    <row r="52" spans="1:7" ht="15" x14ac:dyDescent="0.25">
      <c r="A52" s="1"/>
      <c r="B52" s="2"/>
      <c r="C52" s="14"/>
      <c r="D52" s="4"/>
      <c r="E52" s="46"/>
      <c r="F52" s="51"/>
      <c r="G52" s="5"/>
    </row>
    <row r="53" spans="1:7" ht="15" x14ac:dyDescent="0.25">
      <c r="A53" s="1"/>
      <c r="B53" s="2"/>
      <c r="C53" s="8" t="s">
        <v>109</v>
      </c>
      <c r="D53" s="9"/>
      <c r="E53" s="47"/>
      <c r="F53" s="52"/>
      <c r="G53" s="10"/>
    </row>
    <row r="54" spans="1:7" ht="15" x14ac:dyDescent="0.25">
      <c r="A54" s="1"/>
      <c r="B54" s="2"/>
      <c r="C54" s="8" t="s">
        <v>104</v>
      </c>
      <c r="D54" s="12"/>
      <c r="E54" s="48"/>
      <c r="F54" s="53">
        <v>0</v>
      </c>
      <c r="G54" s="13">
        <v>0</v>
      </c>
    </row>
    <row r="55" spans="1:7" ht="15" x14ac:dyDescent="0.25">
      <c r="A55" s="1"/>
      <c r="B55" s="2"/>
      <c r="C55" s="14"/>
      <c r="D55" s="4"/>
      <c r="E55" s="46"/>
      <c r="F55" s="51"/>
      <c r="G55" s="5"/>
    </row>
    <row r="56" spans="1:7" ht="15" x14ac:dyDescent="0.25">
      <c r="A56" s="1"/>
      <c r="B56" s="2"/>
      <c r="C56" s="8" t="s">
        <v>110</v>
      </c>
      <c r="D56" s="9"/>
      <c r="E56" s="47"/>
      <c r="F56" s="52"/>
      <c r="G56" s="10"/>
    </row>
    <row r="57" spans="1:7" ht="15" x14ac:dyDescent="0.25">
      <c r="A57" s="1"/>
      <c r="B57" s="2"/>
      <c r="C57" s="8" t="s">
        <v>104</v>
      </c>
      <c r="D57" s="12"/>
      <c r="E57" s="48"/>
      <c r="F57" s="53">
        <v>0</v>
      </c>
      <c r="G57" s="13">
        <v>0</v>
      </c>
    </row>
    <row r="58" spans="1:7" ht="15" x14ac:dyDescent="0.25">
      <c r="A58" s="1"/>
      <c r="B58" s="2"/>
      <c r="C58" s="14"/>
      <c r="D58" s="4"/>
      <c r="E58" s="46"/>
      <c r="F58" s="51"/>
      <c r="G58" s="5"/>
    </row>
    <row r="59" spans="1:7" ht="25.5" x14ac:dyDescent="0.25">
      <c r="A59" s="6"/>
      <c r="B59" s="7"/>
      <c r="C59" s="24" t="s">
        <v>111</v>
      </c>
      <c r="D59" s="25"/>
      <c r="E59" s="48"/>
      <c r="F59" s="53">
        <v>6629.6011800000006</v>
      </c>
      <c r="G59" s="13">
        <v>0.86050224099999983</v>
      </c>
    </row>
    <row r="60" spans="1:7" ht="15" x14ac:dyDescent="0.25">
      <c r="A60" s="1"/>
      <c r="B60" s="2"/>
      <c r="C60" s="11"/>
      <c r="D60" s="4"/>
      <c r="E60" s="46"/>
      <c r="F60" s="51"/>
      <c r="G60" s="5"/>
    </row>
    <row r="61" spans="1:7" ht="15" x14ac:dyDescent="0.25">
      <c r="A61" s="1"/>
      <c r="B61" s="2"/>
      <c r="C61" s="3" t="s">
        <v>112</v>
      </c>
      <c r="D61" s="4"/>
      <c r="E61" s="46"/>
      <c r="F61" s="51"/>
      <c r="G61" s="5"/>
    </row>
    <row r="62" spans="1:7" ht="25.5" x14ac:dyDescent="0.25">
      <c r="A62" s="1"/>
      <c r="B62" s="2"/>
      <c r="C62" s="8" t="s">
        <v>10</v>
      </c>
      <c r="D62" s="9"/>
      <c r="E62" s="47"/>
      <c r="F62" s="52"/>
      <c r="G62" s="10"/>
    </row>
    <row r="63" spans="1:7" ht="15" x14ac:dyDescent="0.25">
      <c r="A63" s="6"/>
      <c r="B63" s="7"/>
      <c r="C63" s="8" t="s">
        <v>104</v>
      </c>
      <c r="D63" s="12"/>
      <c r="E63" s="48"/>
      <c r="F63" s="53">
        <v>0</v>
      </c>
      <c r="G63" s="13">
        <v>0</v>
      </c>
    </row>
    <row r="64" spans="1:7" ht="15" x14ac:dyDescent="0.25">
      <c r="A64" s="6"/>
      <c r="B64" s="7"/>
      <c r="C64" s="14"/>
      <c r="D64" s="4"/>
      <c r="E64" s="46"/>
      <c r="F64" s="51"/>
      <c r="G64" s="5"/>
    </row>
    <row r="65" spans="1:7" ht="15" x14ac:dyDescent="0.25">
      <c r="A65" s="1"/>
      <c r="B65" s="26"/>
      <c r="C65" s="8" t="s">
        <v>113</v>
      </c>
      <c r="D65" s="9"/>
      <c r="E65" s="47"/>
      <c r="F65" s="52"/>
      <c r="G65" s="10"/>
    </row>
    <row r="66" spans="1:7" ht="15" x14ac:dyDescent="0.25">
      <c r="A66" s="6"/>
      <c r="B66" s="7"/>
      <c r="C66" s="8" t="s">
        <v>104</v>
      </c>
      <c r="D66" s="12"/>
      <c r="E66" s="48"/>
      <c r="F66" s="53">
        <v>0</v>
      </c>
      <c r="G66" s="13">
        <v>0</v>
      </c>
    </row>
    <row r="67" spans="1:7" ht="15" x14ac:dyDescent="0.25">
      <c r="A67" s="6"/>
      <c r="B67" s="7"/>
      <c r="C67" s="14"/>
      <c r="D67" s="4"/>
      <c r="E67" s="46"/>
      <c r="F67" s="56"/>
      <c r="G67" s="27"/>
    </row>
    <row r="68" spans="1:7" ht="15" x14ac:dyDescent="0.25">
      <c r="A68" s="1"/>
      <c r="B68" s="2"/>
      <c r="C68" s="8" t="s">
        <v>114</v>
      </c>
      <c r="D68" s="9"/>
      <c r="E68" s="47"/>
      <c r="F68" s="52"/>
      <c r="G68" s="10"/>
    </row>
    <row r="69" spans="1:7" ht="15" x14ac:dyDescent="0.25">
      <c r="A69" s="6"/>
      <c r="B69" s="7"/>
      <c r="C69" s="8" t="s">
        <v>104</v>
      </c>
      <c r="D69" s="12"/>
      <c r="E69" s="48"/>
      <c r="F69" s="53">
        <v>0</v>
      </c>
      <c r="G69" s="13">
        <v>0</v>
      </c>
    </row>
    <row r="70" spans="1:7" ht="15" x14ac:dyDescent="0.25">
      <c r="A70" s="1"/>
      <c r="B70" s="2"/>
      <c r="C70" s="14"/>
      <c r="D70" s="4"/>
      <c r="E70" s="46"/>
      <c r="F70" s="51"/>
      <c r="G70" s="5"/>
    </row>
    <row r="71" spans="1:7" ht="25.5" x14ac:dyDescent="0.25">
      <c r="A71" s="1"/>
      <c r="B71" s="26"/>
      <c r="C71" s="8" t="s">
        <v>115</v>
      </c>
      <c r="D71" s="9"/>
      <c r="E71" s="47"/>
      <c r="F71" s="52"/>
      <c r="G71" s="10"/>
    </row>
    <row r="72" spans="1:7" ht="15" x14ac:dyDescent="0.25">
      <c r="A72" s="6"/>
      <c r="B72" s="7"/>
      <c r="C72" s="8" t="s">
        <v>104</v>
      </c>
      <c r="D72" s="12"/>
      <c r="E72" s="48"/>
      <c r="F72" s="53">
        <v>0</v>
      </c>
      <c r="G72" s="13">
        <v>0</v>
      </c>
    </row>
    <row r="73" spans="1:7" ht="15" x14ac:dyDescent="0.25">
      <c r="A73" s="6"/>
      <c r="B73" s="7"/>
      <c r="C73" s="14"/>
      <c r="D73" s="4"/>
      <c r="E73" s="46"/>
      <c r="F73" s="51"/>
      <c r="G73" s="5"/>
    </row>
    <row r="74" spans="1:7" ht="15" x14ac:dyDescent="0.25">
      <c r="A74" s="6"/>
      <c r="B74" s="7"/>
      <c r="C74" s="28" t="s">
        <v>116</v>
      </c>
      <c r="D74" s="25"/>
      <c r="E74" s="48"/>
      <c r="F74" s="53">
        <v>0</v>
      </c>
      <c r="G74" s="13">
        <v>0</v>
      </c>
    </row>
    <row r="75" spans="1:7" ht="15" x14ac:dyDescent="0.25">
      <c r="A75" s="6"/>
      <c r="B75" s="7"/>
      <c r="C75" s="11"/>
      <c r="D75" s="4"/>
      <c r="E75" s="46"/>
      <c r="F75" s="51"/>
      <c r="G75" s="5"/>
    </row>
    <row r="76" spans="1:7" ht="15" x14ac:dyDescent="0.25">
      <c r="A76" s="1"/>
      <c r="B76" s="2"/>
      <c r="C76" s="3" t="s">
        <v>117</v>
      </c>
      <c r="D76" s="4"/>
      <c r="E76" s="46"/>
      <c r="F76" s="51"/>
      <c r="G76" s="5"/>
    </row>
    <row r="77" spans="1:7" ht="15" x14ac:dyDescent="0.25">
      <c r="A77" s="6"/>
      <c r="B77" s="7"/>
      <c r="C77" s="8" t="s">
        <v>118</v>
      </c>
      <c r="D77" s="9"/>
      <c r="E77" s="47"/>
      <c r="F77" s="52"/>
      <c r="G77" s="10"/>
    </row>
    <row r="78" spans="1:7" ht="15" x14ac:dyDescent="0.25">
      <c r="A78" s="6"/>
      <c r="B78" s="7"/>
      <c r="C78" s="8" t="s">
        <v>104</v>
      </c>
      <c r="D78" s="25"/>
      <c r="E78" s="48"/>
      <c r="F78" s="53">
        <v>0</v>
      </c>
      <c r="G78" s="13">
        <v>0</v>
      </c>
    </row>
    <row r="79" spans="1:7" ht="15" x14ac:dyDescent="0.25">
      <c r="A79" s="6"/>
      <c r="B79" s="7"/>
      <c r="C79" s="14"/>
      <c r="D79" s="7"/>
      <c r="E79" s="46"/>
      <c r="F79" s="51"/>
      <c r="G79" s="5"/>
    </row>
    <row r="80" spans="1:7" ht="15" x14ac:dyDescent="0.25">
      <c r="A80" s="6"/>
      <c r="B80" s="7"/>
      <c r="C80" s="8" t="s">
        <v>119</v>
      </c>
      <c r="D80" s="9"/>
      <c r="E80" s="47"/>
      <c r="F80" s="52"/>
      <c r="G80" s="10"/>
    </row>
    <row r="81" spans="1:7" ht="15" x14ac:dyDescent="0.25">
      <c r="A81" s="6"/>
      <c r="B81" s="7"/>
      <c r="C81" s="8" t="s">
        <v>104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4"/>
      <c r="D82" s="7"/>
      <c r="E82" s="46"/>
      <c r="F82" s="51"/>
      <c r="G82" s="5"/>
    </row>
    <row r="83" spans="1:7" ht="15" x14ac:dyDescent="0.25">
      <c r="A83" s="6"/>
      <c r="B83" s="7"/>
      <c r="C83" s="8" t="s">
        <v>120</v>
      </c>
      <c r="D83" s="9"/>
      <c r="E83" s="47"/>
      <c r="F83" s="52"/>
      <c r="G83" s="10"/>
    </row>
    <row r="84" spans="1:7" ht="15" x14ac:dyDescent="0.25">
      <c r="A84" s="6"/>
      <c r="B84" s="7"/>
      <c r="C84" s="8" t="s">
        <v>104</v>
      </c>
      <c r="D84" s="25"/>
      <c r="E84" s="48"/>
      <c r="F84" s="53">
        <v>0</v>
      </c>
      <c r="G84" s="13">
        <v>0</v>
      </c>
    </row>
    <row r="85" spans="1:7" ht="15" x14ac:dyDescent="0.25">
      <c r="A85" s="6"/>
      <c r="B85" s="7"/>
      <c r="C85" s="14"/>
      <c r="D85" s="7"/>
      <c r="E85" s="46"/>
      <c r="F85" s="51"/>
      <c r="G85" s="5"/>
    </row>
    <row r="86" spans="1:7" ht="15" x14ac:dyDescent="0.25">
      <c r="A86" s="6"/>
      <c r="B86" s="7"/>
      <c r="C86" s="8" t="s">
        <v>121</v>
      </c>
      <c r="D86" s="9"/>
      <c r="E86" s="47"/>
      <c r="F86" s="52"/>
      <c r="G86" s="10"/>
    </row>
    <row r="87" spans="1:7" ht="15" x14ac:dyDescent="0.25">
      <c r="A87" s="6">
        <v>1</v>
      </c>
      <c r="B87" s="7"/>
      <c r="C87" s="11" t="s">
        <v>730</v>
      </c>
      <c r="D87" s="15"/>
      <c r="E87" s="46"/>
      <c r="F87" s="51">
        <v>950.85437620000005</v>
      </c>
      <c r="G87" s="5">
        <v>0.12341803</v>
      </c>
    </row>
    <row r="88" spans="1:7" ht="15" x14ac:dyDescent="0.25">
      <c r="A88" s="6"/>
      <c r="B88" s="7"/>
      <c r="C88" s="8" t="s">
        <v>104</v>
      </c>
      <c r="D88" s="25"/>
      <c r="E88" s="48"/>
      <c r="F88" s="53">
        <v>950.85437620000005</v>
      </c>
      <c r="G88" s="13">
        <v>0.12341803</v>
      </c>
    </row>
    <row r="89" spans="1:7" ht="15" x14ac:dyDescent="0.25">
      <c r="A89" s="6"/>
      <c r="B89" s="7"/>
      <c r="C89" s="14"/>
      <c r="D89" s="7"/>
      <c r="E89" s="46"/>
      <c r="F89" s="51"/>
      <c r="G89" s="5"/>
    </row>
    <row r="90" spans="1:7" ht="25.5" x14ac:dyDescent="0.25">
      <c r="A90" s="6"/>
      <c r="B90" s="7"/>
      <c r="C90" s="24" t="s">
        <v>122</v>
      </c>
      <c r="D90" s="25"/>
      <c r="E90" s="48"/>
      <c r="F90" s="53">
        <v>950.85437620000005</v>
      </c>
      <c r="G90" s="13">
        <v>0.12341803</v>
      </c>
    </row>
    <row r="91" spans="1:7" ht="15" x14ac:dyDescent="0.25">
      <c r="A91" s="6"/>
      <c r="B91" s="7"/>
      <c r="C91" s="29"/>
      <c r="D91" s="7"/>
      <c r="E91" s="46"/>
      <c r="F91" s="51"/>
      <c r="G91" s="5"/>
    </row>
    <row r="92" spans="1:7" ht="15" x14ac:dyDescent="0.25">
      <c r="A92" s="1"/>
      <c r="B92" s="2"/>
      <c r="C92" s="3" t="s">
        <v>123</v>
      </c>
      <c r="D92" s="4"/>
      <c r="E92" s="46"/>
      <c r="F92" s="51"/>
      <c r="G92" s="5"/>
    </row>
    <row r="93" spans="1:7" ht="25.5" x14ac:dyDescent="0.25">
      <c r="A93" s="6"/>
      <c r="B93" s="7"/>
      <c r="C93" s="8" t="s">
        <v>124</v>
      </c>
      <c r="D93" s="9"/>
      <c r="E93" s="47"/>
      <c r="F93" s="52"/>
      <c r="G93" s="10"/>
    </row>
    <row r="94" spans="1:7" ht="15" x14ac:dyDescent="0.25">
      <c r="A94" s="6"/>
      <c r="B94" s="7"/>
      <c r="C94" s="8" t="s">
        <v>104</v>
      </c>
      <c r="D94" s="25"/>
      <c r="E94" s="48"/>
      <c r="F94" s="53">
        <v>0</v>
      </c>
      <c r="G94" s="13">
        <v>0</v>
      </c>
    </row>
    <row r="95" spans="1:7" ht="15" x14ac:dyDescent="0.25">
      <c r="A95" s="6"/>
      <c r="B95" s="7"/>
      <c r="C95" s="14"/>
      <c r="D95" s="7"/>
      <c r="E95" s="46"/>
      <c r="F95" s="51"/>
      <c r="G95" s="5"/>
    </row>
    <row r="96" spans="1:7" ht="15" x14ac:dyDescent="0.25">
      <c r="A96" s="1"/>
      <c r="B96" s="2"/>
      <c r="C96" s="3" t="s">
        <v>125</v>
      </c>
      <c r="D96" s="4"/>
      <c r="E96" s="46"/>
      <c r="F96" s="51"/>
      <c r="G96" s="5"/>
    </row>
    <row r="97" spans="1:7" ht="25.5" x14ac:dyDescent="0.25">
      <c r="A97" s="6"/>
      <c r="B97" s="7"/>
      <c r="C97" s="8" t="s">
        <v>126</v>
      </c>
      <c r="D97" s="9"/>
      <c r="E97" s="47"/>
      <c r="F97" s="52"/>
      <c r="G97" s="10"/>
    </row>
    <row r="98" spans="1:7" ht="15" x14ac:dyDescent="0.25">
      <c r="A98" s="6"/>
      <c r="B98" s="7"/>
      <c r="C98" s="8" t="s">
        <v>104</v>
      </c>
      <c r="D98" s="25"/>
      <c r="E98" s="48"/>
      <c r="F98" s="53">
        <v>0</v>
      </c>
      <c r="G98" s="13">
        <v>0</v>
      </c>
    </row>
    <row r="99" spans="1:7" ht="15" x14ac:dyDescent="0.25">
      <c r="A99" s="6"/>
      <c r="B99" s="7"/>
      <c r="C99" s="14"/>
      <c r="D99" s="7"/>
      <c r="E99" s="46"/>
      <c r="F99" s="51"/>
      <c r="G99" s="5"/>
    </row>
    <row r="100" spans="1:7" ht="25.5" x14ac:dyDescent="0.25">
      <c r="A100" s="6"/>
      <c r="B100" s="7"/>
      <c r="C100" s="8" t="s">
        <v>127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7"/>
      <c r="E102" s="46"/>
      <c r="F102" s="56"/>
      <c r="G102" s="27"/>
    </row>
    <row r="103" spans="1:7" ht="25.5" x14ac:dyDescent="0.25">
      <c r="A103" s="6"/>
      <c r="B103" s="7"/>
      <c r="C103" s="29" t="s">
        <v>128</v>
      </c>
      <c r="D103" s="7"/>
      <c r="E103" s="46"/>
      <c r="F103" s="56">
        <v>123.88370618</v>
      </c>
      <c r="G103" s="27">
        <v>1.6079731E-2</v>
      </c>
    </row>
    <row r="104" spans="1:7" ht="15" x14ac:dyDescent="0.25">
      <c r="A104" s="6"/>
      <c r="B104" s="7"/>
      <c r="C104" s="30" t="s">
        <v>129</v>
      </c>
      <c r="D104" s="12"/>
      <c r="E104" s="48"/>
      <c r="F104" s="53">
        <v>7704.33926238</v>
      </c>
      <c r="G104" s="13">
        <v>1.0000000019999999</v>
      </c>
    </row>
    <row r="106" spans="1:7" ht="15" x14ac:dyDescent="0.25">
      <c r="B106" s="279"/>
      <c r="C106" s="279"/>
      <c r="D106" s="279"/>
      <c r="E106" s="279"/>
      <c r="F106" s="279"/>
    </row>
    <row r="107" spans="1:7" ht="15" x14ac:dyDescent="0.25">
      <c r="B107" s="279"/>
      <c r="C107" s="279"/>
      <c r="D107" s="279"/>
      <c r="E107" s="279"/>
      <c r="F107" s="279"/>
    </row>
    <row r="109" spans="1:7" ht="15" x14ac:dyDescent="0.25">
      <c r="B109" s="36" t="s">
        <v>131</v>
      </c>
      <c r="C109" s="37"/>
      <c r="D109" s="38"/>
    </row>
    <row r="110" spans="1:7" ht="15" x14ac:dyDescent="0.25">
      <c r="B110" s="39" t="s">
        <v>132</v>
      </c>
      <c r="C110" s="40"/>
      <c r="D110" s="62" t="s">
        <v>133</v>
      </c>
    </row>
    <row r="111" spans="1:7" ht="15" x14ac:dyDescent="0.25">
      <c r="B111" s="39" t="s">
        <v>134</v>
      </c>
      <c r="C111" s="40"/>
      <c r="D111" s="62" t="s">
        <v>133</v>
      </c>
    </row>
    <row r="112" spans="1:7" ht="15" x14ac:dyDescent="0.25">
      <c r="B112" s="41" t="s">
        <v>135</v>
      </c>
      <c r="C112" s="40"/>
      <c r="D112" s="42"/>
    </row>
    <row r="113" spans="2:4" ht="25.5" customHeight="1" x14ac:dyDescent="0.25">
      <c r="B113" s="42"/>
      <c r="C113" s="32" t="s">
        <v>136</v>
      </c>
      <c r="D113" s="33" t="s">
        <v>137</v>
      </c>
    </row>
    <row r="114" spans="2:4" ht="12.75" customHeight="1" x14ac:dyDescent="0.25">
      <c r="B114" s="57" t="s">
        <v>138</v>
      </c>
      <c r="C114" s="58" t="s">
        <v>139</v>
      </c>
      <c r="D114" s="58" t="s">
        <v>140</v>
      </c>
    </row>
    <row r="115" spans="2:4" ht="15" x14ac:dyDescent="0.25">
      <c r="B115" s="42" t="s">
        <v>141</v>
      </c>
      <c r="C115" s="43">
        <v>11.363</v>
      </c>
      <c r="D115" s="43">
        <v>10.5459</v>
      </c>
    </row>
    <row r="116" spans="2:4" ht="15" x14ac:dyDescent="0.25">
      <c r="B116" s="42" t="s">
        <v>142</v>
      </c>
      <c r="C116" s="43">
        <v>11.363</v>
      </c>
      <c r="D116" s="43">
        <v>10.5459</v>
      </c>
    </row>
    <row r="117" spans="2:4" ht="15" x14ac:dyDescent="0.25">
      <c r="B117" s="42" t="s">
        <v>143</v>
      </c>
      <c r="C117" s="43">
        <v>11.0648</v>
      </c>
      <c r="D117" s="43">
        <v>10.266299999999999</v>
      </c>
    </row>
    <row r="118" spans="2:4" ht="15" x14ac:dyDescent="0.25">
      <c r="B118" s="42" t="s">
        <v>144</v>
      </c>
      <c r="C118" s="43">
        <v>11.0648</v>
      </c>
      <c r="D118" s="43">
        <v>10.266299999999999</v>
      </c>
    </row>
    <row r="120" spans="2:4" ht="15" x14ac:dyDescent="0.25">
      <c r="B120" s="59" t="s">
        <v>145</v>
      </c>
      <c r="C120" s="44"/>
      <c r="D120" s="60" t="s">
        <v>133</v>
      </c>
    </row>
    <row r="121" spans="2:4" ht="24.75" customHeight="1" x14ac:dyDescent="0.25">
      <c r="B121" s="61"/>
      <c r="C121" s="61"/>
    </row>
    <row r="122" spans="2:4" ht="15" x14ac:dyDescent="0.25">
      <c r="B122" s="63"/>
      <c r="C122" s="65"/>
      <c r="D122"/>
    </row>
    <row r="124" spans="2:4" ht="15" x14ac:dyDescent="0.25">
      <c r="B124" s="41" t="s">
        <v>146</v>
      </c>
      <c r="C124" s="40"/>
      <c r="D124" s="64" t="s">
        <v>133</v>
      </c>
    </row>
    <row r="125" spans="2:4" ht="15" x14ac:dyDescent="0.25">
      <c r="B125" s="41" t="s">
        <v>147</v>
      </c>
      <c r="C125" s="40"/>
      <c r="D125" s="64" t="s">
        <v>133</v>
      </c>
    </row>
    <row r="126" spans="2:4" ht="15" x14ac:dyDescent="0.25">
      <c r="B126" s="41" t="s">
        <v>148</v>
      </c>
      <c r="C126" s="40"/>
      <c r="D126" s="45">
        <v>3.2455277443384396E-2</v>
      </c>
    </row>
    <row r="127" spans="2:4" ht="15" x14ac:dyDescent="0.25">
      <c r="B127" s="41" t="s">
        <v>149</v>
      </c>
      <c r="C127" s="40"/>
      <c r="D127" s="45" t="s">
        <v>133</v>
      </c>
    </row>
  </sheetData>
  <mergeCells count="5">
    <mergeCell ref="A1:G1"/>
    <mergeCell ref="A2:G2"/>
    <mergeCell ref="A3:G3"/>
    <mergeCell ref="B106:F106"/>
    <mergeCell ref="B107:F107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V134"/>
  <sheetViews>
    <sheetView topLeftCell="A96" workbookViewId="0">
      <selection activeCell="C112" sqref="C112"/>
    </sheetView>
  </sheetViews>
  <sheetFormatPr defaultRowHeight="15.95" customHeight="1" x14ac:dyDescent="0.25"/>
  <cols>
    <col min="1" max="1" width="5.7109375" style="31" customWidth="1"/>
    <col min="2" max="2" width="22.7109375" style="31" customWidth="1"/>
    <col min="3" max="3" width="25.7109375" style="31" customWidth="1"/>
    <col min="4" max="4" width="14.7109375" style="31" customWidth="1"/>
    <col min="5" max="10" width="13.7109375" style="31" customWidth="1"/>
    <col min="11" max="256" width="9.140625" style="31"/>
  </cols>
  <sheetData>
    <row r="1" spans="1:7" ht="15" x14ac:dyDescent="0.25">
      <c r="A1" s="276" t="s">
        <v>0</v>
      </c>
      <c r="B1" s="277"/>
      <c r="C1" s="277"/>
      <c r="D1" s="277"/>
      <c r="E1" s="277"/>
      <c r="F1" s="277"/>
      <c r="G1" s="278"/>
    </row>
    <row r="2" spans="1:7" ht="15" x14ac:dyDescent="0.25">
      <c r="A2" s="276" t="s">
        <v>729</v>
      </c>
      <c r="B2" s="277"/>
      <c r="C2" s="277"/>
      <c r="D2" s="277"/>
      <c r="E2" s="277"/>
      <c r="F2" s="277"/>
      <c r="G2" s="278"/>
    </row>
    <row r="3" spans="1:7" ht="15" x14ac:dyDescent="0.25">
      <c r="A3" s="276" t="s">
        <v>731</v>
      </c>
      <c r="B3" s="277"/>
      <c r="C3" s="277"/>
      <c r="D3" s="277"/>
      <c r="E3" s="277"/>
      <c r="F3" s="277"/>
      <c r="G3" s="278"/>
    </row>
    <row r="4" spans="1:7" ht="30" x14ac:dyDescent="0.25">
      <c r="A4" s="34" t="s">
        <v>2</v>
      </c>
      <c r="B4" s="34" t="s">
        <v>3</v>
      </c>
      <c r="C4" s="66" t="s">
        <v>4</v>
      </c>
      <c r="D4" s="35" t="s">
        <v>5</v>
      </c>
      <c r="E4" s="34" t="s">
        <v>6</v>
      </c>
      <c r="F4" s="34" t="s">
        <v>7</v>
      </c>
      <c r="G4" s="34" t="s">
        <v>8</v>
      </c>
    </row>
    <row r="5" spans="1:7" ht="15" x14ac:dyDescent="0.25">
      <c r="A5" s="1"/>
      <c r="B5" s="2"/>
      <c r="C5" s="3" t="s">
        <v>9</v>
      </c>
      <c r="D5" s="4"/>
      <c r="E5" s="46"/>
      <c r="F5" s="51"/>
      <c r="G5" s="5"/>
    </row>
    <row r="6" spans="1:7" ht="28.5" customHeight="1" x14ac:dyDescent="0.25">
      <c r="A6" s="6"/>
      <c r="B6" s="7"/>
      <c r="C6" s="8" t="s">
        <v>10</v>
      </c>
      <c r="D6" s="9"/>
      <c r="E6" s="47"/>
      <c r="F6" s="52"/>
      <c r="G6" s="10"/>
    </row>
    <row r="7" spans="1:7" ht="15" x14ac:dyDescent="0.25">
      <c r="A7" s="6">
        <v>1</v>
      </c>
      <c r="B7" s="7" t="s">
        <v>11</v>
      </c>
      <c r="C7" s="11" t="s">
        <v>12</v>
      </c>
      <c r="D7" s="2" t="s">
        <v>13</v>
      </c>
      <c r="E7" s="46">
        <v>154657</v>
      </c>
      <c r="F7" s="51">
        <v>656.67362200000002</v>
      </c>
      <c r="G7" s="5">
        <v>7.1486287999999995E-2</v>
      </c>
    </row>
    <row r="8" spans="1:7" ht="15" x14ac:dyDescent="0.25">
      <c r="A8" s="6">
        <v>2</v>
      </c>
      <c r="B8" s="7" t="s">
        <v>47</v>
      </c>
      <c r="C8" s="11" t="s">
        <v>48</v>
      </c>
      <c r="D8" s="2" t="s">
        <v>13</v>
      </c>
      <c r="E8" s="46">
        <v>173115</v>
      </c>
      <c r="F8" s="51">
        <v>575.08803</v>
      </c>
      <c r="G8" s="5">
        <v>6.2604781999999998E-2</v>
      </c>
    </row>
    <row r="9" spans="1:7" ht="25.5" x14ac:dyDescent="0.25">
      <c r="A9" s="6">
        <v>3</v>
      </c>
      <c r="B9" s="7" t="s">
        <v>17</v>
      </c>
      <c r="C9" s="11" t="s">
        <v>18</v>
      </c>
      <c r="D9" s="2" t="s">
        <v>19</v>
      </c>
      <c r="E9" s="46">
        <v>33462</v>
      </c>
      <c r="F9" s="51">
        <v>464.21832599999999</v>
      </c>
      <c r="G9" s="5">
        <v>5.0535371000000003E-2</v>
      </c>
    </row>
    <row r="10" spans="1:7" ht="15" x14ac:dyDescent="0.25">
      <c r="A10" s="6">
        <v>4</v>
      </c>
      <c r="B10" s="7" t="s">
        <v>516</v>
      </c>
      <c r="C10" s="11" t="s">
        <v>517</v>
      </c>
      <c r="D10" s="2" t="s">
        <v>13</v>
      </c>
      <c r="E10" s="46">
        <v>405632</v>
      </c>
      <c r="F10" s="51">
        <v>432.80934400000001</v>
      </c>
      <c r="G10" s="5">
        <v>4.7116151000000002E-2</v>
      </c>
    </row>
    <row r="11" spans="1:7" ht="25.5" x14ac:dyDescent="0.25">
      <c r="A11" s="6">
        <v>5</v>
      </c>
      <c r="B11" s="7" t="s">
        <v>495</v>
      </c>
      <c r="C11" s="11" t="s">
        <v>496</v>
      </c>
      <c r="D11" s="2" t="s">
        <v>497</v>
      </c>
      <c r="E11" s="46">
        <v>87540</v>
      </c>
      <c r="F11" s="51">
        <v>295.53503999999998</v>
      </c>
      <c r="G11" s="5">
        <v>3.2172303999999999E-2</v>
      </c>
    </row>
    <row r="12" spans="1:7" ht="15" x14ac:dyDescent="0.25">
      <c r="A12" s="6">
        <v>6</v>
      </c>
      <c r="B12" s="7" t="s">
        <v>493</v>
      </c>
      <c r="C12" s="11" t="s">
        <v>494</v>
      </c>
      <c r="D12" s="2" t="s">
        <v>27</v>
      </c>
      <c r="E12" s="46">
        <v>230459</v>
      </c>
      <c r="F12" s="51">
        <v>291.64586450000002</v>
      </c>
      <c r="G12" s="5">
        <v>3.1748922999999998E-2</v>
      </c>
    </row>
    <row r="13" spans="1:7" ht="15" x14ac:dyDescent="0.25">
      <c r="A13" s="6">
        <v>7</v>
      </c>
      <c r="B13" s="7" t="s">
        <v>608</v>
      </c>
      <c r="C13" s="11" t="s">
        <v>609</v>
      </c>
      <c r="D13" s="2" t="s">
        <v>241</v>
      </c>
      <c r="E13" s="46">
        <v>11238</v>
      </c>
      <c r="F13" s="51">
        <v>289.33354800000001</v>
      </c>
      <c r="G13" s="5">
        <v>3.1497202000000002E-2</v>
      </c>
    </row>
    <row r="14" spans="1:7" ht="15" x14ac:dyDescent="0.25">
      <c r="A14" s="6">
        <v>8</v>
      </c>
      <c r="B14" s="7" t="s">
        <v>394</v>
      </c>
      <c r="C14" s="11" t="s">
        <v>395</v>
      </c>
      <c r="D14" s="2" t="s">
        <v>13</v>
      </c>
      <c r="E14" s="46">
        <v>39784</v>
      </c>
      <c r="F14" s="51">
        <v>268.183944</v>
      </c>
      <c r="G14" s="5">
        <v>2.9194830000000001E-2</v>
      </c>
    </row>
    <row r="15" spans="1:7" ht="15" x14ac:dyDescent="0.25">
      <c r="A15" s="6">
        <v>9</v>
      </c>
      <c r="B15" s="7" t="s">
        <v>424</v>
      </c>
      <c r="C15" s="11" t="s">
        <v>425</v>
      </c>
      <c r="D15" s="2" t="s">
        <v>241</v>
      </c>
      <c r="E15" s="46">
        <v>46296</v>
      </c>
      <c r="F15" s="51">
        <v>264.46589999999998</v>
      </c>
      <c r="G15" s="5">
        <v>2.8790079E-2</v>
      </c>
    </row>
    <row r="16" spans="1:7" ht="15" x14ac:dyDescent="0.25">
      <c r="A16" s="6">
        <v>10</v>
      </c>
      <c r="B16" s="7" t="s">
        <v>299</v>
      </c>
      <c r="C16" s="11" t="s">
        <v>300</v>
      </c>
      <c r="D16" s="2" t="s">
        <v>13</v>
      </c>
      <c r="E16" s="46">
        <v>271684</v>
      </c>
      <c r="F16" s="51">
        <v>251.03601599999999</v>
      </c>
      <c r="G16" s="5">
        <v>2.7328086000000001E-2</v>
      </c>
    </row>
    <row r="17" spans="1:7" ht="25.5" x14ac:dyDescent="0.25">
      <c r="A17" s="6">
        <v>11</v>
      </c>
      <c r="B17" s="7" t="s">
        <v>52</v>
      </c>
      <c r="C17" s="11" t="s">
        <v>53</v>
      </c>
      <c r="D17" s="2" t="s">
        <v>30</v>
      </c>
      <c r="E17" s="46">
        <v>56690</v>
      </c>
      <c r="F17" s="51">
        <v>242.66154499999999</v>
      </c>
      <c r="G17" s="5">
        <v>2.6416431000000001E-2</v>
      </c>
    </row>
    <row r="18" spans="1:7" ht="15" x14ac:dyDescent="0.25">
      <c r="A18" s="6">
        <v>12</v>
      </c>
      <c r="B18" s="7" t="s">
        <v>719</v>
      </c>
      <c r="C18" s="11" t="s">
        <v>720</v>
      </c>
      <c r="D18" s="2" t="s">
        <v>241</v>
      </c>
      <c r="E18" s="46">
        <v>24676</v>
      </c>
      <c r="F18" s="51">
        <v>235.853208</v>
      </c>
      <c r="G18" s="5">
        <v>2.5675267000000002E-2</v>
      </c>
    </row>
    <row r="19" spans="1:7" ht="15" x14ac:dyDescent="0.25">
      <c r="A19" s="6">
        <v>13</v>
      </c>
      <c r="B19" s="7" t="s">
        <v>520</v>
      </c>
      <c r="C19" s="11" t="s">
        <v>521</v>
      </c>
      <c r="D19" s="2" t="s">
        <v>305</v>
      </c>
      <c r="E19" s="46">
        <v>98677</v>
      </c>
      <c r="F19" s="51">
        <v>233.3217665</v>
      </c>
      <c r="G19" s="5">
        <v>2.5399690999999999E-2</v>
      </c>
    </row>
    <row r="20" spans="1:7" ht="25.5" x14ac:dyDescent="0.25">
      <c r="A20" s="6">
        <v>14</v>
      </c>
      <c r="B20" s="7" t="s">
        <v>43</v>
      </c>
      <c r="C20" s="11" t="s">
        <v>44</v>
      </c>
      <c r="D20" s="2" t="s">
        <v>30</v>
      </c>
      <c r="E20" s="46">
        <v>220994</v>
      </c>
      <c r="F20" s="51">
        <v>233.25916699999999</v>
      </c>
      <c r="G20" s="5">
        <v>2.5392876000000002E-2</v>
      </c>
    </row>
    <row r="21" spans="1:7" ht="15" x14ac:dyDescent="0.25">
      <c r="A21" s="6">
        <v>15</v>
      </c>
      <c r="B21" s="7" t="s">
        <v>626</v>
      </c>
      <c r="C21" s="11" t="s">
        <v>627</v>
      </c>
      <c r="D21" s="2" t="s">
        <v>241</v>
      </c>
      <c r="E21" s="46">
        <v>44373</v>
      </c>
      <c r="F21" s="51">
        <v>231.22770299999999</v>
      </c>
      <c r="G21" s="5">
        <v>2.5171729E-2</v>
      </c>
    </row>
    <row r="22" spans="1:7" ht="25.5" x14ac:dyDescent="0.25">
      <c r="A22" s="6">
        <v>16</v>
      </c>
      <c r="B22" s="7" t="s">
        <v>522</v>
      </c>
      <c r="C22" s="11" t="s">
        <v>523</v>
      </c>
      <c r="D22" s="2" t="s">
        <v>42</v>
      </c>
      <c r="E22" s="46">
        <v>132096</v>
      </c>
      <c r="F22" s="51">
        <v>184.009728</v>
      </c>
      <c r="G22" s="5">
        <v>2.0031522999999999E-2</v>
      </c>
    </row>
    <row r="23" spans="1:7" ht="25.5" x14ac:dyDescent="0.25">
      <c r="A23" s="6">
        <v>17</v>
      </c>
      <c r="B23" s="7" t="s">
        <v>45</v>
      </c>
      <c r="C23" s="11" t="s">
        <v>46</v>
      </c>
      <c r="D23" s="2" t="s">
        <v>22</v>
      </c>
      <c r="E23" s="46">
        <v>28951</v>
      </c>
      <c r="F23" s="51">
        <v>177.15116900000001</v>
      </c>
      <c r="G23" s="5">
        <v>1.9284892000000001E-2</v>
      </c>
    </row>
    <row r="24" spans="1:7" ht="25.5" x14ac:dyDescent="0.25">
      <c r="A24" s="6">
        <v>18</v>
      </c>
      <c r="B24" s="7" t="s">
        <v>512</v>
      </c>
      <c r="C24" s="11" t="s">
        <v>513</v>
      </c>
      <c r="D24" s="2" t="s">
        <v>37</v>
      </c>
      <c r="E24" s="46">
        <v>122442</v>
      </c>
      <c r="F24" s="51">
        <v>173.43909300000001</v>
      </c>
      <c r="G24" s="5">
        <v>1.8880790000000001E-2</v>
      </c>
    </row>
    <row r="25" spans="1:7" ht="25.5" x14ac:dyDescent="0.25">
      <c r="A25" s="6">
        <v>19</v>
      </c>
      <c r="B25" s="7" t="s">
        <v>199</v>
      </c>
      <c r="C25" s="11" t="s">
        <v>200</v>
      </c>
      <c r="D25" s="2" t="s">
        <v>22</v>
      </c>
      <c r="E25" s="46">
        <v>23600</v>
      </c>
      <c r="F25" s="51">
        <v>173.3656</v>
      </c>
      <c r="G25" s="5">
        <v>1.887279E-2</v>
      </c>
    </row>
    <row r="26" spans="1:7" ht="25.5" x14ac:dyDescent="0.25">
      <c r="A26" s="6">
        <v>20</v>
      </c>
      <c r="B26" s="7" t="s">
        <v>100</v>
      </c>
      <c r="C26" s="11" t="s">
        <v>101</v>
      </c>
      <c r="D26" s="2" t="s">
        <v>30</v>
      </c>
      <c r="E26" s="46">
        <v>292072</v>
      </c>
      <c r="F26" s="51">
        <v>172.03040799999999</v>
      </c>
      <c r="G26" s="5">
        <v>1.8727438999999999E-2</v>
      </c>
    </row>
    <row r="27" spans="1:7" ht="15" x14ac:dyDescent="0.25">
      <c r="A27" s="6">
        <v>21</v>
      </c>
      <c r="B27" s="7" t="s">
        <v>158</v>
      </c>
      <c r="C27" s="11" t="s">
        <v>159</v>
      </c>
      <c r="D27" s="2" t="s">
        <v>16</v>
      </c>
      <c r="E27" s="46">
        <v>190655</v>
      </c>
      <c r="F27" s="51">
        <v>167.39509000000001</v>
      </c>
      <c r="G27" s="5">
        <v>1.8222833000000001E-2</v>
      </c>
    </row>
    <row r="28" spans="1:7" ht="25.5" x14ac:dyDescent="0.25">
      <c r="A28" s="6">
        <v>22</v>
      </c>
      <c r="B28" s="7" t="s">
        <v>64</v>
      </c>
      <c r="C28" s="11" t="s">
        <v>65</v>
      </c>
      <c r="D28" s="2" t="s">
        <v>19</v>
      </c>
      <c r="E28" s="46">
        <v>221124</v>
      </c>
      <c r="F28" s="51">
        <v>161.752206</v>
      </c>
      <c r="G28" s="5">
        <v>1.7608542000000001E-2</v>
      </c>
    </row>
    <row r="29" spans="1:7" ht="15" x14ac:dyDescent="0.25">
      <c r="A29" s="6">
        <v>23</v>
      </c>
      <c r="B29" s="7" t="s">
        <v>54</v>
      </c>
      <c r="C29" s="11" t="s">
        <v>55</v>
      </c>
      <c r="D29" s="2" t="s">
        <v>56</v>
      </c>
      <c r="E29" s="46">
        <v>118760</v>
      </c>
      <c r="F29" s="51">
        <v>160.44476</v>
      </c>
      <c r="G29" s="5">
        <v>1.7466211999999998E-2</v>
      </c>
    </row>
    <row r="30" spans="1:7" ht="15" x14ac:dyDescent="0.25">
      <c r="A30" s="6">
        <v>24</v>
      </c>
      <c r="B30" s="7" t="s">
        <v>222</v>
      </c>
      <c r="C30" s="11" t="s">
        <v>223</v>
      </c>
      <c r="D30" s="2" t="s">
        <v>215</v>
      </c>
      <c r="E30" s="46">
        <v>34105</v>
      </c>
      <c r="F30" s="51">
        <v>157.70151999999999</v>
      </c>
      <c r="G30" s="5">
        <v>1.7167578999999999E-2</v>
      </c>
    </row>
    <row r="31" spans="1:7" ht="15" x14ac:dyDescent="0.25">
      <c r="A31" s="6">
        <v>25</v>
      </c>
      <c r="B31" s="7" t="s">
        <v>508</v>
      </c>
      <c r="C31" s="11" t="s">
        <v>509</v>
      </c>
      <c r="D31" s="2" t="s">
        <v>269</v>
      </c>
      <c r="E31" s="46">
        <v>16170</v>
      </c>
      <c r="F31" s="51">
        <v>147.24402000000001</v>
      </c>
      <c r="G31" s="5">
        <v>1.6029162999999999E-2</v>
      </c>
    </row>
    <row r="32" spans="1:7" ht="15" x14ac:dyDescent="0.25">
      <c r="A32" s="6">
        <v>26</v>
      </c>
      <c r="B32" s="7" t="s">
        <v>514</v>
      </c>
      <c r="C32" s="11" t="s">
        <v>515</v>
      </c>
      <c r="D32" s="2" t="s">
        <v>215</v>
      </c>
      <c r="E32" s="46">
        <v>13461</v>
      </c>
      <c r="F32" s="51">
        <v>139.26077549999999</v>
      </c>
      <c r="G32" s="5">
        <v>1.5160097000000001E-2</v>
      </c>
    </row>
    <row r="33" spans="1:7" ht="15" x14ac:dyDescent="0.25">
      <c r="A33" s="6">
        <v>27</v>
      </c>
      <c r="B33" s="7" t="s">
        <v>617</v>
      </c>
      <c r="C33" s="11" t="s">
        <v>618</v>
      </c>
      <c r="D33" s="2" t="s">
        <v>241</v>
      </c>
      <c r="E33" s="46">
        <v>60870</v>
      </c>
      <c r="F33" s="51">
        <v>138.66185999999999</v>
      </c>
      <c r="G33" s="5">
        <v>1.5094899E-2</v>
      </c>
    </row>
    <row r="34" spans="1:7" ht="15" x14ac:dyDescent="0.25">
      <c r="A34" s="6">
        <v>28</v>
      </c>
      <c r="B34" s="7" t="s">
        <v>359</v>
      </c>
      <c r="C34" s="11" t="s">
        <v>360</v>
      </c>
      <c r="D34" s="2" t="s">
        <v>27</v>
      </c>
      <c r="E34" s="46">
        <v>224170</v>
      </c>
      <c r="F34" s="51">
        <v>135.73493500000001</v>
      </c>
      <c r="G34" s="5">
        <v>1.4776269999999999E-2</v>
      </c>
    </row>
    <row r="35" spans="1:7" ht="25.5" x14ac:dyDescent="0.25">
      <c r="A35" s="6">
        <v>29</v>
      </c>
      <c r="B35" s="7" t="s">
        <v>536</v>
      </c>
      <c r="C35" s="11" t="s">
        <v>537</v>
      </c>
      <c r="D35" s="2" t="s">
        <v>19</v>
      </c>
      <c r="E35" s="46">
        <v>889633</v>
      </c>
      <c r="F35" s="51">
        <v>133.0001335</v>
      </c>
      <c r="G35" s="5">
        <v>1.4478556E-2</v>
      </c>
    </row>
    <row r="36" spans="1:7" ht="51" x14ac:dyDescent="0.25">
      <c r="A36" s="6">
        <v>30</v>
      </c>
      <c r="B36" s="7" t="s">
        <v>286</v>
      </c>
      <c r="C36" s="11" t="s">
        <v>287</v>
      </c>
      <c r="D36" s="2" t="s">
        <v>235</v>
      </c>
      <c r="E36" s="46">
        <v>405195</v>
      </c>
      <c r="F36" s="51">
        <v>130.47279</v>
      </c>
      <c r="G36" s="5">
        <v>1.4203426E-2</v>
      </c>
    </row>
    <row r="37" spans="1:7" ht="25.5" x14ac:dyDescent="0.25">
      <c r="A37" s="6">
        <v>31</v>
      </c>
      <c r="B37" s="7" t="s">
        <v>429</v>
      </c>
      <c r="C37" s="11" t="s">
        <v>430</v>
      </c>
      <c r="D37" s="2" t="s">
        <v>30</v>
      </c>
      <c r="E37" s="46">
        <v>10940</v>
      </c>
      <c r="F37" s="51">
        <v>125.23565000000001</v>
      </c>
      <c r="G37" s="5">
        <v>1.3633305E-2</v>
      </c>
    </row>
    <row r="38" spans="1:7" ht="25.5" x14ac:dyDescent="0.25">
      <c r="A38" s="6">
        <v>32</v>
      </c>
      <c r="B38" s="7" t="s">
        <v>31</v>
      </c>
      <c r="C38" s="11" t="s">
        <v>32</v>
      </c>
      <c r="D38" s="2" t="s">
        <v>30</v>
      </c>
      <c r="E38" s="46">
        <v>10400</v>
      </c>
      <c r="F38" s="51">
        <v>114.3532</v>
      </c>
      <c r="G38" s="5">
        <v>1.2448628E-2</v>
      </c>
    </row>
    <row r="39" spans="1:7" ht="25.5" x14ac:dyDescent="0.25">
      <c r="A39" s="6">
        <v>33</v>
      </c>
      <c r="B39" s="7" t="s">
        <v>476</v>
      </c>
      <c r="C39" s="11" t="s">
        <v>477</v>
      </c>
      <c r="D39" s="2" t="s">
        <v>42</v>
      </c>
      <c r="E39" s="46">
        <v>89433</v>
      </c>
      <c r="F39" s="51">
        <v>108.482229</v>
      </c>
      <c r="G39" s="5">
        <v>1.1809507E-2</v>
      </c>
    </row>
    <row r="40" spans="1:7" ht="25.5" x14ac:dyDescent="0.25">
      <c r="A40" s="6">
        <v>34</v>
      </c>
      <c r="B40" s="7" t="s">
        <v>619</v>
      </c>
      <c r="C40" s="11" t="s">
        <v>620</v>
      </c>
      <c r="D40" s="2" t="s">
        <v>621</v>
      </c>
      <c r="E40" s="46">
        <v>55805</v>
      </c>
      <c r="F40" s="51">
        <v>106.3364275</v>
      </c>
      <c r="G40" s="5">
        <v>1.1575913E-2</v>
      </c>
    </row>
    <row r="41" spans="1:7" ht="15" x14ac:dyDescent="0.25">
      <c r="A41" s="6">
        <v>35</v>
      </c>
      <c r="B41" s="7" t="s">
        <v>270</v>
      </c>
      <c r="C41" s="11" t="s">
        <v>271</v>
      </c>
      <c r="D41" s="2" t="s">
        <v>16</v>
      </c>
      <c r="E41" s="46">
        <v>63000</v>
      </c>
      <c r="F41" s="51">
        <v>105.336</v>
      </c>
      <c r="G41" s="5">
        <v>1.1467005000000001E-2</v>
      </c>
    </row>
    <row r="42" spans="1:7" ht="15" x14ac:dyDescent="0.25">
      <c r="A42" s="6">
        <v>36</v>
      </c>
      <c r="B42" s="7" t="s">
        <v>596</v>
      </c>
      <c r="C42" s="11" t="s">
        <v>597</v>
      </c>
      <c r="D42" s="2" t="s">
        <v>241</v>
      </c>
      <c r="E42" s="46">
        <v>11634</v>
      </c>
      <c r="F42" s="51">
        <v>88.976832000000002</v>
      </c>
      <c r="G42" s="5">
        <v>9.6861259999999998E-3</v>
      </c>
    </row>
    <row r="43" spans="1:7" ht="15" x14ac:dyDescent="0.25">
      <c r="A43" s="6">
        <v>37</v>
      </c>
      <c r="B43" s="7" t="s">
        <v>504</v>
      </c>
      <c r="C43" s="11" t="s">
        <v>505</v>
      </c>
      <c r="D43" s="2" t="s">
        <v>215</v>
      </c>
      <c r="E43" s="46">
        <v>13182</v>
      </c>
      <c r="F43" s="51">
        <v>83.870474999999999</v>
      </c>
      <c r="G43" s="5">
        <v>9.1302420000000002E-3</v>
      </c>
    </row>
    <row r="44" spans="1:7" ht="15" x14ac:dyDescent="0.25">
      <c r="A44" s="6">
        <v>38</v>
      </c>
      <c r="B44" s="7" t="s">
        <v>348</v>
      </c>
      <c r="C44" s="11" t="s">
        <v>349</v>
      </c>
      <c r="D44" s="2" t="s">
        <v>241</v>
      </c>
      <c r="E44" s="46">
        <v>12763</v>
      </c>
      <c r="F44" s="51">
        <v>65.735831500000003</v>
      </c>
      <c r="G44" s="5">
        <v>7.1560820000000002E-3</v>
      </c>
    </row>
    <row r="45" spans="1:7" ht="15" x14ac:dyDescent="0.25">
      <c r="A45" s="6">
        <v>39</v>
      </c>
      <c r="B45" s="7" t="s">
        <v>670</v>
      </c>
      <c r="C45" s="11" t="s">
        <v>671</v>
      </c>
      <c r="D45" s="2" t="s">
        <v>13</v>
      </c>
      <c r="E45" s="46">
        <v>64419</v>
      </c>
      <c r="F45" s="51">
        <v>58.750127999999997</v>
      </c>
      <c r="G45" s="5">
        <v>6.3956100000000004E-3</v>
      </c>
    </row>
    <row r="46" spans="1:7" ht="25.5" x14ac:dyDescent="0.25">
      <c r="A46" s="6">
        <v>40</v>
      </c>
      <c r="B46" s="7" t="s">
        <v>229</v>
      </c>
      <c r="C46" s="11" t="s">
        <v>230</v>
      </c>
      <c r="D46" s="2" t="s">
        <v>37</v>
      </c>
      <c r="E46" s="46">
        <v>123842</v>
      </c>
      <c r="F46" s="51">
        <v>12.755725999999999</v>
      </c>
      <c r="G46" s="5">
        <v>1.3886040000000001E-3</v>
      </c>
    </row>
    <row r="47" spans="1:7" ht="15" x14ac:dyDescent="0.25">
      <c r="A47" s="1"/>
      <c r="B47" s="2"/>
      <c r="C47" s="8" t="s">
        <v>104</v>
      </c>
      <c r="D47" s="12"/>
      <c r="E47" s="48"/>
      <c r="F47" s="53">
        <v>8186.8096110000006</v>
      </c>
      <c r="G47" s="13">
        <v>0.89122604300000008</v>
      </c>
    </row>
    <row r="48" spans="1:7" ht="15" x14ac:dyDescent="0.25">
      <c r="A48" s="6"/>
      <c r="B48" s="7"/>
      <c r="C48" s="14"/>
      <c r="D48" s="15"/>
      <c r="E48" s="46"/>
      <c r="F48" s="51"/>
      <c r="G48" s="5"/>
    </row>
    <row r="49" spans="1:7" ht="15" x14ac:dyDescent="0.25">
      <c r="A49" s="1"/>
      <c r="B49" s="2"/>
      <c r="C49" s="8" t="s">
        <v>105</v>
      </c>
      <c r="D49" s="9"/>
      <c r="E49" s="47"/>
      <c r="F49" s="52"/>
      <c r="G49" s="10"/>
    </row>
    <row r="50" spans="1:7" ht="15" x14ac:dyDescent="0.25">
      <c r="A50" s="1"/>
      <c r="B50" s="2"/>
      <c r="C50" s="8" t="s">
        <v>104</v>
      </c>
      <c r="D50" s="12"/>
      <c r="E50" s="48"/>
      <c r="F50" s="53">
        <v>0</v>
      </c>
      <c r="G50" s="13">
        <v>0</v>
      </c>
    </row>
    <row r="51" spans="1:7" ht="15" x14ac:dyDescent="0.25">
      <c r="A51" s="6"/>
      <c r="B51" s="7"/>
      <c r="C51" s="14"/>
      <c r="D51" s="15"/>
      <c r="E51" s="46"/>
      <c r="F51" s="51"/>
      <c r="G51" s="5"/>
    </row>
    <row r="52" spans="1:7" ht="15" x14ac:dyDescent="0.25">
      <c r="A52" s="16"/>
      <c r="B52" s="17"/>
      <c r="C52" s="8" t="s">
        <v>106</v>
      </c>
      <c r="D52" s="9"/>
      <c r="E52" s="47"/>
      <c r="F52" s="52"/>
      <c r="G52" s="10"/>
    </row>
    <row r="53" spans="1:7" ht="15" x14ac:dyDescent="0.25">
      <c r="A53" s="18"/>
      <c r="B53" s="19"/>
      <c r="C53" s="8" t="s">
        <v>104</v>
      </c>
      <c r="D53" s="20"/>
      <c r="E53" s="49"/>
      <c r="F53" s="54">
        <v>0</v>
      </c>
      <c r="G53" s="21">
        <v>0</v>
      </c>
    </row>
    <row r="54" spans="1:7" ht="15" x14ac:dyDescent="0.25">
      <c r="A54" s="18"/>
      <c r="B54" s="19"/>
      <c r="C54" s="14"/>
      <c r="D54" s="22"/>
      <c r="E54" s="50"/>
      <c r="F54" s="55"/>
      <c r="G54" s="23"/>
    </row>
    <row r="55" spans="1:7" ht="15" x14ac:dyDescent="0.25">
      <c r="A55" s="1"/>
      <c r="B55" s="2"/>
      <c r="C55" s="8" t="s">
        <v>108</v>
      </c>
      <c r="D55" s="9"/>
      <c r="E55" s="47"/>
      <c r="F55" s="52"/>
      <c r="G55" s="10"/>
    </row>
    <row r="56" spans="1:7" ht="15" x14ac:dyDescent="0.25">
      <c r="A56" s="1"/>
      <c r="B56" s="2"/>
      <c r="C56" s="8" t="s">
        <v>104</v>
      </c>
      <c r="D56" s="12"/>
      <c r="E56" s="48"/>
      <c r="F56" s="53">
        <v>0</v>
      </c>
      <c r="G56" s="13">
        <v>0</v>
      </c>
    </row>
    <row r="57" spans="1:7" ht="15" x14ac:dyDescent="0.25">
      <c r="A57" s="1"/>
      <c r="B57" s="2"/>
      <c r="C57" s="14"/>
      <c r="D57" s="4"/>
      <c r="E57" s="46"/>
      <c r="F57" s="51"/>
      <c r="G57" s="5"/>
    </row>
    <row r="58" spans="1:7" ht="15" x14ac:dyDescent="0.25">
      <c r="A58" s="1"/>
      <c r="B58" s="2"/>
      <c r="C58" s="8" t="s">
        <v>109</v>
      </c>
      <c r="D58" s="9"/>
      <c r="E58" s="47"/>
      <c r="F58" s="52"/>
      <c r="G58" s="10"/>
    </row>
    <row r="59" spans="1:7" ht="15" x14ac:dyDescent="0.25">
      <c r="A59" s="1"/>
      <c r="B59" s="2"/>
      <c r="C59" s="8" t="s">
        <v>104</v>
      </c>
      <c r="D59" s="12"/>
      <c r="E59" s="48"/>
      <c r="F59" s="53">
        <v>0</v>
      </c>
      <c r="G59" s="13">
        <v>0</v>
      </c>
    </row>
    <row r="60" spans="1:7" ht="15" x14ac:dyDescent="0.25">
      <c r="A60" s="1"/>
      <c r="B60" s="2"/>
      <c r="C60" s="14"/>
      <c r="D60" s="4"/>
      <c r="E60" s="46"/>
      <c r="F60" s="51"/>
      <c r="G60" s="5"/>
    </row>
    <row r="61" spans="1:7" ht="15" x14ac:dyDescent="0.25">
      <c r="A61" s="1"/>
      <c r="B61" s="2"/>
      <c r="C61" s="8" t="s">
        <v>110</v>
      </c>
      <c r="D61" s="9"/>
      <c r="E61" s="47"/>
      <c r="F61" s="52"/>
      <c r="G61" s="10"/>
    </row>
    <row r="62" spans="1:7" ht="15" x14ac:dyDescent="0.25">
      <c r="A62" s="6">
        <v>1</v>
      </c>
      <c r="B62" s="7"/>
      <c r="C62" s="11" t="s">
        <v>841</v>
      </c>
      <c r="D62" s="15" t="s">
        <v>721</v>
      </c>
      <c r="E62" s="46">
        <v>69375</v>
      </c>
      <c r="F62" s="51">
        <v>211.59375</v>
      </c>
      <c r="G62" s="5">
        <v>2.3034353E-2</v>
      </c>
    </row>
    <row r="63" spans="1:7" ht="15" x14ac:dyDescent="0.25">
      <c r="A63" s="6">
        <v>2</v>
      </c>
      <c r="B63" s="7"/>
      <c r="C63" s="11" t="s">
        <v>842</v>
      </c>
      <c r="D63" s="15" t="s">
        <v>721</v>
      </c>
      <c r="E63" s="46">
        <v>18750</v>
      </c>
      <c r="F63" s="51">
        <v>52.352737500000003</v>
      </c>
      <c r="G63" s="5">
        <v>5.699183E-3</v>
      </c>
    </row>
    <row r="64" spans="1:7" ht="15" x14ac:dyDescent="0.25">
      <c r="A64" s="1"/>
      <c r="B64" s="2"/>
      <c r="C64" s="8" t="s">
        <v>104</v>
      </c>
      <c r="D64" s="12"/>
      <c r="E64" s="48"/>
      <c r="F64" s="53">
        <v>263.94648749999999</v>
      </c>
      <c r="G64" s="13">
        <v>2.8733536E-2</v>
      </c>
    </row>
    <row r="65" spans="1:7" ht="15" x14ac:dyDescent="0.25">
      <c r="A65" s="1"/>
      <c r="B65" s="2"/>
      <c r="C65" s="14"/>
      <c r="D65" s="4"/>
      <c r="E65" s="46"/>
      <c r="F65" s="51"/>
      <c r="G65" s="5"/>
    </row>
    <row r="66" spans="1:7" ht="25.5" x14ac:dyDescent="0.25">
      <c r="A66" s="6"/>
      <c r="B66" s="7"/>
      <c r="C66" s="24" t="s">
        <v>111</v>
      </c>
      <c r="D66" s="25"/>
      <c r="E66" s="48"/>
      <c r="F66" s="53">
        <v>8450.7560985</v>
      </c>
      <c r="G66" s="13">
        <v>0.91995957900000014</v>
      </c>
    </row>
    <row r="67" spans="1:7" ht="15" x14ac:dyDescent="0.25">
      <c r="A67" s="1"/>
      <c r="B67" s="2"/>
      <c r="C67" s="11"/>
      <c r="D67" s="4"/>
      <c r="E67" s="46"/>
      <c r="F67" s="51"/>
      <c r="G67" s="5"/>
    </row>
    <row r="68" spans="1:7" ht="15" x14ac:dyDescent="0.25">
      <c r="A68" s="1"/>
      <c r="B68" s="2"/>
      <c r="C68" s="3" t="s">
        <v>112</v>
      </c>
      <c r="D68" s="4"/>
      <c r="E68" s="46"/>
      <c r="F68" s="51"/>
      <c r="G68" s="5"/>
    </row>
    <row r="69" spans="1:7" ht="25.5" x14ac:dyDescent="0.25">
      <c r="A69" s="1"/>
      <c r="B69" s="2"/>
      <c r="C69" s="8" t="s">
        <v>10</v>
      </c>
      <c r="D69" s="9"/>
      <c r="E69" s="47"/>
      <c r="F69" s="52"/>
      <c r="G69" s="10"/>
    </row>
    <row r="70" spans="1:7" ht="15" x14ac:dyDescent="0.25">
      <c r="A70" s="6"/>
      <c r="B70" s="7"/>
      <c r="C70" s="8" t="s">
        <v>104</v>
      </c>
      <c r="D70" s="12"/>
      <c r="E70" s="48"/>
      <c r="F70" s="53">
        <v>0</v>
      </c>
      <c r="G70" s="13">
        <v>0</v>
      </c>
    </row>
    <row r="71" spans="1:7" ht="15" x14ac:dyDescent="0.25">
      <c r="A71" s="6"/>
      <c r="B71" s="7"/>
      <c r="C71" s="14"/>
      <c r="D71" s="4"/>
      <c r="E71" s="46"/>
      <c r="F71" s="51"/>
      <c r="G71" s="5"/>
    </row>
    <row r="72" spans="1:7" ht="15" x14ac:dyDescent="0.25">
      <c r="A72" s="1"/>
      <c r="B72" s="26"/>
      <c r="C72" s="8" t="s">
        <v>113</v>
      </c>
      <c r="D72" s="9"/>
      <c r="E72" s="47"/>
      <c r="F72" s="52"/>
      <c r="G72" s="10"/>
    </row>
    <row r="73" spans="1:7" ht="15" x14ac:dyDescent="0.25">
      <c r="A73" s="6"/>
      <c r="B73" s="7"/>
      <c r="C73" s="8" t="s">
        <v>104</v>
      </c>
      <c r="D73" s="12"/>
      <c r="E73" s="48"/>
      <c r="F73" s="53">
        <v>0</v>
      </c>
      <c r="G73" s="13">
        <v>0</v>
      </c>
    </row>
    <row r="74" spans="1:7" ht="15" x14ac:dyDescent="0.25">
      <c r="A74" s="6"/>
      <c r="B74" s="7"/>
      <c r="C74" s="14"/>
      <c r="D74" s="4"/>
      <c r="E74" s="46"/>
      <c r="F74" s="56"/>
      <c r="G74" s="27"/>
    </row>
    <row r="75" spans="1:7" ht="15" x14ac:dyDescent="0.25">
      <c r="A75" s="1"/>
      <c r="B75" s="2"/>
      <c r="C75" s="8" t="s">
        <v>114</v>
      </c>
      <c r="D75" s="9"/>
      <c r="E75" s="47"/>
      <c r="F75" s="52"/>
      <c r="G75" s="10"/>
    </row>
    <row r="76" spans="1:7" ht="15" x14ac:dyDescent="0.25">
      <c r="A76" s="6"/>
      <c r="B76" s="7"/>
      <c r="C76" s="8" t="s">
        <v>104</v>
      </c>
      <c r="D76" s="12"/>
      <c r="E76" s="48"/>
      <c r="F76" s="53">
        <v>0</v>
      </c>
      <c r="G76" s="13">
        <v>0</v>
      </c>
    </row>
    <row r="77" spans="1:7" ht="15" x14ac:dyDescent="0.25">
      <c r="A77" s="1"/>
      <c r="B77" s="2"/>
      <c r="C77" s="14"/>
      <c r="D77" s="4"/>
      <c r="E77" s="46"/>
      <c r="F77" s="51"/>
      <c r="G77" s="5"/>
    </row>
    <row r="78" spans="1:7" ht="25.5" x14ac:dyDescent="0.25">
      <c r="A78" s="1"/>
      <c r="B78" s="26"/>
      <c r="C78" s="8" t="s">
        <v>115</v>
      </c>
      <c r="D78" s="9"/>
      <c r="E78" s="47"/>
      <c r="F78" s="52"/>
      <c r="G78" s="10"/>
    </row>
    <row r="79" spans="1:7" ht="15" x14ac:dyDescent="0.25">
      <c r="A79" s="6"/>
      <c r="B79" s="7"/>
      <c r="C79" s="8" t="s">
        <v>104</v>
      </c>
      <c r="D79" s="12"/>
      <c r="E79" s="48"/>
      <c r="F79" s="53">
        <v>0</v>
      </c>
      <c r="G79" s="13">
        <v>0</v>
      </c>
    </row>
    <row r="80" spans="1:7" ht="15" x14ac:dyDescent="0.25">
      <c r="A80" s="6"/>
      <c r="B80" s="7"/>
      <c r="C80" s="14"/>
      <c r="D80" s="4"/>
      <c r="E80" s="46"/>
      <c r="F80" s="51"/>
      <c r="G80" s="5"/>
    </row>
    <row r="81" spans="1:7" ht="15" x14ac:dyDescent="0.25">
      <c r="A81" s="6"/>
      <c r="B81" s="7"/>
      <c r="C81" s="28" t="s">
        <v>116</v>
      </c>
      <c r="D81" s="25"/>
      <c r="E81" s="48"/>
      <c r="F81" s="53">
        <v>0</v>
      </c>
      <c r="G81" s="13">
        <v>0</v>
      </c>
    </row>
    <row r="82" spans="1:7" ht="15" x14ac:dyDescent="0.25">
      <c r="A82" s="6"/>
      <c r="B82" s="7"/>
      <c r="C82" s="11"/>
      <c r="D82" s="4"/>
      <c r="E82" s="46"/>
      <c r="F82" s="51"/>
      <c r="G82" s="5"/>
    </row>
    <row r="83" spans="1:7" ht="15" x14ac:dyDescent="0.25">
      <c r="A83" s="1"/>
      <c r="B83" s="2"/>
      <c r="C83" s="3" t="s">
        <v>117</v>
      </c>
      <c r="D83" s="4"/>
      <c r="E83" s="46"/>
      <c r="F83" s="51"/>
      <c r="G83" s="5"/>
    </row>
    <row r="84" spans="1:7" ht="15" x14ac:dyDescent="0.25">
      <c r="A84" s="6"/>
      <c r="B84" s="7"/>
      <c r="C84" s="8" t="s">
        <v>118</v>
      </c>
      <c r="D84" s="9"/>
      <c r="E84" s="47"/>
      <c r="F84" s="52"/>
      <c r="G84" s="10"/>
    </row>
    <row r="85" spans="1:7" ht="15" x14ac:dyDescent="0.25">
      <c r="A85" s="6"/>
      <c r="B85" s="7"/>
      <c r="C85" s="8" t="s">
        <v>104</v>
      </c>
      <c r="D85" s="25"/>
      <c r="E85" s="48"/>
      <c r="F85" s="53">
        <v>0</v>
      </c>
      <c r="G85" s="13">
        <v>0</v>
      </c>
    </row>
    <row r="86" spans="1:7" ht="15" x14ac:dyDescent="0.25">
      <c r="A86" s="6"/>
      <c r="B86" s="7"/>
      <c r="C86" s="14"/>
      <c r="D86" s="7"/>
      <c r="E86" s="46"/>
      <c r="F86" s="51"/>
      <c r="G86" s="5"/>
    </row>
    <row r="87" spans="1:7" ht="15" x14ac:dyDescent="0.25">
      <c r="A87" s="6"/>
      <c r="B87" s="7"/>
      <c r="C87" s="8" t="s">
        <v>119</v>
      </c>
      <c r="D87" s="9"/>
      <c r="E87" s="47"/>
      <c r="F87" s="52"/>
      <c r="G87" s="10"/>
    </row>
    <row r="88" spans="1:7" ht="15" x14ac:dyDescent="0.25">
      <c r="A88" s="6"/>
      <c r="B88" s="7"/>
      <c r="C88" s="8" t="s">
        <v>104</v>
      </c>
      <c r="D88" s="25"/>
      <c r="E88" s="48"/>
      <c r="F88" s="53">
        <v>0</v>
      </c>
      <c r="G88" s="13">
        <v>0</v>
      </c>
    </row>
    <row r="89" spans="1:7" ht="15" x14ac:dyDescent="0.25">
      <c r="A89" s="6"/>
      <c r="B89" s="7"/>
      <c r="C89" s="14"/>
      <c r="D89" s="7"/>
      <c r="E89" s="46"/>
      <c r="F89" s="51"/>
      <c r="G89" s="5"/>
    </row>
    <row r="90" spans="1:7" ht="15" x14ac:dyDescent="0.25">
      <c r="A90" s="6"/>
      <c r="B90" s="7"/>
      <c r="C90" s="8" t="s">
        <v>120</v>
      </c>
      <c r="D90" s="9"/>
      <c r="E90" s="47"/>
      <c r="F90" s="52"/>
      <c r="G90" s="10"/>
    </row>
    <row r="91" spans="1:7" ht="15" x14ac:dyDescent="0.25">
      <c r="A91" s="6"/>
      <c r="B91" s="7"/>
      <c r="C91" s="8" t="s">
        <v>104</v>
      </c>
      <c r="D91" s="25"/>
      <c r="E91" s="48"/>
      <c r="F91" s="53">
        <v>0</v>
      </c>
      <c r="G91" s="13">
        <v>0</v>
      </c>
    </row>
    <row r="92" spans="1:7" ht="15" x14ac:dyDescent="0.25">
      <c r="A92" s="6"/>
      <c r="B92" s="7"/>
      <c r="C92" s="14"/>
      <c r="D92" s="7"/>
      <c r="E92" s="46"/>
      <c r="F92" s="51"/>
      <c r="G92" s="5"/>
    </row>
    <row r="93" spans="1:7" ht="15" x14ac:dyDescent="0.25">
      <c r="A93" s="6"/>
      <c r="B93" s="7"/>
      <c r="C93" s="8" t="s">
        <v>121</v>
      </c>
      <c r="D93" s="9"/>
      <c r="E93" s="47"/>
      <c r="F93" s="52"/>
      <c r="G93" s="10"/>
    </row>
    <row r="94" spans="1:7" ht="15" x14ac:dyDescent="0.25">
      <c r="A94" s="6">
        <v>1</v>
      </c>
      <c r="B94" s="7"/>
      <c r="C94" s="11" t="s">
        <v>730</v>
      </c>
      <c r="D94" s="15"/>
      <c r="E94" s="46"/>
      <c r="F94" s="51">
        <v>644.90123310000001</v>
      </c>
      <c r="G94" s="5">
        <v>7.0204732000000006E-2</v>
      </c>
    </row>
    <row r="95" spans="1:7" ht="15" x14ac:dyDescent="0.25">
      <c r="A95" s="6"/>
      <c r="B95" s="7"/>
      <c r="C95" s="8" t="s">
        <v>104</v>
      </c>
      <c r="D95" s="25"/>
      <c r="E95" s="48"/>
      <c r="F95" s="53">
        <v>644.90123310000001</v>
      </c>
      <c r="G95" s="13">
        <v>7.0204732000000006E-2</v>
      </c>
    </row>
    <row r="96" spans="1:7" ht="15" x14ac:dyDescent="0.25">
      <c r="A96" s="6"/>
      <c r="B96" s="7"/>
      <c r="C96" s="14"/>
      <c r="D96" s="7"/>
      <c r="E96" s="46"/>
      <c r="F96" s="51"/>
      <c r="G96" s="5"/>
    </row>
    <row r="97" spans="1:7" ht="25.5" x14ac:dyDescent="0.25">
      <c r="A97" s="6"/>
      <c r="B97" s="7"/>
      <c r="C97" s="24" t="s">
        <v>122</v>
      </c>
      <c r="D97" s="25"/>
      <c r="E97" s="48"/>
      <c r="F97" s="53">
        <v>644.90123310000001</v>
      </c>
      <c r="G97" s="13">
        <v>7.0204732000000006E-2</v>
      </c>
    </row>
    <row r="98" spans="1:7" ht="15" x14ac:dyDescent="0.25">
      <c r="A98" s="6"/>
      <c r="B98" s="7"/>
      <c r="C98" s="29"/>
      <c r="D98" s="7"/>
      <c r="E98" s="46"/>
      <c r="F98" s="51"/>
      <c r="G98" s="5"/>
    </row>
    <row r="99" spans="1:7" ht="15" x14ac:dyDescent="0.25">
      <c r="A99" s="1"/>
      <c r="B99" s="2"/>
      <c r="C99" s="3" t="s">
        <v>123</v>
      </c>
      <c r="D99" s="4"/>
      <c r="E99" s="46"/>
      <c r="F99" s="51"/>
      <c r="G99" s="5"/>
    </row>
    <row r="100" spans="1:7" ht="25.5" x14ac:dyDescent="0.25">
      <c r="A100" s="6"/>
      <c r="B100" s="7"/>
      <c r="C100" s="8" t="s">
        <v>124</v>
      </c>
      <c r="D100" s="9"/>
      <c r="E100" s="47"/>
      <c r="F100" s="52"/>
      <c r="G100" s="10"/>
    </row>
    <row r="101" spans="1:7" ht="15" x14ac:dyDescent="0.25">
      <c r="A101" s="6"/>
      <c r="B101" s="7"/>
      <c r="C101" s="8" t="s">
        <v>104</v>
      </c>
      <c r="D101" s="25"/>
      <c r="E101" s="48"/>
      <c r="F101" s="53">
        <v>0</v>
      </c>
      <c r="G101" s="13">
        <v>0</v>
      </c>
    </row>
    <row r="102" spans="1:7" ht="15" x14ac:dyDescent="0.25">
      <c r="A102" s="6"/>
      <c r="B102" s="7"/>
      <c r="C102" s="14"/>
      <c r="D102" s="7"/>
      <c r="E102" s="46"/>
      <c r="F102" s="51"/>
      <c r="G102" s="5"/>
    </row>
    <row r="103" spans="1:7" ht="15" x14ac:dyDescent="0.25">
      <c r="A103" s="1"/>
      <c r="B103" s="2"/>
      <c r="C103" s="3" t="s">
        <v>125</v>
      </c>
      <c r="D103" s="4"/>
      <c r="E103" s="46"/>
      <c r="F103" s="51"/>
      <c r="G103" s="5"/>
    </row>
    <row r="104" spans="1:7" ht="25.5" x14ac:dyDescent="0.25">
      <c r="A104" s="6"/>
      <c r="B104" s="7"/>
      <c r="C104" s="8" t="s">
        <v>126</v>
      </c>
      <c r="D104" s="9"/>
      <c r="E104" s="47"/>
      <c r="F104" s="52"/>
      <c r="G104" s="10"/>
    </row>
    <row r="105" spans="1:7" ht="15" x14ac:dyDescent="0.25">
      <c r="A105" s="6"/>
      <c r="B105" s="7"/>
      <c r="C105" s="8" t="s">
        <v>104</v>
      </c>
      <c r="D105" s="25"/>
      <c r="E105" s="48"/>
      <c r="F105" s="53">
        <v>0</v>
      </c>
      <c r="G105" s="13">
        <v>0</v>
      </c>
    </row>
    <row r="106" spans="1:7" ht="15" x14ac:dyDescent="0.25">
      <c r="A106" s="6"/>
      <c r="B106" s="7"/>
      <c r="C106" s="14"/>
      <c r="D106" s="7"/>
      <c r="E106" s="46"/>
      <c r="F106" s="51"/>
      <c r="G106" s="5"/>
    </row>
    <row r="107" spans="1:7" ht="25.5" x14ac:dyDescent="0.25">
      <c r="A107" s="6"/>
      <c r="B107" s="7"/>
      <c r="C107" s="8" t="s">
        <v>127</v>
      </c>
      <c r="D107" s="9"/>
      <c r="E107" s="47"/>
      <c r="F107" s="52"/>
      <c r="G107" s="10"/>
    </row>
    <row r="108" spans="1:7" ht="15" x14ac:dyDescent="0.25">
      <c r="A108" s="6"/>
      <c r="B108" s="7"/>
      <c r="C108" s="8" t="s">
        <v>104</v>
      </c>
      <c r="D108" s="25"/>
      <c r="E108" s="48"/>
      <c r="F108" s="53">
        <v>0</v>
      </c>
      <c r="G108" s="13">
        <v>0</v>
      </c>
    </row>
    <row r="109" spans="1:7" ht="15" x14ac:dyDescent="0.25">
      <c r="A109" s="6"/>
      <c r="B109" s="7"/>
      <c r="C109" s="14"/>
      <c r="D109" s="7"/>
      <c r="E109" s="46"/>
      <c r="F109" s="56"/>
      <c r="G109" s="27"/>
    </row>
    <row r="110" spans="1:7" ht="25.5" x14ac:dyDescent="0.25">
      <c r="A110" s="6"/>
      <c r="B110" s="7"/>
      <c r="C110" s="29" t="s">
        <v>128</v>
      </c>
      <c r="D110" s="7"/>
      <c r="E110" s="46"/>
      <c r="F110" s="56">
        <v>90.350730400000003</v>
      </c>
      <c r="G110" s="27">
        <v>9.8356899999999994E-3</v>
      </c>
    </row>
    <row r="111" spans="1:7" ht="15" x14ac:dyDescent="0.25">
      <c r="A111" s="6"/>
      <c r="B111" s="7"/>
      <c r="C111" s="30" t="s">
        <v>129</v>
      </c>
      <c r="D111" s="12"/>
      <c r="E111" s="48"/>
      <c r="F111" s="53">
        <v>9186.0080620000008</v>
      </c>
      <c r="G111" s="13">
        <v>1.0000000010000001</v>
      </c>
    </row>
    <row r="113" spans="2:6" ht="15" x14ac:dyDescent="0.25">
      <c r="B113" s="279"/>
      <c r="C113" s="279"/>
      <c r="D113" s="279"/>
      <c r="E113" s="279"/>
      <c r="F113" s="279"/>
    </row>
    <row r="114" spans="2:6" ht="15" x14ac:dyDescent="0.25">
      <c r="B114" s="279"/>
      <c r="C114" s="279"/>
      <c r="D114" s="279"/>
      <c r="E114" s="279"/>
      <c r="F114" s="279"/>
    </row>
    <row r="116" spans="2:6" ht="15" x14ac:dyDescent="0.25">
      <c r="B116" s="36" t="s">
        <v>131</v>
      </c>
      <c r="C116" s="37"/>
      <c r="D116" s="38"/>
    </row>
    <row r="117" spans="2:6" ht="15" x14ac:dyDescent="0.25">
      <c r="B117" s="39" t="s">
        <v>132</v>
      </c>
      <c r="C117" s="40"/>
      <c r="D117" s="62" t="s">
        <v>133</v>
      </c>
    </row>
    <row r="118" spans="2:6" ht="15" x14ac:dyDescent="0.25">
      <c r="B118" s="39" t="s">
        <v>134</v>
      </c>
      <c r="C118" s="40"/>
      <c r="D118" s="62" t="s">
        <v>133</v>
      </c>
    </row>
    <row r="119" spans="2:6" ht="15" x14ac:dyDescent="0.25">
      <c r="B119" s="41" t="s">
        <v>135</v>
      </c>
      <c r="C119" s="40"/>
      <c r="D119" s="42"/>
    </row>
    <row r="120" spans="2:6" ht="25.5" customHeight="1" x14ac:dyDescent="0.25">
      <c r="B120" s="42"/>
      <c r="C120" s="32" t="s">
        <v>136</v>
      </c>
      <c r="D120" s="33" t="s">
        <v>137</v>
      </c>
    </row>
    <row r="121" spans="2:6" ht="12.75" customHeight="1" x14ac:dyDescent="0.25">
      <c r="B121" s="57" t="s">
        <v>138</v>
      </c>
      <c r="C121" s="58" t="s">
        <v>139</v>
      </c>
      <c r="D121" s="58" t="s">
        <v>140</v>
      </c>
    </row>
    <row r="122" spans="2:6" ht="15" x14ac:dyDescent="0.25">
      <c r="B122" s="42" t="s">
        <v>141</v>
      </c>
      <c r="C122" s="43">
        <v>9.4640000000000004</v>
      </c>
      <c r="D122" s="43">
        <v>8.8011999999999997</v>
      </c>
    </row>
    <row r="123" spans="2:6" ht="15" x14ac:dyDescent="0.25">
      <c r="B123" s="42" t="s">
        <v>142</v>
      </c>
      <c r="C123" s="43">
        <v>9.4640000000000004</v>
      </c>
      <c r="D123" s="43">
        <v>8.8011999999999997</v>
      </c>
    </row>
    <row r="124" spans="2:6" ht="15" x14ac:dyDescent="0.25">
      <c r="B124" s="42" t="s">
        <v>143</v>
      </c>
      <c r="C124" s="43">
        <v>9.2156000000000002</v>
      </c>
      <c r="D124" s="43">
        <v>8.5656999999999996</v>
      </c>
    </row>
    <row r="125" spans="2:6" ht="15" x14ac:dyDescent="0.25">
      <c r="B125" s="42" t="s">
        <v>144</v>
      </c>
      <c r="C125" s="43">
        <v>9.2156000000000002</v>
      </c>
      <c r="D125" s="43">
        <v>8.5656999999999996</v>
      </c>
    </row>
    <row r="127" spans="2:6" ht="15" x14ac:dyDescent="0.25">
      <c r="B127" s="59" t="s">
        <v>145</v>
      </c>
      <c r="C127" s="44"/>
      <c r="D127" s="60" t="s">
        <v>133</v>
      </c>
    </row>
    <row r="128" spans="2:6" ht="24.75" customHeight="1" x14ac:dyDescent="0.25">
      <c r="B128" s="61"/>
      <c r="C128" s="61"/>
    </row>
    <row r="129" spans="2:4" ht="15" x14ac:dyDescent="0.25">
      <c r="B129" s="63"/>
      <c r="C129" s="65"/>
      <c r="D129"/>
    </row>
    <row r="131" spans="2:4" ht="15" x14ac:dyDescent="0.25">
      <c r="B131" s="41" t="s">
        <v>146</v>
      </c>
      <c r="C131" s="40"/>
      <c r="D131" s="64" t="s">
        <v>722</v>
      </c>
    </row>
    <row r="132" spans="2:4" ht="15" x14ac:dyDescent="0.25">
      <c r="B132" s="41" t="s">
        <v>147</v>
      </c>
      <c r="C132" s="40"/>
      <c r="D132" s="64" t="s">
        <v>133</v>
      </c>
    </row>
    <row r="133" spans="2:4" ht="15" x14ac:dyDescent="0.25">
      <c r="B133" s="41" t="s">
        <v>148</v>
      </c>
      <c r="C133" s="40"/>
      <c r="D133" s="45">
        <v>3.1620064798241684E-2</v>
      </c>
    </row>
    <row r="134" spans="2:4" ht="15" x14ac:dyDescent="0.25">
      <c r="B134" s="41" t="s">
        <v>149</v>
      </c>
      <c r="C134" s="40"/>
      <c r="D134" s="45" t="s">
        <v>133</v>
      </c>
    </row>
  </sheetData>
  <mergeCells count="5">
    <mergeCell ref="A1:G1"/>
    <mergeCell ref="A2:G2"/>
    <mergeCell ref="A3:G3"/>
    <mergeCell ref="B113:F113"/>
    <mergeCell ref="B114:F114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EA82-DAD9-446F-92CD-D7BF55A89FA3}">
  <dimension ref="A1:N105"/>
  <sheetViews>
    <sheetView workbookViewId="0">
      <selection activeCell="A2" sqref="A2:G2"/>
    </sheetView>
  </sheetViews>
  <sheetFormatPr defaultRowHeight="12.75" x14ac:dyDescent="0.2"/>
  <cols>
    <col min="1" max="1" width="5.85546875" style="145" bestFit="1" customWidth="1"/>
    <col min="2" max="2" width="14.140625" style="145" bestFit="1" customWidth="1"/>
    <col min="3" max="3" width="37.7109375" style="145" bestFit="1" customWidth="1"/>
    <col min="4" max="4" width="26.85546875" style="145" bestFit="1" customWidth="1"/>
    <col min="5" max="5" width="13.85546875" style="145" bestFit="1" customWidth="1"/>
    <col min="6" max="6" width="17.42578125" style="169" bestFit="1" customWidth="1"/>
    <col min="7" max="7" width="8.5703125" style="174" bestFit="1" customWidth="1"/>
    <col min="8" max="8" width="9.140625" style="145"/>
    <col min="9" max="9" width="12.28515625" style="145" bestFit="1" customWidth="1"/>
    <col min="10" max="10" width="19.85546875" style="145" bestFit="1" customWidth="1"/>
    <col min="11" max="16384" width="9.140625" style="145"/>
  </cols>
  <sheetData>
    <row r="1" spans="1:12" ht="15" customHeight="1" x14ac:dyDescent="0.2">
      <c r="A1" s="276" t="s">
        <v>0</v>
      </c>
      <c r="B1" s="277"/>
      <c r="C1" s="277"/>
      <c r="D1" s="277"/>
      <c r="E1" s="277"/>
      <c r="F1" s="277"/>
      <c r="G1" s="278"/>
    </row>
    <row r="2" spans="1:12" ht="15" customHeight="1" x14ac:dyDescent="0.2">
      <c r="A2" s="286" t="s">
        <v>851</v>
      </c>
      <c r="B2" s="286"/>
      <c r="C2" s="286"/>
      <c r="D2" s="286"/>
      <c r="E2" s="286"/>
      <c r="F2" s="286"/>
      <c r="G2" s="286"/>
    </row>
    <row r="3" spans="1:12" ht="15" customHeight="1" x14ac:dyDescent="0.2">
      <c r="A3" s="276" t="s">
        <v>731</v>
      </c>
      <c r="B3" s="277"/>
      <c r="C3" s="277"/>
      <c r="D3" s="277"/>
      <c r="E3" s="277"/>
      <c r="F3" s="277"/>
      <c r="G3" s="278"/>
    </row>
    <row r="4" spans="1:12" ht="30" x14ac:dyDescent="0.2">
      <c r="A4" s="146" t="s">
        <v>2</v>
      </c>
      <c r="B4" s="147" t="s">
        <v>852</v>
      </c>
      <c r="C4" s="148" t="s">
        <v>853</v>
      </c>
      <c r="D4" s="149" t="s">
        <v>5</v>
      </c>
      <c r="E4" s="150" t="s">
        <v>6</v>
      </c>
      <c r="F4" s="151" t="s">
        <v>854</v>
      </c>
      <c r="G4" s="152" t="s">
        <v>855</v>
      </c>
    </row>
    <row r="5" spans="1:12" x14ac:dyDescent="0.2">
      <c r="A5" s="153"/>
      <c r="B5" s="154"/>
      <c r="C5" s="155" t="s">
        <v>856</v>
      </c>
      <c r="D5" s="156"/>
      <c r="E5" s="156"/>
      <c r="F5" s="157"/>
      <c r="G5" s="158"/>
    </row>
    <row r="6" spans="1:12" x14ac:dyDescent="0.2">
      <c r="A6" s="153"/>
      <c r="B6" s="154"/>
      <c r="C6" s="155" t="s">
        <v>857</v>
      </c>
      <c r="D6" s="156"/>
      <c r="E6" s="156"/>
      <c r="F6" s="157"/>
      <c r="G6" s="158"/>
    </row>
    <row r="7" spans="1:12" x14ac:dyDescent="0.2">
      <c r="A7" s="153"/>
      <c r="B7" s="154"/>
      <c r="C7" s="155" t="s">
        <v>858</v>
      </c>
      <c r="D7" s="156"/>
      <c r="E7" s="159" t="s">
        <v>859</v>
      </c>
      <c r="F7" s="159" t="s">
        <v>859</v>
      </c>
      <c r="G7" s="160" t="s">
        <v>859</v>
      </c>
    </row>
    <row r="8" spans="1:12" x14ac:dyDescent="0.2">
      <c r="A8" s="153"/>
      <c r="B8" s="154"/>
      <c r="C8" s="161" t="s">
        <v>104</v>
      </c>
      <c r="D8" s="162" t="s">
        <v>860</v>
      </c>
      <c r="E8" s="162" t="s">
        <v>860</v>
      </c>
      <c r="F8" s="159" t="s">
        <v>859</v>
      </c>
      <c r="G8" s="160" t="s">
        <v>859</v>
      </c>
    </row>
    <row r="9" spans="1:12" x14ac:dyDescent="0.2">
      <c r="A9" s="153"/>
      <c r="B9" s="154"/>
      <c r="C9" s="161" t="s">
        <v>861</v>
      </c>
      <c r="D9" s="162" t="s">
        <v>860</v>
      </c>
      <c r="E9" s="163"/>
      <c r="F9" s="159" t="s">
        <v>859</v>
      </c>
      <c r="G9" s="160" t="s">
        <v>859</v>
      </c>
    </row>
    <row r="10" spans="1:12" x14ac:dyDescent="0.2">
      <c r="A10" s="153"/>
      <c r="B10" s="154"/>
      <c r="C10" s="162"/>
      <c r="D10" s="162"/>
      <c r="E10" s="163"/>
      <c r="F10" s="159"/>
      <c r="G10" s="160"/>
    </row>
    <row r="11" spans="1:12" x14ac:dyDescent="0.2">
      <c r="A11" s="153"/>
      <c r="B11" s="154"/>
      <c r="C11" s="164" t="s">
        <v>862</v>
      </c>
      <c r="D11" s="162"/>
      <c r="E11" s="163"/>
      <c r="F11" s="165"/>
      <c r="G11" s="166"/>
    </row>
    <row r="12" spans="1:12" x14ac:dyDescent="0.2">
      <c r="A12" s="153"/>
      <c r="B12" s="154"/>
      <c r="C12" s="164" t="s">
        <v>863</v>
      </c>
      <c r="D12" s="162"/>
      <c r="E12" s="163"/>
      <c r="F12" s="165"/>
      <c r="G12" s="166"/>
    </row>
    <row r="13" spans="1:12" x14ac:dyDescent="0.2">
      <c r="A13" s="167">
        <v>1</v>
      </c>
      <c r="B13" s="154" t="s">
        <v>864</v>
      </c>
      <c r="C13" s="162" t="s">
        <v>865</v>
      </c>
      <c r="D13" s="162" t="s">
        <v>866</v>
      </c>
      <c r="E13" s="163">
        <v>3715</v>
      </c>
      <c r="F13" s="165">
        <v>258.31025669999997</v>
      </c>
      <c r="G13" s="168">
        <f t="shared" ref="G13:G18" si="0">F13/$F$79</f>
        <v>4.0892557930694268E-2</v>
      </c>
      <c r="H13" s="169"/>
      <c r="I13" s="170"/>
      <c r="J13" s="171"/>
      <c r="K13" s="171"/>
      <c r="L13" s="172"/>
    </row>
    <row r="14" spans="1:12" x14ac:dyDescent="0.2">
      <c r="A14" s="167">
        <v>2</v>
      </c>
      <c r="B14" s="154" t="s">
        <v>867</v>
      </c>
      <c r="C14" s="162" t="s">
        <v>868</v>
      </c>
      <c r="D14" s="162" t="s">
        <v>869</v>
      </c>
      <c r="E14" s="163">
        <v>2163</v>
      </c>
      <c r="F14" s="165">
        <v>192.20381110000002</v>
      </c>
      <c r="G14" s="168">
        <f t="shared" si="0"/>
        <v>3.0427384418711585E-2</v>
      </c>
      <c r="H14" s="169"/>
      <c r="I14" s="173"/>
      <c r="J14" s="171"/>
      <c r="K14" s="169"/>
    </row>
    <row r="15" spans="1:12" x14ac:dyDescent="0.2">
      <c r="A15" s="167">
        <v>3</v>
      </c>
      <c r="B15" s="154" t="s">
        <v>870</v>
      </c>
      <c r="C15" s="162" t="s">
        <v>871</v>
      </c>
      <c r="D15" s="162" t="s">
        <v>869</v>
      </c>
      <c r="E15" s="163">
        <v>5684</v>
      </c>
      <c r="F15" s="165">
        <v>97.375995799999998</v>
      </c>
      <c r="G15" s="168">
        <f t="shared" si="0"/>
        <v>1.5415390779217719E-2</v>
      </c>
      <c r="H15" s="169"/>
      <c r="I15" s="173"/>
      <c r="J15" s="171"/>
      <c r="K15" s="169"/>
    </row>
    <row r="16" spans="1:12" x14ac:dyDescent="0.2">
      <c r="A16" s="167">
        <v>4</v>
      </c>
      <c r="B16" s="154" t="s">
        <v>872</v>
      </c>
      <c r="C16" s="162" t="s">
        <v>873</v>
      </c>
      <c r="D16" s="162" t="s">
        <v>874</v>
      </c>
      <c r="E16" s="163">
        <v>6545</v>
      </c>
      <c r="F16" s="165">
        <v>67.149593199999998</v>
      </c>
      <c r="G16" s="168">
        <f t="shared" si="0"/>
        <v>1.0630312032644711E-2</v>
      </c>
      <c r="H16" s="169"/>
      <c r="I16" s="173"/>
      <c r="J16" s="171"/>
      <c r="K16" s="169"/>
    </row>
    <row r="17" spans="1:14" x14ac:dyDescent="0.2">
      <c r="A17" s="167">
        <v>5</v>
      </c>
      <c r="B17" s="154" t="s">
        <v>875</v>
      </c>
      <c r="C17" s="162" t="s">
        <v>876</v>
      </c>
      <c r="D17" s="162" t="s">
        <v>874</v>
      </c>
      <c r="E17" s="163">
        <v>24749</v>
      </c>
      <c r="F17" s="165">
        <v>58.792809900000002</v>
      </c>
      <c r="G17" s="168">
        <f t="shared" si="0"/>
        <v>9.3073670997751209E-3</v>
      </c>
      <c r="H17" s="169"/>
      <c r="I17" s="173"/>
      <c r="J17" s="171"/>
      <c r="K17" s="169"/>
    </row>
    <row r="18" spans="1:14" x14ac:dyDescent="0.2">
      <c r="A18" s="167">
        <v>6</v>
      </c>
      <c r="B18" s="154" t="s">
        <v>877</v>
      </c>
      <c r="C18" s="162" t="s">
        <v>878</v>
      </c>
      <c r="D18" s="162" t="s">
        <v>874</v>
      </c>
      <c r="E18" s="163">
        <v>387</v>
      </c>
      <c r="F18" s="165">
        <v>22.0455763</v>
      </c>
      <c r="G18" s="168">
        <f t="shared" si="0"/>
        <v>3.4899891993459922E-3</v>
      </c>
      <c r="H18" s="169"/>
      <c r="I18" s="173"/>
      <c r="J18" s="171"/>
      <c r="K18" s="169"/>
    </row>
    <row r="19" spans="1:14" x14ac:dyDescent="0.2">
      <c r="A19" s="153"/>
      <c r="B19" s="154"/>
      <c r="C19" s="162"/>
      <c r="D19" s="162"/>
      <c r="E19" s="163"/>
      <c r="F19" s="165"/>
      <c r="G19" s="168"/>
      <c r="H19" s="174"/>
    </row>
    <row r="20" spans="1:14" x14ac:dyDescent="0.2">
      <c r="A20" s="153"/>
      <c r="B20" s="154"/>
      <c r="C20" s="164" t="s">
        <v>104</v>
      </c>
      <c r="D20" s="162"/>
      <c r="E20" s="163"/>
      <c r="F20" s="175">
        <f>SUM(F13:F19)</f>
        <v>695.87804300000005</v>
      </c>
      <c r="G20" s="176">
        <f>F20/F79</f>
        <v>0.1101630014603894</v>
      </c>
      <c r="H20" s="174"/>
    </row>
    <row r="21" spans="1:14" x14ac:dyDescent="0.2">
      <c r="A21" s="153"/>
      <c r="B21" s="154"/>
      <c r="C21" s="162"/>
      <c r="D21" s="162"/>
      <c r="E21" s="163"/>
      <c r="F21" s="175"/>
      <c r="G21" s="177"/>
    </row>
    <row r="22" spans="1:14" x14ac:dyDescent="0.2">
      <c r="A22" s="153"/>
      <c r="B22" s="154"/>
      <c r="C22" s="164" t="s">
        <v>879</v>
      </c>
      <c r="D22" s="162"/>
      <c r="E22" s="163"/>
      <c r="F22" s="165"/>
      <c r="G22" s="166"/>
    </row>
    <row r="23" spans="1:14" x14ac:dyDescent="0.2">
      <c r="A23" s="167">
        <v>1</v>
      </c>
      <c r="B23" s="154" t="s">
        <v>880</v>
      </c>
      <c r="C23" s="162" t="s">
        <v>881</v>
      </c>
      <c r="D23" s="162" t="s">
        <v>882</v>
      </c>
      <c r="E23" s="163">
        <v>312</v>
      </c>
      <c r="F23" s="165">
        <v>401.04693339999994</v>
      </c>
      <c r="G23" s="168">
        <f t="shared" ref="G23:G49" si="1">F23/$F$79</f>
        <v>6.3488903485677137E-2</v>
      </c>
      <c r="H23" s="169"/>
      <c r="I23" s="178"/>
      <c r="J23" s="169"/>
      <c r="K23" s="169"/>
      <c r="N23" s="179"/>
    </row>
    <row r="24" spans="1:14" x14ac:dyDescent="0.2">
      <c r="A24" s="167">
        <v>2</v>
      </c>
      <c r="B24" s="154" t="s">
        <v>883</v>
      </c>
      <c r="C24" s="162" t="s">
        <v>884</v>
      </c>
      <c r="D24" s="162" t="s">
        <v>885</v>
      </c>
      <c r="E24" s="163">
        <v>4185</v>
      </c>
      <c r="F24" s="165">
        <v>392.68398060000004</v>
      </c>
      <c r="G24" s="168">
        <f t="shared" si="1"/>
        <v>6.2164981872131472E-2</v>
      </c>
      <c r="H24" s="169"/>
      <c r="I24" s="178"/>
      <c r="J24" s="169"/>
      <c r="K24" s="169"/>
      <c r="N24" s="179"/>
    </row>
    <row r="25" spans="1:14" x14ac:dyDescent="0.2">
      <c r="A25" s="167">
        <v>3</v>
      </c>
      <c r="B25" s="154" t="s">
        <v>886</v>
      </c>
      <c r="C25" s="162" t="s">
        <v>887</v>
      </c>
      <c r="D25" s="162" t="s">
        <v>888</v>
      </c>
      <c r="E25" s="163">
        <v>424</v>
      </c>
      <c r="F25" s="165">
        <v>355.65745649999997</v>
      </c>
      <c r="G25" s="168">
        <f t="shared" si="1"/>
        <v>5.6303390075217355E-2</v>
      </c>
      <c r="H25" s="169"/>
      <c r="I25" s="180"/>
      <c r="J25" s="169"/>
      <c r="K25" s="169"/>
      <c r="N25" s="179"/>
    </row>
    <row r="26" spans="1:14" x14ac:dyDescent="0.2">
      <c r="A26" s="167">
        <v>4</v>
      </c>
      <c r="B26" s="154" t="s">
        <v>889</v>
      </c>
      <c r="C26" s="162" t="s">
        <v>890</v>
      </c>
      <c r="D26" s="162" t="s">
        <v>891</v>
      </c>
      <c r="E26" s="163">
        <v>2269</v>
      </c>
      <c r="F26" s="165">
        <v>332.84582650000004</v>
      </c>
      <c r="G26" s="168">
        <f t="shared" si="1"/>
        <v>5.2692128512530204E-2</v>
      </c>
      <c r="H26" s="169"/>
      <c r="I26" s="180"/>
      <c r="J26" s="169"/>
      <c r="K26" s="169"/>
      <c r="N26" s="179"/>
    </row>
    <row r="27" spans="1:14" x14ac:dyDescent="0.2">
      <c r="A27" s="167">
        <v>5</v>
      </c>
      <c r="B27" s="154" t="s">
        <v>892</v>
      </c>
      <c r="C27" s="162" t="s">
        <v>893</v>
      </c>
      <c r="D27" s="162" t="s">
        <v>894</v>
      </c>
      <c r="E27" s="163">
        <v>1972</v>
      </c>
      <c r="F27" s="165">
        <v>286.12785209999998</v>
      </c>
      <c r="G27" s="168">
        <f t="shared" si="1"/>
        <v>4.5296303433948672E-2</v>
      </c>
      <c r="H27" s="169"/>
      <c r="I27" s="180"/>
      <c r="J27" s="169"/>
      <c r="K27" s="169"/>
      <c r="N27" s="179"/>
    </row>
    <row r="28" spans="1:14" x14ac:dyDescent="0.2">
      <c r="A28" s="167">
        <v>6</v>
      </c>
      <c r="B28" s="154" t="s">
        <v>895</v>
      </c>
      <c r="C28" s="162" t="s">
        <v>896</v>
      </c>
      <c r="D28" s="162" t="s">
        <v>897</v>
      </c>
      <c r="E28" s="163">
        <v>3483</v>
      </c>
      <c r="F28" s="165">
        <v>283.093659</v>
      </c>
      <c r="G28" s="168">
        <f t="shared" si="1"/>
        <v>4.4815966653288956E-2</v>
      </c>
      <c r="H28" s="169"/>
      <c r="I28" s="180"/>
      <c r="J28" s="169"/>
      <c r="K28" s="169"/>
      <c r="N28" s="179"/>
    </row>
    <row r="29" spans="1:14" x14ac:dyDescent="0.2">
      <c r="A29" s="167">
        <v>7</v>
      </c>
      <c r="B29" s="154" t="s">
        <v>898</v>
      </c>
      <c r="C29" s="162" t="s">
        <v>899</v>
      </c>
      <c r="D29" s="162" t="s">
        <v>874</v>
      </c>
      <c r="E29" s="163">
        <v>970</v>
      </c>
      <c r="F29" s="165">
        <v>279.73643980000003</v>
      </c>
      <c r="G29" s="168">
        <f t="shared" si="1"/>
        <v>4.4284492284536035E-2</v>
      </c>
      <c r="H29" s="169"/>
      <c r="I29" s="180"/>
      <c r="J29" s="169"/>
      <c r="K29" s="169"/>
      <c r="N29" s="179"/>
    </row>
    <row r="30" spans="1:14" x14ac:dyDescent="0.2">
      <c r="A30" s="167">
        <v>8</v>
      </c>
      <c r="B30" s="154" t="s">
        <v>900</v>
      </c>
      <c r="C30" s="162" t="s">
        <v>901</v>
      </c>
      <c r="D30" s="162" t="s">
        <v>902</v>
      </c>
      <c r="E30" s="163">
        <v>2543</v>
      </c>
      <c r="F30" s="165">
        <v>250.41493860000003</v>
      </c>
      <c r="G30" s="168">
        <f t="shared" si="1"/>
        <v>3.9642666591069783E-2</v>
      </c>
      <c r="H30" s="169"/>
      <c r="I30" s="180"/>
      <c r="J30" s="169"/>
      <c r="K30" s="169"/>
      <c r="N30" s="179"/>
    </row>
    <row r="31" spans="1:14" x14ac:dyDescent="0.2">
      <c r="A31" s="167">
        <v>9</v>
      </c>
      <c r="B31" s="154" t="s">
        <v>903</v>
      </c>
      <c r="C31" s="162" t="s">
        <v>904</v>
      </c>
      <c r="D31" s="162" t="s">
        <v>905</v>
      </c>
      <c r="E31" s="163">
        <v>6873</v>
      </c>
      <c r="F31" s="165">
        <v>249.0733032</v>
      </c>
      <c r="G31" s="168">
        <f t="shared" si="1"/>
        <v>3.9430275089403291E-2</v>
      </c>
      <c r="H31" s="169"/>
      <c r="I31" s="180"/>
      <c r="J31" s="169"/>
      <c r="K31" s="169"/>
      <c r="N31" s="179"/>
    </row>
    <row r="32" spans="1:14" x14ac:dyDescent="0.2">
      <c r="A32" s="167">
        <v>10</v>
      </c>
      <c r="B32" s="154" t="s">
        <v>906</v>
      </c>
      <c r="C32" s="162" t="s">
        <v>907</v>
      </c>
      <c r="D32" s="162" t="s">
        <v>888</v>
      </c>
      <c r="E32" s="163">
        <v>1813</v>
      </c>
      <c r="F32" s="165">
        <v>242.47199220000002</v>
      </c>
      <c r="G32" s="168">
        <f t="shared" si="1"/>
        <v>3.838523531461982E-2</v>
      </c>
      <c r="H32" s="169"/>
      <c r="I32" s="180"/>
      <c r="J32" s="169"/>
      <c r="K32" s="169"/>
      <c r="N32" s="179"/>
    </row>
    <row r="33" spans="1:14" x14ac:dyDescent="0.2">
      <c r="A33" s="167">
        <v>11</v>
      </c>
      <c r="B33" s="154" t="s">
        <v>908</v>
      </c>
      <c r="C33" s="162" t="s">
        <v>909</v>
      </c>
      <c r="D33" s="162" t="s">
        <v>910</v>
      </c>
      <c r="E33" s="163">
        <v>2338</v>
      </c>
      <c r="F33" s="165">
        <v>238.64776949999998</v>
      </c>
      <c r="G33" s="168">
        <f t="shared" si="1"/>
        <v>3.7779830595901086E-2</v>
      </c>
      <c r="H33" s="169"/>
      <c r="I33" s="180"/>
      <c r="J33" s="169"/>
      <c r="K33" s="169"/>
      <c r="N33" s="179"/>
    </row>
    <row r="34" spans="1:14" x14ac:dyDescent="0.2">
      <c r="A34" s="167">
        <v>12</v>
      </c>
      <c r="B34" s="154" t="s">
        <v>911</v>
      </c>
      <c r="C34" s="162" t="s">
        <v>912</v>
      </c>
      <c r="D34" s="162" t="s">
        <v>913</v>
      </c>
      <c r="E34" s="163">
        <v>5623</v>
      </c>
      <c r="F34" s="165">
        <v>214.49902120000002</v>
      </c>
      <c r="G34" s="168">
        <f t="shared" si="1"/>
        <v>3.3956892624226249E-2</v>
      </c>
      <c r="H34" s="169"/>
      <c r="I34" s="180"/>
      <c r="J34" s="169"/>
      <c r="K34" s="169"/>
      <c r="N34" s="179"/>
    </row>
    <row r="35" spans="1:14" x14ac:dyDescent="0.2">
      <c r="A35" s="167">
        <v>13</v>
      </c>
      <c r="B35" s="154" t="s">
        <v>914</v>
      </c>
      <c r="C35" s="162" t="s">
        <v>915</v>
      </c>
      <c r="D35" s="162" t="s">
        <v>916</v>
      </c>
      <c r="E35" s="163">
        <v>2573</v>
      </c>
      <c r="F35" s="165">
        <v>205.51581229999999</v>
      </c>
      <c r="G35" s="168">
        <f t="shared" si="1"/>
        <v>3.2534779561277254E-2</v>
      </c>
      <c r="H35" s="169"/>
      <c r="I35" s="180"/>
      <c r="J35" s="169"/>
      <c r="K35" s="169"/>
      <c r="N35" s="179"/>
    </row>
    <row r="36" spans="1:14" x14ac:dyDescent="0.2">
      <c r="A36" s="167">
        <v>14</v>
      </c>
      <c r="B36" s="154" t="s">
        <v>917</v>
      </c>
      <c r="C36" s="162" t="s">
        <v>918</v>
      </c>
      <c r="D36" s="162" t="s">
        <v>919</v>
      </c>
      <c r="E36" s="163">
        <v>5719</v>
      </c>
      <c r="F36" s="165">
        <v>199.06216490000003</v>
      </c>
      <c r="G36" s="168">
        <f t="shared" si="1"/>
        <v>3.1513116102999353E-2</v>
      </c>
      <c r="H36" s="169"/>
      <c r="I36" s="180"/>
      <c r="J36" s="169"/>
      <c r="K36" s="169"/>
      <c r="N36" s="179"/>
    </row>
    <row r="37" spans="1:14" x14ac:dyDescent="0.2">
      <c r="A37" s="167">
        <v>15</v>
      </c>
      <c r="B37" s="154" t="s">
        <v>920</v>
      </c>
      <c r="C37" s="162" t="s">
        <v>921</v>
      </c>
      <c r="D37" s="162" t="s">
        <v>922</v>
      </c>
      <c r="E37" s="163">
        <v>4946</v>
      </c>
      <c r="F37" s="165">
        <v>191.73878599999998</v>
      </c>
      <c r="G37" s="168">
        <f t="shared" si="1"/>
        <v>3.0353767265123045E-2</v>
      </c>
      <c r="H37" s="169"/>
      <c r="I37" s="180"/>
      <c r="J37" s="169"/>
      <c r="K37" s="169"/>
      <c r="N37" s="179"/>
    </row>
    <row r="38" spans="1:14" x14ac:dyDescent="0.2">
      <c r="A38" s="167">
        <v>16</v>
      </c>
      <c r="B38" s="154" t="s">
        <v>923</v>
      </c>
      <c r="C38" s="162" t="s">
        <v>924</v>
      </c>
      <c r="D38" s="162" t="s">
        <v>925</v>
      </c>
      <c r="E38" s="163">
        <v>1928</v>
      </c>
      <c r="F38" s="165">
        <v>158.60371649999999</v>
      </c>
      <c r="G38" s="168">
        <f t="shared" si="1"/>
        <v>2.5108223528778138E-2</v>
      </c>
      <c r="H38" s="169"/>
      <c r="I38" s="180"/>
      <c r="J38" s="169"/>
      <c r="K38" s="169"/>
      <c r="N38" s="179"/>
    </row>
    <row r="39" spans="1:14" x14ac:dyDescent="0.2">
      <c r="A39" s="167">
        <v>17</v>
      </c>
      <c r="B39" s="154" t="s">
        <v>926</v>
      </c>
      <c r="C39" s="162" t="s">
        <v>927</v>
      </c>
      <c r="D39" s="162" t="s">
        <v>928</v>
      </c>
      <c r="E39" s="163">
        <v>2596</v>
      </c>
      <c r="F39" s="165">
        <v>153.78078639999998</v>
      </c>
      <c r="G39" s="168">
        <f t="shared" si="1"/>
        <v>2.43447155247619E-2</v>
      </c>
      <c r="H39" s="169"/>
      <c r="I39" s="180"/>
      <c r="J39" s="169"/>
      <c r="K39" s="169"/>
      <c r="N39" s="179"/>
    </row>
    <row r="40" spans="1:14" x14ac:dyDescent="0.2">
      <c r="A40" s="167">
        <v>18</v>
      </c>
      <c r="B40" s="154" t="s">
        <v>929</v>
      </c>
      <c r="C40" s="162" t="s">
        <v>930</v>
      </c>
      <c r="D40" s="162" t="s">
        <v>916</v>
      </c>
      <c r="E40" s="163">
        <v>1650</v>
      </c>
      <c r="F40" s="165">
        <v>141.30158880000002</v>
      </c>
      <c r="G40" s="168">
        <f t="shared" si="1"/>
        <v>2.2369159782973269E-2</v>
      </c>
      <c r="H40" s="169"/>
      <c r="I40" s="180"/>
      <c r="J40" s="169"/>
      <c r="K40" s="169"/>
      <c r="N40" s="179"/>
    </row>
    <row r="41" spans="1:14" x14ac:dyDescent="0.2">
      <c r="A41" s="167">
        <v>19</v>
      </c>
      <c r="B41" s="154" t="s">
        <v>931</v>
      </c>
      <c r="C41" s="162" t="s">
        <v>932</v>
      </c>
      <c r="D41" s="162" t="s">
        <v>933</v>
      </c>
      <c r="E41" s="163">
        <v>2705</v>
      </c>
      <c r="F41" s="165">
        <v>138.91126790000001</v>
      </c>
      <c r="G41" s="168">
        <f t="shared" si="1"/>
        <v>2.1990753067247223E-2</v>
      </c>
      <c r="H41" s="169"/>
      <c r="I41" s="180"/>
      <c r="J41" s="169"/>
      <c r="K41" s="169"/>
      <c r="N41" s="179"/>
    </row>
    <row r="42" spans="1:14" x14ac:dyDescent="0.2">
      <c r="A42" s="167">
        <v>20</v>
      </c>
      <c r="B42" s="154" t="s">
        <v>934</v>
      </c>
      <c r="C42" s="162" t="s">
        <v>935</v>
      </c>
      <c r="D42" s="162" t="s">
        <v>905</v>
      </c>
      <c r="E42" s="163">
        <v>1548</v>
      </c>
      <c r="F42" s="165">
        <v>136.233294</v>
      </c>
      <c r="G42" s="168">
        <f t="shared" si="1"/>
        <v>2.156680860510447E-2</v>
      </c>
      <c r="H42" s="169"/>
      <c r="I42" s="180"/>
      <c r="J42" s="169"/>
      <c r="K42" s="169"/>
      <c r="N42" s="179"/>
    </row>
    <row r="43" spans="1:14" x14ac:dyDescent="0.2">
      <c r="A43" s="167">
        <v>21</v>
      </c>
      <c r="B43" s="154" t="s">
        <v>936</v>
      </c>
      <c r="C43" s="162" t="s">
        <v>937</v>
      </c>
      <c r="D43" s="162" t="s">
        <v>922</v>
      </c>
      <c r="E43" s="163">
        <v>977</v>
      </c>
      <c r="F43" s="165">
        <v>129.55471180000001</v>
      </c>
      <c r="G43" s="168">
        <f t="shared" si="1"/>
        <v>2.0509536187828432E-2</v>
      </c>
      <c r="H43" s="169"/>
      <c r="I43" s="180"/>
      <c r="J43" s="169"/>
      <c r="K43" s="169"/>
      <c r="N43" s="179"/>
    </row>
    <row r="44" spans="1:14" x14ac:dyDescent="0.2">
      <c r="A44" s="167">
        <v>22</v>
      </c>
      <c r="B44" s="154" t="s">
        <v>938</v>
      </c>
      <c r="C44" s="162" t="s">
        <v>939</v>
      </c>
      <c r="D44" s="162" t="s">
        <v>940</v>
      </c>
      <c r="E44" s="163">
        <v>17661</v>
      </c>
      <c r="F44" s="165">
        <v>127.08053879999999</v>
      </c>
      <c r="G44" s="168">
        <f t="shared" si="1"/>
        <v>2.0117855021057864E-2</v>
      </c>
      <c r="H44" s="169"/>
      <c r="I44" s="180"/>
      <c r="J44" s="169"/>
      <c r="K44" s="169"/>
      <c r="N44" s="179"/>
    </row>
    <row r="45" spans="1:14" x14ac:dyDescent="0.2">
      <c r="A45" s="167">
        <v>23</v>
      </c>
      <c r="B45" s="154" t="s">
        <v>941</v>
      </c>
      <c r="C45" s="162" t="s">
        <v>942</v>
      </c>
      <c r="D45" s="162" t="s">
        <v>943</v>
      </c>
      <c r="E45" s="163">
        <v>1446</v>
      </c>
      <c r="F45" s="165">
        <v>124.13606220000001</v>
      </c>
      <c r="G45" s="168">
        <f t="shared" si="1"/>
        <v>1.9651721072374159E-2</v>
      </c>
      <c r="H45" s="169"/>
      <c r="I45" s="180"/>
      <c r="J45" s="169"/>
      <c r="K45" s="169"/>
      <c r="N45" s="179"/>
    </row>
    <row r="46" spans="1:14" x14ac:dyDescent="0.2">
      <c r="A46" s="167">
        <v>24</v>
      </c>
      <c r="B46" s="154" t="s">
        <v>944</v>
      </c>
      <c r="C46" s="162" t="s">
        <v>945</v>
      </c>
      <c r="D46" s="162" t="s">
        <v>874</v>
      </c>
      <c r="E46" s="163">
        <v>2385</v>
      </c>
      <c r="F46" s="165">
        <v>85.943628900000007</v>
      </c>
      <c r="G46" s="168">
        <f t="shared" si="1"/>
        <v>1.3605556621969555E-2</v>
      </c>
      <c r="H46" s="169"/>
      <c r="I46" s="180"/>
      <c r="J46" s="169"/>
      <c r="K46" s="169"/>
      <c r="N46" s="179"/>
    </row>
    <row r="47" spans="1:14" x14ac:dyDescent="0.2">
      <c r="A47" s="167">
        <v>25</v>
      </c>
      <c r="B47" s="154" t="s">
        <v>946</v>
      </c>
      <c r="C47" s="162" t="s">
        <v>947</v>
      </c>
      <c r="D47" s="162" t="s">
        <v>874</v>
      </c>
      <c r="E47" s="163">
        <v>125</v>
      </c>
      <c r="F47" s="165">
        <v>61.147033400000005</v>
      </c>
      <c r="G47" s="168">
        <f t="shared" si="1"/>
        <v>9.6800593114024728E-3</v>
      </c>
      <c r="H47" s="169"/>
      <c r="I47" s="180"/>
      <c r="J47" s="169"/>
      <c r="K47" s="169"/>
      <c r="N47" s="179"/>
    </row>
    <row r="48" spans="1:14" x14ac:dyDescent="0.2">
      <c r="A48" s="167">
        <v>26</v>
      </c>
      <c r="B48" s="154" t="s">
        <v>944</v>
      </c>
      <c r="C48" s="162" t="s">
        <v>945</v>
      </c>
      <c r="D48" s="162" t="s">
        <v>874</v>
      </c>
      <c r="E48" s="163">
        <v>615</v>
      </c>
      <c r="F48" s="165">
        <v>21.861638799999998</v>
      </c>
      <c r="G48" s="168">
        <f t="shared" si="1"/>
        <v>3.4608704373948833E-3</v>
      </c>
      <c r="H48" s="169"/>
      <c r="I48" s="180"/>
      <c r="J48" s="169"/>
      <c r="K48" s="169"/>
      <c r="N48" s="179"/>
    </row>
    <row r="49" spans="1:14" x14ac:dyDescent="0.2">
      <c r="A49" s="167">
        <v>27</v>
      </c>
      <c r="B49" s="154" t="s">
        <v>948</v>
      </c>
      <c r="C49" s="162" t="s">
        <v>949</v>
      </c>
      <c r="D49" s="162" t="s">
        <v>940</v>
      </c>
      <c r="E49" s="163">
        <v>94</v>
      </c>
      <c r="F49" s="165">
        <v>5.0278758000000003</v>
      </c>
      <c r="G49" s="168">
        <f t="shared" si="1"/>
        <v>7.9595253028849557E-4</v>
      </c>
      <c r="H49" s="169"/>
      <c r="I49" s="180"/>
      <c r="J49" s="169"/>
      <c r="K49" s="169"/>
      <c r="N49" s="179"/>
    </row>
    <row r="50" spans="1:14" x14ac:dyDescent="0.2">
      <c r="A50" s="153"/>
      <c r="B50" s="154"/>
      <c r="C50" s="162"/>
      <c r="D50" s="162"/>
      <c r="E50" s="163"/>
      <c r="F50" s="165"/>
      <c r="G50" s="168"/>
      <c r="H50" s="174"/>
      <c r="J50" s="169"/>
      <c r="N50" s="179"/>
    </row>
    <row r="51" spans="1:14" x14ac:dyDescent="0.2">
      <c r="A51" s="153"/>
      <c r="B51" s="154"/>
      <c r="C51" s="161" t="s">
        <v>104</v>
      </c>
      <c r="D51" s="162"/>
      <c r="E51" s="162"/>
      <c r="F51" s="159">
        <f>SUM(F23:F49)</f>
        <v>5406.1980790999987</v>
      </c>
      <c r="G51" s="176">
        <f>F51/F79</f>
        <v>0.85584394115313034</v>
      </c>
      <c r="H51" s="174"/>
      <c r="N51" s="179"/>
    </row>
    <row r="52" spans="1:14" x14ac:dyDescent="0.2">
      <c r="A52" s="153"/>
      <c r="B52" s="154"/>
      <c r="C52" s="161"/>
      <c r="D52" s="162"/>
      <c r="E52" s="162"/>
      <c r="F52" s="159"/>
      <c r="G52" s="160"/>
      <c r="N52" s="179"/>
    </row>
    <row r="53" spans="1:14" x14ac:dyDescent="0.2">
      <c r="A53" s="153"/>
      <c r="B53" s="154"/>
      <c r="C53" s="161" t="s">
        <v>950</v>
      </c>
      <c r="D53" s="162" t="s">
        <v>860</v>
      </c>
      <c r="E53" s="159" t="s">
        <v>859</v>
      </c>
      <c r="F53" s="159" t="s">
        <v>859</v>
      </c>
      <c r="G53" s="160" t="s">
        <v>859</v>
      </c>
      <c r="N53" s="179"/>
    </row>
    <row r="54" spans="1:14" x14ac:dyDescent="0.2">
      <c r="A54" s="153"/>
      <c r="B54" s="154"/>
      <c r="C54" s="161" t="s">
        <v>104</v>
      </c>
      <c r="D54" s="162" t="s">
        <v>860</v>
      </c>
      <c r="E54" s="159" t="s">
        <v>859</v>
      </c>
      <c r="F54" s="159" t="s">
        <v>859</v>
      </c>
      <c r="G54" s="160" t="s">
        <v>859</v>
      </c>
      <c r="N54" s="179"/>
    </row>
    <row r="55" spans="1:14" x14ac:dyDescent="0.2">
      <c r="A55" s="153"/>
      <c r="B55" s="154"/>
      <c r="C55" s="161" t="s">
        <v>861</v>
      </c>
      <c r="D55" s="162" t="s">
        <v>860</v>
      </c>
      <c r="E55" s="162" t="s">
        <v>860</v>
      </c>
      <c r="F55" s="159">
        <f>F51+F20</f>
        <v>6102.0761220999984</v>
      </c>
      <c r="G55" s="181">
        <f>F55/$F$79</f>
        <v>0.96600694261351971</v>
      </c>
      <c r="N55" s="179"/>
    </row>
    <row r="56" spans="1:14" x14ac:dyDescent="0.2">
      <c r="A56" s="153"/>
      <c r="B56" s="154"/>
      <c r="C56" s="182"/>
      <c r="D56" s="162"/>
      <c r="E56" s="162"/>
      <c r="F56" s="183"/>
      <c r="G56" s="160"/>
      <c r="N56" s="179"/>
    </row>
    <row r="57" spans="1:14" x14ac:dyDescent="0.2">
      <c r="A57" s="153"/>
      <c r="B57" s="154"/>
      <c r="C57" s="182" t="s">
        <v>951</v>
      </c>
      <c r="D57" s="162"/>
      <c r="E57" s="162"/>
      <c r="F57" s="183"/>
      <c r="G57" s="160"/>
    </row>
    <row r="58" spans="1:14" x14ac:dyDescent="0.2">
      <c r="A58" s="153"/>
      <c r="B58" s="154"/>
      <c r="C58" s="153" t="s">
        <v>952</v>
      </c>
      <c r="D58" s="162"/>
      <c r="E58" s="159" t="s">
        <v>859</v>
      </c>
      <c r="F58" s="159" t="s">
        <v>859</v>
      </c>
      <c r="G58" s="159" t="s">
        <v>859</v>
      </c>
    </row>
    <row r="59" spans="1:14" x14ac:dyDescent="0.2">
      <c r="A59" s="153"/>
      <c r="B59" s="154"/>
      <c r="C59" s="153" t="s">
        <v>953</v>
      </c>
      <c r="D59" s="162"/>
      <c r="E59" s="159" t="s">
        <v>859</v>
      </c>
      <c r="F59" s="159" t="s">
        <v>859</v>
      </c>
      <c r="G59" s="159" t="s">
        <v>859</v>
      </c>
    </row>
    <row r="60" spans="1:14" x14ac:dyDescent="0.2">
      <c r="A60" s="153"/>
      <c r="B60" s="154"/>
      <c r="C60" s="153" t="s">
        <v>954</v>
      </c>
      <c r="D60" s="162"/>
      <c r="E60" s="159" t="s">
        <v>859</v>
      </c>
      <c r="F60" s="159" t="s">
        <v>859</v>
      </c>
      <c r="G60" s="159" t="s">
        <v>859</v>
      </c>
    </row>
    <row r="61" spans="1:14" x14ac:dyDescent="0.2">
      <c r="A61" s="153"/>
      <c r="B61" s="154"/>
      <c r="C61" s="153"/>
      <c r="D61" s="162"/>
      <c r="E61" s="162"/>
      <c r="F61" s="184"/>
      <c r="G61" s="185"/>
    </row>
    <row r="62" spans="1:14" x14ac:dyDescent="0.2">
      <c r="A62" s="153"/>
      <c r="B62" s="154"/>
      <c r="C62" s="186" t="s">
        <v>955</v>
      </c>
      <c r="D62" s="162"/>
      <c r="E62" s="162"/>
      <c r="F62" s="184"/>
      <c r="G62" s="185"/>
    </row>
    <row r="63" spans="1:14" x14ac:dyDescent="0.2">
      <c r="A63" s="153"/>
      <c r="B63" s="154"/>
      <c r="C63" s="161" t="s">
        <v>104</v>
      </c>
      <c r="D63" s="162" t="s">
        <v>860</v>
      </c>
      <c r="E63" s="159" t="s">
        <v>859</v>
      </c>
      <c r="F63" s="159" t="s">
        <v>859</v>
      </c>
      <c r="G63" s="160" t="s">
        <v>859</v>
      </c>
    </row>
    <row r="64" spans="1:14" x14ac:dyDescent="0.2">
      <c r="A64" s="153"/>
      <c r="B64" s="154"/>
      <c r="C64" s="161" t="s">
        <v>861</v>
      </c>
      <c r="D64" s="162" t="s">
        <v>860</v>
      </c>
      <c r="E64" s="162" t="s">
        <v>860</v>
      </c>
      <c r="F64" s="159" t="s">
        <v>859</v>
      </c>
      <c r="G64" s="160" t="s">
        <v>859</v>
      </c>
    </row>
    <row r="65" spans="1:9" x14ac:dyDescent="0.2">
      <c r="A65" s="153"/>
      <c r="B65" s="154"/>
      <c r="C65" s="161"/>
      <c r="D65" s="162"/>
      <c r="E65" s="162"/>
      <c r="F65" s="159"/>
      <c r="G65" s="160"/>
    </row>
    <row r="66" spans="1:9" x14ac:dyDescent="0.2">
      <c r="A66" s="153"/>
      <c r="B66" s="154"/>
      <c r="C66" s="161" t="s">
        <v>956</v>
      </c>
      <c r="D66" s="162"/>
      <c r="E66" s="162"/>
      <c r="F66" s="159"/>
      <c r="G66" s="160"/>
    </row>
    <row r="67" spans="1:9" x14ac:dyDescent="0.2">
      <c r="A67" s="153"/>
      <c r="B67" s="154"/>
      <c r="C67" s="161" t="s">
        <v>957</v>
      </c>
      <c r="D67" s="162"/>
      <c r="E67" s="159" t="s">
        <v>859</v>
      </c>
      <c r="F67" s="159" t="s">
        <v>859</v>
      </c>
      <c r="G67" s="160" t="s">
        <v>859</v>
      </c>
    </row>
    <row r="68" spans="1:9" hidden="1" x14ac:dyDescent="0.2">
      <c r="A68" s="153"/>
      <c r="B68" s="154"/>
      <c r="C68" s="154"/>
      <c r="D68" s="162"/>
      <c r="E68" s="162" t="s">
        <v>860</v>
      </c>
      <c r="F68" s="159" t="s">
        <v>859</v>
      </c>
      <c r="G68" s="160" t="s">
        <v>859</v>
      </c>
    </row>
    <row r="69" spans="1:9" x14ac:dyDescent="0.2">
      <c r="A69" s="153"/>
      <c r="B69" s="154"/>
      <c r="C69" s="161" t="s">
        <v>104</v>
      </c>
      <c r="D69" s="162"/>
      <c r="E69" s="162"/>
      <c r="F69" s="159" t="s">
        <v>859</v>
      </c>
      <c r="G69" s="160" t="s">
        <v>859</v>
      </c>
    </row>
    <row r="70" spans="1:9" x14ac:dyDescent="0.2">
      <c r="A70" s="153"/>
      <c r="B70" s="154"/>
      <c r="C70" s="161"/>
      <c r="D70" s="162"/>
      <c r="E70" s="162"/>
      <c r="F70" s="159"/>
      <c r="G70" s="160"/>
    </row>
    <row r="71" spans="1:9" x14ac:dyDescent="0.2">
      <c r="A71" s="153"/>
      <c r="B71" s="154"/>
      <c r="C71" s="161" t="s">
        <v>958</v>
      </c>
      <c r="D71" s="162" t="s">
        <v>860</v>
      </c>
      <c r="E71" s="162" t="s">
        <v>860</v>
      </c>
      <c r="F71" s="187" t="s">
        <v>860</v>
      </c>
      <c r="G71" s="188" t="s">
        <v>860</v>
      </c>
    </row>
    <row r="72" spans="1:9" x14ac:dyDescent="0.2">
      <c r="A72" s="153"/>
      <c r="B72" s="154"/>
      <c r="C72" s="108" t="s">
        <v>730</v>
      </c>
      <c r="D72" s="162" t="s">
        <v>959</v>
      </c>
      <c r="E72" s="163"/>
      <c r="F72" s="165">
        <v>215.96692390000001</v>
      </c>
      <c r="G72" s="168">
        <f>F72/$F$79</f>
        <v>3.41892732387757E-2</v>
      </c>
      <c r="H72" s="169"/>
    </row>
    <row r="73" spans="1:9" x14ac:dyDescent="0.2">
      <c r="A73" s="153"/>
      <c r="B73" s="154"/>
      <c r="C73" s="161" t="s">
        <v>104</v>
      </c>
      <c r="D73" s="162" t="s">
        <v>860</v>
      </c>
      <c r="E73" s="162" t="s">
        <v>860</v>
      </c>
      <c r="F73" s="159">
        <f>F72</f>
        <v>215.96692390000001</v>
      </c>
      <c r="G73" s="181">
        <f>G72</f>
        <v>3.41892732387757E-2</v>
      </c>
    </row>
    <row r="74" spans="1:9" x14ac:dyDescent="0.2">
      <c r="A74" s="153"/>
      <c r="B74" s="154"/>
      <c r="C74" s="161"/>
      <c r="D74" s="162"/>
      <c r="E74" s="162"/>
      <c r="F74" s="159"/>
      <c r="G74" s="160"/>
    </row>
    <row r="75" spans="1:9" x14ac:dyDescent="0.2">
      <c r="A75" s="153"/>
      <c r="B75" s="154"/>
      <c r="C75" s="161" t="s">
        <v>128</v>
      </c>
      <c r="D75" s="162" t="s">
        <v>860</v>
      </c>
      <c r="E75" s="162" t="s">
        <v>860</v>
      </c>
      <c r="F75" s="165">
        <v>-1.2394569999987652</v>
      </c>
      <c r="G75" s="168">
        <f>F75/$F$79</f>
        <v>-1.9621585229547735E-4</v>
      </c>
      <c r="H75" s="169"/>
    </row>
    <row r="76" spans="1:9" x14ac:dyDescent="0.2">
      <c r="A76" s="153"/>
      <c r="B76" s="154"/>
      <c r="C76" s="161" t="s">
        <v>104</v>
      </c>
      <c r="D76" s="162"/>
      <c r="E76" s="162"/>
      <c r="F76" s="159">
        <f>F75</f>
        <v>-1.2394569999987652</v>
      </c>
      <c r="G76" s="181">
        <f>G75</f>
        <v>-1.9621585229547735E-4</v>
      </c>
      <c r="I76" s="169"/>
    </row>
    <row r="77" spans="1:9" x14ac:dyDescent="0.2">
      <c r="A77" s="153"/>
      <c r="B77" s="154"/>
      <c r="C77" s="161" t="s">
        <v>861</v>
      </c>
      <c r="D77" s="162"/>
      <c r="E77" s="162"/>
      <c r="F77" s="159">
        <f>F73+F76</f>
        <v>214.72746690000125</v>
      </c>
      <c r="G77" s="181">
        <f>F77/$F$79</f>
        <v>3.3993057386480223E-2</v>
      </c>
      <c r="H77" s="169"/>
    </row>
    <row r="78" spans="1:9" x14ac:dyDescent="0.2">
      <c r="A78" s="153"/>
      <c r="B78" s="154"/>
      <c r="C78" s="161"/>
      <c r="D78" s="162"/>
      <c r="E78" s="162"/>
      <c r="F78" s="159"/>
      <c r="G78" s="160"/>
    </row>
    <row r="79" spans="1:9" x14ac:dyDescent="0.2">
      <c r="A79" s="153"/>
      <c r="B79" s="154"/>
      <c r="C79" s="161" t="s">
        <v>960</v>
      </c>
      <c r="D79" s="162" t="s">
        <v>860</v>
      </c>
      <c r="E79" s="162" t="s">
        <v>860</v>
      </c>
      <c r="F79" s="159">
        <v>6316.8035890000001</v>
      </c>
      <c r="G79" s="181">
        <f>G77+G55</f>
        <v>0.99999999999999989</v>
      </c>
      <c r="H79" s="169"/>
    </row>
    <row r="80" spans="1:9" x14ac:dyDescent="0.2">
      <c r="A80" s="189"/>
      <c r="B80" s="190"/>
      <c r="C80" s="171"/>
      <c r="D80" s="190"/>
      <c r="E80" s="190"/>
      <c r="F80" s="191"/>
      <c r="G80" s="192"/>
      <c r="H80" s="169"/>
    </row>
    <row r="81" spans="1:7" x14ac:dyDescent="0.2">
      <c r="A81" s="189"/>
      <c r="B81" s="193" t="s">
        <v>131</v>
      </c>
      <c r="C81" s="193"/>
      <c r="D81" s="194"/>
      <c r="E81" s="194"/>
      <c r="F81" s="195"/>
      <c r="G81" s="192"/>
    </row>
    <row r="82" spans="1:7" x14ac:dyDescent="0.2">
      <c r="A82" s="189"/>
      <c r="B82" s="283" t="s">
        <v>961</v>
      </c>
      <c r="C82" s="283"/>
      <c r="D82" s="283"/>
      <c r="E82" s="194"/>
      <c r="F82" s="195"/>
      <c r="G82" s="192"/>
    </row>
    <row r="83" spans="1:7" x14ac:dyDescent="0.2">
      <c r="A83" s="189"/>
      <c r="B83" s="283" t="s">
        <v>962</v>
      </c>
      <c r="C83" s="283"/>
      <c r="D83" s="283"/>
      <c r="E83" s="194"/>
      <c r="F83" s="194"/>
      <c r="G83" s="192"/>
    </row>
    <row r="84" spans="1:7" x14ac:dyDescent="0.2">
      <c r="A84" s="189"/>
      <c r="B84" s="287" t="s">
        <v>963</v>
      </c>
      <c r="C84" s="287"/>
      <c r="D84" s="287"/>
      <c r="E84" s="194"/>
      <c r="F84" s="194"/>
      <c r="G84" s="196"/>
    </row>
    <row r="85" spans="1:7" ht="15.75" customHeight="1" x14ac:dyDescent="0.2">
      <c r="A85" s="189"/>
      <c r="B85" s="197"/>
      <c r="C85" s="284" t="s">
        <v>964</v>
      </c>
      <c r="D85" s="284"/>
      <c r="E85" s="284" t="s">
        <v>965</v>
      </c>
      <c r="F85" s="284"/>
    </row>
    <row r="86" spans="1:7" x14ac:dyDescent="0.2">
      <c r="A86" s="189"/>
      <c r="B86" s="198"/>
      <c r="C86" s="199" t="s">
        <v>966</v>
      </c>
      <c r="D86" s="200" t="s">
        <v>967</v>
      </c>
      <c r="E86" s="199" t="s">
        <v>966</v>
      </c>
      <c r="F86" s="200" t="s">
        <v>967</v>
      </c>
    </row>
    <row r="87" spans="1:7" x14ac:dyDescent="0.2">
      <c r="A87" s="189"/>
      <c r="B87" s="182" t="s">
        <v>968</v>
      </c>
      <c r="C87" s="201">
        <v>43646</v>
      </c>
      <c r="D87" s="201">
        <v>43677</v>
      </c>
      <c r="E87" s="201">
        <v>43646</v>
      </c>
      <c r="F87" s="201">
        <v>43677</v>
      </c>
      <c r="G87" s="145"/>
    </row>
    <row r="88" spans="1:7" x14ac:dyDescent="0.2">
      <c r="A88" s="189"/>
      <c r="B88" s="202" t="s">
        <v>969</v>
      </c>
      <c r="C88" s="203">
        <v>15.5504</v>
      </c>
      <c r="D88" s="203">
        <v>15.991099999999999</v>
      </c>
      <c r="E88" s="203">
        <v>15.1905</v>
      </c>
      <c r="F88" s="203">
        <v>15.612299999999999</v>
      </c>
      <c r="G88" s="145"/>
    </row>
    <row r="89" spans="1:7" x14ac:dyDescent="0.2">
      <c r="A89" s="189"/>
      <c r="B89" s="202" t="s">
        <v>970</v>
      </c>
      <c r="C89" s="203">
        <v>15.5504</v>
      </c>
      <c r="D89" s="203">
        <v>15.991099999999999</v>
      </c>
      <c r="E89" s="203">
        <v>15.1905</v>
      </c>
      <c r="F89" s="203">
        <v>15.612299999999999</v>
      </c>
      <c r="G89" s="145"/>
    </row>
    <row r="90" spans="1:7" x14ac:dyDescent="0.2">
      <c r="A90" s="189"/>
      <c r="B90" s="189"/>
      <c r="C90" s="194"/>
      <c r="D90" s="194"/>
      <c r="E90" s="204"/>
      <c r="F90" s="204"/>
      <c r="G90" s="196"/>
    </row>
    <row r="91" spans="1:7" x14ac:dyDescent="0.2">
      <c r="A91" s="189"/>
      <c r="B91" s="283" t="s">
        <v>971</v>
      </c>
      <c r="C91" s="283"/>
      <c r="D91" s="283"/>
      <c r="E91" s="194"/>
      <c r="F91" s="194"/>
      <c r="G91" s="196"/>
    </row>
    <row r="92" spans="1:7" x14ac:dyDescent="0.2">
      <c r="A92" s="189"/>
      <c r="B92" s="283" t="s">
        <v>972</v>
      </c>
      <c r="C92" s="283"/>
      <c r="D92" s="283"/>
      <c r="E92" s="194"/>
      <c r="F92" s="194"/>
      <c r="G92" s="205"/>
    </row>
    <row r="93" spans="1:7" x14ac:dyDescent="0.2">
      <c r="A93" s="189"/>
      <c r="B93" s="283" t="s">
        <v>973</v>
      </c>
      <c r="C93" s="283"/>
      <c r="D93" s="283"/>
      <c r="E93" s="195"/>
      <c r="F93" s="194"/>
      <c r="G93" s="196"/>
    </row>
    <row r="94" spans="1:7" x14ac:dyDescent="0.2">
      <c r="A94" s="189"/>
      <c r="B94" s="285" t="s">
        <v>974</v>
      </c>
      <c r="C94" s="285"/>
      <c r="D94" s="285"/>
      <c r="E94" s="194"/>
      <c r="F94" s="194"/>
      <c r="G94" s="196"/>
    </row>
    <row r="95" spans="1:7" x14ac:dyDescent="0.2">
      <c r="A95" s="189"/>
      <c r="B95" s="283" t="s">
        <v>975</v>
      </c>
      <c r="C95" s="283"/>
      <c r="D95" s="283"/>
      <c r="E95" s="194"/>
      <c r="F95" s="194"/>
      <c r="G95" s="196"/>
    </row>
    <row r="96" spans="1:7" x14ac:dyDescent="0.2">
      <c r="A96" s="189"/>
      <c r="B96" s="189"/>
      <c r="C96" s="206"/>
      <c r="D96" s="189"/>
      <c r="E96" s="189"/>
      <c r="F96" s="205"/>
      <c r="G96" s="196"/>
    </row>
    <row r="97" spans="1:7" x14ac:dyDescent="0.2">
      <c r="A97" s="189"/>
      <c r="B97" s="189"/>
      <c r="C97" s="189"/>
      <c r="D97" s="189"/>
      <c r="E97" s="189"/>
      <c r="F97" s="205"/>
      <c r="G97" s="196"/>
    </row>
    <row r="98" spans="1:7" x14ac:dyDescent="0.2">
      <c r="A98" s="189"/>
      <c r="B98" s="189"/>
      <c r="C98" s="189"/>
      <c r="D98" s="189"/>
      <c r="E98" s="189"/>
      <c r="F98" s="205"/>
      <c r="G98" s="196"/>
    </row>
    <row r="99" spans="1:7" x14ac:dyDescent="0.2">
      <c r="A99" s="189"/>
      <c r="B99" s="189"/>
      <c r="C99" s="189"/>
      <c r="D99" s="189"/>
      <c r="E99" s="189"/>
      <c r="F99" s="205"/>
      <c r="G99" s="196"/>
    </row>
    <row r="100" spans="1:7" x14ac:dyDescent="0.2">
      <c r="A100" s="189"/>
      <c r="B100" s="189"/>
      <c r="C100" s="189"/>
      <c r="D100" s="189"/>
      <c r="E100" s="189"/>
      <c r="F100" s="205"/>
      <c r="G100" s="196"/>
    </row>
    <row r="101" spans="1:7" x14ac:dyDescent="0.2">
      <c r="A101" s="189"/>
      <c r="B101" s="189"/>
      <c r="C101" s="189"/>
      <c r="D101" s="189"/>
      <c r="E101" s="189"/>
      <c r="F101" s="205"/>
      <c r="G101" s="196"/>
    </row>
    <row r="102" spans="1:7" x14ac:dyDescent="0.2">
      <c r="A102" s="189"/>
      <c r="B102" s="189"/>
      <c r="C102" s="189"/>
      <c r="D102" s="189"/>
      <c r="E102" s="189"/>
      <c r="F102" s="205"/>
      <c r="G102" s="196"/>
    </row>
    <row r="103" spans="1:7" x14ac:dyDescent="0.2">
      <c r="A103" s="189"/>
      <c r="B103" s="189"/>
      <c r="C103" s="189"/>
      <c r="D103" s="189"/>
      <c r="E103" s="189"/>
      <c r="F103" s="205"/>
      <c r="G103" s="196"/>
    </row>
    <row r="104" spans="1:7" x14ac:dyDescent="0.2">
      <c r="A104" s="189"/>
      <c r="B104" s="189"/>
      <c r="C104" s="189"/>
      <c r="D104" s="189"/>
      <c r="E104" s="189"/>
      <c r="F104" s="205"/>
      <c r="G104" s="196"/>
    </row>
    <row r="105" spans="1:7" x14ac:dyDescent="0.2">
      <c r="A105" s="189"/>
      <c r="B105" s="189"/>
      <c r="C105" s="189"/>
      <c r="D105" s="189"/>
      <c r="E105" s="189"/>
      <c r="F105" s="205"/>
      <c r="G105" s="196"/>
    </row>
  </sheetData>
  <mergeCells count="13">
    <mergeCell ref="B84:D84"/>
    <mergeCell ref="A1:G1"/>
    <mergeCell ref="A2:G2"/>
    <mergeCell ref="A3:G3"/>
    <mergeCell ref="B82:D82"/>
    <mergeCell ref="B83:D83"/>
    <mergeCell ref="B95:D95"/>
    <mergeCell ref="C85:D85"/>
    <mergeCell ref="E85:F85"/>
    <mergeCell ref="B91:D91"/>
    <mergeCell ref="B92:D92"/>
    <mergeCell ref="B93:D93"/>
    <mergeCell ref="B94:D9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3E2C-A512-45DA-858C-C1A3746666D7}">
  <dimension ref="A1:J105"/>
  <sheetViews>
    <sheetView workbookViewId="0">
      <selection sqref="A1:G1"/>
    </sheetView>
  </sheetViews>
  <sheetFormatPr defaultRowHeight="12.75" x14ac:dyDescent="0.2"/>
  <cols>
    <col min="1" max="1" width="5.85546875" style="145" bestFit="1" customWidth="1"/>
    <col min="2" max="2" width="14.140625" style="145" bestFit="1" customWidth="1"/>
    <col min="3" max="3" width="37.7109375" style="145" bestFit="1" customWidth="1"/>
    <col min="4" max="4" width="26.85546875" style="145" bestFit="1" customWidth="1"/>
    <col min="5" max="5" width="13.85546875" style="145" bestFit="1" customWidth="1"/>
    <col min="6" max="6" width="10.7109375" style="169" bestFit="1" customWidth="1"/>
    <col min="7" max="7" width="9.7109375" style="174" bestFit="1" customWidth="1"/>
    <col min="8" max="16384" width="9.140625" style="145"/>
  </cols>
  <sheetData>
    <row r="1" spans="1:10" ht="18.75" customHeight="1" x14ac:dyDescent="0.2">
      <c r="A1" s="288" t="s">
        <v>0</v>
      </c>
      <c r="B1" s="288"/>
      <c r="C1" s="288"/>
      <c r="D1" s="288"/>
      <c r="E1" s="288"/>
      <c r="F1" s="288"/>
      <c r="G1" s="288"/>
    </row>
    <row r="2" spans="1:10" ht="15" customHeight="1" x14ac:dyDescent="0.2">
      <c r="A2" s="286" t="s">
        <v>976</v>
      </c>
      <c r="B2" s="286"/>
      <c r="C2" s="286"/>
      <c r="D2" s="286"/>
      <c r="E2" s="286"/>
      <c r="F2" s="286"/>
      <c r="G2" s="286"/>
    </row>
    <row r="3" spans="1:10" ht="15" customHeight="1" x14ac:dyDescent="0.2">
      <c r="A3" s="276" t="s">
        <v>731</v>
      </c>
      <c r="B3" s="277"/>
      <c r="C3" s="277"/>
      <c r="D3" s="277"/>
      <c r="E3" s="277"/>
      <c r="F3" s="277"/>
      <c r="G3" s="278"/>
    </row>
    <row r="4" spans="1:10" ht="30" x14ac:dyDescent="0.2">
      <c r="A4" s="146" t="s">
        <v>2</v>
      </c>
      <c r="B4" s="147" t="s">
        <v>852</v>
      </c>
      <c r="C4" s="207" t="s">
        <v>853</v>
      </c>
      <c r="D4" s="150" t="s">
        <v>5</v>
      </c>
      <c r="E4" s="208" t="s">
        <v>6</v>
      </c>
      <c r="F4" s="209" t="s">
        <v>854</v>
      </c>
      <c r="G4" s="210" t="s">
        <v>855</v>
      </c>
    </row>
    <row r="5" spans="1:10" x14ac:dyDescent="0.2">
      <c r="A5" s="153"/>
      <c r="B5" s="154"/>
      <c r="C5" s="155" t="s">
        <v>856</v>
      </c>
      <c r="D5" s="156"/>
      <c r="E5" s="156"/>
      <c r="F5" s="157"/>
      <c r="G5" s="158"/>
    </row>
    <row r="6" spans="1:10" x14ac:dyDescent="0.2">
      <c r="A6" s="153"/>
      <c r="B6" s="154"/>
      <c r="C6" s="155" t="s">
        <v>857</v>
      </c>
      <c r="D6" s="156"/>
      <c r="E6" s="156"/>
      <c r="F6" s="157"/>
      <c r="G6" s="158"/>
    </row>
    <row r="7" spans="1:10" x14ac:dyDescent="0.2">
      <c r="A7" s="153"/>
      <c r="B7" s="154"/>
      <c r="C7" s="155" t="s">
        <v>858</v>
      </c>
      <c r="D7" s="156"/>
      <c r="E7" s="159" t="s">
        <v>859</v>
      </c>
      <c r="F7" s="159" t="s">
        <v>859</v>
      </c>
      <c r="G7" s="160" t="s">
        <v>859</v>
      </c>
    </row>
    <row r="8" spans="1:10" x14ac:dyDescent="0.2">
      <c r="A8" s="153"/>
      <c r="B8" s="211"/>
      <c r="C8" s="161" t="s">
        <v>104</v>
      </c>
      <c r="D8" s="162" t="s">
        <v>860</v>
      </c>
      <c r="E8" s="162" t="s">
        <v>860</v>
      </c>
      <c r="F8" s="159" t="s">
        <v>859</v>
      </c>
      <c r="G8" s="160" t="s">
        <v>859</v>
      </c>
    </row>
    <row r="9" spans="1:10" x14ac:dyDescent="0.2">
      <c r="A9" s="153"/>
      <c r="B9" s="211"/>
      <c r="C9" s="161" t="s">
        <v>861</v>
      </c>
      <c r="D9" s="162" t="s">
        <v>860</v>
      </c>
      <c r="E9" s="163"/>
      <c r="F9" s="159" t="s">
        <v>859</v>
      </c>
      <c r="G9" s="160" t="s">
        <v>859</v>
      </c>
    </row>
    <row r="10" spans="1:10" x14ac:dyDescent="0.2">
      <c r="A10" s="153"/>
      <c r="B10" s="211"/>
      <c r="C10" s="162"/>
      <c r="D10" s="162"/>
      <c r="E10" s="163"/>
      <c r="F10" s="159"/>
      <c r="G10" s="160"/>
    </row>
    <row r="11" spans="1:10" x14ac:dyDescent="0.2">
      <c r="A11" s="153"/>
      <c r="B11" s="211"/>
      <c r="C11" s="164" t="s">
        <v>862</v>
      </c>
      <c r="D11" s="162"/>
      <c r="E11" s="163"/>
      <c r="F11" s="165"/>
      <c r="G11" s="166"/>
    </row>
    <row r="12" spans="1:10" x14ac:dyDescent="0.2">
      <c r="A12" s="153"/>
      <c r="B12" s="211"/>
      <c r="C12" s="164" t="s">
        <v>863</v>
      </c>
      <c r="D12" s="162"/>
      <c r="E12" s="163"/>
      <c r="F12" s="165"/>
      <c r="G12" s="166"/>
    </row>
    <row r="13" spans="1:10" x14ac:dyDescent="0.2">
      <c r="A13" s="212">
        <v>1</v>
      </c>
      <c r="B13" s="154" t="s">
        <v>864</v>
      </c>
      <c r="C13" s="154" t="s">
        <v>865</v>
      </c>
      <c r="D13" s="162" t="s">
        <v>866</v>
      </c>
      <c r="E13" s="163">
        <v>2681</v>
      </c>
      <c r="F13" s="165">
        <v>186.41448129999998</v>
      </c>
      <c r="G13" s="168">
        <f>F13/$F$78</f>
        <v>4.0902208631495497E-2</v>
      </c>
      <c r="H13" s="169"/>
      <c r="I13" s="169"/>
      <c r="J13" s="213"/>
    </row>
    <row r="14" spans="1:10" x14ac:dyDescent="0.2">
      <c r="A14" s="212">
        <v>2</v>
      </c>
      <c r="B14" s="154" t="s">
        <v>867</v>
      </c>
      <c r="C14" s="154" t="s">
        <v>868</v>
      </c>
      <c r="D14" s="162" t="s">
        <v>869</v>
      </c>
      <c r="E14" s="163">
        <v>1563</v>
      </c>
      <c r="F14" s="165">
        <v>138.8879134</v>
      </c>
      <c r="G14" s="168">
        <f t="shared" ref="G14:G20" si="0">F14/$F$78</f>
        <v>3.0474147559049536E-2</v>
      </c>
      <c r="H14" s="169"/>
      <c r="I14" s="169"/>
      <c r="J14" s="213"/>
    </row>
    <row r="15" spans="1:10" x14ac:dyDescent="0.2">
      <c r="A15" s="212">
        <v>3</v>
      </c>
      <c r="B15" s="154" t="s">
        <v>870</v>
      </c>
      <c r="C15" s="154" t="s">
        <v>871</v>
      </c>
      <c r="D15" s="162" t="s">
        <v>869</v>
      </c>
      <c r="E15" s="163">
        <v>4079</v>
      </c>
      <c r="F15" s="165">
        <v>69.879783000000003</v>
      </c>
      <c r="G15" s="168">
        <f t="shared" si="0"/>
        <v>1.5332700782992405E-2</v>
      </c>
      <c r="H15" s="169"/>
      <c r="I15" s="169"/>
      <c r="J15" s="213"/>
    </row>
    <row r="16" spans="1:10" x14ac:dyDescent="0.2">
      <c r="A16" s="212">
        <v>4</v>
      </c>
      <c r="B16" s="154" t="s">
        <v>872</v>
      </c>
      <c r="C16" s="154" t="s">
        <v>873</v>
      </c>
      <c r="D16" s="162" t="s">
        <v>874</v>
      </c>
      <c r="E16" s="163">
        <v>4724</v>
      </c>
      <c r="F16" s="165">
        <v>48.466719299999994</v>
      </c>
      <c r="G16" s="168">
        <f t="shared" si="0"/>
        <v>1.0634344771222071E-2</v>
      </c>
      <c r="H16" s="169"/>
      <c r="I16" s="169"/>
      <c r="J16" s="213"/>
    </row>
    <row r="17" spans="1:10" x14ac:dyDescent="0.2">
      <c r="A17" s="212">
        <v>5</v>
      </c>
      <c r="B17" s="154" t="s">
        <v>875</v>
      </c>
      <c r="C17" s="154" t="s">
        <v>876</v>
      </c>
      <c r="D17" s="162" t="s">
        <v>874</v>
      </c>
      <c r="E17" s="163">
        <v>17875</v>
      </c>
      <c r="F17" s="165">
        <v>42.463189499999999</v>
      </c>
      <c r="G17" s="168">
        <f t="shared" si="0"/>
        <v>9.3170778577690311E-3</v>
      </c>
      <c r="H17" s="169"/>
      <c r="I17" s="169"/>
      <c r="J17" s="213"/>
    </row>
    <row r="18" spans="1:10" x14ac:dyDescent="0.2">
      <c r="A18" s="212">
        <v>6</v>
      </c>
      <c r="B18" s="154" t="s">
        <v>877</v>
      </c>
      <c r="C18" s="154" t="s">
        <v>878</v>
      </c>
      <c r="D18" s="162" t="s">
        <v>874</v>
      </c>
      <c r="E18" s="163">
        <v>280</v>
      </c>
      <c r="F18" s="165">
        <v>15.950287700000001</v>
      </c>
      <c r="G18" s="168">
        <f t="shared" si="0"/>
        <v>3.4997388115350059E-3</v>
      </c>
      <c r="H18" s="169"/>
      <c r="I18" s="169"/>
      <c r="J18" s="213"/>
    </row>
    <row r="19" spans="1:10" x14ac:dyDescent="0.2">
      <c r="A19" s="153"/>
      <c r="B19" s="154"/>
      <c r="C19" s="154"/>
      <c r="D19" s="162"/>
      <c r="E19" s="163"/>
      <c r="F19" s="165"/>
      <c r="G19" s="168"/>
    </row>
    <row r="20" spans="1:10" x14ac:dyDescent="0.2">
      <c r="A20" s="153"/>
      <c r="B20" s="154"/>
      <c r="C20" s="214" t="s">
        <v>104</v>
      </c>
      <c r="D20" s="162"/>
      <c r="E20" s="163"/>
      <c r="F20" s="175">
        <f>SUM(F13:F18)</f>
        <v>502.06237420000002</v>
      </c>
      <c r="G20" s="176">
        <f t="shared" si="0"/>
        <v>0.11016021841406357</v>
      </c>
    </row>
    <row r="21" spans="1:10" x14ac:dyDescent="0.2">
      <c r="A21" s="153"/>
      <c r="B21" s="154"/>
      <c r="C21" s="162"/>
      <c r="D21" s="162"/>
      <c r="E21" s="163"/>
      <c r="F21" s="175"/>
      <c r="G21" s="177"/>
    </row>
    <row r="22" spans="1:10" x14ac:dyDescent="0.2">
      <c r="A22" s="153"/>
      <c r="B22" s="154"/>
      <c r="C22" s="164" t="s">
        <v>879</v>
      </c>
      <c r="D22" s="162"/>
      <c r="E22" s="163"/>
      <c r="F22" s="165"/>
      <c r="G22" s="166"/>
    </row>
    <row r="23" spans="1:10" x14ac:dyDescent="0.2">
      <c r="A23" s="167">
        <v>1</v>
      </c>
      <c r="B23" s="154" t="s">
        <v>880</v>
      </c>
      <c r="C23" s="154" t="s">
        <v>881</v>
      </c>
      <c r="D23" s="162" t="s">
        <v>882</v>
      </c>
      <c r="E23" s="163">
        <v>225</v>
      </c>
      <c r="F23" s="215">
        <v>289.21653850000001</v>
      </c>
      <c r="G23" s="168">
        <f t="shared" ref="G23:G48" si="1">F23/$F$78</f>
        <v>6.3458563492008888E-2</v>
      </c>
      <c r="H23" s="169"/>
      <c r="I23" s="169"/>
      <c r="J23" s="169"/>
    </row>
    <row r="24" spans="1:10" x14ac:dyDescent="0.2">
      <c r="A24" s="167">
        <v>2</v>
      </c>
      <c r="B24" s="154" t="s">
        <v>883</v>
      </c>
      <c r="C24" s="154" t="s">
        <v>884</v>
      </c>
      <c r="D24" s="162" t="s">
        <v>885</v>
      </c>
      <c r="E24" s="163">
        <v>3024</v>
      </c>
      <c r="F24" s="215">
        <v>283.74584399999998</v>
      </c>
      <c r="G24" s="168">
        <f t="shared" si="1"/>
        <v>6.2258208850900984E-2</v>
      </c>
      <c r="H24" s="169"/>
      <c r="I24" s="169"/>
      <c r="J24" s="169"/>
    </row>
    <row r="25" spans="1:10" x14ac:dyDescent="0.2">
      <c r="A25" s="167">
        <v>3</v>
      </c>
      <c r="B25" s="154" t="s">
        <v>886</v>
      </c>
      <c r="C25" s="154" t="s">
        <v>887</v>
      </c>
      <c r="D25" s="162" t="s">
        <v>888</v>
      </c>
      <c r="E25" s="163">
        <v>307</v>
      </c>
      <c r="F25" s="215">
        <v>257.51612999999998</v>
      </c>
      <c r="G25" s="168">
        <f t="shared" si="1"/>
        <v>5.6503005570068432E-2</v>
      </c>
      <c r="H25" s="169"/>
      <c r="I25" s="169"/>
      <c r="J25" s="169"/>
    </row>
    <row r="26" spans="1:10" x14ac:dyDescent="0.2">
      <c r="A26" s="167">
        <v>4</v>
      </c>
      <c r="B26" s="154" t="s">
        <v>889</v>
      </c>
      <c r="C26" s="154" t="s">
        <v>890</v>
      </c>
      <c r="D26" s="162" t="s">
        <v>891</v>
      </c>
      <c r="E26" s="163">
        <v>1638</v>
      </c>
      <c r="F26" s="215">
        <v>240.2827077</v>
      </c>
      <c r="G26" s="168">
        <f t="shared" si="1"/>
        <v>5.2721727262537793E-2</v>
      </c>
      <c r="H26" s="169"/>
      <c r="I26" s="169"/>
      <c r="J26" s="169"/>
    </row>
    <row r="27" spans="1:10" x14ac:dyDescent="0.2">
      <c r="A27" s="167">
        <v>5</v>
      </c>
      <c r="B27" s="154" t="s">
        <v>892</v>
      </c>
      <c r="C27" s="154" t="s">
        <v>893</v>
      </c>
      <c r="D27" s="162" t="s">
        <v>894</v>
      </c>
      <c r="E27" s="163">
        <v>1410</v>
      </c>
      <c r="F27" s="215">
        <v>204.58431610000002</v>
      </c>
      <c r="G27" s="168">
        <f t="shared" si="1"/>
        <v>4.4888950265550134E-2</v>
      </c>
      <c r="H27" s="169"/>
      <c r="I27" s="169"/>
      <c r="J27" s="169"/>
    </row>
    <row r="28" spans="1:10" x14ac:dyDescent="0.2">
      <c r="A28" s="167">
        <v>6</v>
      </c>
      <c r="B28" s="154" t="s">
        <v>895</v>
      </c>
      <c r="C28" s="154" t="s">
        <v>896</v>
      </c>
      <c r="D28" s="162" t="s">
        <v>897</v>
      </c>
      <c r="E28" s="163">
        <v>2514</v>
      </c>
      <c r="F28" s="215">
        <v>204.33461350000002</v>
      </c>
      <c r="G28" s="168">
        <f t="shared" si="1"/>
        <v>4.4834161668817728E-2</v>
      </c>
      <c r="H28" s="169"/>
      <c r="I28" s="169"/>
      <c r="J28" s="169"/>
    </row>
    <row r="29" spans="1:10" x14ac:dyDescent="0.2">
      <c r="A29" s="167">
        <v>7</v>
      </c>
      <c r="B29" s="154" t="s">
        <v>898</v>
      </c>
      <c r="C29" s="154" t="s">
        <v>899</v>
      </c>
      <c r="D29" s="162" t="s">
        <v>874</v>
      </c>
      <c r="E29" s="163">
        <v>701</v>
      </c>
      <c r="F29" s="215">
        <v>202.16004570000001</v>
      </c>
      <c r="G29" s="168">
        <f t="shared" si="1"/>
        <v>4.4357027997556468E-2</v>
      </c>
      <c r="H29" s="169"/>
      <c r="I29" s="169"/>
      <c r="J29" s="169"/>
    </row>
    <row r="30" spans="1:10" x14ac:dyDescent="0.2">
      <c r="A30" s="167">
        <v>8</v>
      </c>
      <c r="B30" s="154" t="s">
        <v>900</v>
      </c>
      <c r="C30" s="154" t="s">
        <v>901</v>
      </c>
      <c r="D30" s="162" t="s">
        <v>902</v>
      </c>
      <c r="E30" s="163">
        <v>1834</v>
      </c>
      <c r="F30" s="215">
        <v>180.59811139999999</v>
      </c>
      <c r="G30" s="168">
        <f t="shared" si="1"/>
        <v>3.9626007483018789E-2</v>
      </c>
      <c r="H30" s="169"/>
      <c r="I30" s="169"/>
      <c r="J30" s="169"/>
    </row>
    <row r="31" spans="1:10" x14ac:dyDescent="0.2">
      <c r="A31" s="167">
        <v>9</v>
      </c>
      <c r="B31" s="154" t="s">
        <v>903</v>
      </c>
      <c r="C31" s="154" t="s">
        <v>904</v>
      </c>
      <c r="D31" s="162" t="s">
        <v>905</v>
      </c>
      <c r="E31" s="163">
        <v>4928</v>
      </c>
      <c r="F31" s="215">
        <v>178.58769649999999</v>
      </c>
      <c r="G31" s="168">
        <f t="shared" si="1"/>
        <v>3.9184891486545685E-2</v>
      </c>
      <c r="H31" s="169"/>
      <c r="I31" s="169"/>
      <c r="J31" s="169"/>
    </row>
    <row r="32" spans="1:10" x14ac:dyDescent="0.2">
      <c r="A32" s="167">
        <v>10</v>
      </c>
      <c r="B32" s="154" t="s">
        <v>906</v>
      </c>
      <c r="C32" s="154" t="s">
        <v>907</v>
      </c>
      <c r="D32" s="162" t="s">
        <v>888</v>
      </c>
      <c r="E32" s="163">
        <v>1311</v>
      </c>
      <c r="F32" s="215">
        <v>175.33413229999999</v>
      </c>
      <c r="G32" s="168">
        <f t="shared" si="1"/>
        <v>3.8471009384810247E-2</v>
      </c>
      <c r="H32" s="169"/>
      <c r="I32" s="169"/>
      <c r="J32" s="169"/>
    </row>
    <row r="33" spans="1:10" x14ac:dyDescent="0.2">
      <c r="A33" s="167">
        <v>11</v>
      </c>
      <c r="B33" s="154" t="s">
        <v>908</v>
      </c>
      <c r="C33" s="154" t="s">
        <v>909</v>
      </c>
      <c r="D33" s="162" t="s">
        <v>910</v>
      </c>
      <c r="E33" s="163">
        <v>1689</v>
      </c>
      <c r="F33" s="215">
        <v>172.4020884</v>
      </c>
      <c r="G33" s="168">
        <f t="shared" si="1"/>
        <v>3.7827673789430707E-2</v>
      </c>
      <c r="H33" s="169"/>
      <c r="I33" s="169"/>
      <c r="J33" s="169"/>
    </row>
    <row r="34" spans="1:10" x14ac:dyDescent="0.2">
      <c r="A34" s="167">
        <v>12</v>
      </c>
      <c r="B34" s="154" t="s">
        <v>911</v>
      </c>
      <c r="C34" s="154" t="s">
        <v>912</v>
      </c>
      <c r="D34" s="162" t="s">
        <v>913</v>
      </c>
      <c r="E34" s="163">
        <v>4029</v>
      </c>
      <c r="F34" s="215">
        <v>153.69314539999999</v>
      </c>
      <c r="G34" s="168">
        <f t="shared" si="1"/>
        <v>3.3722643512146357E-2</v>
      </c>
      <c r="H34" s="169"/>
      <c r="I34" s="169"/>
      <c r="J34" s="169"/>
    </row>
    <row r="35" spans="1:10" x14ac:dyDescent="0.2">
      <c r="A35" s="167">
        <v>13</v>
      </c>
      <c r="B35" s="154" t="s">
        <v>914</v>
      </c>
      <c r="C35" s="154" t="s">
        <v>915</v>
      </c>
      <c r="D35" s="162" t="s">
        <v>916</v>
      </c>
      <c r="E35" s="163">
        <v>1857</v>
      </c>
      <c r="F35" s="215">
        <v>148.32602540000002</v>
      </c>
      <c r="G35" s="168">
        <f t="shared" si="1"/>
        <v>3.2545014711747623E-2</v>
      </c>
      <c r="H35" s="169"/>
      <c r="I35" s="169"/>
      <c r="J35" s="169"/>
    </row>
    <row r="36" spans="1:10" x14ac:dyDescent="0.2">
      <c r="A36" s="167">
        <v>14</v>
      </c>
      <c r="B36" s="154" t="s">
        <v>917</v>
      </c>
      <c r="C36" s="154" t="s">
        <v>918</v>
      </c>
      <c r="D36" s="162" t="s">
        <v>919</v>
      </c>
      <c r="E36" s="163">
        <v>4102</v>
      </c>
      <c r="F36" s="215">
        <v>142.77898239999999</v>
      </c>
      <c r="G36" s="168">
        <f t="shared" si="1"/>
        <v>3.1327908033706095E-2</v>
      </c>
      <c r="H36" s="169"/>
      <c r="I36" s="169"/>
      <c r="J36" s="169"/>
    </row>
    <row r="37" spans="1:10" x14ac:dyDescent="0.2">
      <c r="A37" s="167">
        <v>15</v>
      </c>
      <c r="B37" s="154" t="s">
        <v>920</v>
      </c>
      <c r="C37" s="154" t="s">
        <v>921</v>
      </c>
      <c r="D37" s="162" t="s">
        <v>922</v>
      </c>
      <c r="E37" s="163">
        <v>3551</v>
      </c>
      <c r="F37" s="215">
        <v>137.65960959999998</v>
      </c>
      <c r="G37" s="168">
        <f t="shared" si="1"/>
        <v>3.0204638785159769E-2</v>
      </c>
      <c r="H37" s="169"/>
      <c r="I37" s="169"/>
      <c r="J37" s="169"/>
    </row>
    <row r="38" spans="1:10" x14ac:dyDescent="0.2">
      <c r="A38" s="167">
        <v>16</v>
      </c>
      <c r="B38" s="154" t="s">
        <v>923</v>
      </c>
      <c r="C38" s="154" t="s">
        <v>924</v>
      </c>
      <c r="D38" s="162" t="s">
        <v>925</v>
      </c>
      <c r="E38" s="163">
        <v>1392</v>
      </c>
      <c r="F38" s="215">
        <v>114.51056709999999</v>
      </c>
      <c r="G38" s="168">
        <f t="shared" si="1"/>
        <v>2.512538228453105E-2</v>
      </c>
      <c r="H38" s="169"/>
      <c r="I38" s="169"/>
      <c r="J38" s="169"/>
    </row>
    <row r="39" spans="1:10" x14ac:dyDescent="0.2">
      <c r="A39" s="167">
        <v>17</v>
      </c>
      <c r="B39" s="154" t="s">
        <v>926</v>
      </c>
      <c r="C39" s="154" t="s">
        <v>927</v>
      </c>
      <c r="D39" s="162" t="s">
        <v>928</v>
      </c>
      <c r="E39" s="163">
        <v>1862</v>
      </c>
      <c r="F39" s="215">
        <v>110.30039459999999</v>
      </c>
      <c r="G39" s="168">
        <f t="shared" si="1"/>
        <v>2.4201605586665759E-2</v>
      </c>
      <c r="H39" s="169"/>
      <c r="I39" s="169"/>
      <c r="J39" s="169"/>
    </row>
    <row r="40" spans="1:10" x14ac:dyDescent="0.2">
      <c r="A40" s="167">
        <v>18</v>
      </c>
      <c r="B40" s="154" t="s">
        <v>931</v>
      </c>
      <c r="C40" s="154" t="s">
        <v>932</v>
      </c>
      <c r="D40" s="162" t="s">
        <v>933</v>
      </c>
      <c r="E40" s="163">
        <v>2015</v>
      </c>
      <c r="F40" s="215">
        <v>103.47733999999998</v>
      </c>
      <c r="G40" s="168">
        <f t="shared" si="1"/>
        <v>2.2704522308547682E-2</v>
      </c>
      <c r="H40" s="169"/>
      <c r="I40" s="169"/>
      <c r="J40" s="169"/>
    </row>
    <row r="41" spans="1:10" x14ac:dyDescent="0.2">
      <c r="A41" s="167">
        <v>19</v>
      </c>
      <c r="B41" s="154" t="s">
        <v>929</v>
      </c>
      <c r="C41" s="154" t="s">
        <v>930</v>
      </c>
      <c r="D41" s="162" t="s">
        <v>916</v>
      </c>
      <c r="E41" s="163">
        <v>1185</v>
      </c>
      <c r="F41" s="215">
        <v>101.48023189999999</v>
      </c>
      <c r="G41" s="168">
        <f t="shared" si="1"/>
        <v>2.2266326028965784E-2</v>
      </c>
      <c r="H41" s="169"/>
      <c r="I41" s="169"/>
      <c r="J41" s="169"/>
    </row>
    <row r="42" spans="1:10" x14ac:dyDescent="0.2">
      <c r="A42" s="167">
        <v>20</v>
      </c>
      <c r="B42" s="154" t="s">
        <v>934</v>
      </c>
      <c r="C42" s="154" t="s">
        <v>935</v>
      </c>
      <c r="D42" s="162" t="s">
        <v>905</v>
      </c>
      <c r="E42" s="163">
        <v>1110</v>
      </c>
      <c r="F42" s="215">
        <v>97.686664300000004</v>
      </c>
      <c r="G42" s="168">
        <f t="shared" si="1"/>
        <v>2.143395886333142E-2</v>
      </c>
      <c r="H42" s="169"/>
      <c r="I42" s="169"/>
      <c r="J42" s="169"/>
    </row>
    <row r="43" spans="1:10" x14ac:dyDescent="0.2">
      <c r="A43" s="167">
        <v>21</v>
      </c>
      <c r="B43" s="154" t="s">
        <v>936</v>
      </c>
      <c r="C43" s="154" t="s">
        <v>937</v>
      </c>
      <c r="D43" s="162" t="s">
        <v>922</v>
      </c>
      <c r="E43" s="163">
        <v>705</v>
      </c>
      <c r="F43" s="215">
        <v>93.486255700000001</v>
      </c>
      <c r="G43" s="168">
        <f t="shared" si="1"/>
        <v>2.0512324515524299E-2</v>
      </c>
      <c r="H43" s="169"/>
      <c r="I43" s="169"/>
      <c r="J43" s="169"/>
    </row>
    <row r="44" spans="1:10" x14ac:dyDescent="0.2">
      <c r="A44" s="167">
        <v>22</v>
      </c>
      <c r="B44" s="154" t="s">
        <v>938</v>
      </c>
      <c r="C44" s="154" t="s">
        <v>939</v>
      </c>
      <c r="D44" s="162" t="s">
        <v>940</v>
      </c>
      <c r="E44" s="163">
        <v>12748</v>
      </c>
      <c r="F44" s="215">
        <v>91.728820999999996</v>
      </c>
      <c r="G44" s="168">
        <f t="shared" si="1"/>
        <v>2.0126716271710088E-2</v>
      </c>
      <c r="H44" s="169"/>
      <c r="I44" s="169"/>
      <c r="J44" s="169"/>
    </row>
    <row r="45" spans="1:10" x14ac:dyDescent="0.2">
      <c r="A45" s="167">
        <v>23</v>
      </c>
      <c r="B45" s="154" t="s">
        <v>941</v>
      </c>
      <c r="C45" s="154" t="s">
        <v>942</v>
      </c>
      <c r="D45" s="162" t="s">
        <v>943</v>
      </c>
      <c r="E45" s="163">
        <v>1044</v>
      </c>
      <c r="F45" s="215">
        <v>89.625206699999993</v>
      </c>
      <c r="G45" s="168">
        <f t="shared" si="1"/>
        <v>1.9665150891280615E-2</v>
      </c>
      <c r="H45" s="169"/>
      <c r="I45" s="169"/>
      <c r="J45" s="169"/>
    </row>
    <row r="46" spans="1:10" x14ac:dyDescent="0.2">
      <c r="A46" s="167">
        <v>24</v>
      </c>
      <c r="B46" s="154" t="s">
        <v>944</v>
      </c>
      <c r="C46" s="154" t="s">
        <v>945</v>
      </c>
      <c r="D46" s="162" t="s">
        <v>874</v>
      </c>
      <c r="E46" s="163">
        <v>2167</v>
      </c>
      <c r="F46" s="215">
        <v>78.087985200000006</v>
      </c>
      <c r="G46" s="168">
        <f t="shared" si="1"/>
        <v>1.7133706780662717E-2</v>
      </c>
      <c r="H46" s="169"/>
      <c r="I46" s="169"/>
      <c r="J46" s="169"/>
    </row>
    <row r="47" spans="1:10" x14ac:dyDescent="0.2">
      <c r="A47" s="167">
        <v>25</v>
      </c>
      <c r="B47" s="154" t="s">
        <v>946</v>
      </c>
      <c r="C47" s="154" t="s">
        <v>947</v>
      </c>
      <c r="D47" s="162" t="s">
        <v>874</v>
      </c>
      <c r="E47" s="163">
        <v>95</v>
      </c>
      <c r="F47" s="215">
        <v>46.471745400000003</v>
      </c>
      <c r="G47" s="168">
        <f t="shared" si="1"/>
        <v>1.0196616767994309E-2</v>
      </c>
      <c r="H47" s="169"/>
      <c r="I47" s="169"/>
      <c r="J47" s="169"/>
    </row>
    <row r="48" spans="1:10" x14ac:dyDescent="0.2">
      <c r="A48" s="167">
        <v>26</v>
      </c>
      <c r="B48" s="154" t="s">
        <v>948</v>
      </c>
      <c r="C48" s="154" t="s">
        <v>949</v>
      </c>
      <c r="D48" s="162" t="s">
        <v>940</v>
      </c>
      <c r="E48" s="163">
        <v>69</v>
      </c>
      <c r="F48" s="215">
        <v>3.6906748000000005</v>
      </c>
      <c r="G48" s="168">
        <f t="shared" si="1"/>
        <v>8.0979090040577751E-4</v>
      </c>
      <c r="H48" s="169"/>
      <c r="I48" s="169"/>
      <c r="J48" s="169"/>
    </row>
    <row r="49" spans="1:8" x14ac:dyDescent="0.2">
      <c r="A49" s="153"/>
      <c r="B49" s="154"/>
      <c r="C49" s="154"/>
      <c r="D49" s="162"/>
      <c r="E49" s="165" t="s">
        <v>860</v>
      </c>
      <c r="F49" s="165"/>
      <c r="G49" s="168"/>
    </row>
    <row r="50" spans="1:8" x14ac:dyDescent="0.2">
      <c r="A50" s="153"/>
      <c r="B50" s="154"/>
      <c r="C50" s="161" t="s">
        <v>104</v>
      </c>
      <c r="D50" s="162"/>
      <c r="E50" s="162" t="s">
        <v>860</v>
      </c>
      <c r="F50" s="159">
        <f>SUM(F23:F48)</f>
        <v>3901.7658736000008</v>
      </c>
      <c r="G50" s="176">
        <f>F50/$F$78</f>
        <v>0.85610753349362534</v>
      </c>
      <c r="H50" s="174"/>
    </row>
    <row r="51" spans="1:8" x14ac:dyDescent="0.2">
      <c r="A51" s="153"/>
      <c r="B51" s="154"/>
      <c r="C51" s="161"/>
      <c r="D51" s="162"/>
      <c r="E51" s="162"/>
      <c r="F51" s="159"/>
      <c r="G51" s="160"/>
    </row>
    <row r="52" spans="1:8" x14ac:dyDescent="0.2">
      <c r="A52" s="153"/>
      <c r="B52" s="154"/>
      <c r="C52" s="161" t="s">
        <v>950</v>
      </c>
      <c r="D52" s="162" t="s">
        <v>860</v>
      </c>
      <c r="E52" s="159" t="s">
        <v>859</v>
      </c>
      <c r="F52" s="159" t="s">
        <v>859</v>
      </c>
      <c r="G52" s="160" t="s">
        <v>859</v>
      </c>
    </row>
    <row r="53" spans="1:8" x14ac:dyDescent="0.2">
      <c r="A53" s="153"/>
      <c r="B53" s="154"/>
      <c r="C53" s="161" t="s">
        <v>104</v>
      </c>
      <c r="D53" s="162" t="s">
        <v>860</v>
      </c>
      <c r="E53" s="159" t="s">
        <v>859</v>
      </c>
      <c r="F53" s="159" t="s">
        <v>859</v>
      </c>
      <c r="G53" s="160" t="s">
        <v>859</v>
      </c>
    </row>
    <row r="54" spans="1:8" x14ac:dyDescent="0.2">
      <c r="A54" s="153"/>
      <c r="B54" s="154"/>
      <c r="C54" s="161" t="s">
        <v>861</v>
      </c>
      <c r="D54" s="162" t="s">
        <v>860</v>
      </c>
      <c r="E54" s="162" t="s">
        <v>860</v>
      </c>
      <c r="F54" s="159">
        <f>F50+F20</f>
        <v>4403.828247800001</v>
      </c>
      <c r="G54" s="176">
        <f>F54/$F$78</f>
        <v>0.96626775190768899</v>
      </c>
    </row>
    <row r="55" spans="1:8" x14ac:dyDescent="0.2">
      <c r="A55" s="153"/>
      <c r="B55" s="154"/>
      <c r="C55" s="182"/>
      <c r="D55" s="162"/>
      <c r="E55" s="162"/>
      <c r="F55" s="183"/>
      <c r="G55" s="160"/>
    </row>
    <row r="56" spans="1:8" x14ac:dyDescent="0.2">
      <c r="A56" s="153"/>
      <c r="B56" s="154"/>
      <c r="C56" s="182" t="s">
        <v>951</v>
      </c>
      <c r="D56" s="162"/>
      <c r="E56" s="162"/>
      <c r="F56" s="183"/>
      <c r="G56" s="160"/>
    </row>
    <row r="57" spans="1:8" x14ac:dyDescent="0.2">
      <c r="A57" s="153"/>
      <c r="B57" s="154"/>
      <c r="C57" s="153" t="s">
        <v>952</v>
      </c>
      <c r="D57" s="162"/>
      <c r="E57" s="159" t="s">
        <v>859</v>
      </c>
      <c r="F57" s="159" t="s">
        <v>859</v>
      </c>
      <c r="G57" s="159" t="s">
        <v>859</v>
      </c>
    </row>
    <row r="58" spans="1:8" x14ac:dyDescent="0.2">
      <c r="A58" s="153"/>
      <c r="B58" s="154"/>
      <c r="C58" s="153" t="s">
        <v>953</v>
      </c>
      <c r="D58" s="162"/>
      <c r="E58" s="159" t="s">
        <v>859</v>
      </c>
      <c r="F58" s="159" t="s">
        <v>859</v>
      </c>
      <c r="G58" s="159" t="s">
        <v>859</v>
      </c>
    </row>
    <row r="59" spans="1:8" x14ac:dyDescent="0.2">
      <c r="A59" s="153"/>
      <c r="B59" s="154"/>
      <c r="C59" s="153" t="s">
        <v>954</v>
      </c>
      <c r="D59" s="162"/>
      <c r="E59" s="159" t="s">
        <v>859</v>
      </c>
      <c r="F59" s="159" t="s">
        <v>859</v>
      </c>
      <c r="G59" s="159" t="s">
        <v>859</v>
      </c>
    </row>
    <row r="60" spans="1:8" x14ac:dyDescent="0.2">
      <c r="A60" s="153"/>
      <c r="B60" s="154"/>
      <c r="C60" s="153"/>
      <c r="D60" s="162"/>
      <c r="E60" s="162"/>
      <c r="F60" s="184"/>
      <c r="G60" s="185"/>
    </row>
    <row r="61" spans="1:8" x14ac:dyDescent="0.2">
      <c r="A61" s="153"/>
      <c r="B61" s="154"/>
      <c r="C61" s="216" t="s">
        <v>955</v>
      </c>
      <c r="D61" s="162"/>
      <c r="E61" s="162"/>
      <c r="F61" s="184"/>
      <c r="G61" s="185"/>
    </row>
    <row r="62" spans="1:8" x14ac:dyDescent="0.2">
      <c r="A62" s="153"/>
      <c r="B62" s="154"/>
      <c r="C62" s="161" t="s">
        <v>104</v>
      </c>
      <c r="D62" s="162" t="s">
        <v>860</v>
      </c>
      <c r="E62" s="159" t="s">
        <v>859</v>
      </c>
      <c r="F62" s="159" t="s">
        <v>859</v>
      </c>
      <c r="G62" s="160" t="s">
        <v>859</v>
      </c>
    </row>
    <row r="63" spans="1:8" x14ac:dyDescent="0.2">
      <c r="A63" s="153"/>
      <c r="B63" s="154"/>
      <c r="C63" s="161" t="s">
        <v>861</v>
      </c>
      <c r="D63" s="162" t="s">
        <v>860</v>
      </c>
      <c r="E63" s="162" t="s">
        <v>860</v>
      </c>
      <c r="F63" s="159" t="s">
        <v>859</v>
      </c>
      <c r="G63" s="160" t="s">
        <v>859</v>
      </c>
    </row>
    <row r="64" spans="1:8" x14ac:dyDescent="0.2">
      <c r="A64" s="153"/>
      <c r="B64" s="154"/>
      <c r="C64" s="161"/>
      <c r="D64" s="162"/>
      <c r="E64" s="162"/>
      <c r="F64" s="159"/>
      <c r="G64" s="160"/>
    </row>
    <row r="65" spans="1:9" x14ac:dyDescent="0.2">
      <c r="A65" s="153"/>
      <c r="B65" s="154"/>
      <c r="C65" s="161" t="s">
        <v>956</v>
      </c>
      <c r="D65" s="162"/>
      <c r="E65" s="162"/>
      <c r="F65" s="159"/>
      <c r="G65" s="160"/>
    </row>
    <row r="66" spans="1:9" x14ac:dyDescent="0.2">
      <c r="A66" s="153"/>
      <c r="B66" s="154"/>
      <c r="C66" s="161" t="s">
        <v>957</v>
      </c>
      <c r="D66" s="162"/>
      <c r="E66" s="159" t="s">
        <v>859</v>
      </c>
      <c r="F66" s="159" t="s">
        <v>859</v>
      </c>
      <c r="G66" s="160" t="s">
        <v>859</v>
      </c>
    </row>
    <row r="67" spans="1:9" hidden="1" x14ac:dyDescent="0.2">
      <c r="A67" s="153"/>
      <c r="B67" s="154"/>
      <c r="C67" s="154"/>
      <c r="D67" s="162"/>
      <c r="E67" s="163"/>
      <c r="F67" s="217"/>
      <c r="G67" s="168"/>
    </row>
    <row r="68" spans="1:9" x14ac:dyDescent="0.2">
      <c r="A68" s="153"/>
      <c r="B68" s="154"/>
      <c r="C68" s="161" t="s">
        <v>104</v>
      </c>
      <c r="D68" s="162"/>
      <c r="E68" s="162"/>
      <c r="F68" s="159" t="s">
        <v>859</v>
      </c>
      <c r="G68" s="160" t="s">
        <v>859</v>
      </c>
    </row>
    <row r="69" spans="1:9" x14ac:dyDescent="0.2">
      <c r="A69" s="153"/>
      <c r="B69" s="154"/>
      <c r="C69" s="161"/>
      <c r="D69" s="162"/>
      <c r="E69" s="162"/>
      <c r="F69" s="159"/>
      <c r="G69" s="160"/>
    </row>
    <row r="70" spans="1:9" x14ac:dyDescent="0.2">
      <c r="A70" s="153"/>
      <c r="B70" s="154"/>
      <c r="C70" s="161" t="s">
        <v>958</v>
      </c>
      <c r="D70" s="162" t="s">
        <v>860</v>
      </c>
      <c r="E70" s="162" t="s">
        <v>860</v>
      </c>
      <c r="F70" s="187" t="s">
        <v>860</v>
      </c>
      <c r="G70" s="188" t="s">
        <v>860</v>
      </c>
    </row>
    <row r="71" spans="1:9" x14ac:dyDescent="0.2">
      <c r="A71" s="153"/>
      <c r="B71" s="154"/>
      <c r="C71" s="108" t="s">
        <v>730</v>
      </c>
      <c r="D71" s="162" t="s">
        <v>959</v>
      </c>
      <c r="E71" s="163"/>
      <c r="F71" s="165">
        <v>152.9765711</v>
      </c>
      <c r="G71" s="168">
        <f>F71/$F$78</f>
        <v>3.3565416072978693E-2</v>
      </c>
      <c r="H71" s="213"/>
    </row>
    <row r="72" spans="1:9" x14ac:dyDescent="0.2">
      <c r="A72" s="153"/>
      <c r="B72" s="154"/>
      <c r="C72" s="161" t="s">
        <v>104</v>
      </c>
      <c r="D72" s="162" t="s">
        <v>860</v>
      </c>
      <c r="E72" s="162" t="s">
        <v>860</v>
      </c>
      <c r="F72" s="159">
        <f>F71</f>
        <v>152.9765711</v>
      </c>
      <c r="G72" s="176">
        <f>F72/$F$78</f>
        <v>3.3565416072978693E-2</v>
      </c>
    </row>
    <row r="73" spans="1:9" x14ac:dyDescent="0.2">
      <c r="A73" s="153"/>
      <c r="B73" s="154"/>
      <c r="C73" s="161"/>
      <c r="D73" s="162"/>
      <c r="E73" s="162"/>
      <c r="F73" s="159"/>
      <c r="G73" s="160"/>
    </row>
    <row r="74" spans="1:9" x14ac:dyDescent="0.2">
      <c r="A74" s="153"/>
      <c r="B74" s="154"/>
      <c r="C74" s="161" t="s">
        <v>128</v>
      </c>
      <c r="D74" s="162" t="s">
        <v>860</v>
      </c>
      <c r="E74" s="162" t="s">
        <v>860</v>
      </c>
      <c r="F74" s="165">
        <v>0.76034779999918101</v>
      </c>
      <c r="G74" s="168">
        <f>F74/$F$78</f>
        <v>1.6683201933231524E-4</v>
      </c>
      <c r="H74" s="169"/>
    </row>
    <row r="75" spans="1:9" x14ac:dyDescent="0.2">
      <c r="A75" s="153"/>
      <c r="B75" s="154"/>
      <c r="C75" s="161" t="s">
        <v>104</v>
      </c>
      <c r="D75" s="162"/>
      <c r="E75" s="162"/>
      <c r="F75" s="159">
        <v>0.76034779999918101</v>
      </c>
      <c r="G75" s="181">
        <f>F75/$F$78</f>
        <v>1.6683201933231524E-4</v>
      </c>
      <c r="H75" s="169"/>
      <c r="I75" s="169"/>
    </row>
    <row r="76" spans="1:9" x14ac:dyDescent="0.2">
      <c r="A76" s="153"/>
      <c r="B76" s="154"/>
      <c r="C76" s="161" t="s">
        <v>861</v>
      </c>
      <c r="D76" s="162"/>
      <c r="E76" s="162"/>
      <c r="F76" s="159">
        <f>F72+F75</f>
        <v>153.73691889999918</v>
      </c>
      <c r="G76" s="181">
        <f>F76/$F$78</f>
        <v>3.3732248092311005E-2</v>
      </c>
      <c r="H76" s="169"/>
    </row>
    <row r="77" spans="1:9" x14ac:dyDescent="0.2">
      <c r="A77" s="153"/>
      <c r="B77" s="154"/>
      <c r="C77" s="161"/>
      <c r="D77" s="162"/>
      <c r="E77" s="162"/>
      <c r="F77" s="159"/>
      <c r="G77" s="160"/>
    </row>
    <row r="78" spans="1:9" x14ac:dyDescent="0.2">
      <c r="A78" s="153"/>
      <c r="B78" s="154"/>
      <c r="C78" s="161" t="s">
        <v>960</v>
      </c>
      <c r="D78" s="162" t="s">
        <v>860</v>
      </c>
      <c r="E78" s="162" t="s">
        <v>860</v>
      </c>
      <c r="F78" s="159">
        <v>4557.5651667000002</v>
      </c>
      <c r="G78" s="181">
        <f>G76+G54</f>
        <v>1</v>
      </c>
      <c r="H78" s="169"/>
    </row>
    <row r="79" spans="1:9" x14ac:dyDescent="0.2">
      <c r="A79" s="189"/>
      <c r="B79" s="190"/>
      <c r="C79" s="171"/>
      <c r="D79" s="190"/>
      <c r="E79" s="190"/>
      <c r="F79" s="218"/>
      <c r="G79" s="192"/>
      <c r="H79" s="219"/>
    </row>
    <row r="80" spans="1:9" x14ac:dyDescent="0.2">
      <c r="A80" s="189"/>
      <c r="B80" s="193" t="s">
        <v>131</v>
      </c>
      <c r="C80" s="189"/>
      <c r="D80" s="194"/>
      <c r="E80" s="194"/>
      <c r="F80" s="195"/>
      <c r="G80" s="192"/>
    </row>
    <row r="81" spans="1:7" x14ac:dyDescent="0.2">
      <c r="A81" s="189"/>
      <c r="B81" s="283" t="s">
        <v>961</v>
      </c>
      <c r="C81" s="283"/>
      <c r="D81" s="283"/>
      <c r="E81" s="194"/>
      <c r="F81" s="195"/>
      <c r="G81" s="192"/>
    </row>
    <row r="82" spans="1:7" x14ac:dyDescent="0.2">
      <c r="A82" s="189"/>
      <c r="B82" s="283" t="s">
        <v>962</v>
      </c>
      <c r="C82" s="283"/>
      <c r="D82" s="283"/>
      <c r="E82" s="194"/>
      <c r="F82" s="194"/>
      <c r="G82" s="192"/>
    </row>
    <row r="83" spans="1:7" x14ac:dyDescent="0.2">
      <c r="A83" s="189"/>
      <c r="B83" s="287" t="s">
        <v>963</v>
      </c>
      <c r="C83" s="287"/>
      <c r="D83" s="287"/>
      <c r="E83" s="194"/>
      <c r="F83" s="194"/>
      <c r="G83" s="196"/>
    </row>
    <row r="84" spans="1:7" x14ac:dyDescent="0.2">
      <c r="A84" s="189"/>
      <c r="B84" s="197"/>
      <c r="C84" s="284" t="s">
        <v>964</v>
      </c>
      <c r="D84" s="284"/>
      <c r="E84" s="284" t="s">
        <v>965</v>
      </c>
      <c r="F84" s="284"/>
      <c r="G84" s="189"/>
    </row>
    <row r="85" spans="1:7" x14ac:dyDescent="0.2">
      <c r="A85" s="189"/>
      <c r="B85" s="198"/>
      <c r="C85" s="199" t="s">
        <v>966</v>
      </c>
      <c r="D85" s="200" t="s">
        <v>967</v>
      </c>
      <c r="E85" s="199" t="s">
        <v>966</v>
      </c>
      <c r="F85" s="200" t="s">
        <v>967</v>
      </c>
      <c r="G85" s="189"/>
    </row>
    <row r="86" spans="1:7" x14ac:dyDescent="0.2">
      <c r="A86" s="189"/>
      <c r="B86" s="182" t="s">
        <v>968</v>
      </c>
      <c r="C86" s="201">
        <v>43646</v>
      </c>
      <c r="D86" s="201">
        <v>43677</v>
      </c>
      <c r="E86" s="201">
        <v>43646</v>
      </c>
      <c r="F86" s="201">
        <v>43677</v>
      </c>
      <c r="G86" s="189"/>
    </row>
    <row r="87" spans="1:7" x14ac:dyDescent="0.2">
      <c r="A87" s="189"/>
      <c r="B87" s="202" t="s">
        <v>969</v>
      </c>
      <c r="C87" s="203">
        <v>15.7187</v>
      </c>
      <c r="D87" s="203">
        <v>16.164100000000001</v>
      </c>
      <c r="E87" s="203">
        <v>15.3673</v>
      </c>
      <c r="F87" s="203">
        <v>15.7948</v>
      </c>
      <c r="G87" s="189"/>
    </row>
    <row r="88" spans="1:7" x14ac:dyDescent="0.2">
      <c r="A88" s="189"/>
      <c r="B88" s="202" t="s">
        <v>970</v>
      </c>
      <c r="C88" s="203">
        <v>15.7187</v>
      </c>
      <c r="D88" s="203">
        <v>16.164100000000001</v>
      </c>
      <c r="E88" s="203">
        <v>15.3673</v>
      </c>
      <c r="F88" s="203">
        <v>15.7948</v>
      </c>
      <c r="G88" s="189"/>
    </row>
    <row r="89" spans="1:7" x14ac:dyDescent="0.2">
      <c r="A89" s="189"/>
      <c r="B89" s="189"/>
      <c r="C89" s="194"/>
      <c r="D89" s="194"/>
      <c r="E89" s="204"/>
      <c r="F89" s="204"/>
      <c r="G89" s="196"/>
    </row>
    <row r="90" spans="1:7" x14ac:dyDescent="0.2">
      <c r="A90" s="189"/>
      <c r="B90" s="283" t="s">
        <v>971</v>
      </c>
      <c r="C90" s="283"/>
      <c r="D90" s="283"/>
      <c r="E90" s="194"/>
      <c r="F90" s="194"/>
      <c r="G90" s="196"/>
    </row>
    <row r="91" spans="1:7" x14ac:dyDescent="0.2">
      <c r="A91" s="189"/>
      <c r="B91" s="283" t="s">
        <v>972</v>
      </c>
      <c r="C91" s="283"/>
      <c r="D91" s="283"/>
      <c r="E91" s="194"/>
      <c r="F91" s="194"/>
      <c r="G91" s="196"/>
    </row>
    <row r="92" spans="1:7" x14ac:dyDescent="0.2">
      <c r="A92" s="189"/>
      <c r="B92" s="283" t="s">
        <v>977</v>
      </c>
      <c r="C92" s="283"/>
      <c r="D92" s="283"/>
      <c r="E92" s="195"/>
      <c r="F92" s="194"/>
      <c r="G92" s="196"/>
    </row>
    <row r="93" spans="1:7" x14ac:dyDescent="0.2">
      <c r="A93" s="189"/>
      <c r="B93" s="285" t="s">
        <v>978</v>
      </c>
      <c r="C93" s="285"/>
      <c r="D93" s="285"/>
      <c r="E93" s="194"/>
      <c r="F93" s="194"/>
      <c r="G93" s="196"/>
    </row>
    <row r="94" spans="1:7" x14ac:dyDescent="0.2">
      <c r="A94" s="189"/>
      <c r="B94" s="283" t="s">
        <v>975</v>
      </c>
      <c r="C94" s="283"/>
      <c r="D94" s="283"/>
      <c r="E94" s="194"/>
      <c r="F94" s="194"/>
      <c r="G94" s="196"/>
    </row>
    <row r="95" spans="1:7" x14ac:dyDescent="0.2">
      <c r="A95" s="189"/>
      <c r="B95" s="189"/>
      <c r="C95" s="206"/>
      <c r="D95" s="189"/>
      <c r="E95" s="189"/>
      <c r="F95" s="205"/>
      <c r="G95" s="196"/>
    </row>
    <row r="96" spans="1:7" x14ac:dyDescent="0.2">
      <c r="A96" s="189"/>
      <c r="B96" s="189"/>
      <c r="C96" s="189"/>
      <c r="D96" s="189"/>
      <c r="E96" s="189"/>
      <c r="F96" s="205"/>
      <c r="G96" s="196"/>
    </row>
    <row r="97" spans="1:7" x14ac:dyDescent="0.2">
      <c r="A97" s="189"/>
      <c r="B97" s="189"/>
      <c r="C97" s="189"/>
      <c r="D97" s="220"/>
      <c r="E97" s="189"/>
      <c r="F97" s="205"/>
      <c r="G97" s="196"/>
    </row>
    <row r="98" spans="1:7" x14ac:dyDescent="0.2">
      <c r="A98" s="189"/>
      <c r="B98" s="189"/>
      <c r="C98" s="189"/>
      <c r="D98" s="189"/>
      <c r="E98" s="189"/>
      <c r="F98" s="205"/>
      <c r="G98" s="196"/>
    </row>
    <row r="99" spans="1:7" x14ac:dyDescent="0.2">
      <c r="A99" s="189"/>
      <c r="B99" s="189"/>
      <c r="C99" s="189"/>
      <c r="D99" s="189"/>
      <c r="E99" s="189"/>
      <c r="F99" s="205"/>
      <c r="G99" s="196"/>
    </row>
    <row r="100" spans="1:7" x14ac:dyDescent="0.2">
      <c r="A100" s="189"/>
      <c r="B100" s="189"/>
      <c r="C100" s="189"/>
      <c r="D100" s="189"/>
      <c r="E100" s="189"/>
      <c r="F100" s="205"/>
      <c r="G100" s="196"/>
    </row>
    <row r="101" spans="1:7" x14ac:dyDescent="0.2">
      <c r="A101" s="189"/>
      <c r="B101" s="189"/>
      <c r="C101" s="189"/>
      <c r="D101" s="189"/>
      <c r="E101" s="189"/>
      <c r="F101" s="205"/>
      <c r="G101" s="196"/>
    </row>
    <row r="102" spans="1:7" x14ac:dyDescent="0.2">
      <c r="A102" s="189"/>
      <c r="B102" s="189"/>
      <c r="C102" s="189"/>
      <c r="D102" s="189"/>
      <c r="E102" s="189"/>
      <c r="F102" s="205"/>
      <c r="G102" s="196"/>
    </row>
    <row r="103" spans="1:7" x14ac:dyDescent="0.2">
      <c r="A103" s="189"/>
      <c r="B103" s="189"/>
      <c r="C103" s="189"/>
      <c r="D103" s="189"/>
      <c r="E103" s="189"/>
      <c r="F103" s="205"/>
      <c r="G103" s="196"/>
    </row>
    <row r="104" spans="1:7" x14ac:dyDescent="0.2">
      <c r="A104" s="189"/>
      <c r="B104" s="189"/>
      <c r="C104" s="189"/>
      <c r="D104" s="189"/>
      <c r="E104" s="189"/>
      <c r="F104" s="205"/>
      <c r="G104" s="196"/>
    </row>
    <row r="105" spans="1:7" x14ac:dyDescent="0.2">
      <c r="A105" s="189"/>
      <c r="B105" s="189"/>
      <c r="C105" s="189"/>
      <c r="D105" s="189"/>
      <c r="E105" s="189"/>
      <c r="F105" s="205"/>
      <c r="G105" s="196"/>
    </row>
  </sheetData>
  <mergeCells count="13">
    <mergeCell ref="B83:D83"/>
    <mergeCell ref="A1:G1"/>
    <mergeCell ref="A2:G2"/>
    <mergeCell ref="A3:G3"/>
    <mergeCell ref="B81:D81"/>
    <mergeCell ref="B82:D82"/>
    <mergeCell ref="B94:D94"/>
    <mergeCell ref="C84:D84"/>
    <mergeCell ref="E84:F84"/>
    <mergeCell ref="B90:D90"/>
    <mergeCell ref="B91:D91"/>
    <mergeCell ref="B92:D92"/>
    <mergeCell ref="B93:D9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2158-ADD9-4A1B-84A1-E45E23C7B5B8}">
  <dimension ref="A1:O39"/>
  <sheetViews>
    <sheetView workbookViewId="0">
      <selection activeCell="B17" sqref="B17"/>
    </sheetView>
  </sheetViews>
  <sheetFormatPr defaultRowHeight="15" x14ac:dyDescent="0.25"/>
  <cols>
    <col min="1" max="1" width="5.42578125" style="221" bestFit="1" customWidth="1"/>
    <col min="2" max="2" width="19.7109375" style="221" bestFit="1" customWidth="1"/>
    <col min="3" max="3" width="40.28515625" style="221" bestFit="1" customWidth="1"/>
    <col min="4" max="4" width="15.28515625" style="221" bestFit="1" customWidth="1"/>
    <col min="5" max="5" width="12" style="221" bestFit="1" customWidth="1"/>
    <col min="6" max="6" width="10.140625" style="221" bestFit="1" customWidth="1"/>
    <col min="7" max="7" width="14" style="221" bestFit="1" customWidth="1"/>
    <col min="8" max="8" width="11.85546875" style="221" bestFit="1" customWidth="1"/>
    <col min="9" max="9" width="15.28515625" style="221" bestFit="1" customWidth="1"/>
    <col min="10" max="10" width="14.85546875" style="221" customWidth="1"/>
    <col min="11" max="11" width="9.7109375" style="221" customWidth="1"/>
    <col min="12" max="12" width="6.140625" style="221" customWidth="1"/>
    <col min="13" max="257" width="9.140625" style="221"/>
    <col min="258" max="258" width="5.42578125" style="221" bestFit="1" customWidth="1"/>
    <col min="259" max="259" width="20.42578125" style="221" bestFit="1" customWidth="1"/>
    <col min="260" max="260" width="41.42578125" style="221" customWidth="1"/>
    <col min="261" max="261" width="15.28515625" style="221" bestFit="1" customWidth="1"/>
    <col min="262" max="262" width="16.7109375" style="221" bestFit="1" customWidth="1"/>
    <col min="263" max="263" width="11.28515625" style="221" bestFit="1" customWidth="1"/>
    <col min="264" max="264" width="14" style="221" bestFit="1" customWidth="1"/>
    <col min="265" max="265" width="11.85546875" style="221" bestFit="1" customWidth="1"/>
    <col min="266" max="266" width="14.85546875" style="221" bestFit="1" customWidth="1"/>
    <col min="267" max="267" width="9.7109375" style="221" customWidth="1"/>
    <col min="268" max="268" width="4.85546875" style="221" customWidth="1"/>
    <col min="269" max="513" width="9.140625" style="221"/>
    <col min="514" max="514" width="5.42578125" style="221" bestFit="1" customWidth="1"/>
    <col min="515" max="515" width="20.42578125" style="221" bestFit="1" customWidth="1"/>
    <col min="516" max="516" width="41.42578125" style="221" customWidth="1"/>
    <col min="517" max="517" width="15.28515625" style="221" bestFit="1" customWidth="1"/>
    <col min="518" max="518" width="16.7109375" style="221" bestFit="1" customWidth="1"/>
    <col min="519" max="519" width="11.28515625" style="221" bestFit="1" customWidth="1"/>
    <col min="520" max="520" width="14" style="221" bestFit="1" customWidth="1"/>
    <col min="521" max="521" width="11.85546875" style="221" bestFit="1" customWidth="1"/>
    <col min="522" max="522" width="14.85546875" style="221" bestFit="1" customWidth="1"/>
    <col min="523" max="523" width="9.7109375" style="221" customWidth="1"/>
    <col min="524" max="524" width="4.85546875" style="221" customWidth="1"/>
    <col min="525" max="769" width="9.140625" style="221"/>
    <col min="770" max="770" width="5.42578125" style="221" bestFit="1" customWidth="1"/>
    <col min="771" max="771" width="20.42578125" style="221" bestFit="1" customWidth="1"/>
    <col min="772" max="772" width="41.42578125" style="221" customWidth="1"/>
    <col min="773" max="773" width="15.28515625" style="221" bestFit="1" customWidth="1"/>
    <col min="774" max="774" width="16.7109375" style="221" bestFit="1" customWidth="1"/>
    <col min="775" max="775" width="11.28515625" style="221" bestFit="1" customWidth="1"/>
    <col min="776" max="776" width="14" style="221" bestFit="1" customWidth="1"/>
    <col min="777" max="777" width="11.85546875" style="221" bestFit="1" customWidth="1"/>
    <col min="778" max="778" width="14.85546875" style="221" bestFit="1" customWidth="1"/>
    <col min="779" max="779" width="9.7109375" style="221" customWidth="1"/>
    <col min="780" max="780" width="4.85546875" style="221" customWidth="1"/>
    <col min="781" max="1025" width="9.140625" style="221"/>
    <col min="1026" max="1026" width="5.42578125" style="221" bestFit="1" customWidth="1"/>
    <col min="1027" max="1027" width="20.42578125" style="221" bestFit="1" customWidth="1"/>
    <col min="1028" max="1028" width="41.42578125" style="221" customWidth="1"/>
    <col min="1029" max="1029" width="15.28515625" style="221" bestFit="1" customWidth="1"/>
    <col min="1030" max="1030" width="16.7109375" style="221" bestFit="1" customWidth="1"/>
    <col min="1031" max="1031" width="11.28515625" style="221" bestFit="1" customWidth="1"/>
    <col min="1032" max="1032" width="14" style="221" bestFit="1" customWidth="1"/>
    <col min="1033" max="1033" width="11.85546875" style="221" bestFit="1" customWidth="1"/>
    <col min="1034" max="1034" width="14.85546875" style="221" bestFit="1" customWidth="1"/>
    <col min="1035" max="1035" width="9.7109375" style="221" customWidth="1"/>
    <col min="1036" max="1036" width="4.85546875" style="221" customWidth="1"/>
    <col min="1037" max="1281" width="9.140625" style="221"/>
    <col min="1282" max="1282" width="5.42578125" style="221" bestFit="1" customWidth="1"/>
    <col min="1283" max="1283" width="20.42578125" style="221" bestFit="1" customWidth="1"/>
    <col min="1284" max="1284" width="41.42578125" style="221" customWidth="1"/>
    <col min="1285" max="1285" width="15.28515625" style="221" bestFit="1" customWidth="1"/>
    <col min="1286" max="1286" width="16.7109375" style="221" bestFit="1" customWidth="1"/>
    <col min="1287" max="1287" width="11.28515625" style="221" bestFit="1" customWidth="1"/>
    <col min="1288" max="1288" width="14" style="221" bestFit="1" customWidth="1"/>
    <col min="1289" max="1289" width="11.85546875" style="221" bestFit="1" customWidth="1"/>
    <col min="1290" max="1290" width="14.85546875" style="221" bestFit="1" customWidth="1"/>
    <col min="1291" max="1291" width="9.7109375" style="221" customWidth="1"/>
    <col min="1292" max="1292" width="4.85546875" style="221" customWidth="1"/>
    <col min="1293" max="1537" width="9.140625" style="221"/>
    <col min="1538" max="1538" width="5.42578125" style="221" bestFit="1" customWidth="1"/>
    <col min="1539" max="1539" width="20.42578125" style="221" bestFit="1" customWidth="1"/>
    <col min="1540" max="1540" width="41.42578125" style="221" customWidth="1"/>
    <col min="1541" max="1541" width="15.28515625" style="221" bestFit="1" customWidth="1"/>
    <col min="1542" max="1542" width="16.7109375" style="221" bestFit="1" customWidth="1"/>
    <col min="1543" max="1543" width="11.28515625" style="221" bestFit="1" customWidth="1"/>
    <col min="1544" max="1544" width="14" style="221" bestFit="1" customWidth="1"/>
    <col min="1545" max="1545" width="11.85546875" style="221" bestFit="1" customWidth="1"/>
    <col min="1546" max="1546" width="14.85546875" style="221" bestFit="1" customWidth="1"/>
    <col min="1547" max="1547" width="9.7109375" style="221" customWidth="1"/>
    <col min="1548" max="1548" width="4.85546875" style="221" customWidth="1"/>
    <col min="1549" max="1793" width="9.140625" style="221"/>
    <col min="1794" max="1794" width="5.42578125" style="221" bestFit="1" customWidth="1"/>
    <col min="1795" max="1795" width="20.42578125" style="221" bestFit="1" customWidth="1"/>
    <col min="1796" max="1796" width="41.42578125" style="221" customWidth="1"/>
    <col min="1797" max="1797" width="15.28515625" style="221" bestFit="1" customWidth="1"/>
    <col min="1798" max="1798" width="16.7109375" style="221" bestFit="1" customWidth="1"/>
    <col min="1799" max="1799" width="11.28515625" style="221" bestFit="1" customWidth="1"/>
    <col min="1800" max="1800" width="14" style="221" bestFit="1" customWidth="1"/>
    <col min="1801" max="1801" width="11.85546875" style="221" bestFit="1" customWidth="1"/>
    <col min="1802" max="1802" width="14.85546875" style="221" bestFit="1" customWidth="1"/>
    <col min="1803" max="1803" width="9.7109375" style="221" customWidth="1"/>
    <col min="1804" max="1804" width="4.85546875" style="221" customWidth="1"/>
    <col min="1805" max="2049" width="9.140625" style="221"/>
    <col min="2050" max="2050" width="5.42578125" style="221" bestFit="1" customWidth="1"/>
    <col min="2051" max="2051" width="20.42578125" style="221" bestFit="1" customWidth="1"/>
    <col min="2052" max="2052" width="41.42578125" style="221" customWidth="1"/>
    <col min="2053" max="2053" width="15.28515625" style="221" bestFit="1" customWidth="1"/>
    <col min="2054" max="2054" width="16.7109375" style="221" bestFit="1" customWidth="1"/>
    <col min="2055" max="2055" width="11.28515625" style="221" bestFit="1" customWidth="1"/>
    <col min="2056" max="2056" width="14" style="221" bestFit="1" customWidth="1"/>
    <col min="2057" max="2057" width="11.85546875" style="221" bestFit="1" customWidth="1"/>
    <col min="2058" max="2058" width="14.85546875" style="221" bestFit="1" customWidth="1"/>
    <col min="2059" max="2059" width="9.7109375" style="221" customWidth="1"/>
    <col min="2060" max="2060" width="4.85546875" style="221" customWidth="1"/>
    <col min="2061" max="2305" width="9.140625" style="221"/>
    <col min="2306" max="2306" width="5.42578125" style="221" bestFit="1" customWidth="1"/>
    <col min="2307" max="2307" width="20.42578125" style="221" bestFit="1" customWidth="1"/>
    <col min="2308" max="2308" width="41.42578125" style="221" customWidth="1"/>
    <col min="2309" max="2309" width="15.28515625" style="221" bestFit="1" customWidth="1"/>
    <col min="2310" max="2310" width="16.7109375" style="221" bestFit="1" customWidth="1"/>
    <col min="2311" max="2311" width="11.28515625" style="221" bestFit="1" customWidth="1"/>
    <col min="2312" max="2312" width="14" style="221" bestFit="1" customWidth="1"/>
    <col min="2313" max="2313" width="11.85546875" style="221" bestFit="1" customWidth="1"/>
    <col min="2314" max="2314" width="14.85546875" style="221" bestFit="1" customWidth="1"/>
    <col min="2315" max="2315" width="9.7109375" style="221" customWidth="1"/>
    <col min="2316" max="2316" width="4.85546875" style="221" customWidth="1"/>
    <col min="2317" max="2561" width="9.140625" style="221"/>
    <col min="2562" max="2562" width="5.42578125" style="221" bestFit="1" customWidth="1"/>
    <col min="2563" max="2563" width="20.42578125" style="221" bestFit="1" customWidth="1"/>
    <col min="2564" max="2564" width="41.42578125" style="221" customWidth="1"/>
    <col min="2565" max="2565" width="15.28515625" style="221" bestFit="1" customWidth="1"/>
    <col min="2566" max="2566" width="16.7109375" style="221" bestFit="1" customWidth="1"/>
    <col min="2567" max="2567" width="11.28515625" style="221" bestFit="1" customWidth="1"/>
    <col min="2568" max="2568" width="14" style="221" bestFit="1" customWidth="1"/>
    <col min="2569" max="2569" width="11.85546875" style="221" bestFit="1" customWidth="1"/>
    <col min="2570" max="2570" width="14.85546875" style="221" bestFit="1" customWidth="1"/>
    <col min="2571" max="2571" width="9.7109375" style="221" customWidth="1"/>
    <col min="2572" max="2572" width="4.85546875" style="221" customWidth="1"/>
    <col min="2573" max="2817" width="9.140625" style="221"/>
    <col min="2818" max="2818" width="5.42578125" style="221" bestFit="1" customWidth="1"/>
    <col min="2819" max="2819" width="20.42578125" style="221" bestFit="1" customWidth="1"/>
    <col min="2820" max="2820" width="41.42578125" style="221" customWidth="1"/>
    <col min="2821" max="2821" width="15.28515625" style="221" bestFit="1" customWidth="1"/>
    <col min="2822" max="2822" width="16.7109375" style="221" bestFit="1" customWidth="1"/>
    <col min="2823" max="2823" width="11.28515625" style="221" bestFit="1" customWidth="1"/>
    <col min="2824" max="2824" width="14" style="221" bestFit="1" customWidth="1"/>
    <col min="2825" max="2825" width="11.85546875" style="221" bestFit="1" customWidth="1"/>
    <col min="2826" max="2826" width="14.85546875" style="221" bestFit="1" customWidth="1"/>
    <col min="2827" max="2827" width="9.7109375" style="221" customWidth="1"/>
    <col min="2828" max="2828" width="4.85546875" style="221" customWidth="1"/>
    <col min="2829" max="3073" width="9.140625" style="221"/>
    <col min="3074" max="3074" width="5.42578125" style="221" bestFit="1" customWidth="1"/>
    <col min="3075" max="3075" width="20.42578125" style="221" bestFit="1" customWidth="1"/>
    <col min="3076" max="3076" width="41.42578125" style="221" customWidth="1"/>
    <col min="3077" max="3077" width="15.28515625" style="221" bestFit="1" customWidth="1"/>
    <col min="3078" max="3078" width="16.7109375" style="221" bestFit="1" customWidth="1"/>
    <col min="3079" max="3079" width="11.28515625" style="221" bestFit="1" customWidth="1"/>
    <col min="3080" max="3080" width="14" style="221" bestFit="1" customWidth="1"/>
    <col min="3081" max="3081" width="11.85546875" style="221" bestFit="1" customWidth="1"/>
    <col min="3082" max="3082" width="14.85546875" style="221" bestFit="1" customWidth="1"/>
    <col min="3083" max="3083" width="9.7109375" style="221" customWidth="1"/>
    <col min="3084" max="3084" width="4.85546875" style="221" customWidth="1"/>
    <col min="3085" max="3329" width="9.140625" style="221"/>
    <col min="3330" max="3330" width="5.42578125" style="221" bestFit="1" customWidth="1"/>
    <col min="3331" max="3331" width="20.42578125" style="221" bestFit="1" customWidth="1"/>
    <col min="3332" max="3332" width="41.42578125" style="221" customWidth="1"/>
    <col min="3333" max="3333" width="15.28515625" style="221" bestFit="1" customWidth="1"/>
    <col min="3334" max="3334" width="16.7109375" style="221" bestFit="1" customWidth="1"/>
    <col min="3335" max="3335" width="11.28515625" style="221" bestFit="1" customWidth="1"/>
    <col min="3336" max="3336" width="14" style="221" bestFit="1" customWidth="1"/>
    <col min="3337" max="3337" width="11.85546875" style="221" bestFit="1" customWidth="1"/>
    <col min="3338" max="3338" width="14.85546875" style="221" bestFit="1" customWidth="1"/>
    <col min="3339" max="3339" width="9.7109375" style="221" customWidth="1"/>
    <col min="3340" max="3340" width="4.85546875" style="221" customWidth="1"/>
    <col min="3341" max="3585" width="9.140625" style="221"/>
    <col min="3586" max="3586" width="5.42578125" style="221" bestFit="1" customWidth="1"/>
    <col min="3587" max="3587" width="20.42578125" style="221" bestFit="1" customWidth="1"/>
    <col min="3588" max="3588" width="41.42578125" style="221" customWidth="1"/>
    <col min="3589" max="3589" width="15.28515625" style="221" bestFit="1" customWidth="1"/>
    <col min="3590" max="3590" width="16.7109375" style="221" bestFit="1" customWidth="1"/>
    <col min="3591" max="3591" width="11.28515625" style="221" bestFit="1" customWidth="1"/>
    <col min="3592" max="3592" width="14" style="221" bestFit="1" customWidth="1"/>
    <col min="3593" max="3593" width="11.85546875" style="221" bestFit="1" customWidth="1"/>
    <col min="3594" max="3594" width="14.85546875" style="221" bestFit="1" customWidth="1"/>
    <col min="3595" max="3595" width="9.7109375" style="221" customWidth="1"/>
    <col min="3596" max="3596" width="4.85546875" style="221" customWidth="1"/>
    <col min="3597" max="3841" width="9.140625" style="221"/>
    <col min="3842" max="3842" width="5.42578125" style="221" bestFit="1" customWidth="1"/>
    <col min="3843" max="3843" width="20.42578125" style="221" bestFit="1" customWidth="1"/>
    <col min="3844" max="3844" width="41.42578125" style="221" customWidth="1"/>
    <col min="3845" max="3845" width="15.28515625" style="221" bestFit="1" customWidth="1"/>
    <col min="3846" max="3846" width="16.7109375" style="221" bestFit="1" customWidth="1"/>
    <col min="3847" max="3847" width="11.28515625" style="221" bestFit="1" customWidth="1"/>
    <col min="3848" max="3848" width="14" style="221" bestFit="1" customWidth="1"/>
    <col min="3849" max="3849" width="11.85546875" style="221" bestFit="1" customWidth="1"/>
    <col min="3850" max="3850" width="14.85546875" style="221" bestFit="1" customWidth="1"/>
    <col min="3851" max="3851" width="9.7109375" style="221" customWidth="1"/>
    <col min="3852" max="3852" width="4.85546875" style="221" customWidth="1"/>
    <col min="3853" max="4097" width="9.140625" style="221"/>
    <col min="4098" max="4098" width="5.42578125" style="221" bestFit="1" customWidth="1"/>
    <col min="4099" max="4099" width="20.42578125" style="221" bestFit="1" customWidth="1"/>
    <col min="4100" max="4100" width="41.42578125" style="221" customWidth="1"/>
    <col min="4101" max="4101" width="15.28515625" style="221" bestFit="1" customWidth="1"/>
    <col min="4102" max="4102" width="16.7109375" style="221" bestFit="1" customWidth="1"/>
    <col min="4103" max="4103" width="11.28515625" style="221" bestFit="1" customWidth="1"/>
    <col min="4104" max="4104" width="14" style="221" bestFit="1" customWidth="1"/>
    <col min="4105" max="4105" width="11.85546875" style="221" bestFit="1" customWidth="1"/>
    <col min="4106" max="4106" width="14.85546875" style="221" bestFit="1" customWidth="1"/>
    <col min="4107" max="4107" width="9.7109375" style="221" customWidth="1"/>
    <col min="4108" max="4108" width="4.85546875" style="221" customWidth="1"/>
    <col min="4109" max="4353" width="9.140625" style="221"/>
    <col min="4354" max="4354" width="5.42578125" style="221" bestFit="1" customWidth="1"/>
    <col min="4355" max="4355" width="20.42578125" style="221" bestFit="1" customWidth="1"/>
    <col min="4356" max="4356" width="41.42578125" style="221" customWidth="1"/>
    <col min="4357" max="4357" width="15.28515625" style="221" bestFit="1" customWidth="1"/>
    <col min="4358" max="4358" width="16.7109375" style="221" bestFit="1" customWidth="1"/>
    <col min="4359" max="4359" width="11.28515625" style="221" bestFit="1" customWidth="1"/>
    <col min="4360" max="4360" width="14" style="221" bestFit="1" customWidth="1"/>
    <col min="4361" max="4361" width="11.85546875" style="221" bestFit="1" customWidth="1"/>
    <col min="4362" max="4362" width="14.85546875" style="221" bestFit="1" customWidth="1"/>
    <col min="4363" max="4363" width="9.7109375" style="221" customWidth="1"/>
    <col min="4364" max="4364" width="4.85546875" style="221" customWidth="1"/>
    <col min="4365" max="4609" width="9.140625" style="221"/>
    <col min="4610" max="4610" width="5.42578125" style="221" bestFit="1" customWidth="1"/>
    <col min="4611" max="4611" width="20.42578125" style="221" bestFit="1" customWidth="1"/>
    <col min="4612" max="4612" width="41.42578125" style="221" customWidth="1"/>
    <col min="4613" max="4613" width="15.28515625" style="221" bestFit="1" customWidth="1"/>
    <col min="4614" max="4614" width="16.7109375" style="221" bestFit="1" customWidth="1"/>
    <col min="4615" max="4615" width="11.28515625" style="221" bestFit="1" customWidth="1"/>
    <col min="4616" max="4616" width="14" style="221" bestFit="1" customWidth="1"/>
    <col min="4617" max="4617" width="11.85546875" style="221" bestFit="1" customWidth="1"/>
    <col min="4618" max="4618" width="14.85546875" style="221" bestFit="1" customWidth="1"/>
    <col min="4619" max="4619" width="9.7109375" style="221" customWidth="1"/>
    <col min="4620" max="4620" width="4.85546875" style="221" customWidth="1"/>
    <col min="4621" max="4865" width="9.140625" style="221"/>
    <col min="4866" max="4866" width="5.42578125" style="221" bestFit="1" customWidth="1"/>
    <col min="4867" max="4867" width="20.42578125" style="221" bestFit="1" customWidth="1"/>
    <col min="4868" max="4868" width="41.42578125" style="221" customWidth="1"/>
    <col min="4869" max="4869" width="15.28515625" style="221" bestFit="1" customWidth="1"/>
    <col min="4870" max="4870" width="16.7109375" style="221" bestFit="1" customWidth="1"/>
    <col min="4871" max="4871" width="11.28515625" style="221" bestFit="1" customWidth="1"/>
    <col min="4872" max="4872" width="14" style="221" bestFit="1" customWidth="1"/>
    <col min="4873" max="4873" width="11.85546875" style="221" bestFit="1" customWidth="1"/>
    <col min="4874" max="4874" width="14.85546875" style="221" bestFit="1" customWidth="1"/>
    <col min="4875" max="4875" width="9.7109375" style="221" customWidth="1"/>
    <col min="4876" max="4876" width="4.85546875" style="221" customWidth="1"/>
    <col min="4877" max="5121" width="9.140625" style="221"/>
    <col min="5122" max="5122" width="5.42578125" style="221" bestFit="1" customWidth="1"/>
    <col min="5123" max="5123" width="20.42578125" style="221" bestFit="1" customWidth="1"/>
    <col min="5124" max="5124" width="41.42578125" style="221" customWidth="1"/>
    <col min="5125" max="5125" width="15.28515625" style="221" bestFit="1" customWidth="1"/>
    <col min="5126" max="5126" width="16.7109375" style="221" bestFit="1" customWidth="1"/>
    <col min="5127" max="5127" width="11.28515625" style="221" bestFit="1" customWidth="1"/>
    <col min="5128" max="5128" width="14" style="221" bestFit="1" customWidth="1"/>
    <col min="5129" max="5129" width="11.85546875" style="221" bestFit="1" customWidth="1"/>
    <col min="5130" max="5130" width="14.85546875" style="221" bestFit="1" customWidth="1"/>
    <col min="5131" max="5131" width="9.7109375" style="221" customWidth="1"/>
    <col min="5132" max="5132" width="4.85546875" style="221" customWidth="1"/>
    <col min="5133" max="5377" width="9.140625" style="221"/>
    <col min="5378" max="5378" width="5.42578125" style="221" bestFit="1" customWidth="1"/>
    <col min="5379" max="5379" width="20.42578125" style="221" bestFit="1" customWidth="1"/>
    <col min="5380" max="5380" width="41.42578125" style="221" customWidth="1"/>
    <col min="5381" max="5381" width="15.28515625" style="221" bestFit="1" customWidth="1"/>
    <col min="5382" max="5382" width="16.7109375" style="221" bestFit="1" customWidth="1"/>
    <col min="5383" max="5383" width="11.28515625" style="221" bestFit="1" customWidth="1"/>
    <col min="5384" max="5384" width="14" style="221" bestFit="1" customWidth="1"/>
    <col min="5385" max="5385" width="11.85546875" style="221" bestFit="1" customWidth="1"/>
    <col min="5386" max="5386" width="14.85546875" style="221" bestFit="1" customWidth="1"/>
    <col min="5387" max="5387" width="9.7109375" style="221" customWidth="1"/>
    <col min="5388" max="5388" width="4.85546875" style="221" customWidth="1"/>
    <col min="5389" max="5633" width="9.140625" style="221"/>
    <col min="5634" max="5634" width="5.42578125" style="221" bestFit="1" customWidth="1"/>
    <col min="5635" max="5635" width="20.42578125" style="221" bestFit="1" customWidth="1"/>
    <col min="5636" max="5636" width="41.42578125" style="221" customWidth="1"/>
    <col min="5637" max="5637" width="15.28515625" style="221" bestFit="1" customWidth="1"/>
    <col min="5638" max="5638" width="16.7109375" style="221" bestFit="1" customWidth="1"/>
    <col min="5639" max="5639" width="11.28515625" style="221" bestFit="1" customWidth="1"/>
    <col min="5640" max="5640" width="14" style="221" bestFit="1" customWidth="1"/>
    <col min="5641" max="5641" width="11.85546875" style="221" bestFit="1" customWidth="1"/>
    <col min="5642" max="5642" width="14.85546875" style="221" bestFit="1" customWidth="1"/>
    <col min="5643" max="5643" width="9.7109375" style="221" customWidth="1"/>
    <col min="5644" max="5644" width="4.85546875" style="221" customWidth="1"/>
    <col min="5645" max="5889" width="9.140625" style="221"/>
    <col min="5890" max="5890" width="5.42578125" style="221" bestFit="1" customWidth="1"/>
    <col min="5891" max="5891" width="20.42578125" style="221" bestFit="1" customWidth="1"/>
    <col min="5892" max="5892" width="41.42578125" style="221" customWidth="1"/>
    <col min="5893" max="5893" width="15.28515625" style="221" bestFit="1" customWidth="1"/>
    <col min="5894" max="5894" width="16.7109375" style="221" bestFit="1" customWidth="1"/>
    <col min="5895" max="5895" width="11.28515625" style="221" bestFit="1" customWidth="1"/>
    <col min="5896" max="5896" width="14" style="221" bestFit="1" customWidth="1"/>
    <col min="5897" max="5897" width="11.85546875" style="221" bestFit="1" customWidth="1"/>
    <col min="5898" max="5898" width="14.85546875" style="221" bestFit="1" customWidth="1"/>
    <col min="5899" max="5899" width="9.7109375" style="221" customWidth="1"/>
    <col min="5900" max="5900" width="4.85546875" style="221" customWidth="1"/>
    <col min="5901" max="6145" width="9.140625" style="221"/>
    <col min="6146" max="6146" width="5.42578125" style="221" bestFit="1" customWidth="1"/>
    <col min="6147" max="6147" width="20.42578125" style="221" bestFit="1" customWidth="1"/>
    <col min="6148" max="6148" width="41.42578125" style="221" customWidth="1"/>
    <col min="6149" max="6149" width="15.28515625" style="221" bestFit="1" customWidth="1"/>
    <col min="6150" max="6150" width="16.7109375" style="221" bestFit="1" customWidth="1"/>
    <col min="6151" max="6151" width="11.28515625" style="221" bestFit="1" customWidth="1"/>
    <col min="6152" max="6152" width="14" style="221" bestFit="1" customWidth="1"/>
    <col min="6153" max="6153" width="11.85546875" style="221" bestFit="1" customWidth="1"/>
    <col min="6154" max="6154" width="14.85546875" style="221" bestFit="1" customWidth="1"/>
    <col min="6155" max="6155" width="9.7109375" style="221" customWidth="1"/>
    <col min="6156" max="6156" width="4.85546875" style="221" customWidth="1"/>
    <col min="6157" max="6401" width="9.140625" style="221"/>
    <col min="6402" max="6402" width="5.42578125" style="221" bestFit="1" customWidth="1"/>
    <col min="6403" max="6403" width="20.42578125" style="221" bestFit="1" customWidth="1"/>
    <col min="6404" max="6404" width="41.42578125" style="221" customWidth="1"/>
    <col min="6405" max="6405" width="15.28515625" style="221" bestFit="1" customWidth="1"/>
    <col min="6406" max="6406" width="16.7109375" style="221" bestFit="1" customWidth="1"/>
    <col min="6407" max="6407" width="11.28515625" style="221" bestFit="1" customWidth="1"/>
    <col min="6408" max="6408" width="14" style="221" bestFit="1" customWidth="1"/>
    <col min="6409" max="6409" width="11.85546875" style="221" bestFit="1" customWidth="1"/>
    <col min="6410" max="6410" width="14.85546875" style="221" bestFit="1" customWidth="1"/>
    <col min="6411" max="6411" width="9.7109375" style="221" customWidth="1"/>
    <col min="6412" max="6412" width="4.85546875" style="221" customWidth="1"/>
    <col min="6413" max="6657" width="9.140625" style="221"/>
    <col min="6658" max="6658" width="5.42578125" style="221" bestFit="1" customWidth="1"/>
    <col min="6659" max="6659" width="20.42578125" style="221" bestFit="1" customWidth="1"/>
    <col min="6660" max="6660" width="41.42578125" style="221" customWidth="1"/>
    <col min="6661" max="6661" width="15.28515625" style="221" bestFit="1" customWidth="1"/>
    <col min="6662" max="6662" width="16.7109375" style="221" bestFit="1" customWidth="1"/>
    <col min="6663" max="6663" width="11.28515625" style="221" bestFit="1" customWidth="1"/>
    <col min="6664" max="6664" width="14" style="221" bestFit="1" customWidth="1"/>
    <col min="6665" max="6665" width="11.85546875" style="221" bestFit="1" customWidth="1"/>
    <col min="6666" max="6666" width="14.85546875" style="221" bestFit="1" customWidth="1"/>
    <col min="6667" max="6667" width="9.7109375" style="221" customWidth="1"/>
    <col min="6668" max="6668" width="4.85546875" style="221" customWidth="1"/>
    <col min="6669" max="6913" width="9.140625" style="221"/>
    <col min="6914" max="6914" width="5.42578125" style="221" bestFit="1" customWidth="1"/>
    <col min="6915" max="6915" width="20.42578125" style="221" bestFit="1" customWidth="1"/>
    <col min="6916" max="6916" width="41.42578125" style="221" customWidth="1"/>
    <col min="6917" max="6917" width="15.28515625" style="221" bestFit="1" customWidth="1"/>
    <col min="6918" max="6918" width="16.7109375" style="221" bestFit="1" customWidth="1"/>
    <col min="6919" max="6919" width="11.28515625" style="221" bestFit="1" customWidth="1"/>
    <col min="6920" max="6920" width="14" style="221" bestFit="1" customWidth="1"/>
    <col min="6921" max="6921" width="11.85546875" style="221" bestFit="1" customWidth="1"/>
    <col min="6922" max="6922" width="14.85546875" style="221" bestFit="1" customWidth="1"/>
    <col min="6923" max="6923" width="9.7109375" style="221" customWidth="1"/>
    <col min="6924" max="6924" width="4.85546875" style="221" customWidth="1"/>
    <col min="6925" max="7169" width="9.140625" style="221"/>
    <col min="7170" max="7170" width="5.42578125" style="221" bestFit="1" customWidth="1"/>
    <col min="7171" max="7171" width="20.42578125" style="221" bestFit="1" customWidth="1"/>
    <col min="7172" max="7172" width="41.42578125" style="221" customWidth="1"/>
    <col min="7173" max="7173" width="15.28515625" style="221" bestFit="1" customWidth="1"/>
    <col min="7174" max="7174" width="16.7109375" style="221" bestFit="1" customWidth="1"/>
    <col min="7175" max="7175" width="11.28515625" style="221" bestFit="1" customWidth="1"/>
    <col min="7176" max="7176" width="14" style="221" bestFit="1" customWidth="1"/>
    <col min="7177" max="7177" width="11.85546875" style="221" bestFit="1" customWidth="1"/>
    <col min="7178" max="7178" width="14.85546875" style="221" bestFit="1" customWidth="1"/>
    <col min="7179" max="7179" width="9.7109375" style="221" customWidth="1"/>
    <col min="7180" max="7180" width="4.85546875" style="221" customWidth="1"/>
    <col min="7181" max="7425" width="9.140625" style="221"/>
    <col min="7426" max="7426" width="5.42578125" style="221" bestFit="1" customWidth="1"/>
    <col min="7427" max="7427" width="20.42578125" style="221" bestFit="1" customWidth="1"/>
    <col min="7428" max="7428" width="41.42578125" style="221" customWidth="1"/>
    <col min="7429" max="7429" width="15.28515625" style="221" bestFit="1" customWidth="1"/>
    <col min="7430" max="7430" width="16.7109375" style="221" bestFit="1" customWidth="1"/>
    <col min="7431" max="7431" width="11.28515625" style="221" bestFit="1" customWidth="1"/>
    <col min="7432" max="7432" width="14" style="221" bestFit="1" customWidth="1"/>
    <col min="7433" max="7433" width="11.85546875" style="221" bestFit="1" customWidth="1"/>
    <col min="7434" max="7434" width="14.85546875" style="221" bestFit="1" customWidth="1"/>
    <col min="7435" max="7435" width="9.7109375" style="221" customWidth="1"/>
    <col min="7436" max="7436" width="4.85546875" style="221" customWidth="1"/>
    <col min="7437" max="7681" width="9.140625" style="221"/>
    <col min="7682" max="7682" width="5.42578125" style="221" bestFit="1" customWidth="1"/>
    <col min="7683" max="7683" width="20.42578125" style="221" bestFit="1" customWidth="1"/>
    <col min="7684" max="7684" width="41.42578125" style="221" customWidth="1"/>
    <col min="7685" max="7685" width="15.28515625" style="221" bestFit="1" customWidth="1"/>
    <col min="7686" max="7686" width="16.7109375" style="221" bestFit="1" customWidth="1"/>
    <col min="7687" max="7687" width="11.28515625" style="221" bestFit="1" customWidth="1"/>
    <col min="7688" max="7688" width="14" style="221" bestFit="1" customWidth="1"/>
    <col min="7689" max="7689" width="11.85546875" style="221" bestFit="1" customWidth="1"/>
    <col min="7690" max="7690" width="14.85546875" style="221" bestFit="1" customWidth="1"/>
    <col min="7691" max="7691" width="9.7109375" style="221" customWidth="1"/>
    <col min="7692" max="7692" width="4.85546875" style="221" customWidth="1"/>
    <col min="7693" max="7937" width="9.140625" style="221"/>
    <col min="7938" max="7938" width="5.42578125" style="221" bestFit="1" customWidth="1"/>
    <col min="7939" max="7939" width="20.42578125" style="221" bestFit="1" customWidth="1"/>
    <col min="7940" max="7940" width="41.42578125" style="221" customWidth="1"/>
    <col min="7941" max="7941" width="15.28515625" style="221" bestFit="1" customWidth="1"/>
    <col min="7942" max="7942" width="16.7109375" style="221" bestFit="1" customWidth="1"/>
    <col min="7943" max="7943" width="11.28515625" style="221" bestFit="1" customWidth="1"/>
    <col min="7944" max="7944" width="14" style="221" bestFit="1" customWidth="1"/>
    <col min="7945" max="7945" width="11.85546875" style="221" bestFit="1" customWidth="1"/>
    <col min="7946" max="7946" width="14.85546875" style="221" bestFit="1" customWidth="1"/>
    <col min="7947" max="7947" width="9.7109375" style="221" customWidth="1"/>
    <col min="7948" max="7948" width="4.85546875" style="221" customWidth="1"/>
    <col min="7949" max="8193" width="9.140625" style="221"/>
    <col min="8194" max="8194" width="5.42578125" style="221" bestFit="1" customWidth="1"/>
    <col min="8195" max="8195" width="20.42578125" style="221" bestFit="1" customWidth="1"/>
    <col min="8196" max="8196" width="41.42578125" style="221" customWidth="1"/>
    <col min="8197" max="8197" width="15.28515625" style="221" bestFit="1" customWidth="1"/>
    <col min="8198" max="8198" width="16.7109375" style="221" bestFit="1" customWidth="1"/>
    <col min="8199" max="8199" width="11.28515625" style="221" bestFit="1" customWidth="1"/>
    <col min="8200" max="8200" width="14" style="221" bestFit="1" customWidth="1"/>
    <col min="8201" max="8201" width="11.85546875" style="221" bestFit="1" customWidth="1"/>
    <col min="8202" max="8202" width="14.85546875" style="221" bestFit="1" customWidth="1"/>
    <col min="8203" max="8203" width="9.7109375" style="221" customWidth="1"/>
    <col min="8204" max="8204" width="4.85546875" style="221" customWidth="1"/>
    <col min="8205" max="8449" width="9.140625" style="221"/>
    <col min="8450" max="8450" width="5.42578125" style="221" bestFit="1" customWidth="1"/>
    <col min="8451" max="8451" width="20.42578125" style="221" bestFit="1" customWidth="1"/>
    <col min="8452" max="8452" width="41.42578125" style="221" customWidth="1"/>
    <col min="8453" max="8453" width="15.28515625" style="221" bestFit="1" customWidth="1"/>
    <col min="8454" max="8454" width="16.7109375" style="221" bestFit="1" customWidth="1"/>
    <col min="8455" max="8455" width="11.28515625" style="221" bestFit="1" customWidth="1"/>
    <col min="8456" max="8456" width="14" style="221" bestFit="1" customWidth="1"/>
    <col min="8457" max="8457" width="11.85546875" style="221" bestFit="1" customWidth="1"/>
    <col min="8458" max="8458" width="14.85546875" style="221" bestFit="1" customWidth="1"/>
    <col min="8459" max="8459" width="9.7109375" style="221" customWidth="1"/>
    <col min="8460" max="8460" width="4.85546875" style="221" customWidth="1"/>
    <col min="8461" max="8705" width="9.140625" style="221"/>
    <col min="8706" max="8706" width="5.42578125" style="221" bestFit="1" customWidth="1"/>
    <col min="8707" max="8707" width="20.42578125" style="221" bestFit="1" customWidth="1"/>
    <col min="8708" max="8708" width="41.42578125" style="221" customWidth="1"/>
    <col min="8709" max="8709" width="15.28515625" style="221" bestFit="1" customWidth="1"/>
    <col min="8710" max="8710" width="16.7109375" style="221" bestFit="1" customWidth="1"/>
    <col min="8711" max="8711" width="11.28515625" style="221" bestFit="1" customWidth="1"/>
    <col min="8712" max="8712" width="14" style="221" bestFit="1" customWidth="1"/>
    <col min="8713" max="8713" width="11.85546875" style="221" bestFit="1" customWidth="1"/>
    <col min="8714" max="8714" width="14.85546875" style="221" bestFit="1" customWidth="1"/>
    <col min="8715" max="8715" width="9.7109375" style="221" customWidth="1"/>
    <col min="8716" max="8716" width="4.85546875" style="221" customWidth="1"/>
    <col min="8717" max="8961" width="9.140625" style="221"/>
    <col min="8962" max="8962" width="5.42578125" style="221" bestFit="1" customWidth="1"/>
    <col min="8963" max="8963" width="20.42578125" style="221" bestFit="1" customWidth="1"/>
    <col min="8964" max="8964" width="41.42578125" style="221" customWidth="1"/>
    <col min="8965" max="8965" width="15.28515625" style="221" bestFit="1" customWidth="1"/>
    <col min="8966" max="8966" width="16.7109375" style="221" bestFit="1" customWidth="1"/>
    <col min="8967" max="8967" width="11.28515625" style="221" bestFit="1" customWidth="1"/>
    <col min="8968" max="8968" width="14" style="221" bestFit="1" customWidth="1"/>
    <col min="8969" max="8969" width="11.85546875" style="221" bestFit="1" customWidth="1"/>
    <col min="8970" max="8970" width="14.85546875" style="221" bestFit="1" customWidth="1"/>
    <col min="8971" max="8971" width="9.7109375" style="221" customWidth="1"/>
    <col min="8972" max="8972" width="4.85546875" style="221" customWidth="1"/>
    <col min="8973" max="9217" width="9.140625" style="221"/>
    <col min="9218" max="9218" width="5.42578125" style="221" bestFit="1" customWidth="1"/>
    <col min="9219" max="9219" width="20.42578125" style="221" bestFit="1" customWidth="1"/>
    <col min="9220" max="9220" width="41.42578125" style="221" customWidth="1"/>
    <col min="9221" max="9221" width="15.28515625" style="221" bestFit="1" customWidth="1"/>
    <col min="9222" max="9222" width="16.7109375" style="221" bestFit="1" customWidth="1"/>
    <col min="9223" max="9223" width="11.28515625" style="221" bestFit="1" customWidth="1"/>
    <col min="9224" max="9224" width="14" style="221" bestFit="1" customWidth="1"/>
    <col min="9225" max="9225" width="11.85546875" style="221" bestFit="1" customWidth="1"/>
    <col min="9226" max="9226" width="14.85546875" style="221" bestFit="1" customWidth="1"/>
    <col min="9227" max="9227" width="9.7109375" style="221" customWidth="1"/>
    <col min="9228" max="9228" width="4.85546875" style="221" customWidth="1"/>
    <col min="9229" max="9473" width="9.140625" style="221"/>
    <col min="9474" max="9474" width="5.42578125" style="221" bestFit="1" customWidth="1"/>
    <col min="9475" max="9475" width="20.42578125" style="221" bestFit="1" customWidth="1"/>
    <col min="9476" max="9476" width="41.42578125" style="221" customWidth="1"/>
    <col min="9477" max="9477" width="15.28515625" style="221" bestFit="1" customWidth="1"/>
    <col min="9478" max="9478" width="16.7109375" style="221" bestFit="1" customWidth="1"/>
    <col min="9479" max="9479" width="11.28515625" style="221" bestFit="1" customWidth="1"/>
    <col min="9480" max="9480" width="14" style="221" bestFit="1" customWidth="1"/>
    <col min="9481" max="9481" width="11.85546875" style="221" bestFit="1" customWidth="1"/>
    <col min="9482" max="9482" width="14.85546875" style="221" bestFit="1" customWidth="1"/>
    <col min="9483" max="9483" width="9.7109375" style="221" customWidth="1"/>
    <col min="9484" max="9484" width="4.85546875" style="221" customWidth="1"/>
    <col min="9485" max="9729" width="9.140625" style="221"/>
    <col min="9730" max="9730" width="5.42578125" style="221" bestFit="1" customWidth="1"/>
    <col min="9731" max="9731" width="20.42578125" style="221" bestFit="1" customWidth="1"/>
    <col min="9732" max="9732" width="41.42578125" style="221" customWidth="1"/>
    <col min="9733" max="9733" width="15.28515625" style="221" bestFit="1" customWidth="1"/>
    <col min="9734" max="9734" width="16.7109375" style="221" bestFit="1" customWidth="1"/>
    <col min="9735" max="9735" width="11.28515625" style="221" bestFit="1" customWidth="1"/>
    <col min="9736" max="9736" width="14" style="221" bestFit="1" customWidth="1"/>
    <col min="9737" max="9737" width="11.85546875" style="221" bestFit="1" customWidth="1"/>
    <col min="9738" max="9738" width="14.85546875" style="221" bestFit="1" customWidth="1"/>
    <col min="9739" max="9739" width="9.7109375" style="221" customWidth="1"/>
    <col min="9740" max="9740" width="4.85546875" style="221" customWidth="1"/>
    <col min="9741" max="9985" width="9.140625" style="221"/>
    <col min="9986" max="9986" width="5.42578125" style="221" bestFit="1" customWidth="1"/>
    <col min="9987" max="9987" width="20.42578125" style="221" bestFit="1" customWidth="1"/>
    <col min="9988" max="9988" width="41.42578125" style="221" customWidth="1"/>
    <col min="9989" max="9989" width="15.28515625" style="221" bestFit="1" customWidth="1"/>
    <col min="9990" max="9990" width="16.7109375" style="221" bestFit="1" customWidth="1"/>
    <col min="9991" max="9991" width="11.28515625" style="221" bestFit="1" customWidth="1"/>
    <col min="9992" max="9992" width="14" style="221" bestFit="1" customWidth="1"/>
    <col min="9993" max="9993" width="11.85546875" style="221" bestFit="1" customWidth="1"/>
    <col min="9994" max="9994" width="14.85546875" style="221" bestFit="1" customWidth="1"/>
    <col min="9995" max="9995" width="9.7109375" style="221" customWidth="1"/>
    <col min="9996" max="9996" width="4.85546875" style="221" customWidth="1"/>
    <col min="9997" max="10241" width="9.140625" style="221"/>
    <col min="10242" max="10242" width="5.42578125" style="221" bestFit="1" customWidth="1"/>
    <col min="10243" max="10243" width="20.42578125" style="221" bestFit="1" customWidth="1"/>
    <col min="10244" max="10244" width="41.42578125" style="221" customWidth="1"/>
    <col min="10245" max="10245" width="15.28515625" style="221" bestFit="1" customWidth="1"/>
    <col min="10246" max="10246" width="16.7109375" style="221" bestFit="1" customWidth="1"/>
    <col min="10247" max="10247" width="11.28515625" style="221" bestFit="1" customWidth="1"/>
    <col min="10248" max="10248" width="14" style="221" bestFit="1" customWidth="1"/>
    <col min="10249" max="10249" width="11.85546875" style="221" bestFit="1" customWidth="1"/>
    <col min="10250" max="10250" width="14.85546875" style="221" bestFit="1" customWidth="1"/>
    <col min="10251" max="10251" width="9.7109375" style="221" customWidth="1"/>
    <col min="10252" max="10252" width="4.85546875" style="221" customWidth="1"/>
    <col min="10253" max="10497" width="9.140625" style="221"/>
    <col min="10498" max="10498" width="5.42578125" style="221" bestFit="1" customWidth="1"/>
    <col min="10499" max="10499" width="20.42578125" style="221" bestFit="1" customWidth="1"/>
    <col min="10500" max="10500" width="41.42578125" style="221" customWidth="1"/>
    <col min="10501" max="10501" width="15.28515625" style="221" bestFit="1" customWidth="1"/>
    <col min="10502" max="10502" width="16.7109375" style="221" bestFit="1" customWidth="1"/>
    <col min="10503" max="10503" width="11.28515625" style="221" bestFit="1" customWidth="1"/>
    <col min="10504" max="10504" width="14" style="221" bestFit="1" customWidth="1"/>
    <col min="10505" max="10505" width="11.85546875" style="221" bestFit="1" customWidth="1"/>
    <col min="10506" max="10506" width="14.85546875" style="221" bestFit="1" customWidth="1"/>
    <col min="10507" max="10507" width="9.7109375" style="221" customWidth="1"/>
    <col min="10508" max="10508" width="4.85546875" style="221" customWidth="1"/>
    <col min="10509" max="10753" width="9.140625" style="221"/>
    <col min="10754" max="10754" width="5.42578125" style="221" bestFit="1" customWidth="1"/>
    <col min="10755" max="10755" width="20.42578125" style="221" bestFit="1" customWidth="1"/>
    <col min="10756" max="10756" width="41.42578125" style="221" customWidth="1"/>
    <col min="10757" max="10757" width="15.28515625" style="221" bestFit="1" customWidth="1"/>
    <col min="10758" max="10758" width="16.7109375" style="221" bestFit="1" customWidth="1"/>
    <col min="10759" max="10759" width="11.28515625" style="221" bestFit="1" customWidth="1"/>
    <col min="10760" max="10760" width="14" style="221" bestFit="1" customWidth="1"/>
    <col min="10761" max="10761" width="11.85546875" style="221" bestFit="1" customWidth="1"/>
    <col min="10762" max="10762" width="14.85546875" style="221" bestFit="1" customWidth="1"/>
    <col min="10763" max="10763" width="9.7109375" style="221" customWidth="1"/>
    <col min="10764" max="10764" width="4.85546875" style="221" customWidth="1"/>
    <col min="10765" max="11009" width="9.140625" style="221"/>
    <col min="11010" max="11010" width="5.42578125" style="221" bestFit="1" customWidth="1"/>
    <col min="11011" max="11011" width="20.42578125" style="221" bestFit="1" customWidth="1"/>
    <col min="11012" max="11012" width="41.42578125" style="221" customWidth="1"/>
    <col min="11013" max="11013" width="15.28515625" style="221" bestFit="1" customWidth="1"/>
    <col min="11014" max="11014" width="16.7109375" style="221" bestFit="1" customWidth="1"/>
    <col min="11015" max="11015" width="11.28515625" style="221" bestFit="1" customWidth="1"/>
    <col min="11016" max="11016" width="14" style="221" bestFit="1" customWidth="1"/>
    <col min="11017" max="11017" width="11.85546875" style="221" bestFit="1" customWidth="1"/>
    <col min="11018" max="11018" width="14.85546875" style="221" bestFit="1" customWidth="1"/>
    <col min="11019" max="11019" width="9.7109375" style="221" customWidth="1"/>
    <col min="11020" max="11020" width="4.85546875" style="221" customWidth="1"/>
    <col min="11021" max="11265" width="9.140625" style="221"/>
    <col min="11266" max="11266" width="5.42578125" style="221" bestFit="1" customWidth="1"/>
    <col min="11267" max="11267" width="20.42578125" style="221" bestFit="1" customWidth="1"/>
    <col min="11268" max="11268" width="41.42578125" style="221" customWidth="1"/>
    <col min="11269" max="11269" width="15.28515625" style="221" bestFit="1" customWidth="1"/>
    <col min="11270" max="11270" width="16.7109375" style="221" bestFit="1" customWidth="1"/>
    <col min="11271" max="11271" width="11.28515625" style="221" bestFit="1" customWidth="1"/>
    <col min="11272" max="11272" width="14" style="221" bestFit="1" customWidth="1"/>
    <col min="11273" max="11273" width="11.85546875" style="221" bestFit="1" customWidth="1"/>
    <col min="11274" max="11274" width="14.85546875" style="221" bestFit="1" customWidth="1"/>
    <col min="11275" max="11275" width="9.7109375" style="221" customWidth="1"/>
    <col min="11276" max="11276" width="4.85546875" style="221" customWidth="1"/>
    <col min="11277" max="11521" width="9.140625" style="221"/>
    <col min="11522" max="11522" width="5.42578125" style="221" bestFit="1" customWidth="1"/>
    <col min="11523" max="11523" width="20.42578125" style="221" bestFit="1" customWidth="1"/>
    <col min="11524" max="11524" width="41.42578125" style="221" customWidth="1"/>
    <col min="11525" max="11525" width="15.28515625" style="221" bestFit="1" customWidth="1"/>
    <col min="11526" max="11526" width="16.7109375" style="221" bestFit="1" customWidth="1"/>
    <col min="11527" max="11527" width="11.28515625" style="221" bestFit="1" customWidth="1"/>
    <col min="11528" max="11528" width="14" style="221" bestFit="1" customWidth="1"/>
    <col min="11529" max="11529" width="11.85546875" style="221" bestFit="1" customWidth="1"/>
    <col min="11530" max="11530" width="14.85546875" style="221" bestFit="1" customWidth="1"/>
    <col min="11531" max="11531" width="9.7109375" style="221" customWidth="1"/>
    <col min="11532" max="11532" width="4.85546875" style="221" customWidth="1"/>
    <col min="11533" max="11777" width="9.140625" style="221"/>
    <col min="11778" max="11778" width="5.42578125" style="221" bestFit="1" customWidth="1"/>
    <col min="11779" max="11779" width="20.42578125" style="221" bestFit="1" customWidth="1"/>
    <col min="11780" max="11780" width="41.42578125" style="221" customWidth="1"/>
    <col min="11781" max="11781" width="15.28515625" style="221" bestFit="1" customWidth="1"/>
    <col min="11782" max="11782" width="16.7109375" style="221" bestFit="1" customWidth="1"/>
    <col min="11783" max="11783" width="11.28515625" style="221" bestFit="1" customWidth="1"/>
    <col min="11784" max="11784" width="14" style="221" bestFit="1" customWidth="1"/>
    <col min="11785" max="11785" width="11.85546875" style="221" bestFit="1" customWidth="1"/>
    <col min="11786" max="11786" width="14.85546875" style="221" bestFit="1" customWidth="1"/>
    <col min="11787" max="11787" width="9.7109375" style="221" customWidth="1"/>
    <col min="11788" max="11788" width="4.85546875" style="221" customWidth="1"/>
    <col min="11789" max="12033" width="9.140625" style="221"/>
    <col min="12034" max="12034" width="5.42578125" style="221" bestFit="1" customWidth="1"/>
    <col min="12035" max="12035" width="20.42578125" style="221" bestFit="1" customWidth="1"/>
    <col min="12036" max="12036" width="41.42578125" style="221" customWidth="1"/>
    <col min="12037" max="12037" width="15.28515625" style="221" bestFit="1" customWidth="1"/>
    <col min="12038" max="12038" width="16.7109375" style="221" bestFit="1" customWidth="1"/>
    <col min="12039" max="12039" width="11.28515625" style="221" bestFit="1" customWidth="1"/>
    <col min="12040" max="12040" width="14" style="221" bestFit="1" customWidth="1"/>
    <col min="12041" max="12041" width="11.85546875" style="221" bestFit="1" customWidth="1"/>
    <col min="12042" max="12042" width="14.85546875" style="221" bestFit="1" customWidth="1"/>
    <col min="12043" max="12043" width="9.7109375" style="221" customWidth="1"/>
    <col min="12044" max="12044" width="4.85546875" style="221" customWidth="1"/>
    <col min="12045" max="12289" width="9.140625" style="221"/>
    <col min="12290" max="12290" width="5.42578125" style="221" bestFit="1" customWidth="1"/>
    <col min="12291" max="12291" width="20.42578125" style="221" bestFit="1" customWidth="1"/>
    <col min="12292" max="12292" width="41.42578125" style="221" customWidth="1"/>
    <col min="12293" max="12293" width="15.28515625" style="221" bestFit="1" customWidth="1"/>
    <col min="12294" max="12294" width="16.7109375" style="221" bestFit="1" customWidth="1"/>
    <col min="12295" max="12295" width="11.28515625" style="221" bestFit="1" customWidth="1"/>
    <col min="12296" max="12296" width="14" style="221" bestFit="1" customWidth="1"/>
    <col min="12297" max="12297" width="11.85546875" style="221" bestFit="1" customWidth="1"/>
    <col min="12298" max="12298" width="14.85546875" style="221" bestFit="1" customWidth="1"/>
    <col min="12299" max="12299" width="9.7109375" style="221" customWidth="1"/>
    <col min="12300" max="12300" width="4.85546875" style="221" customWidth="1"/>
    <col min="12301" max="12545" width="9.140625" style="221"/>
    <col min="12546" max="12546" width="5.42578125" style="221" bestFit="1" customWidth="1"/>
    <col min="12547" max="12547" width="20.42578125" style="221" bestFit="1" customWidth="1"/>
    <col min="12548" max="12548" width="41.42578125" style="221" customWidth="1"/>
    <col min="12549" max="12549" width="15.28515625" style="221" bestFit="1" customWidth="1"/>
    <col min="12550" max="12550" width="16.7109375" style="221" bestFit="1" customWidth="1"/>
    <col min="12551" max="12551" width="11.28515625" style="221" bestFit="1" customWidth="1"/>
    <col min="12552" max="12552" width="14" style="221" bestFit="1" customWidth="1"/>
    <col min="12553" max="12553" width="11.85546875" style="221" bestFit="1" customWidth="1"/>
    <col min="12554" max="12554" width="14.85546875" style="221" bestFit="1" customWidth="1"/>
    <col min="12555" max="12555" width="9.7109375" style="221" customWidth="1"/>
    <col min="12556" max="12556" width="4.85546875" style="221" customWidth="1"/>
    <col min="12557" max="12801" width="9.140625" style="221"/>
    <col min="12802" max="12802" width="5.42578125" style="221" bestFit="1" customWidth="1"/>
    <col min="12803" max="12803" width="20.42578125" style="221" bestFit="1" customWidth="1"/>
    <col min="12804" max="12804" width="41.42578125" style="221" customWidth="1"/>
    <col min="12805" max="12805" width="15.28515625" style="221" bestFit="1" customWidth="1"/>
    <col min="12806" max="12806" width="16.7109375" style="221" bestFit="1" customWidth="1"/>
    <col min="12807" max="12807" width="11.28515625" style="221" bestFit="1" customWidth="1"/>
    <col min="12808" max="12808" width="14" style="221" bestFit="1" customWidth="1"/>
    <col min="12809" max="12809" width="11.85546875" style="221" bestFit="1" customWidth="1"/>
    <col min="12810" max="12810" width="14.85546875" style="221" bestFit="1" customWidth="1"/>
    <col min="12811" max="12811" width="9.7109375" style="221" customWidth="1"/>
    <col min="12812" max="12812" width="4.85546875" style="221" customWidth="1"/>
    <col min="12813" max="13057" width="9.140625" style="221"/>
    <col min="13058" max="13058" width="5.42578125" style="221" bestFit="1" customWidth="1"/>
    <col min="13059" max="13059" width="20.42578125" style="221" bestFit="1" customWidth="1"/>
    <col min="13060" max="13060" width="41.42578125" style="221" customWidth="1"/>
    <col min="13061" max="13061" width="15.28515625" style="221" bestFit="1" customWidth="1"/>
    <col min="13062" max="13062" width="16.7109375" style="221" bestFit="1" customWidth="1"/>
    <col min="13063" max="13063" width="11.28515625" style="221" bestFit="1" customWidth="1"/>
    <col min="13064" max="13064" width="14" style="221" bestFit="1" customWidth="1"/>
    <col min="13065" max="13065" width="11.85546875" style="221" bestFit="1" customWidth="1"/>
    <col min="13066" max="13066" width="14.85546875" style="221" bestFit="1" customWidth="1"/>
    <col min="13067" max="13067" width="9.7109375" style="221" customWidth="1"/>
    <col min="13068" max="13068" width="4.85546875" style="221" customWidth="1"/>
    <col min="13069" max="13313" width="9.140625" style="221"/>
    <col min="13314" max="13314" width="5.42578125" style="221" bestFit="1" customWidth="1"/>
    <col min="13315" max="13315" width="20.42578125" style="221" bestFit="1" customWidth="1"/>
    <col min="13316" max="13316" width="41.42578125" style="221" customWidth="1"/>
    <col min="13317" max="13317" width="15.28515625" style="221" bestFit="1" customWidth="1"/>
    <col min="13318" max="13318" width="16.7109375" style="221" bestFit="1" customWidth="1"/>
    <col min="13319" max="13319" width="11.28515625" style="221" bestFit="1" customWidth="1"/>
    <col min="13320" max="13320" width="14" style="221" bestFit="1" customWidth="1"/>
    <col min="13321" max="13321" width="11.85546875" style="221" bestFit="1" customWidth="1"/>
    <col min="13322" max="13322" width="14.85546875" style="221" bestFit="1" customWidth="1"/>
    <col min="13323" max="13323" width="9.7109375" style="221" customWidth="1"/>
    <col min="13324" max="13324" width="4.85546875" style="221" customWidth="1"/>
    <col min="13325" max="13569" width="9.140625" style="221"/>
    <col min="13570" max="13570" width="5.42578125" style="221" bestFit="1" customWidth="1"/>
    <col min="13571" max="13571" width="20.42578125" style="221" bestFit="1" customWidth="1"/>
    <col min="13572" max="13572" width="41.42578125" style="221" customWidth="1"/>
    <col min="13573" max="13573" width="15.28515625" style="221" bestFit="1" customWidth="1"/>
    <col min="13574" max="13574" width="16.7109375" style="221" bestFit="1" customWidth="1"/>
    <col min="13575" max="13575" width="11.28515625" style="221" bestFit="1" customWidth="1"/>
    <col min="13576" max="13576" width="14" style="221" bestFit="1" customWidth="1"/>
    <col min="13577" max="13577" width="11.85546875" style="221" bestFit="1" customWidth="1"/>
    <col min="13578" max="13578" width="14.85546875" style="221" bestFit="1" customWidth="1"/>
    <col min="13579" max="13579" width="9.7109375" style="221" customWidth="1"/>
    <col min="13580" max="13580" width="4.85546875" style="221" customWidth="1"/>
    <col min="13581" max="13825" width="9.140625" style="221"/>
    <col min="13826" max="13826" width="5.42578125" style="221" bestFit="1" customWidth="1"/>
    <col min="13827" max="13827" width="20.42578125" style="221" bestFit="1" customWidth="1"/>
    <col min="13828" max="13828" width="41.42578125" style="221" customWidth="1"/>
    <col min="13829" max="13829" width="15.28515625" style="221" bestFit="1" customWidth="1"/>
    <col min="13830" max="13830" width="16.7109375" style="221" bestFit="1" customWidth="1"/>
    <col min="13831" max="13831" width="11.28515625" style="221" bestFit="1" customWidth="1"/>
    <col min="13832" max="13832" width="14" style="221" bestFit="1" customWidth="1"/>
    <col min="13833" max="13833" width="11.85546875" style="221" bestFit="1" customWidth="1"/>
    <col min="13834" max="13834" width="14.85546875" style="221" bestFit="1" customWidth="1"/>
    <col min="13835" max="13835" width="9.7109375" style="221" customWidth="1"/>
    <col min="13836" max="13836" width="4.85546875" style="221" customWidth="1"/>
    <col min="13837" max="14081" width="9.140625" style="221"/>
    <col min="14082" max="14082" width="5.42578125" style="221" bestFit="1" customWidth="1"/>
    <col min="14083" max="14083" width="20.42578125" style="221" bestFit="1" customWidth="1"/>
    <col min="14084" max="14084" width="41.42578125" style="221" customWidth="1"/>
    <col min="14085" max="14085" width="15.28515625" style="221" bestFit="1" customWidth="1"/>
    <col min="14086" max="14086" width="16.7109375" style="221" bestFit="1" customWidth="1"/>
    <col min="14087" max="14087" width="11.28515625" style="221" bestFit="1" customWidth="1"/>
    <col min="14088" max="14088" width="14" style="221" bestFit="1" customWidth="1"/>
    <col min="14089" max="14089" width="11.85546875" style="221" bestFit="1" customWidth="1"/>
    <col min="14090" max="14090" width="14.85546875" style="221" bestFit="1" customWidth="1"/>
    <col min="14091" max="14091" width="9.7109375" style="221" customWidth="1"/>
    <col min="14092" max="14092" width="4.85546875" style="221" customWidth="1"/>
    <col min="14093" max="14337" width="9.140625" style="221"/>
    <col min="14338" max="14338" width="5.42578125" style="221" bestFit="1" customWidth="1"/>
    <col min="14339" max="14339" width="20.42578125" style="221" bestFit="1" customWidth="1"/>
    <col min="14340" max="14340" width="41.42578125" style="221" customWidth="1"/>
    <col min="14341" max="14341" width="15.28515625" style="221" bestFit="1" customWidth="1"/>
    <col min="14342" max="14342" width="16.7109375" style="221" bestFit="1" customWidth="1"/>
    <col min="14343" max="14343" width="11.28515625" style="221" bestFit="1" customWidth="1"/>
    <col min="14344" max="14344" width="14" style="221" bestFit="1" customWidth="1"/>
    <col min="14345" max="14345" width="11.85546875" style="221" bestFit="1" customWidth="1"/>
    <col min="14346" max="14346" width="14.85546875" style="221" bestFit="1" customWidth="1"/>
    <col min="14347" max="14347" width="9.7109375" style="221" customWidth="1"/>
    <col min="14348" max="14348" width="4.85546875" style="221" customWidth="1"/>
    <col min="14349" max="14593" width="9.140625" style="221"/>
    <col min="14594" max="14594" width="5.42578125" style="221" bestFit="1" customWidth="1"/>
    <col min="14595" max="14595" width="20.42578125" style="221" bestFit="1" customWidth="1"/>
    <col min="14596" max="14596" width="41.42578125" style="221" customWidth="1"/>
    <col min="14597" max="14597" width="15.28515625" style="221" bestFit="1" customWidth="1"/>
    <col min="14598" max="14598" width="16.7109375" style="221" bestFit="1" customWidth="1"/>
    <col min="14599" max="14599" width="11.28515625" style="221" bestFit="1" customWidth="1"/>
    <col min="14600" max="14600" width="14" style="221" bestFit="1" customWidth="1"/>
    <col min="14601" max="14601" width="11.85546875" style="221" bestFit="1" customWidth="1"/>
    <col min="14602" max="14602" width="14.85546875" style="221" bestFit="1" customWidth="1"/>
    <col min="14603" max="14603" width="9.7109375" style="221" customWidth="1"/>
    <col min="14604" max="14604" width="4.85546875" style="221" customWidth="1"/>
    <col min="14605" max="14849" width="9.140625" style="221"/>
    <col min="14850" max="14850" width="5.42578125" style="221" bestFit="1" customWidth="1"/>
    <col min="14851" max="14851" width="20.42578125" style="221" bestFit="1" customWidth="1"/>
    <col min="14852" max="14852" width="41.42578125" style="221" customWidth="1"/>
    <col min="14853" max="14853" width="15.28515625" style="221" bestFit="1" customWidth="1"/>
    <col min="14854" max="14854" width="16.7109375" style="221" bestFit="1" customWidth="1"/>
    <col min="14855" max="14855" width="11.28515625" style="221" bestFit="1" customWidth="1"/>
    <col min="14856" max="14856" width="14" style="221" bestFit="1" customWidth="1"/>
    <col min="14857" max="14857" width="11.85546875" style="221" bestFit="1" customWidth="1"/>
    <col min="14858" max="14858" width="14.85546875" style="221" bestFit="1" customWidth="1"/>
    <col min="14859" max="14859" width="9.7109375" style="221" customWidth="1"/>
    <col min="14860" max="14860" width="4.85546875" style="221" customWidth="1"/>
    <col min="14861" max="15105" width="9.140625" style="221"/>
    <col min="15106" max="15106" width="5.42578125" style="221" bestFit="1" customWidth="1"/>
    <col min="15107" max="15107" width="20.42578125" style="221" bestFit="1" customWidth="1"/>
    <col min="15108" max="15108" width="41.42578125" style="221" customWidth="1"/>
    <col min="15109" max="15109" width="15.28515625" style="221" bestFit="1" customWidth="1"/>
    <col min="15110" max="15110" width="16.7109375" style="221" bestFit="1" customWidth="1"/>
    <col min="15111" max="15111" width="11.28515625" style="221" bestFit="1" customWidth="1"/>
    <col min="15112" max="15112" width="14" style="221" bestFit="1" customWidth="1"/>
    <col min="15113" max="15113" width="11.85546875" style="221" bestFit="1" customWidth="1"/>
    <col min="15114" max="15114" width="14.85546875" style="221" bestFit="1" customWidth="1"/>
    <col min="15115" max="15115" width="9.7109375" style="221" customWidth="1"/>
    <col min="15116" max="15116" width="4.85546875" style="221" customWidth="1"/>
    <col min="15117" max="15361" width="9.140625" style="221"/>
    <col min="15362" max="15362" width="5.42578125" style="221" bestFit="1" customWidth="1"/>
    <col min="15363" max="15363" width="20.42578125" style="221" bestFit="1" customWidth="1"/>
    <col min="15364" max="15364" width="41.42578125" style="221" customWidth="1"/>
    <col min="15365" max="15365" width="15.28515625" style="221" bestFit="1" customWidth="1"/>
    <col min="15366" max="15366" width="16.7109375" style="221" bestFit="1" customWidth="1"/>
    <col min="15367" max="15367" width="11.28515625" style="221" bestFit="1" customWidth="1"/>
    <col min="15368" max="15368" width="14" style="221" bestFit="1" customWidth="1"/>
    <col min="15369" max="15369" width="11.85546875" style="221" bestFit="1" customWidth="1"/>
    <col min="15370" max="15370" width="14.85546875" style="221" bestFit="1" customWidth="1"/>
    <col min="15371" max="15371" width="9.7109375" style="221" customWidth="1"/>
    <col min="15372" max="15372" width="4.85546875" style="221" customWidth="1"/>
    <col min="15373" max="15617" width="9.140625" style="221"/>
    <col min="15618" max="15618" width="5.42578125" style="221" bestFit="1" customWidth="1"/>
    <col min="15619" max="15619" width="20.42578125" style="221" bestFit="1" customWidth="1"/>
    <col min="15620" max="15620" width="41.42578125" style="221" customWidth="1"/>
    <col min="15621" max="15621" width="15.28515625" style="221" bestFit="1" customWidth="1"/>
    <col min="15622" max="15622" width="16.7109375" style="221" bestFit="1" customWidth="1"/>
    <col min="15623" max="15623" width="11.28515625" style="221" bestFit="1" customWidth="1"/>
    <col min="15624" max="15624" width="14" style="221" bestFit="1" customWidth="1"/>
    <col min="15625" max="15625" width="11.85546875" style="221" bestFit="1" customWidth="1"/>
    <col min="15626" max="15626" width="14.85546875" style="221" bestFit="1" customWidth="1"/>
    <col min="15627" max="15627" width="9.7109375" style="221" customWidth="1"/>
    <col min="15628" max="15628" width="4.85546875" style="221" customWidth="1"/>
    <col min="15629" max="15873" width="9.140625" style="221"/>
    <col min="15874" max="15874" width="5.42578125" style="221" bestFit="1" customWidth="1"/>
    <col min="15875" max="15875" width="20.42578125" style="221" bestFit="1" customWidth="1"/>
    <col min="15876" max="15876" width="41.42578125" style="221" customWidth="1"/>
    <col min="15877" max="15877" width="15.28515625" style="221" bestFit="1" customWidth="1"/>
    <col min="15878" max="15878" width="16.7109375" style="221" bestFit="1" customWidth="1"/>
    <col min="15879" max="15879" width="11.28515625" style="221" bestFit="1" customWidth="1"/>
    <col min="15880" max="15880" width="14" style="221" bestFit="1" customWidth="1"/>
    <col min="15881" max="15881" width="11.85546875" style="221" bestFit="1" customWidth="1"/>
    <col min="15882" max="15882" width="14.85546875" style="221" bestFit="1" customWidth="1"/>
    <col min="15883" max="15883" width="9.7109375" style="221" customWidth="1"/>
    <col min="15884" max="15884" width="4.85546875" style="221" customWidth="1"/>
    <col min="15885" max="16129" width="9.140625" style="221"/>
    <col min="16130" max="16130" width="5.42578125" style="221" bestFit="1" customWidth="1"/>
    <col min="16131" max="16131" width="20.42578125" style="221" bestFit="1" customWidth="1"/>
    <col min="16132" max="16132" width="41.42578125" style="221" customWidth="1"/>
    <col min="16133" max="16133" width="15.28515625" style="221" bestFit="1" customWidth="1"/>
    <col min="16134" max="16134" width="16.7109375" style="221" bestFit="1" customWidth="1"/>
    <col min="16135" max="16135" width="11.28515625" style="221" bestFit="1" customWidth="1"/>
    <col min="16136" max="16136" width="14" style="221" bestFit="1" customWidth="1"/>
    <col min="16137" max="16137" width="11.85546875" style="221" bestFit="1" customWidth="1"/>
    <col min="16138" max="16138" width="14.85546875" style="221" bestFit="1" customWidth="1"/>
    <col min="16139" max="16139" width="9.7109375" style="221" customWidth="1"/>
    <col min="16140" max="16140" width="4.85546875" style="221" customWidth="1"/>
    <col min="16141" max="16384" width="9.140625" style="221"/>
  </cols>
  <sheetData>
    <row r="1" spans="1:13" x14ac:dyDescent="0.25">
      <c r="A1" s="292" t="s">
        <v>0</v>
      </c>
      <c r="B1" s="293"/>
      <c r="C1" s="293"/>
      <c r="D1" s="293"/>
      <c r="E1" s="293"/>
      <c r="F1" s="293"/>
      <c r="G1" s="293"/>
    </row>
    <row r="2" spans="1:13" x14ac:dyDescent="0.25">
      <c r="A2" s="294" t="s">
        <v>979</v>
      </c>
      <c r="B2" s="294"/>
      <c r="C2" s="294"/>
      <c r="D2" s="294"/>
      <c r="E2" s="294"/>
      <c r="F2" s="294"/>
      <c r="G2" s="294"/>
    </row>
    <row r="3" spans="1:13" x14ac:dyDescent="0.25">
      <c r="A3" s="295" t="s">
        <v>980</v>
      </c>
      <c r="B3" s="295"/>
      <c r="C3" s="295"/>
      <c r="D3" s="295"/>
      <c r="E3" s="295"/>
      <c r="F3" s="295"/>
      <c r="G3" s="295"/>
    </row>
    <row r="4" spans="1:13" ht="30" x14ac:dyDescent="0.25">
      <c r="A4" s="222" t="s">
        <v>981</v>
      </c>
      <c r="B4" s="222" t="s">
        <v>982</v>
      </c>
      <c r="C4" s="222" t="s">
        <v>853</v>
      </c>
      <c r="D4" s="222" t="s">
        <v>983</v>
      </c>
      <c r="E4" s="222" t="s">
        <v>6</v>
      </c>
      <c r="F4" s="222" t="s">
        <v>7</v>
      </c>
      <c r="G4" s="222" t="s">
        <v>8</v>
      </c>
    </row>
    <row r="5" spans="1:13" ht="26.25" x14ac:dyDescent="0.25">
      <c r="A5" s="223"/>
      <c r="B5" s="223"/>
      <c r="C5" s="224" t="s">
        <v>984</v>
      </c>
      <c r="D5" s="223"/>
      <c r="E5" s="223"/>
      <c r="F5" s="225"/>
      <c r="G5" s="226"/>
    </row>
    <row r="6" spans="1:13" ht="26.25" x14ac:dyDescent="0.25">
      <c r="A6" s="227">
        <v>1</v>
      </c>
      <c r="B6" s="228" t="s">
        <v>985</v>
      </c>
      <c r="C6" s="229" t="s">
        <v>986</v>
      </c>
      <c r="D6" s="230" t="s">
        <v>987</v>
      </c>
      <c r="E6" s="231">
        <v>94334.65</v>
      </c>
      <c r="F6" s="232">
        <v>614.35305010000002</v>
      </c>
      <c r="G6" s="233">
        <f>ROUND(F6/$F$21*100,2)</f>
        <v>28.86</v>
      </c>
      <c r="H6" s="234"/>
      <c r="I6" s="235"/>
      <c r="J6" s="235"/>
      <c r="K6" s="234"/>
      <c r="L6" s="234"/>
      <c r="M6" s="234"/>
    </row>
    <row r="7" spans="1:13" x14ac:dyDescent="0.25">
      <c r="A7" s="227">
        <v>2</v>
      </c>
      <c r="B7" s="228" t="s">
        <v>988</v>
      </c>
      <c r="C7" s="228" t="s">
        <v>989</v>
      </c>
      <c r="D7" s="230" t="s">
        <v>987</v>
      </c>
      <c r="E7" s="231">
        <v>15880</v>
      </c>
      <c r="F7" s="232">
        <v>531.30617519999998</v>
      </c>
      <c r="G7" s="233">
        <f>ROUND(F7/$F$21*100,2)</f>
        <v>24.96</v>
      </c>
      <c r="H7" s="234"/>
      <c r="I7" s="235"/>
      <c r="J7" s="235"/>
      <c r="K7" s="234"/>
      <c r="L7" s="234"/>
      <c r="M7" s="234"/>
    </row>
    <row r="8" spans="1:13" x14ac:dyDescent="0.25">
      <c r="A8" s="227">
        <v>3</v>
      </c>
      <c r="B8" s="228" t="s">
        <v>990</v>
      </c>
      <c r="C8" s="228" t="s">
        <v>991</v>
      </c>
      <c r="D8" s="230" t="s">
        <v>987</v>
      </c>
      <c r="E8" s="231">
        <v>14618.698</v>
      </c>
      <c r="F8" s="232">
        <v>325.4332091</v>
      </c>
      <c r="G8" s="233">
        <f>ROUND(F8/$F$21*100,2)</f>
        <v>15.29</v>
      </c>
      <c r="H8" s="234"/>
      <c r="I8" s="235"/>
      <c r="J8" s="235"/>
      <c r="K8" s="234"/>
      <c r="L8" s="234"/>
      <c r="M8" s="234"/>
    </row>
    <row r="9" spans="1:13" ht="26.25" x14ac:dyDescent="0.25">
      <c r="A9" s="227">
        <v>4</v>
      </c>
      <c r="B9" s="228" t="s">
        <v>992</v>
      </c>
      <c r="C9" s="229" t="s">
        <v>993</v>
      </c>
      <c r="D9" s="230" t="s">
        <v>987</v>
      </c>
      <c r="E9" s="231">
        <v>9090.65</v>
      </c>
      <c r="F9" s="232">
        <v>210.44572530000002</v>
      </c>
      <c r="G9" s="233">
        <f>ROUND(F9/$F$21*100,2)</f>
        <v>9.89</v>
      </c>
      <c r="H9" s="236"/>
      <c r="I9" s="235"/>
      <c r="J9" s="235"/>
      <c r="K9" s="234"/>
      <c r="L9" s="234"/>
      <c r="M9" s="234"/>
    </row>
    <row r="10" spans="1:13" x14ac:dyDescent="0.25">
      <c r="A10" s="227">
        <v>5</v>
      </c>
      <c r="B10" s="228" t="s">
        <v>994</v>
      </c>
      <c r="C10" s="229" t="s">
        <v>995</v>
      </c>
      <c r="D10" s="230" t="s">
        <v>987</v>
      </c>
      <c r="E10" s="231">
        <v>5884</v>
      </c>
      <c r="F10" s="232">
        <v>197.91772879999999</v>
      </c>
      <c r="G10" s="233">
        <f>ROUND(F10/$F$21*100,2)</f>
        <v>9.3000000000000007</v>
      </c>
      <c r="H10" s="234"/>
      <c r="I10" s="235"/>
      <c r="J10" s="235"/>
      <c r="K10" s="234"/>
      <c r="L10" s="234"/>
      <c r="M10" s="234"/>
    </row>
    <row r="11" spans="1:13" x14ac:dyDescent="0.25">
      <c r="A11" s="227">
        <v>6</v>
      </c>
      <c r="B11" s="228" t="s">
        <v>996</v>
      </c>
      <c r="C11" s="229" t="s">
        <v>997</v>
      </c>
      <c r="D11" s="230" t="s">
        <v>987</v>
      </c>
      <c r="E11" s="231">
        <v>4.0000000000000001E-3</v>
      </c>
      <c r="F11" s="232">
        <v>0</v>
      </c>
      <c r="G11" s="233" t="s">
        <v>807</v>
      </c>
      <c r="H11" s="234"/>
      <c r="I11" s="235"/>
      <c r="J11" s="235"/>
      <c r="K11" s="234"/>
      <c r="L11" s="234"/>
      <c r="M11" s="234"/>
    </row>
    <row r="12" spans="1:13" x14ac:dyDescent="0.25">
      <c r="A12" s="227"/>
      <c r="B12" s="237"/>
      <c r="C12" s="237"/>
      <c r="D12" s="237"/>
      <c r="E12" s="237"/>
      <c r="F12" s="237"/>
      <c r="G12" s="237"/>
      <c r="H12" s="234"/>
      <c r="I12" s="235"/>
      <c r="J12" s="235"/>
      <c r="K12" s="234"/>
      <c r="L12" s="234"/>
      <c r="M12" s="234"/>
    </row>
    <row r="13" spans="1:13" ht="25.5" x14ac:dyDescent="0.25">
      <c r="A13" s="226"/>
      <c r="B13" s="226"/>
      <c r="C13" s="238" t="s">
        <v>998</v>
      </c>
      <c r="D13" s="238"/>
      <c r="E13" s="238"/>
      <c r="F13" s="239">
        <f>SUM(F6:F11)</f>
        <v>1879.4558885000001</v>
      </c>
      <c r="G13" s="240">
        <f>ROUND(F13/$F$21*100,2)</f>
        <v>88.28</v>
      </c>
      <c r="H13" s="241"/>
      <c r="K13" s="242"/>
    </row>
    <row r="14" spans="1:13" x14ac:dyDescent="0.25">
      <c r="A14" s="226"/>
      <c r="B14" s="226"/>
      <c r="C14" s="226"/>
      <c r="D14" s="226"/>
      <c r="E14" s="226"/>
      <c r="F14" s="243"/>
      <c r="G14" s="226"/>
    </row>
    <row r="15" spans="1:13" x14ac:dyDescent="0.25">
      <c r="A15" s="223"/>
      <c r="B15" s="223"/>
      <c r="C15" s="244" t="s">
        <v>999</v>
      </c>
      <c r="D15" s="244"/>
      <c r="E15" s="244"/>
      <c r="F15" s="245"/>
      <c r="G15" s="226"/>
    </row>
    <row r="16" spans="1:13" x14ac:dyDescent="0.25">
      <c r="A16" s="226"/>
      <c r="B16" s="226"/>
      <c r="C16" s="246" t="s">
        <v>730</v>
      </c>
      <c r="D16" s="244"/>
      <c r="E16" s="244"/>
      <c r="F16" s="247">
        <v>244.9624838</v>
      </c>
      <c r="G16" s="233">
        <f>F16/$F$21*100</f>
        <v>11.506531891671949</v>
      </c>
    </row>
    <row r="17" spans="1:15" x14ac:dyDescent="0.25">
      <c r="A17" s="226"/>
      <c r="B17" s="226"/>
      <c r="C17" s="248" t="s">
        <v>122</v>
      </c>
      <c r="D17" s="226"/>
      <c r="E17" s="226"/>
      <c r="F17" s="249">
        <f>F16</f>
        <v>244.9624838</v>
      </c>
      <c r="G17" s="250">
        <f>F17/$F$21*100</f>
        <v>11.506531891671949</v>
      </c>
    </row>
    <row r="18" spans="1:15" x14ac:dyDescent="0.25">
      <c r="A18" s="226"/>
      <c r="B18" s="226"/>
      <c r="C18" s="226"/>
      <c r="D18" s="226"/>
      <c r="E18" s="226"/>
      <c r="F18" s="243"/>
      <c r="G18" s="226"/>
    </row>
    <row r="19" spans="1:15" x14ac:dyDescent="0.25">
      <c r="A19" s="226"/>
      <c r="B19" s="226"/>
      <c r="C19" s="246" t="s">
        <v>1000</v>
      </c>
      <c r="D19" s="244"/>
      <c r="E19" s="244"/>
      <c r="F19" s="247">
        <v>4.4809876999997869</v>
      </c>
      <c r="G19" s="247">
        <f>F19/$F$21*100</f>
        <v>0.21048377317374867</v>
      </c>
      <c r="H19" s="251"/>
      <c r="I19" s="251"/>
      <c r="J19" s="251"/>
      <c r="M19" s="252"/>
      <c r="N19" s="252"/>
      <c r="O19" s="252"/>
    </row>
    <row r="20" spans="1:15" x14ac:dyDescent="0.25">
      <c r="A20" s="226"/>
      <c r="B20" s="226"/>
      <c r="C20" s="226"/>
      <c r="D20" s="226"/>
      <c r="E20" s="226"/>
      <c r="F20" s="243"/>
      <c r="G20" s="226"/>
      <c r="O20" s="252"/>
    </row>
    <row r="21" spans="1:15" x14ac:dyDescent="0.25">
      <c r="A21" s="226"/>
      <c r="B21" s="226"/>
      <c r="C21" s="248" t="s">
        <v>129</v>
      </c>
      <c r="D21" s="226"/>
      <c r="E21" s="226"/>
      <c r="F21" s="249">
        <v>2128.8993599999999</v>
      </c>
      <c r="G21" s="253">
        <f>G19+G17+G13</f>
        <v>99.997015664845705</v>
      </c>
      <c r="H21" s="241"/>
      <c r="I21" s="254"/>
      <c r="J21" s="254"/>
    </row>
    <row r="22" spans="1:15" x14ac:dyDescent="0.25">
      <c r="F22" s="234"/>
      <c r="I22" s="251"/>
      <c r="J22" s="251"/>
    </row>
    <row r="23" spans="1:15" x14ac:dyDescent="0.25">
      <c r="B23" s="291" t="s">
        <v>1001</v>
      </c>
      <c r="C23" s="291"/>
      <c r="D23" s="255"/>
      <c r="E23" s="255"/>
      <c r="F23" s="256"/>
      <c r="G23" s="256"/>
      <c r="I23" s="257"/>
      <c r="J23" s="257"/>
    </row>
    <row r="24" spans="1:15" x14ac:dyDescent="0.25">
      <c r="B24" s="258" t="s">
        <v>131</v>
      </c>
      <c r="C24" s="259"/>
      <c r="D24" s="259"/>
      <c r="E24" s="259"/>
      <c r="F24" s="259"/>
      <c r="G24" s="259"/>
    </row>
    <row r="25" spans="1:15" x14ac:dyDescent="0.25">
      <c r="B25" s="289" t="s">
        <v>961</v>
      </c>
      <c r="C25" s="289"/>
      <c r="D25" s="259"/>
      <c r="E25" s="259"/>
      <c r="F25" s="260"/>
      <c r="G25" s="260"/>
    </row>
    <row r="26" spans="1:15" x14ac:dyDescent="0.25">
      <c r="B26" s="289" t="s">
        <v>1002</v>
      </c>
      <c r="C26" s="289"/>
      <c r="D26" s="259"/>
      <c r="E26" s="259"/>
      <c r="F26" s="261"/>
      <c r="G26" s="261"/>
    </row>
    <row r="27" spans="1:15" x14ac:dyDescent="0.25">
      <c r="B27" s="289" t="s">
        <v>135</v>
      </c>
      <c r="C27" s="289"/>
      <c r="D27" s="262"/>
      <c r="E27" s="262"/>
      <c r="F27" s="259" t="s">
        <v>959</v>
      </c>
      <c r="G27" s="259"/>
    </row>
    <row r="28" spans="1:15" x14ac:dyDescent="0.25">
      <c r="B28" s="263"/>
      <c r="C28" s="263"/>
      <c r="D28" s="262"/>
      <c r="E28" s="262"/>
      <c r="F28" s="259"/>
      <c r="G28" s="259"/>
    </row>
    <row r="29" spans="1:15" x14ac:dyDescent="0.25">
      <c r="B29" s="264"/>
      <c r="C29" s="265" t="s">
        <v>136</v>
      </c>
      <c r="D29" s="265" t="s">
        <v>137</v>
      </c>
      <c r="E29" s="266"/>
      <c r="F29" s="266"/>
      <c r="G29" s="259"/>
    </row>
    <row r="30" spans="1:15" x14ac:dyDescent="0.25">
      <c r="B30" s="267" t="s">
        <v>968</v>
      </c>
      <c r="C30" s="268">
        <v>43646</v>
      </c>
      <c r="D30" s="268">
        <v>43677</v>
      </c>
      <c r="E30" s="269"/>
      <c r="F30" s="269"/>
      <c r="G30" s="255"/>
    </row>
    <row r="31" spans="1:15" x14ac:dyDescent="0.25">
      <c r="B31" s="270" t="s">
        <v>141</v>
      </c>
      <c r="C31" s="271">
        <v>17.329599999999999</v>
      </c>
      <c r="D31" s="271">
        <v>17.178799999999999</v>
      </c>
      <c r="E31" s="272"/>
      <c r="F31" s="255"/>
      <c r="G31" s="255"/>
    </row>
    <row r="32" spans="1:15" x14ac:dyDescent="0.25">
      <c r="B32" s="270" t="s">
        <v>142</v>
      </c>
      <c r="C32" s="271">
        <v>15.4427</v>
      </c>
      <c r="D32" s="271">
        <v>15.304500000000001</v>
      </c>
      <c r="E32" s="272"/>
      <c r="F32" s="255"/>
      <c r="G32" s="255"/>
    </row>
    <row r="33" spans="2:7" x14ac:dyDescent="0.25">
      <c r="B33" s="270" t="s">
        <v>143</v>
      </c>
      <c r="C33" s="271">
        <v>16.7026</v>
      </c>
      <c r="D33" s="271">
        <v>16.552099999999999</v>
      </c>
      <c r="E33" s="272"/>
      <c r="F33" s="255"/>
      <c r="G33" s="255"/>
    </row>
    <row r="34" spans="2:7" x14ac:dyDescent="0.25">
      <c r="B34" s="270" t="s">
        <v>144</v>
      </c>
      <c r="C34" s="271">
        <v>14.321300000000001</v>
      </c>
      <c r="D34" s="271">
        <v>14.192299999999999</v>
      </c>
      <c r="E34" s="272"/>
      <c r="F34" s="255"/>
      <c r="G34" s="255"/>
    </row>
    <row r="35" spans="2:7" x14ac:dyDescent="0.25">
      <c r="B35" s="262"/>
      <c r="C35" s="259"/>
      <c r="D35" s="259"/>
      <c r="E35" s="259"/>
      <c r="F35" s="259"/>
      <c r="G35" s="259"/>
    </row>
    <row r="36" spans="2:7" x14ac:dyDescent="0.25">
      <c r="B36" s="290" t="s">
        <v>971</v>
      </c>
      <c r="C36" s="290"/>
      <c r="D36" s="290"/>
      <c r="E36" s="273"/>
      <c r="F36" s="273"/>
      <c r="G36" s="255"/>
    </row>
    <row r="37" spans="2:7" x14ac:dyDescent="0.25">
      <c r="B37" s="289" t="s">
        <v>1003</v>
      </c>
      <c r="C37" s="289"/>
      <c r="D37" s="289"/>
      <c r="E37" s="259"/>
      <c r="F37" s="259"/>
      <c r="G37" s="259"/>
    </row>
    <row r="38" spans="2:7" ht="15" customHeight="1" x14ac:dyDescent="0.25">
      <c r="B38" s="274" t="s">
        <v>1004</v>
      </c>
      <c r="C38" s="274"/>
      <c r="D38" s="274"/>
      <c r="E38" s="275"/>
      <c r="F38" s="275"/>
      <c r="G38" s="259"/>
    </row>
    <row r="39" spans="2:7" x14ac:dyDescent="0.25">
      <c r="B39" s="291" t="s">
        <v>1005</v>
      </c>
      <c r="C39" s="291"/>
      <c r="D39" s="291"/>
      <c r="E39" s="255"/>
      <c r="F39" s="255"/>
      <c r="G39" s="255"/>
    </row>
  </sheetData>
  <mergeCells count="10">
    <mergeCell ref="B27:C27"/>
    <mergeCell ref="B36:D36"/>
    <mergeCell ref="B37:D37"/>
    <mergeCell ref="B39:D39"/>
    <mergeCell ref="A1:G1"/>
    <mergeCell ref="A2:G2"/>
    <mergeCell ref="A3:G3"/>
    <mergeCell ref="B23:C23"/>
    <mergeCell ref="B25:C25"/>
    <mergeCell ref="B26:C2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9B1A-886F-4FDE-8BE0-D98F1783F0F0}">
  <dimension ref="A1:L130"/>
  <sheetViews>
    <sheetView workbookViewId="0"/>
  </sheetViews>
  <sheetFormatPr defaultRowHeight="12.75" x14ac:dyDescent="0.2"/>
  <cols>
    <col min="1" max="1" width="9.140625" style="194"/>
    <col min="2" max="2" width="40.85546875" style="194" customWidth="1"/>
    <col min="3" max="3" width="45.42578125" style="194" bestFit="1" customWidth="1"/>
    <col min="4" max="4" width="18.7109375" style="194" customWidth="1"/>
    <col min="5" max="5" width="21.28515625" style="194" customWidth="1"/>
    <col min="6" max="6" width="16.5703125" style="194" customWidth="1"/>
    <col min="7" max="7" width="19" style="194" customWidth="1"/>
    <col min="8" max="8" width="17.5703125" style="194" customWidth="1"/>
    <col min="9" max="9" width="13.28515625" style="297" customWidth="1"/>
    <col min="10" max="10" width="13.5703125" style="194" customWidth="1"/>
    <col min="11" max="11" width="20.5703125" style="194" customWidth="1"/>
    <col min="12" max="12" width="12.42578125" style="194" bestFit="1" customWidth="1"/>
    <col min="13" max="257" width="9.140625" style="194"/>
    <col min="258" max="258" width="40.85546875" style="194" customWidth="1"/>
    <col min="259" max="259" width="45.42578125" style="194" bestFit="1" customWidth="1"/>
    <col min="260" max="260" width="18.7109375" style="194" customWidth="1"/>
    <col min="261" max="261" width="21.28515625" style="194" customWidth="1"/>
    <col min="262" max="262" width="16.5703125" style="194" customWidth="1"/>
    <col min="263" max="263" width="19" style="194" customWidth="1"/>
    <col min="264" max="264" width="17.5703125" style="194" customWidth="1"/>
    <col min="265" max="265" width="13.28515625" style="194" customWidth="1"/>
    <col min="266" max="266" width="13.5703125" style="194" customWidth="1"/>
    <col min="267" max="267" width="20.5703125" style="194" customWidth="1"/>
    <col min="268" max="268" width="12.42578125" style="194" bestFit="1" customWidth="1"/>
    <col min="269" max="513" width="9.140625" style="194"/>
    <col min="514" max="514" width="40.85546875" style="194" customWidth="1"/>
    <col min="515" max="515" width="45.42578125" style="194" bestFit="1" customWidth="1"/>
    <col min="516" max="516" width="18.7109375" style="194" customWidth="1"/>
    <col min="517" max="517" width="21.28515625" style="194" customWidth="1"/>
    <col min="518" max="518" width="16.5703125" style="194" customWidth="1"/>
    <col min="519" max="519" width="19" style="194" customWidth="1"/>
    <col min="520" max="520" width="17.5703125" style="194" customWidth="1"/>
    <col min="521" max="521" width="13.28515625" style="194" customWidth="1"/>
    <col min="522" max="522" width="13.5703125" style="194" customWidth="1"/>
    <col min="523" max="523" width="20.5703125" style="194" customWidth="1"/>
    <col min="524" max="524" width="12.42578125" style="194" bestFit="1" customWidth="1"/>
    <col min="525" max="769" width="9.140625" style="194"/>
    <col min="770" max="770" width="40.85546875" style="194" customWidth="1"/>
    <col min="771" max="771" width="45.42578125" style="194" bestFit="1" customWidth="1"/>
    <col min="772" max="772" width="18.7109375" style="194" customWidth="1"/>
    <col min="773" max="773" width="21.28515625" style="194" customWidth="1"/>
    <col min="774" max="774" width="16.5703125" style="194" customWidth="1"/>
    <col min="775" max="775" width="19" style="194" customWidth="1"/>
    <col min="776" max="776" width="17.5703125" style="194" customWidth="1"/>
    <col min="777" max="777" width="13.28515625" style="194" customWidth="1"/>
    <col min="778" max="778" width="13.5703125" style="194" customWidth="1"/>
    <col min="779" max="779" width="20.5703125" style="194" customWidth="1"/>
    <col min="780" max="780" width="12.42578125" style="194" bestFit="1" customWidth="1"/>
    <col min="781" max="1025" width="9.140625" style="194"/>
    <col min="1026" max="1026" width="40.85546875" style="194" customWidth="1"/>
    <col min="1027" max="1027" width="45.42578125" style="194" bestFit="1" customWidth="1"/>
    <col min="1028" max="1028" width="18.7109375" style="194" customWidth="1"/>
    <col min="1029" max="1029" width="21.28515625" style="194" customWidth="1"/>
    <col min="1030" max="1030" width="16.5703125" style="194" customWidth="1"/>
    <col min="1031" max="1031" width="19" style="194" customWidth="1"/>
    <col min="1032" max="1032" width="17.5703125" style="194" customWidth="1"/>
    <col min="1033" max="1033" width="13.28515625" style="194" customWidth="1"/>
    <col min="1034" max="1034" width="13.5703125" style="194" customWidth="1"/>
    <col min="1035" max="1035" width="20.5703125" style="194" customWidth="1"/>
    <col min="1036" max="1036" width="12.42578125" style="194" bestFit="1" customWidth="1"/>
    <col min="1037" max="1281" width="9.140625" style="194"/>
    <col min="1282" max="1282" width="40.85546875" style="194" customWidth="1"/>
    <col min="1283" max="1283" width="45.42578125" style="194" bestFit="1" customWidth="1"/>
    <col min="1284" max="1284" width="18.7109375" style="194" customWidth="1"/>
    <col min="1285" max="1285" width="21.28515625" style="194" customWidth="1"/>
    <col min="1286" max="1286" width="16.5703125" style="194" customWidth="1"/>
    <col min="1287" max="1287" width="19" style="194" customWidth="1"/>
    <col min="1288" max="1288" width="17.5703125" style="194" customWidth="1"/>
    <col min="1289" max="1289" width="13.28515625" style="194" customWidth="1"/>
    <col min="1290" max="1290" width="13.5703125" style="194" customWidth="1"/>
    <col min="1291" max="1291" width="20.5703125" style="194" customWidth="1"/>
    <col min="1292" max="1292" width="12.42578125" style="194" bestFit="1" customWidth="1"/>
    <col min="1293" max="1537" width="9.140625" style="194"/>
    <col min="1538" max="1538" width="40.85546875" style="194" customWidth="1"/>
    <col min="1539" max="1539" width="45.42578125" style="194" bestFit="1" customWidth="1"/>
    <col min="1540" max="1540" width="18.7109375" style="194" customWidth="1"/>
    <col min="1541" max="1541" width="21.28515625" style="194" customWidth="1"/>
    <col min="1542" max="1542" width="16.5703125" style="194" customWidth="1"/>
    <col min="1543" max="1543" width="19" style="194" customWidth="1"/>
    <col min="1544" max="1544" width="17.5703125" style="194" customWidth="1"/>
    <col min="1545" max="1545" width="13.28515625" style="194" customWidth="1"/>
    <col min="1546" max="1546" width="13.5703125" style="194" customWidth="1"/>
    <col min="1547" max="1547" width="20.5703125" style="194" customWidth="1"/>
    <col min="1548" max="1548" width="12.42578125" style="194" bestFit="1" customWidth="1"/>
    <col min="1549" max="1793" width="9.140625" style="194"/>
    <col min="1794" max="1794" width="40.85546875" style="194" customWidth="1"/>
    <col min="1795" max="1795" width="45.42578125" style="194" bestFit="1" customWidth="1"/>
    <col min="1796" max="1796" width="18.7109375" style="194" customWidth="1"/>
    <col min="1797" max="1797" width="21.28515625" style="194" customWidth="1"/>
    <col min="1798" max="1798" width="16.5703125" style="194" customWidth="1"/>
    <col min="1799" max="1799" width="19" style="194" customWidth="1"/>
    <col min="1800" max="1800" width="17.5703125" style="194" customWidth="1"/>
    <col min="1801" max="1801" width="13.28515625" style="194" customWidth="1"/>
    <col min="1802" max="1802" width="13.5703125" style="194" customWidth="1"/>
    <col min="1803" max="1803" width="20.5703125" style="194" customWidth="1"/>
    <col min="1804" max="1804" width="12.42578125" style="194" bestFit="1" customWidth="1"/>
    <col min="1805" max="2049" width="9.140625" style="194"/>
    <col min="2050" max="2050" width="40.85546875" style="194" customWidth="1"/>
    <col min="2051" max="2051" width="45.42578125" style="194" bestFit="1" customWidth="1"/>
    <col min="2052" max="2052" width="18.7109375" style="194" customWidth="1"/>
    <col min="2053" max="2053" width="21.28515625" style="194" customWidth="1"/>
    <col min="2054" max="2054" width="16.5703125" style="194" customWidth="1"/>
    <col min="2055" max="2055" width="19" style="194" customWidth="1"/>
    <col min="2056" max="2056" width="17.5703125" style="194" customWidth="1"/>
    <col min="2057" max="2057" width="13.28515625" style="194" customWidth="1"/>
    <col min="2058" max="2058" width="13.5703125" style="194" customWidth="1"/>
    <col min="2059" max="2059" width="20.5703125" style="194" customWidth="1"/>
    <col min="2060" max="2060" width="12.42578125" style="194" bestFit="1" customWidth="1"/>
    <col min="2061" max="2305" width="9.140625" style="194"/>
    <col min="2306" max="2306" width="40.85546875" style="194" customWidth="1"/>
    <col min="2307" max="2307" width="45.42578125" style="194" bestFit="1" customWidth="1"/>
    <col min="2308" max="2308" width="18.7109375" style="194" customWidth="1"/>
    <col min="2309" max="2309" width="21.28515625" style="194" customWidth="1"/>
    <col min="2310" max="2310" width="16.5703125" style="194" customWidth="1"/>
    <col min="2311" max="2311" width="19" style="194" customWidth="1"/>
    <col min="2312" max="2312" width="17.5703125" style="194" customWidth="1"/>
    <col min="2313" max="2313" width="13.28515625" style="194" customWidth="1"/>
    <col min="2314" max="2314" width="13.5703125" style="194" customWidth="1"/>
    <col min="2315" max="2315" width="20.5703125" style="194" customWidth="1"/>
    <col min="2316" max="2316" width="12.42578125" style="194" bestFit="1" customWidth="1"/>
    <col min="2317" max="2561" width="9.140625" style="194"/>
    <col min="2562" max="2562" width="40.85546875" style="194" customWidth="1"/>
    <col min="2563" max="2563" width="45.42578125" style="194" bestFit="1" customWidth="1"/>
    <col min="2564" max="2564" width="18.7109375" style="194" customWidth="1"/>
    <col min="2565" max="2565" width="21.28515625" style="194" customWidth="1"/>
    <col min="2566" max="2566" width="16.5703125" style="194" customWidth="1"/>
    <col min="2567" max="2567" width="19" style="194" customWidth="1"/>
    <col min="2568" max="2568" width="17.5703125" style="194" customWidth="1"/>
    <col min="2569" max="2569" width="13.28515625" style="194" customWidth="1"/>
    <col min="2570" max="2570" width="13.5703125" style="194" customWidth="1"/>
    <col min="2571" max="2571" width="20.5703125" style="194" customWidth="1"/>
    <col min="2572" max="2572" width="12.42578125" style="194" bestFit="1" customWidth="1"/>
    <col min="2573" max="2817" width="9.140625" style="194"/>
    <col min="2818" max="2818" width="40.85546875" style="194" customWidth="1"/>
    <col min="2819" max="2819" width="45.42578125" style="194" bestFit="1" customWidth="1"/>
    <col min="2820" max="2820" width="18.7109375" style="194" customWidth="1"/>
    <col min="2821" max="2821" width="21.28515625" style="194" customWidth="1"/>
    <col min="2822" max="2822" width="16.5703125" style="194" customWidth="1"/>
    <col min="2823" max="2823" width="19" style="194" customWidth="1"/>
    <col min="2824" max="2824" width="17.5703125" style="194" customWidth="1"/>
    <col min="2825" max="2825" width="13.28515625" style="194" customWidth="1"/>
    <col min="2826" max="2826" width="13.5703125" style="194" customWidth="1"/>
    <col min="2827" max="2827" width="20.5703125" style="194" customWidth="1"/>
    <col min="2828" max="2828" width="12.42578125" style="194" bestFit="1" customWidth="1"/>
    <col min="2829" max="3073" width="9.140625" style="194"/>
    <col min="3074" max="3074" width="40.85546875" style="194" customWidth="1"/>
    <col min="3075" max="3075" width="45.42578125" style="194" bestFit="1" customWidth="1"/>
    <col min="3076" max="3076" width="18.7109375" style="194" customWidth="1"/>
    <col min="3077" max="3077" width="21.28515625" style="194" customWidth="1"/>
    <col min="3078" max="3078" width="16.5703125" style="194" customWidth="1"/>
    <col min="3079" max="3079" width="19" style="194" customWidth="1"/>
    <col min="3080" max="3080" width="17.5703125" style="194" customWidth="1"/>
    <col min="3081" max="3081" width="13.28515625" style="194" customWidth="1"/>
    <col min="3082" max="3082" width="13.5703125" style="194" customWidth="1"/>
    <col min="3083" max="3083" width="20.5703125" style="194" customWidth="1"/>
    <col min="3084" max="3084" width="12.42578125" style="194" bestFit="1" customWidth="1"/>
    <col min="3085" max="3329" width="9.140625" style="194"/>
    <col min="3330" max="3330" width="40.85546875" style="194" customWidth="1"/>
    <col min="3331" max="3331" width="45.42578125" style="194" bestFit="1" customWidth="1"/>
    <col min="3332" max="3332" width="18.7109375" style="194" customWidth="1"/>
    <col min="3333" max="3333" width="21.28515625" style="194" customWidth="1"/>
    <col min="3334" max="3334" width="16.5703125" style="194" customWidth="1"/>
    <col min="3335" max="3335" width="19" style="194" customWidth="1"/>
    <col min="3336" max="3336" width="17.5703125" style="194" customWidth="1"/>
    <col min="3337" max="3337" width="13.28515625" style="194" customWidth="1"/>
    <col min="3338" max="3338" width="13.5703125" style="194" customWidth="1"/>
    <col min="3339" max="3339" width="20.5703125" style="194" customWidth="1"/>
    <col min="3340" max="3340" width="12.42578125" style="194" bestFit="1" customWidth="1"/>
    <col min="3341" max="3585" width="9.140625" style="194"/>
    <col min="3586" max="3586" width="40.85546875" style="194" customWidth="1"/>
    <col min="3587" max="3587" width="45.42578125" style="194" bestFit="1" customWidth="1"/>
    <col min="3588" max="3588" width="18.7109375" style="194" customWidth="1"/>
    <col min="3589" max="3589" width="21.28515625" style="194" customWidth="1"/>
    <col min="3590" max="3590" width="16.5703125" style="194" customWidth="1"/>
    <col min="3591" max="3591" width="19" style="194" customWidth="1"/>
    <col min="3592" max="3592" width="17.5703125" style="194" customWidth="1"/>
    <col min="3593" max="3593" width="13.28515625" style="194" customWidth="1"/>
    <col min="3594" max="3594" width="13.5703125" style="194" customWidth="1"/>
    <col min="3595" max="3595" width="20.5703125" style="194" customWidth="1"/>
    <col min="3596" max="3596" width="12.42578125" style="194" bestFit="1" customWidth="1"/>
    <col min="3597" max="3841" width="9.140625" style="194"/>
    <col min="3842" max="3842" width="40.85546875" style="194" customWidth="1"/>
    <col min="3843" max="3843" width="45.42578125" style="194" bestFit="1" customWidth="1"/>
    <col min="3844" max="3844" width="18.7109375" style="194" customWidth="1"/>
    <col min="3845" max="3845" width="21.28515625" style="194" customWidth="1"/>
    <col min="3846" max="3846" width="16.5703125" style="194" customWidth="1"/>
    <col min="3847" max="3847" width="19" style="194" customWidth="1"/>
    <col min="3848" max="3848" width="17.5703125" style="194" customWidth="1"/>
    <col min="3849" max="3849" width="13.28515625" style="194" customWidth="1"/>
    <col min="3850" max="3850" width="13.5703125" style="194" customWidth="1"/>
    <col min="3851" max="3851" width="20.5703125" style="194" customWidth="1"/>
    <col min="3852" max="3852" width="12.42578125" style="194" bestFit="1" customWidth="1"/>
    <col min="3853" max="4097" width="9.140625" style="194"/>
    <col min="4098" max="4098" width="40.85546875" style="194" customWidth="1"/>
    <col min="4099" max="4099" width="45.42578125" style="194" bestFit="1" customWidth="1"/>
    <col min="4100" max="4100" width="18.7109375" style="194" customWidth="1"/>
    <col min="4101" max="4101" width="21.28515625" style="194" customWidth="1"/>
    <col min="4102" max="4102" width="16.5703125" style="194" customWidth="1"/>
    <col min="4103" max="4103" width="19" style="194" customWidth="1"/>
    <col min="4104" max="4104" width="17.5703125" style="194" customWidth="1"/>
    <col min="4105" max="4105" width="13.28515625" style="194" customWidth="1"/>
    <col min="4106" max="4106" width="13.5703125" style="194" customWidth="1"/>
    <col min="4107" max="4107" width="20.5703125" style="194" customWidth="1"/>
    <col min="4108" max="4108" width="12.42578125" style="194" bestFit="1" customWidth="1"/>
    <col min="4109" max="4353" width="9.140625" style="194"/>
    <col min="4354" max="4354" width="40.85546875" style="194" customWidth="1"/>
    <col min="4355" max="4355" width="45.42578125" style="194" bestFit="1" customWidth="1"/>
    <col min="4356" max="4356" width="18.7109375" style="194" customWidth="1"/>
    <col min="4357" max="4357" width="21.28515625" style="194" customWidth="1"/>
    <col min="4358" max="4358" width="16.5703125" style="194" customWidth="1"/>
    <col min="4359" max="4359" width="19" style="194" customWidth="1"/>
    <col min="4360" max="4360" width="17.5703125" style="194" customWidth="1"/>
    <col min="4361" max="4361" width="13.28515625" style="194" customWidth="1"/>
    <col min="4362" max="4362" width="13.5703125" style="194" customWidth="1"/>
    <col min="4363" max="4363" width="20.5703125" style="194" customWidth="1"/>
    <col min="4364" max="4364" width="12.42578125" style="194" bestFit="1" customWidth="1"/>
    <col min="4365" max="4609" width="9.140625" style="194"/>
    <col min="4610" max="4610" width="40.85546875" style="194" customWidth="1"/>
    <col min="4611" max="4611" width="45.42578125" style="194" bestFit="1" customWidth="1"/>
    <col min="4612" max="4612" width="18.7109375" style="194" customWidth="1"/>
    <col min="4613" max="4613" width="21.28515625" style="194" customWidth="1"/>
    <col min="4614" max="4614" width="16.5703125" style="194" customWidth="1"/>
    <col min="4615" max="4615" width="19" style="194" customWidth="1"/>
    <col min="4616" max="4616" width="17.5703125" style="194" customWidth="1"/>
    <col min="4617" max="4617" width="13.28515625" style="194" customWidth="1"/>
    <col min="4618" max="4618" width="13.5703125" style="194" customWidth="1"/>
    <col min="4619" max="4619" width="20.5703125" style="194" customWidth="1"/>
    <col min="4620" max="4620" width="12.42578125" style="194" bestFit="1" customWidth="1"/>
    <col min="4621" max="4865" width="9.140625" style="194"/>
    <col min="4866" max="4866" width="40.85546875" style="194" customWidth="1"/>
    <col min="4867" max="4867" width="45.42578125" style="194" bestFit="1" customWidth="1"/>
    <col min="4868" max="4868" width="18.7109375" style="194" customWidth="1"/>
    <col min="4869" max="4869" width="21.28515625" style="194" customWidth="1"/>
    <col min="4870" max="4870" width="16.5703125" style="194" customWidth="1"/>
    <col min="4871" max="4871" width="19" style="194" customWidth="1"/>
    <col min="4872" max="4872" width="17.5703125" style="194" customWidth="1"/>
    <col min="4873" max="4873" width="13.28515625" style="194" customWidth="1"/>
    <col min="4874" max="4874" width="13.5703125" style="194" customWidth="1"/>
    <col min="4875" max="4875" width="20.5703125" style="194" customWidth="1"/>
    <col min="4876" max="4876" width="12.42578125" style="194" bestFit="1" customWidth="1"/>
    <col min="4877" max="5121" width="9.140625" style="194"/>
    <col min="5122" max="5122" width="40.85546875" style="194" customWidth="1"/>
    <col min="5123" max="5123" width="45.42578125" style="194" bestFit="1" customWidth="1"/>
    <col min="5124" max="5124" width="18.7109375" style="194" customWidth="1"/>
    <col min="5125" max="5125" width="21.28515625" style="194" customWidth="1"/>
    <col min="5126" max="5126" width="16.5703125" style="194" customWidth="1"/>
    <col min="5127" max="5127" width="19" style="194" customWidth="1"/>
    <col min="5128" max="5128" width="17.5703125" style="194" customWidth="1"/>
    <col min="5129" max="5129" width="13.28515625" style="194" customWidth="1"/>
    <col min="5130" max="5130" width="13.5703125" style="194" customWidth="1"/>
    <col min="5131" max="5131" width="20.5703125" style="194" customWidth="1"/>
    <col min="5132" max="5132" width="12.42578125" style="194" bestFit="1" customWidth="1"/>
    <col min="5133" max="5377" width="9.140625" style="194"/>
    <col min="5378" max="5378" width="40.85546875" style="194" customWidth="1"/>
    <col min="5379" max="5379" width="45.42578125" style="194" bestFit="1" customWidth="1"/>
    <col min="5380" max="5380" width="18.7109375" style="194" customWidth="1"/>
    <col min="5381" max="5381" width="21.28515625" style="194" customWidth="1"/>
    <col min="5382" max="5382" width="16.5703125" style="194" customWidth="1"/>
    <col min="5383" max="5383" width="19" style="194" customWidth="1"/>
    <col min="5384" max="5384" width="17.5703125" style="194" customWidth="1"/>
    <col min="5385" max="5385" width="13.28515625" style="194" customWidth="1"/>
    <col min="5386" max="5386" width="13.5703125" style="194" customWidth="1"/>
    <col min="5387" max="5387" width="20.5703125" style="194" customWidth="1"/>
    <col min="5388" max="5388" width="12.42578125" style="194" bestFit="1" customWidth="1"/>
    <col min="5389" max="5633" width="9.140625" style="194"/>
    <col min="5634" max="5634" width="40.85546875" style="194" customWidth="1"/>
    <col min="5635" max="5635" width="45.42578125" style="194" bestFit="1" customWidth="1"/>
    <col min="5636" max="5636" width="18.7109375" style="194" customWidth="1"/>
    <col min="5637" max="5637" width="21.28515625" style="194" customWidth="1"/>
    <col min="5638" max="5638" width="16.5703125" style="194" customWidth="1"/>
    <col min="5639" max="5639" width="19" style="194" customWidth="1"/>
    <col min="5640" max="5640" width="17.5703125" style="194" customWidth="1"/>
    <col min="5641" max="5641" width="13.28515625" style="194" customWidth="1"/>
    <col min="5642" max="5642" width="13.5703125" style="194" customWidth="1"/>
    <col min="5643" max="5643" width="20.5703125" style="194" customWidth="1"/>
    <col min="5644" max="5644" width="12.42578125" style="194" bestFit="1" customWidth="1"/>
    <col min="5645" max="5889" width="9.140625" style="194"/>
    <col min="5890" max="5890" width="40.85546875" style="194" customWidth="1"/>
    <col min="5891" max="5891" width="45.42578125" style="194" bestFit="1" customWidth="1"/>
    <col min="5892" max="5892" width="18.7109375" style="194" customWidth="1"/>
    <col min="5893" max="5893" width="21.28515625" style="194" customWidth="1"/>
    <col min="5894" max="5894" width="16.5703125" style="194" customWidth="1"/>
    <col min="5895" max="5895" width="19" style="194" customWidth="1"/>
    <col min="5896" max="5896" width="17.5703125" style="194" customWidth="1"/>
    <col min="5897" max="5897" width="13.28515625" style="194" customWidth="1"/>
    <col min="5898" max="5898" width="13.5703125" style="194" customWidth="1"/>
    <col min="5899" max="5899" width="20.5703125" style="194" customWidth="1"/>
    <col min="5900" max="5900" width="12.42578125" style="194" bestFit="1" customWidth="1"/>
    <col min="5901" max="6145" width="9.140625" style="194"/>
    <col min="6146" max="6146" width="40.85546875" style="194" customWidth="1"/>
    <col min="6147" max="6147" width="45.42578125" style="194" bestFit="1" customWidth="1"/>
    <col min="6148" max="6148" width="18.7109375" style="194" customWidth="1"/>
    <col min="6149" max="6149" width="21.28515625" style="194" customWidth="1"/>
    <col min="6150" max="6150" width="16.5703125" style="194" customWidth="1"/>
    <col min="6151" max="6151" width="19" style="194" customWidth="1"/>
    <col min="6152" max="6152" width="17.5703125" style="194" customWidth="1"/>
    <col min="6153" max="6153" width="13.28515625" style="194" customWidth="1"/>
    <col min="6154" max="6154" width="13.5703125" style="194" customWidth="1"/>
    <col min="6155" max="6155" width="20.5703125" style="194" customWidth="1"/>
    <col min="6156" max="6156" width="12.42578125" style="194" bestFit="1" customWidth="1"/>
    <col min="6157" max="6401" width="9.140625" style="194"/>
    <col min="6402" max="6402" width="40.85546875" style="194" customWidth="1"/>
    <col min="6403" max="6403" width="45.42578125" style="194" bestFit="1" customWidth="1"/>
    <col min="6404" max="6404" width="18.7109375" style="194" customWidth="1"/>
    <col min="6405" max="6405" width="21.28515625" style="194" customWidth="1"/>
    <col min="6406" max="6406" width="16.5703125" style="194" customWidth="1"/>
    <col min="6407" max="6407" width="19" style="194" customWidth="1"/>
    <col min="6408" max="6408" width="17.5703125" style="194" customWidth="1"/>
    <col min="6409" max="6409" width="13.28515625" style="194" customWidth="1"/>
    <col min="6410" max="6410" width="13.5703125" style="194" customWidth="1"/>
    <col min="6411" max="6411" width="20.5703125" style="194" customWidth="1"/>
    <col min="6412" max="6412" width="12.42578125" style="194" bestFit="1" customWidth="1"/>
    <col min="6413" max="6657" width="9.140625" style="194"/>
    <col min="6658" max="6658" width="40.85546875" style="194" customWidth="1"/>
    <col min="6659" max="6659" width="45.42578125" style="194" bestFit="1" customWidth="1"/>
    <col min="6660" max="6660" width="18.7109375" style="194" customWidth="1"/>
    <col min="6661" max="6661" width="21.28515625" style="194" customWidth="1"/>
    <col min="6662" max="6662" width="16.5703125" style="194" customWidth="1"/>
    <col min="6663" max="6663" width="19" style="194" customWidth="1"/>
    <col min="6664" max="6664" width="17.5703125" style="194" customWidth="1"/>
    <col min="6665" max="6665" width="13.28515625" style="194" customWidth="1"/>
    <col min="6666" max="6666" width="13.5703125" style="194" customWidth="1"/>
    <col min="6667" max="6667" width="20.5703125" style="194" customWidth="1"/>
    <col min="6668" max="6668" width="12.42578125" style="194" bestFit="1" customWidth="1"/>
    <col min="6669" max="6913" width="9.140625" style="194"/>
    <col min="6914" max="6914" width="40.85546875" style="194" customWidth="1"/>
    <col min="6915" max="6915" width="45.42578125" style="194" bestFit="1" customWidth="1"/>
    <col min="6916" max="6916" width="18.7109375" style="194" customWidth="1"/>
    <col min="6917" max="6917" width="21.28515625" style="194" customWidth="1"/>
    <col min="6918" max="6918" width="16.5703125" style="194" customWidth="1"/>
    <col min="6919" max="6919" width="19" style="194" customWidth="1"/>
    <col min="6920" max="6920" width="17.5703125" style="194" customWidth="1"/>
    <col min="6921" max="6921" width="13.28515625" style="194" customWidth="1"/>
    <col min="6922" max="6922" width="13.5703125" style="194" customWidth="1"/>
    <col min="6923" max="6923" width="20.5703125" style="194" customWidth="1"/>
    <col min="6924" max="6924" width="12.42578125" style="194" bestFit="1" customWidth="1"/>
    <col min="6925" max="7169" width="9.140625" style="194"/>
    <col min="7170" max="7170" width="40.85546875" style="194" customWidth="1"/>
    <col min="7171" max="7171" width="45.42578125" style="194" bestFit="1" customWidth="1"/>
    <col min="7172" max="7172" width="18.7109375" style="194" customWidth="1"/>
    <col min="7173" max="7173" width="21.28515625" style="194" customWidth="1"/>
    <col min="7174" max="7174" width="16.5703125" style="194" customWidth="1"/>
    <col min="7175" max="7175" width="19" style="194" customWidth="1"/>
    <col min="7176" max="7176" width="17.5703125" style="194" customWidth="1"/>
    <col min="7177" max="7177" width="13.28515625" style="194" customWidth="1"/>
    <col min="7178" max="7178" width="13.5703125" style="194" customWidth="1"/>
    <col min="7179" max="7179" width="20.5703125" style="194" customWidth="1"/>
    <col min="7180" max="7180" width="12.42578125" style="194" bestFit="1" customWidth="1"/>
    <col min="7181" max="7425" width="9.140625" style="194"/>
    <col min="7426" max="7426" width="40.85546875" style="194" customWidth="1"/>
    <col min="7427" max="7427" width="45.42578125" style="194" bestFit="1" customWidth="1"/>
    <col min="7428" max="7428" width="18.7109375" style="194" customWidth="1"/>
    <col min="7429" max="7429" width="21.28515625" style="194" customWidth="1"/>
    <col min="7430" max="7430" width="16.5703125" style="194" customWidth="1"/>
    <col min="7431" max="7431" width="19" style="194" customWidth="1"/>
    <col min="7432" max="7432" width="17.5703125" style="194" customWidth="1"/>
    <col min="7433" max="7433" width="13.28515625" style="194" customWidth="1"/>
    <col min="7434" max="7434" width="13.5703125" style="194" customWidth="1"/>
    <col min="7435" max="7435" width="20.5703125" style="194" customWidth="1"/>
    <col min="7436" max="7436" width="12.42578125" style="194" bestFit="1" customWidth="1"/>
    <col min="7437" max="7681" width="9.140625" style="194"/>
    <col min="7682" max="7682" width="40.85546875" style="194" customWidth="1"/>
    <col min="7683" max="7683" width="45.42578125" style="194" bestFit="1" customWidth="1"/>
    <col min="7684" max="7684" width="18.7109375" style="194" customWidth="1"/>
    <col min="7685" max="7685" width="21.28515625" style="194" customWidth="1"/>
    <col min="7686" max="7686" width="16.5703125" style="194" customWidth="1"/>
    <col min="7687" max="7687" width="19" style="194" customWidth="1"/>
    <col min="7688" max="7688" width="17.5703125" style="194" customWidth="1"/>
    <col min="7689" max="7689" width="13.28515625" style="194" customWidth="1"/>
    <col min="7690" max="7690" width="13.5703125" style="194" customWidth="1"/>
    <col min="7691" max="7691" width="20.5703125" style="194" customWidth="1"/>
    <col min="7692" max="7692" width="12.42578125" style="194" bestFit="1" customWidth="1"/>
    <col min="7693" max="7937" width="9.140625" style="194"/>
    <col min="7938" max="7938" width="40.85546875" style="194" customWidth="1"/>
    <col min="7939" max="7939" width="45.42578125" style="194" bestFit="1" customWidth="1"/>
    <col min="7940" max="7940" width="18.7109375" style="194" customWidth="1"/>
    <col min="7941" max="7941" width="21.28515625" style="194" customWidth="1"/>
    <col min="7942" max="7942" width="16.5703125" style="194" customWidth="1"/>
    <col min="7943" max="7943" width="19" style="194" customWidth="1"/>
    <col min="7944" max="7944" width="17.5703125" style="194" customWidth="1"/>
    <col min="7945" max="7945" width="13.28515625" style="194" customWidth="1"/>
    <col min="7946" max="7946" width="13.5703125" style="194" customWidth="1"/>
    <col min="7947" max="7947" width="20.5703125" style="194" customWidth="1"/>
    <col min="7948" max="7948" width="12.42578125" style="194" bestFit="1" customWidth="1"/>
    <col min="7949" max="8193" width="9.140625" style="194"/>
    <col min="8194" max="8194" width="40.85546875" style="194" customWidth="1"/>
    <col min="8195" max="8195" width="45.42578125" style="194" bestFit="1" customWidth="1"/>
    <col min="8196" max="8196" width="18.7109375" style="194" customWidth="1"/>
    <col min="8197" max="8197" width="21.28515625" style="194" customWidth="1"/>
    <col min="8198" max="8198" width="16.5703125" style="194" customWidth="1"/>
    <col min="8199" max="8199" width="19" style="194" customWidth="1"/>
    <col min="8200" max="8200" width="17.5703125" style="194" customWidth="1"/>
    <col min="8201" max="8201" width="13.28515625" style="194" customWidth="1"/>
    <col min="8202" max="8202" width="13.5703125" style="194" customWidth="1"/>
    <col min="8203" max="8203" width="20.5703125" style="194" customWidth="1"/>
    <col min="8204" max="8204" width="12.42578125" style="194" bestFit="1" customWidth="1"/>
    <col min="8205" max="8449" width="9.140625" style="194"/>
    <col min="8450" max="8450" width="40.85546875" style="194" customWidth="1"/>
    <col min="8451" max="8451" width="45.42578125" style="194" bestFit="1" customWidth="1"/>
    <col min="8452" max="8452" width="18.7109375" style="194" customWidth="1"/>
    <col min="8453" max="8453" width="21.28515625" style="194" customWidth="1"/>
    <col min="8454" max="8454" width="16.5703125" style="194" customWidth="1"/>
    <col min="8455" max="8455" width="19" style="194" customWidth="1"/>
    <col min="8456" max="8456" width="17.5703125" style="194" customWidth="1"/>
    <col min="8457" max="8457" width="13.28515625" style="194" customWidth="1"/>
    <col min="8458" max="8458" width="13.5703125" style="194" customWidth="1"/>
    <col min="8459" max="8459" width="20.5703125" style="194" customWidth="1"/>
    <col min="8460" max="8460" width="12.42578125" style="194" bestFit="1" customWidth="1"/>
    <col min="8461" max="8705" width="9.140625" style="194"/>
    <col min="8706" max="8706" width="40.85546875" style="194" customWidth="1"/>
    <col min="8707" max="8707" width="45.42578125" style="194" bestFit="1" customWidth="1"/>
    <col min="8708" max="8708" width="18.7109375" style="194" customWidth="1"/>
    <col min="8709" max="8709" width="21.28515625" style="194" customWidth="1"/>
    <col min="8710" max="8710" width="16.5703125" style="194" customWidth="1"/>
    <col min="8711" max="8711" width="19" style="194" customWidth="1"/>
    <col min="8712" max="8712" width="17.5703125" style="194" customWidth="1"/>
    <col min="8713" max="8713" width="13.28515625" style="194" customWidth="1"/>
    <col min="8714" max="8714" width="13.5703125" style="194" customWidth="1"/>
    <col min="8715" max="8715" width="20.5703125" style="194" customWidth="1"/>
    <col min="8716" max="8716" width="12.42578125" style="194" bestFit="1" customWidth="1"/>
    <col min="8717" max="8961" width="9.140625" style="194"/>
    <col min="8962" max="8962" width="40.85546875" style="194" customWidth="1"/>
    <col min="8963" max="8963" width="45.42578125" style="194" bestFit="1" customWidth="1"/>
    <col min="8964" max="8964" width="18.7109375" style="194" customWidth="1"/>
    <col min="8965" max="8965" width="21.28515625" style="194" customWidth="1"/>
    <col min="8966" max="8966" width="16.5703125" style="194" customWidth="1"/>
    <col min="8967" max="8967" width="19" style="194" customWidth="1"/>
    <col min="8968" max="8968" width="17.5703125" style="194" customWidth="1"/>
    <col min="8969" max="8969" width="13.28515625" style="194" customWidth="1"/>
    <col min="8970" max="8970" width="13.5703125" style="194" customWidth="1"/>
    <col min="8971" max="8971" width="20.5703125" style="194" customWidth="1"/>
    <col min="8972" max="8972" width="12.42578125" style="194" bestFit="1" customWidth="1"/>
    <col min="8973" max="9217" width="9.140625" style="194"/>
    <col min="9218" max="9218" width="40.85546875" style="194" customWidth="1"/>
    <col min="9219" max="9219" width="45.42578125" style="194" bestFit="1" customWidth="1"/>
    <col min="9220" max="9220" width="18.7109375" style="194" customWidth="1"/>
    <col min="9221" max="9221" width="21.28515625" style="194" customWidth="1"/>
    <col min="9222" max="9222" width="16.5703125" style="194" customWidth="1"/>
    <col min="9223" max="9223" width="19" style="194" customWidth="1"/>
    <col min="9224" max="9224" width="17.5703125" style="194" customWidth="1"/>
    <col min="9225" max="9225" width="13.28515625" style="194" customWidth="1"/>
    <col min="9226" max="9226" width="13.5703125" style="194" customWidth="1"/>
    <col min="9227" max="9227" width="20.5703125" style="194" customWidth="1"/>
    <col min="9228" max="9228" width="12.42578125" style="194" bestFit="1" customWidth="1"/>
    <col min="9229" max="9473" width="9.140625" style="194"/>
    <col min="9474" max="9474" width="40.85546875" style="194" customWidth="1"/>
    <col min="9475" max="9475" width="45.42578125" style="194" bestFit="1" customWidth="1"/>
    <col min="9476" max="9476" width="18.7109375" style="194" customWidth="1"/>
    <col min="9477" max="9477" width="21.28515625" style="194" customWidth="1"/>
    <col min="9478" max="9478" width="16.5703125" style="194" customWidth="1"/>
    <col min="9479" max="9479" width="19" style="194" customWidth="1"/>
    <col min="9480" max="9480" width="17.5703125" style="194" customWidth="1"/>
    <col min="9481" max="9481" width="13.28515625" style="194" customWidth="1"/>
    <col min="9482" max="9482" width="13.5703125" style="194" customWidth="1"/>
    <col min="9483" max="9483" width="20.5703125" style="194" customWidth="1"/>
    <col min="9484" max="9484" width="12.42578125" style="194" bestFit="1" customWidth="1"/>
    <col min="9485" max="9729" width="9.140625" style="194"/>
    <col min="9730" max="9730" width="40.85546875" style="194" customWidth="1"/>
    <col min="9731" max="9731" width="45.42578125" style="194" bestFit="1" customWidth="1"/>
    <col min="9732" max="9732" width="18.7109375" style="194" customWidth="1"/>
    <col min="9733" max="9733" width="21.28515625" style="194" customWidth="1"/>
    <col min="9734" max="9734" width="16.5703125" style="194" customWidth="1"/>
    <col min="9735" max="9735" width="19" style="194" customWidth="1"/>
    <col min="9736" max="9736" width="17.5703125" style="194" customWidth="1"/>
    <col min="9737" max="9737" width="13.28515625" style="194" customWidth="1"/>
    <col min="9738" max="9738" width="13.5703125" style="194" customWidth="1"/>
    <col min="9739" max="9739" width="20.5703125" style="194" customWidth="1"/>
    <col min="9740" max="9740" width="12.42578125" style="194" bestFit="1" customWidth="1"/>
    <col min="9741" max="9985" width="9.140625" style="194"/>
    <col min="9986" max="9986" width="40.85546875" style="194" customWidth="1"/>
    <col min="9987" max="9987" width="45.42578125" style="194" bestFit="1" customWidth="1"/>
    <col min="9988" max="9988" width="18.7109375" style="194" customWidth="1"/>
    <col min="9989" max="9989" width="21.28515625" style="194" customWidth="1"/>
    <col min="9990" max="9990" width="16.5703125" style="194" customWidth="1"/>
    <col min="9991" max="9991" width="19" style="194" customWidth="1"/>
    <col min="9992" max="9992" width="17.5703125" style="194" customWidth="1"/>
    <col min="9993" max="9993" width="13.28515625" style="194" customWidth="1"/>
    <col min="9994" max="9994" width="13.5703125" style="194" customWidth="1"/>
    <col min="9995" max="9995" width="20.5703125" style="194" customWidth="1"/>
    <col min="9996" max="9996" width="12.42578125" style="194" bestFit="1" customWidth="1"/>
    <col min="9997" max="10241" width="9.140625" style="194"/>
    <col min="10242" max="10242" width="40.85546875" style="194" customWidth="1"/>
    <col min="10243" max="10243" width="45.42578125" style="194" bestFit="1" customWidth="1"/>
    <col min="10244" max="10244" width="18.7109375" style="194" customWidth="1"/>
    <col min="10245" max="10245" width="21.28515625" style="194" customWidth="1"/>
    <col min="10246" max="10246" width="16.5703125" style="194" customWidth="1"/>
    <col min="10247" max="10247" width="19" style="194" customWidth="1"/>
    <col min="10248" max="10248" width="17.5703125" style="194" customWidth="1"/>
    <col min="10249" max="10249" width="13.28515625" style="194" customWidth="1"/>
    <col min="10250" max="10250" width="13.5703125" style="194" customWidth="1"/>
    <col min="10251" max="10251" width="20.5703125" style="194" customWidth="1"/>
    <col min="10252" max="10252" width="12.42578125" style="194" bestFit="1" customWidth="1"/>
    <col min="10253" max="10497" width="9.140625" style="194"/>
    <col min="10498" max="10498" width="40.85546875" style="194" customWidth="1"/>
    <col min="10499" max="10499" width="45.42578125" style="194" bestFit="1" customWidth="1"/>
    <col min="10500" max="10500" width="18.7109375" style="194" customWidth="1"/>
    <col min="10501" max="10501" width="21.28515625" style="194" customWidth="1"/>
    <col min="10502" max="10502" width="16.5703125" style="194" customWidth="1"/>
    <col min="10503" max="10503" width="19" style="194" customWidth="1"/>
    <col min="10504" max="10504" width="17.5703125" style="194" customWidth="1"/>
    <col min="10505" max="10505" width="13.28515625" style="194" customWidth="1"/>
    <col min="10506" max="10506" width="13.5703125" style="194" customWidth="1"/>
    <col min="10507" max="10507" width="20.5703125" style="194" customWidth="1"/>
    <col min="10508" max="10508" width="12.42578125" style="194" bestFit="1" customWidth="1"/>
    <col min="10509" max="10753" width="9.140625" style="194"/>
    <col min="10754" max="10754" width="40.85546875" style="194" customWidth="1"/>
    <col min="10755" max="10755" width="45.42578125" style="194" bestFit="1" customWidth="1"/>
    <col min="10756" max="10756" width="18.7109375" style="194" customWidth="1"/>
    <col min="10757" max="10757" width="21.28515625" style="194" customWidth="1"/>
    <col min="10758" max="10758" width="16.5703125" style="194" customWidth="1"/>
    <col min="10759" max="10759" width="19" style="194" customWidth="1"/>
    <col min="10760" max="10760" width="17.5703125" style="194" customWidth="1"/>
    <col min="10761" max="10761" width="13.28515625" style="194" customWidth="1"/>
    <col min="10762" max="10762" width="13.5703125" style="194" customWidth="1"/>
    <col min="10763" max="10763" width="20.5703125" style="194" customWidth="1"/>
    <col min="10764" max="10764" width="12.42578125" style="194" bestFit="1" customWidth="1"/>
    <col min="10765" max="11009" width="9.140625" style="194"/>
    <col min="11010" max="11010" width="40.85546875" style="194" customWidth="1"/>
    <col min="11011" max="11011" width="45.42578125" style="194" bestFit="1" customWidth="1"/>
    <col min="11012" max="11012" width="18.7109375" style="194" customWidth="1"/>
    <col min="11013" max="11013" width="21.28515625" style="194" customWidth="1"/>
    <col min="11014" max="11014" width="16.5703125" style="194" customWidth="1"/>
    <col min="11015" max="11015" width="19" style="194" customWidth="1"/>
    <col min="11016" max="11016" width="17.5703125" style="194" customWidth="1"/>
    <col min="11017" max="11017" width="13.28515625" style="194" customWidth="1"/>
    <col min="11018" max="11018" width="13.5703125" style="194" customWidth="1"/>
    <col min="11019" max="11019" width="20.5703125" style="194" customWidth="1"/>
    <col min="11020" max="11020" width="12.42578125" style="194" bestFit="1" customWidth="1"/>
    <col min="11021" max="11265" width="9.140625" style="194"/>
    <col min="11266" max="11266" width="40.85546875" style="194" customWidth="1"/>
    <col min="11267" max="11267" width="45.42578125" style="194" bestFit="1" customWidth="1"/>
    <col min="11268" max="11268" width="18.7109375" style="194" customWidth="1"/>
    <col min="11269" max="11269" width="21.28515625" style="194" customWidth="1"/>
    <col min="11270" max="11270" width="16.5703125" style="194" customWidth="1"/>
    <col min="11271" max="11271" width="19" style="194" customWidth="1"/>
    <col min="11272" max="11272" width="17.5703125" style="194" customWidth="1"/>
    <col min="11273" max="11273" width="13.28515625" style="194" customWidth="1"/>
    <col min="11274" max="11274" width="13.5703125" style="194" customWidth="1"/>
    <col min="11275" max="11275" width="20.5703125" style="194" customWidth="1"/>
    <col min="11276" max="11276" width="12.42578125" style="194" bestFit="1" customWidth="1"/>
    <col min="11277" max="11521" width="9.140625" style="194"/>
    <col min="11522" max="11522" width="40.85546875" style="194" customWidth="1"/>
    <col min="11523" max="11523" width="45.42578125" style="194" bestFit="1" customWidth="1"/>
    <col min="11524" max="11524" width="18.7109375" style="194" customWidth="1"/>
    <col min="11525" max="11525" width="21.28515625" style="194" customWidth="1"/>
    <col min="11526" max="11526" width="16.5703125" style="194" customWidth="1"/>
    <col min="11527" max="11527" width="19" style="194" customWidth="1"/>
    <col min="11528" max="11528" width="17.5703125" style="194" customWidth="1"/>
    <col min="11529" max="11529" width="13.28515625" style="194" customWidth="1"/>
    <col min="11530" max="11530" width="13.5703125" style="194" customWidth="1"/>
    <col min="11531" max="11531" width="20.5703125" style="194" customWidth="1"/>
    <col min="11532" max="11532" width="12.42578125" style="194" bestFit="1" customWidth="1"/>
    <col min="11533" max="11777" width="9.140625" style="194"/>
    <col min="11778" max="11778" width="40.85546875" style="194" customWidth="1"/>
    <col min="11779" max="11779" width="45.42578125" style="194" bestFit="1" customWidth="1"/>
    <col min="11780" max="11780" width="18.7109375" style="194" customWidth="1"/>
    <col min="11781" max="11781" width="21.28515625" style="194" customWidth="1"/>
    <col min="11782" max="11782" width="16.5703125" style="194" customWidth="1"/>
    <col min="11783" max="11783" width="19" style="194" customWidth="1"/>
    <col min="11784" max="11784" width="17.5703125" style="194" customWidth="1"/>
    <col min="11785" max="11785" width="13.28515625" style="194" customWidth="1"/>
    <col min="11786" max="11786" width="13.5703125" style="194" customWidth="1"/>
    <col min="11787" max="11787" width="20.5703125" style="194" customWidth="1"/>
    <col min="11788" max="11788" width="12.42578125" style="194" bestFit="1" customWidth="1"/>
    <col min="11789" max="12033" width="9.140625" style="194"/>
    <col min="12034" max="12034" width="40.85546875" style="194" customWidth="1"/>
    <col min="12035" max="12035" width="45.42578125" style="194" bestFit="1" customWidth="1"/>
    <col min="12036" max="12036" width="18.7109375" style="194" customWidth="1"/>
    <col min="12037" max="12037" width="21.28515625" style="194" customWidth="1"/>
    <col min="12038" max="12038" width="16.5703125" style="194" customWidth="1"/>
    <col min="12039" max="12039" width="19" style="194" customWidth="1"/>
    <col min="12040" max="12040" width="17.5703125" style="194" customWidth="1"/>
    <col min="12041" max="12041" width="13.28515625" style="194" customWidth="1"/>
    <col min="12042" max="12042" width="13.5703125" style="194" customWidth="1"/>
    <col min="12043" max="12043" width="20.5703125" style="194" customWidth="1"/>
    <col min="12044" max="12044" width="12.42578125" style="194" bestFit="1" customWidth="1"/>
    <col min="12045" max="12289" width="9.140625" style="194"/>
    <col min="12290" max="12290" width="40.85546875" style="194" customWidth="1"/>
    <col min="12291" max="12291" width="45.42578125" style="194" bestFit="1" customWidth="1"/>
    <col min="12292" max="12292" width="18.7109375" style="194" customWidth="1"/>
    <col min="12293" max="12293" width="21.28515625" style="194" customWidth="1"/>
    <col min="12294" max="12294" width="16.5703125" style="194" customWidth="1"/>
    <col min="12295" max="12295" width="19" style="194" customWidth="1"/>
    <col min="12296" max="12296" width="17.5703125" style="194" customWidth="1"/>
    <col min="12297" max="12297" width="13.28515625" style="194" customWidth="1"/>
    <col min="12298" max="12298" width="13.5703125" style="194" customWidth="1"/>
    <col min="12299" max="12299" width="20.5703125" style="194" customWidth="1"/>
    <col min="12300" max="12300" width="12.42578125" style="194" bestFit="1" customWidth="1"/>
    <col min="12301" max="12545" width="9.140625" style="194"/>
    <col min="12546" max="12546" width="40.85546875" style="194" customWidth="1"/>
    <col min="12547" max="12547" width="45.42578125" style="194" bestFit="1" customWidth="1"/>
    <col min="12548" max="12548" width="18.7109375" style="194" customWidth="1"/>
    <col min="12549" max="12549" width="21.28515625" style="194" customWidth="1"/>
    <col min="12550" max="12550" width="16.5703125" style="194" customWidth="1"/>
    <col min="12551" max="12551" width="19" style="194" customWidth="1"/>
    <col min="12552" max="12552" width="17.5703125" style="194" customWidth="1"/>
    <col min="12553" max="12553" width="13.28515625" style="194" customWidth="1"/>
    <col min="12554" max="12554" width="13.5703125" style="194" customWidth="1"/>
    <col min="12555" max="12555" width="20.5703125" style="194" customWidth="1"/>
    <col min="12556" max="12556" width="12.42578125" style="194" bestFit="1" customWidth="1"/>
    <col min="12557" max="12801" width="9.140625" style="194"/>
    <col min="12802" max="12802" width="40.85546875" style="194" customWidth="1"/>
    <col min="12803" max="12803" width="45.42578125" style="194" bestFit="1" customWidth="1"/>
    <col min="12804" max="12804" width="18.7109375" style="194" customWidth="1"/>
    <col min="12805" max="12805" width="21.28515625" style="194" customWidth="1"/>
    <col min="12806" max="12806" width="16.5703125" style="194" customWidth="1"/>
    <col min="12807" max="12807" width="19" style="194" customWidth="1"/>
    <col min="12808" max="12808" width="17.5703125" style="194" customWidth="1"/>
    <col min="12809" max="12809" width="13.28515625" style="194" customWidth="1"/>
    <col min="12810" max="12810" width="13.5703125" style="194" customWidth="1"/>
    <col min="12811" max="12811" width="20.5703125" style="194" customWidth="1"/>
    <col min="12812" max="12812" width="12.42578125" style="194" bestFit="1" customWidth="1"/>
    <col min="12813" max="13057" width="9.140625" style="194"/>
    <col min="13058" max="13058" width="40.85546875" style="194" customWidth="1"/>
    <col min="13059" max="13059" width="45.42578125" style="194" bestFit="1" customWidth="1"/>
    <col min="13060" max="13060" width="18.7109375" style="194" customWidth="1"/>
    <col min="13061" max="13061" width="21.28515625" style="194" customWidth="1"/>
    <col min="13062" max="13062" width="16.5703125" style="194" customWidth="1"/>
    <col min="13063" max="13063" width="19" style="194" customWidth="1"/>
    <col min="13064" max="13064" width="17.5703125" style="194" customWidth="1"/>
    <col min="13065" max="13065" width="13.28515625" style="194" customWidth="1"/>
    <col min="13066" max="13066" width="13.5703125" style="194" customWidth="1"/>
    <col min="13067" max="13067" width="20.5703125" style="194" customWidth="1"/>
    <col min="13068" max="13068" width="12.42578125" style="194" bestFit="1" customWidth="1"/>
    <col min="13069" max="13313" width="9.140625" style="194"/>
    <col min="13314" max="13314" width="40.85546875" style="194" customWidth="1"/>
    <col min="13315" max="13315" width="45.42578125" style="194" bestFit="1" customWidth="1"/>
    <col min="13316" max="13316" width="18.7109375" style="194" customWidth="1"/>
    <col min="13317" max="13317" width="21.28515625" style="194" customWidth="1"/>
    <col min="13318" max="13318" width="16.5703125" style="194" customWidth="1"/>
    <col min="13319" max="13319" width="19" style="194" customWidth="1"/>
    <col min="13320" max="13320" width="17.5703125" style="194" customWidth="1"/>
    <col min="13321" max="13321" width="13.28515625" style="194" customWidth="1"/>
    <col min="13322" max="13322" width="13.5703125" style="194" customWidth="1"/>
    <col min="13323" max="13323" width="20.5703125" style="194" customWidth="1"/>
    <col min="13324" max="13324" width="12.42578125" style="194" bestFit="1" customWidth="1"/>
    <col min="13325" max="13569" width="9.140625" style="194"/>
    <col min="13570" max="13570" width="40.85546875" style="194" customWidth="1"/>
    <col min="13571" max="13571" width="45.42578125" style="194" bestFit="1" customWidth="1"/>
    <col min="13572" max="13572" width="18.7109375" style="194" customWidth="1"/>
    <col min="13573" max="13573" width="21.28515625" style="194" customWidth="1"/>
    <col min="13574" max="13574" width="16.5703125" style="194" customWidth="1"/>
    <col min="13575" max="13575" width="19" style="194" customWidth="1"/>
    <col min="13576" max="13576" width="17.5703125" style="194" customWidth="1"/>
    <col min="13577" max="13577" width="13.28515625" style="194" customWidth="1"/>
    <col min="13578" max="13578" width="13.5703125" style="194" customWidth="1"/>
    <col min="13579" max="13579" width="20.5703125" style="194" customWidth="1"/>
    <col min="13580" max="13580" width="12.42578125" style="194" bestFit="1" customWidth="1"/>
    <col min="13581" max="13825" width="9.140625" style="194"/>
    <col min="13826" max="13826" width="40.85546875" style="194" customWidth="1"/>
    <col min="13827" max="13827" width="45.42578125" style="194" bestFit="1" customWidth="1"/>
    <col min="13828" max="13828" width="18.7109375" style="194" customWidth="1"/>
    <col min="13829" max="13829" width="21.28515625" style="194" customWidth="1"/>
    <col min="13830" max="13830" width="16.5703125" style="194" customWidth="1"/>
    <col min="13831" max="13831" width="19" style="194" customWidth="1"/>
    <col min="13832" max="13832" width="17.5703125" style="194" customWidth="1"/>
    <col min="13833" max="13833" width="13.28515625" style="194" customWidth="1"/>
    <col min="13834" max="13834" width="13.5703125" style="194" customWidth="1"/>
    <col min="13835" max="13835" width="20.5703125" style="194" customWidth="1"/>
    <col min="13836" max="13836" width="12.42578125" style="194" bestFit="1" customWidth="1"/>
    <col min="13837" max="14081" width="9.140625" style="194"/>
    <col min="14082" max="14082" width="40.85546875" style="194" customWidth="1"/>
    <col min="14083" max="14083" width="45.42578125" style="194" bestFit="1" customWidth="1"/>
    <col min="14084" max="14084" width="18.7109375" style="194" customWidth="1"/>
    <col min="14085" max="14085" width="21.28515625" style="194" customWidth="1"/>
    <col min="14086" max="14086" width="16.5703125" style="194" customWidth="1"/>
    <col min="14087" max="14087" width="19" style="194" customWidth="1"/>
    <col min="14088" max="14088" width="17.5703125" style="194" customWidth="1"/>
    <col min="14089" max="14089" width="13.28515625" style="194" customWidth="1"/>
    <col min="14090" max="14090" width="13.5703125" style="194" customWidth="1"/>
    <col min="14091" max="14091" width="20.5703125" style="194" customWidth="1"/>
    <col min="14092" max="14092" width="12.42578125" style="194" bestFit="1" customWidth="1"/>
    <col min="14093" max="14337" width="9.140625" style="194"/>
    <col min="14338" max="14338" width="40.85546875" style="194" customWidth="1"/>
    <col min="14339" max="14339" width="45.42578125" style="194" bestFit="1" customWidth="1"/>
    <col min="14340" max="14340" width="18.7109375" style="194" customWidth="1"/>
    <col min="14341" max="14341" width="21.28515625" style="194" customWidth="1"/>
    <col min="14342" max="14342" width="16.5703125" style="194" customWidth="1"/>
    <col min="14343" max="14343" width="19" style="194" customWidth="1"/>
    <col min="14344" max="14344" width="17.5703125" style="194" customWidth="1"/>
    <col min="14345" max="14345" width="13.28515625" style="194" customWidth="1"/>
    <col min="14346" max="14346" width="13.5703125" style="194" customWidth="1"/>
    <col min="14347" max="14347" width="20.5703125" style="194" customWidth="1"/>
    <col min="14348" max="14348" width="12.42578125" style="194" bestFit="1" customWidth="1"/>
    <col min="14349" max="14593" width="9.140625" style="194"/>
    <col min="14594" max="14594" width="40.85546875" style="194" customWidth="1"/>
    <col min="14595" max="14595" width="45.42578125" style="194" bestFit="1" customWidth="1"/>
    <col min="14596" max="14596" width="18.7109375" style="194" customWidth="1"/>
    <col min="14597" max="14597" width="21.28515625" style="194" customWidth="1"/>
    <col min="14598" max="14598" width="16.5703125" style="194" customWidth="1"/>
    <col min="14599" max="14599" width="19" style="194" customWidth="1"/>
    <col min="14600" max="14600" width="17.5703125" style="194" customWidth="1"/>
    <col min="14601" max="14601" width="13.28515625" style="194" customWidth="1"/>
    <col min="14602" max="14602" width="13.5703125" style="194" customWidth="1"/>
    <col min="14603" max="14603" width="20.5703125" style="194" customWidth="1"/>
    <col min="14604" max="14604" width="12.42578125" style="194" bestFit="1" customWidth="1"/>
    <col min="14605" max="14849" width="9.140625" style="194"/>
    <col min="14850" max="14850" width="40.85546875" style="194" customWidth="1"/>
    <col min="14851" max="14851" width="45.42578125" style="194" bestFit="1" customWidth="1"/>
    <col min="14852" max="14852" width="18.7109375" style="194" customWidth="1"/>
    <col min="14853" max="14853" width="21.28515625" style="194" customWidth="1"/>
    <col min="14854" max="14854" width="16.5703125" style="194" customWidth="1"/>
    <col min="14855" max="14855" width="19" style="194" customWidth="1"/>
    <col min="14856" max="14856" width="17.5703125" style="194" customWidth="1"/>
    <col min="14857" max="14857" width="13.28515625" style="194" customWidth="1"/>
    <col min="14858" max="14858" width="13.5703125" style="194" customWidth="1"/>
    <col min="14859" max="14859" width="20.5703125" style="194" customWidth="1"/>
    <col min="14860" max="14860" width="12.42578125" style="194" bestFit="1" customWidth="1"/>
    <col min="14861" max="15105" width="9.140625" style="194"/>
    <col min="15106" max="15106" width="40.85546875" style="194" customWidth="1"/>
    <col min="15107" max="15107" width="45.42578125" style="194" bestFit="1" customWidth="1"/>
    <col min="15108" max="15108" width="18.7109375" style="194" customWidth="1"/>
    <col min="15109" max="15109" width="21.28515625" style="194" customWidth="1"/>
    <col min="15110" max="15110" width="16.5703125" style="194" customWidth="1"/>
    <col min="15111" max="15111" width="19" style="194" customWidth="1"/>
    <col min="15112" max="15112" width="17.5703125" style="194" customWidth="1"/>
    <col min="15113" max="15113" width="13.28515625" style="194" customWidth="1"/>
    <col min="15114" max="15114" width="13.5703125" style="194" customWidth="1"/>
    <col min="15115" max="15115" width="20.5703125" style="194" customWidth="1"/>
    <col min="15116" max="15116" width="12.42578125" style="194" bestFit="1" customWidth="1"/>
    <col min="15117" max="15361" width="9.140625" style="194"/>
    <col min="15362" max="15362" width="40.85546875" style="194" customWidth="1"/>
    <col min="15363" max="15363" width="45.42578125" style="194" bestFit="1" customWidth="1"/>
    <col min="15364" max="15364" width="18.7109375" style="194" customWidth="1"/>
    <col min="15365" max="15365" width="21.28515625" style="194" customWidth="1"/>
    <col min="15366" max="15366" width="16.5703125" style="194" customWidth="1"/>
    <col min="15367" max="15367" width="19" style="194" customWidth="1"/>
    <col min="15368" max="15368" width="17.5703125" style="194" customWidth="1"/>
    <col min="15369" max="15369" width="13.28515625" style="194" customWidth="1"/>
    <col min="15370" max="15370" width="13.5703125" style="194" customWidth="1"/>
    <col min="15371" max="15371" width="20.5703125" style="194" customWidth="1"/>
    <col min="15372" max="15372" width="12.42578125" style="194" bestFit="1" customWidth="1"/>
    <col min="15373" max="15617" width="9.140625" style="194"/>
    <col min="15618" max="15618" width="40.85546875" style="194" customWidth="1"/>
    <col min="15619" max="15619" width="45.42578125" style="194" bestFit="1" customWidth="1"/>
    <col min="15620" max="15620" width="18.7109375" style="194" customWidth="1"/>
    <col min="15621" max="15621" width="21.28515625" style="194" customWidth="1"/>
    <col min="15622" max="15622" width="16.5703125" style="194" customWidth="1"/>
    <col min="15623" max="15623" width="19" style="194" customWidth="1"/>
    <col min="15624" max="15624" width="17.5703125" style="194" customWidth="1"/>
    <col min="15625" max="15625" width="13.28515625" style="194" customWidth="1"/>
    <col min="15626" max="15626" width="13.5703125" style="194" customWidth="1"/>
    <col min="15627" max="15627" width="20.5703125" style="194" customWidth="1"/>
    <col min="15628" max="15628" width="12.42578125" style="194" bestFit="1" customWidth="1"/>
    <col min="15629" max="15873" width="9.140625" style="194"/>
    <col min="15874" max="15874" width="40.85546875" style="194" customWidth="1"/>
    <col min="15875" max="15875" width="45.42578125" style="194" bestFit="1" customWidth="1"/>
    <col min="15876" max="15876" width="18.7109375" style="194" customWidth="1"/>
    <col min="15877" max="15877" width="21.28515625" style="194" customWidth="1"/>
    <col min="15878" max="15878" width="16.5703125" style="194" customWidth="1"/>
    <col min="15879" max="15879" width="19" style="194" customWidth="1"/>
    <col min="15880" max="15880" width="17.5703125" style="194" customWidth="1"/>
    <col min="15881" max="15881" width="13.28515625" style="194" customWidth="1"/>
    <col min="15882" max="15882" width="13.5703125" style="194" customWidth="1"/>
    <col min="15883" max="15883" width="20.5703125" style="194" customWidth="1"/>
    <col min="15884" max="15884" width="12.42578125" style="194" bestFit="1" customWidth="1"/>
    <col min="15885" max="16129" width="9.140625" style="194"/>
    <col min="16130" max="16130" width="40.85546875" style="194" customWidth="1"/>
    <col min="16131" max="16131" width="45.42578125" style="194" bestFit="1" customWidth="1"/>
    <col min="16132" max="16132" width="18.7109375" style="194" customWidth="1"/>
    <col min="16133" max="16133" width="21.28515625" style="194" customWidth="1"/>
    <col min="16134" max="16134" width="16.5703125" style="194" customWidth="1"/>
    <col min="16135" max="16135" width="19" style="194" customWidth="1"/>
    <col min="16136" max="16136" width="17.5703125" style="194" customWidth="1"/>
    <col min="16137" max="16137" width="13.28515625" style="194" customWidth="1"/>
    <col min="16138" max="16138" width="13.5703125" style="194" customWidth="1"/>
    <col min="16139" max="16139" width="20.5703125" style="194" customWidth="1"/>
    <col min="16140" max="16140" width="12.42578125" style="194" bestFit="1" customWidth="1"/>
    <col min="16141" max="16384" width="9.140625" style="194"/>
  </cols>
  <sheetData>
    <row r="1" spans="2:9" x14ac:dyDescent="0.2">
      <c r="G1" s="296" t="s">
        <v>1006</v>
      </c>
    </row>
    <row r="2" spans="2:9" x14ac:dyDescent="0.2">
      <c r="B2" s="298" t="s">
        <v>1007</v>
      </c>
      <c r="C2" s="298"/>
      <c r="D2" s="298"/>
      <c r="E2" s="298"/>
      <c r="F2" s="298"/>
      <c r="G2" s="298"/>
    </row>
    <row r="3" spans="2:9" x14ac:dyDescent="0.2">
      <c r="B3" s="298" t="s">
        <v>1008</v>
      </c>
      <c r="C3" s="298"/>
      <c r="D3" s="298"/>
      <c r="E3" s="298"/>
      <c r="F3" s="298"/>
      <c r="G3" s="298"/>
    </row>
    <row r="4" spans="2:9" x14ac:dyDescent="0.2">
      <c r="B4" s="299"/>
      <c r="C4" s="299"/>
      <c r="D4" s="299"/>
      <c r="E4" s="299"/>
      <c r="F4" s="299"/>
      <c r="G4" s="299"/>
    </row>
    <row r="5" spans="2:9" x14ac:dyDescent="0.2">
      <c r="B5" s="298" t="s">
        <v>1009</v>
      </c>
      <c r="C5" s="298"/>
      <c r="D5" s="298"/>
      <c r="E5" s="298"/>
      <c r="F5" s="298"/>
      <c r="G5" s="298"/>
    </row>
    <row r="6" spans="2:9" x14ac:dyDescent="0.2">
      <c r="B6" s="299" t="s">
        <v>1010</v>
      </c>
    </row>
    <row r="8" spans="2:9" ht="25.5" x14ac:dyDescent="0.2">
      <c r="B8" s="300" t="s">
        <v>1011</v>
      </c>
      <c r="C8" s="300" t="s">
        <v>1012</v>
      </c>
      <c r="D8" s="300" t="s">
        <v>1013</v>
      </c>
      <c r="E8" s="301" t="s">
        <v>1014</v>
      </c>
      <c r="F8" s="301" t="s">
        <v>1015</v>
      </c>
      <c r="G8" s="301" t="s">
        <v>1016</v>
      </c>
    </row>
    <row r="9" spans="2:9" ht="15" x14ac:dyDescent="0.2">
      <c r="B9" s="302" t="s">
        <v>697</v>
      </c>
      <c r="C9" s="302" t="s">
        <v>821</v>
      </c>
      <c r="D9" s="303" t="s">
        <v>1017</v>
      </c>
      <c r="E9" s="304">
        <v>170.96</v>
      </c>
      <c r="F9" s="305">
        <v>154.6</v>
      </c>
      <c r="G9" s="305">
        <v>18.7</v>
      </c>
    </row>
    <row r="10" spans="2:9" x14ac:dyDescent="0.2">
      <c r="B10" s="302" t="s">
        <v>697</v>
      </c>
      <c r="C10" s="302" t="s">
        <v>822</v>
      </c>
      <c r="D10" s="303" t="s">
        <v>1017</v>
      </c>
      <c r="E10" s="305">
        <v>6034.99</v>
      </c>
      <c r="F10" s="305">
        <v>5418.2</v>
      </c>
      <c r="G10" s="305">
        <v>17.350000000000001</v>
      </c>
    </row>
    <row r="11" spans="2:9" x14ac:dyDescent="0.2">
      <c r="B11" s="302" t="s">
        <v>697</v>
      </c>
      <c r="C11" s="302" t="s">
        <v>823</v>
      </c>
      <c r="D11" s="303" t="s">
        <v>1017</v>
      </c>
      <c r="E11" s="305">
        <v>134.82</v>
      </c>
      <c r="F11" s="305">
        <v>135.75</v>
      </c>
      <c r="G11" s="305">
        <v>23.37</v>
      </c>
    </row>
    <row r="12" spans="2:9" ht="15" x14ac:dyDescent="0.25">
      <c r="B12" s="302" t="s">
        <v>697</v>
      </c>
      <c r="C12" s="302" t="s">
        <v>824</v>
      </c>
      <c r="D12" s="303" t="s">
        <v>1017</v>
      </c>
      <c r="E12" s="305">
        <v>731.47</v>
      </c>
      <c r="F12" s="305">
        <v>678.15</v>
      </c>
      <c r="G12" s="305">
        <v>24.39</v>
      </c>
      <c r="I12" s="306"/>
    </row>
    <row r="13" spans="2:9" ht="15" x14ac:dyDescent="0.25">
      <c r="B13" s="302" t="s">
        <v>697</v>
      </c>
      <c r="C13" s="302" t="s">
        <v>825</v>
      </c>
      <c r="D13" s="303" t="s">
        <v>1017</v>
      </c>
      <c r="E13" s="305">
        <v>528.75</v>
      </c>
      <c r="F13" s="305">
        <v>521.4</v>
      </c>
      <c r="G13" s="305">
        <v>28.59</v>
      </c>
      <c r="I13" s="306"/>
    </row>
    <row r="14" spans="2:9" ht="15" x14ac:dyDescent="0.25">
      <c r="B14" s="302" t="s">
        <v>697</v>
      </c>
      <c r="C14" s="302" t="s">
        <v>826</v>
      </c>
      <c r="D14" s="303" t="s">
        <v>1017</v>
      </c>
      <c r="E14" s="305">
        <v>64.33</v>
      </c>
      <c r="F14" s="305">
        <v>59.15</v>
      </c>
      <c r="G14" s="305">
        <v>28.98</v>
      </c>
      <c r="I14" s="306"/>
    </row>
    <row r="15" spans="2:9" ht="15" x14ac:dyDescent="0.25">
      <c r="B15" s="302" t="s">
        <v>697</v>
      </c>
      <c r="C15" s="302" t="s">
        <v>827</v>
      </c>
      <c r="D15" s="303" t="s">
        <v>1017</v>
      </c>
      <c r="E15" s="305">
        <v>776.92</v>
      </c>
      <c r="F15" s="305">
        <v>783.6</v>
      </c>
      <c r="G15" s="305">
        <v>37.65</v>
      </c>
      <c r="I15" s="306"/>
    </row>
    <row r="16" spans="2:9" ht="15" x14ac:dyDescent="0.25">
      <c r="B16" s="302" t="s">
        <v>697</v>
      </c>
      <c r="C16" s="302" t="s">
        <v>828</v>
      </c>
      <c r="D16" s="303" t="s">
        <v>1017</v>
      </c>
      <c r="E16" s="305">
        <v>981.78</v>
      </c>
      <c r="F16" s="305">
        <v>974.3</v>
      </c>
      <c r="G16" s="305">
        <v>38.43</v>
      </c>
      <c r="I16" s="306"/>
    </row>
    <row r="17" spans="2:9" ht="15" x14ac:dyDescent="0.25">
      <c r="B17" s="302" t="s">
        <v>697</v>
      </c>
      <c r="C17" s="302" t="s">
        <v>829</v>
      </c>
      <c r="D17" s="303" t="s">
        <v>1017</v>
      </c>
      <c r="E17" s="305">
        <v>89.16</v>
      </c>
      <c r="F17" s="305">
        <v>91.45</v>
      </c>
      <c r="G17" s="305">
        <v>80.400000000000006</v>
      </c>
      <c r="I17" s="306"/>
    </row>
    <row r="18" spans="2:9" ht="15" x14ac:dyDescent="0.25">
      <c r="B18" s="302" t="s">
        <v>697</v>
      </c>
      <c r="C18" s="302" t="s">
        <v>830</v>
      </c>
      <c r="D18" s="303" t="s">
        <v>1017</v>
      </c>
      <c r="E18" s="305">
        <v>274.01</v>
      </c>
      <c r="F18" s="305">
        <v>270.89999999999998</v>
      </c>
      <c r="G18" s="305">
        <v>35.6</v>
      </c>
      <c r="I18" s="306"/>
    </row>
    <row r="19" spans="2:9" ht="15" x14ac:dyDescent="0.25">
      <c r="B19" s="302" t="s">
        <v>697</v>
      </c>
      <c r="C19" s="302" t="s">
        <v>831</v>
      </c>
      <c r="D19" s="303" t="s">
        <v>1017</v>
      </c>
      <c r="E19" s="305">
        <v>797.22</v>
      </c>
      <c r="F19" s="305">
        <v>795.6</v>
      </c>
      <c r="G19" s="305">
        <v>42.16</v>
      </c>
      <c r="I19" s="306"/>
    </row>
    <row r="20" spans="2:9" ht="15" x14ac:dyDescent="0.25">
      <c r="B20" s="302" t="s">
        <v>697</v>
      </c>
      <c r="C20" s="302" t="s">
        <v>832</v>
      </c>
      <c r="D20" s="303" t="s">
        <v>1017</v>
      </c>
      <c r="E20" s="305">
        <v>2096.81</v>
      </c>
      <c r="F20" s="305">
        <v>2209.1999999999998</v>
      </c>
      <c r="G20" s="305">
        <v>47.83</v>
      </c>
      <c r="I20" s="306"/>
    </row>
    <row r="21" spans="2:9" ht="15" x14ac:dyDescent="0.25">
      <c r="B21" s="302" t="s">
        <v>697</v>
      </c>
      <c r="C21" s="302" t="s">
        <v>833</v>
      </c>
      <c r="D21" s="303" t="s">
        <v>1017</v>
      </c>
      <c r="E21" s="305">
        <v>1265.3800000000001</v>
      </c>
      <c r="F21" s="305">
        <v>1164.7</v>
      </c>
      <c r="G21" s="305">
        <v>53.62</v>
      </c>
      <c r="I21" s="306"/>
    </row>
    <row r="22" spans="2:9" ht="15" x14ac:dyDescent="0.25">
      <c r="B22" s="302" t="s">
        <v>697</v>
      </c>
      <c r="C22" s="302" t="s">
        <v>834</v>
      </c>
      <c r="D22" s="303" t="s">
        <v>1017</v>
      </c>
      <c r="E22" s="305">
        <v>2272.4499999999998</v>
      </c>
      <c r="F22" s="305">
        <v>2257.9</v>
      </c>
      <c r="G22" s="305">
        <v>54.84</v>
      </c>
      <c r="I22" s="306"/>
    </row>
    <row r="23" spans="2:9" ht="15" x14ac:dyDescent="0.25">
      <c r="B23" s="302" t="s">
        <v>697</v>
      </c>
      <c r="C23" s="302" t="s">
        <v>835</v>
      </c>
      <c r="D23" s="303" t="s">
        <v>1017</v>
      </c>
      <c r="E23" s="305">
        <v>582.37</v>
      </c>
      <c r="F23" s="305">
        <v>551.20000000000005</v>
      </c>
      <c r="G23" s="305">
        <v>59.41</v>
      </c>
      <c r="I23" s="306"/>
    </row>
    <row r="24" spans="2:9" x14ac:dyDescent="0.2">
      <c r="B24" s="302" t="s">
        <v>697</v>
      </c>
      <c r="C24" s="302" t="s">
        <v>836</v>
      </c>
      <c r="D24" s="303" t="s">
        <v>1017</v>
      </c>
      <c r="E24" s="305">
        <v>417.56</v>
      </c>
      <c r="F24" s="305">
        <v>427.5</v>
      </c>
      <c r="G24" s="305">
        <v>63.25</v>
      </c>
    </row>
    <row r="25" spans="2:9" x14ac:dyDescent="0.2">
      <c r="B25" s="302" t="s">
        <v>697</v>
      </c>
      <c r="C25" s="302" t="s">
        <v>837</v>
      </c>
      <c r="D25" s="303" t="s">
        <v>1017</v>
      </c>
      <c r="E25" s="305">
        <v>1723.86</v>
      </c>
      <c r="F25" s="305">
        <v>1731.95</v>
      </c>
      <c r="G25" s="305">
        <v>67.900000000000006</v>
      </c>
    </row>
    <row r="26" spans="2:9" x14ac:dyDescent="0.2">
      <c r="B26" s="302" t="s">
        <v>697</v>
      </c>
      <c r="C26" s="302" t="s">
        <v>838</v>
      </c>
      <c r="D26" s="303" t="s">
        <v>1017</v>
      </c>
      <c r="E26" s="305">
        <v>2167.7399999999998</v>
      </c>
      <c r="F26" s="305">
        <v>2129.35</v>
      </c>
      <c r="G26" s="305">
        <v>77.06</v>
      </c>
    </row>
    <row r="27" spans="2:9" x14ac:dyDescent="0.2">
      <c r="B27" s="307" t="s">
        <v>290</v>
      </c>
      <c r="C27" s="302" t="s">
        <v>812</v>
      </c>
      <c r="D27" s="303" t="s">
        <v>1017</v>
      </c>
      <c r="E27" s="305">
        <v>410.15</v>
      </c>
      <c r="F27" s="305">
        <v>405.85</v>
      </c>
      <c r="G27" s="305">
        <v>714.5</v>
      </c>
    </row>
    <row r="28" spans="2:9" x14ac:dyDescent="0.2">
      <c r="B28" s="307" t="s">
        <v>1018</v>
      </c>
      <c r="C28" s="302" t="s">
        <v>812</v>
      </c>
      <c r="D28" s="303" t="s">
        <v>1017</v>
      </c>
      <c r="E28" s="305">
        <v>410.15</v>
      </c>
      <c r="F28" s="305">
        <v>405.85</v>
      </c>
      <c r="G28" s="305">
        <v>71.45</v>
      </c>
    </row>
    <row r="29" spans="2:9" x14ac:dyDescent="0.2">
      <c r="B29" s="308"/>
      <c r="C29" s="309"/>
      <c r="E29" s="310"/>
      <c r="F29" s="310"/>
      <c r="G29" s="310"/>
    </row>
    <row r="31" spans="2:9" x14ac:dyDescent="0.2">
      <c r="B31" s="299" t="s">
        <v>1019</v>
      </c>
    </row>
    <row r="33" spans="2:10" x14ac:dyDescent="0.2">
      <c r="B33" s="311" t="s">
        <v>1011</v>
      </c>
      <c r="C33" s="311" t="s">
        <v>1020</v>
      </c>
    </row>
    <row r="34" spans="2:10" x14ac:dyDescent="0.2">
      <c r="B34" s="312" t="s">
        <v>697</v>
      </c>
      <c r="C34" s="313">
        <v>0.29580000000000001</v>
      </c>
      <c r="D34" s="314"/>
    </row>
    <row r="35" spans="2:10" x14ac:dyDescent="0.2">
      <c r="B35" s="307" t="s">
        <v>290</v>
      </c>
      <c r="C35" s="313">
        <v>4.4999999999999997E-3</v>
      </c>
    </row>
    <row r="36" spans="2:10" x14ac:dyDescent="0.2">
      <c r="B36" s="307" t="s">
        <v>1018</v>
      </c>
      <c r="C36" s="313">
        <v>3.504446E-3</v>
      </c>
    </row>
    <row r="38" spans="2:10" x14ac:dyDescent="0.2">
      <c r="B38" s="299" t="s">
        <v>1021</v>
      </c>
    </row>
    <row r="39" spans="2:10" x14ac:dyDescent="0.2">
      <c r="B39" s="299"/>
    </row>
    <row r="40" spans="2:10" ht="63.75" x14ac:dyDescent="0.2">
      <c r="B40" s="300" t="s">
        <v>1011</v>
      </c>
      <c r="C40" s="301" t="s">
        <v>1022</v>
      </c>
      <c r="D40" s="301" t="s">
        <v>1023</v>
      </c>
      <c r="E40" s="301" t="s">
        <v>1024</v>
      </c>
      <c r="F40" s="301" t="s">
        <v>1025</v>
      </c>
      <c r="G40" s="301" t="s">
        <v>1026</v>
      </c>
    </row>
    <row r="41" spans="2:10" x14ac:dyDescent="0.2">
      <c r="B41" s="153" t="s">
        <v>1</v>
      </c>
      <c r="C41" s="315">
        <v>25</v>
      </c>
      <c r="D41" s="315">
        <v>25</v>
      </c>
      <c r="E41" s="316">
        <v>203.7</v>
      </c>
      <c r="F41" s="317">
        <v>208.79250999999999</v>
      </c>
      <c r="G41" s="318">
        <v>5.0925100000000043</v>
      </c>
    </row>
    <row r="42" spans="2:10" x14ac:dyDescent="0.2">
      <c r="B42" s="319" t="s">
        <v>486</v>
      </c>
      <c r="C42" s="197">
        <v>550</v>
      </c>
      <c r="D42" s="197">
        <v>550</v>
      </c>
      <c r="E42" s="320">
        <v>4099.2748271999999</v>
      </c>
      <c r="F42" s="321">
        <v>4036.9377329999998</v>
      </c>
      <c r="G42" s="318">
        <v>-62.327094199999998</v>
      </c>
      <c r="H42" s="322"/>
      <c r="I42" s="323"/>
      <c r="J42" s="195"/>
    </row>
    <row r="43" spans="2:10" x14ac:dyDescent="0.2">
      <c r="B43" s="319" t="s">
        <v>555</v>
      </c>
      <c r="C43" s="324">
        <v>1767</v>
      </c>
      <c r="D43" s="324">
        <v>1767</v>
      </c>
      <c r="E43" s="325">
        <v>10327.1149006</v>
      </c>
      <c r="F43" s="325">
        <v>10522.5562309</v>
      </c>
      <c r="G43" s="318">
        <v>195.42133030000002</v>
      </c>
      <c r="H43" s="322"/>
      <c r="I43" s="323"/>
      <c r="J43" s="195"/>
    </row>
    <row r="44" spans="2:10" x14ac:dyDescent="0.2">
      <c r="B44" s="307" t="s">
        <v>290</v>
      </c>
      <c r="C44" s="326">
        <v>2085</v>
      </c>
      <c r="D44" s="324">
        <v>2085</v>
      </c>
      <c r="E44" s="325">
        <v>10424.538750000002</v>
      </c>
      <c r="F44" s="325">
        <v>10540.208000000001</v>
      </c>
      <c r="G44" s="318">
        <v>115.67022000000001</v>
      </c>
      <c r="H44" s="322"/>
      <c r="I44" s="323"/>
      <c r="J44" s="195"/>
    </row>
    <row r="45" spans="2:10" x14ac:dyDescent="0.2">
      <c r="B45" s="307" t="s">
        <v>1018</v>
      </c>
      <c r="C45" s="324">
        <v>255</v>
      </c>
      <c r="D45" s="324">
        <v>255</v>
      </c>
      <c r="E45" s="325">
        <v>1057.8356249999999</v>
      </c>
      <c r="F45" s="325">
        <v>1102.9576312000002</v>
      </c>
      <c r="G45" s="318">
        <v>45.12</v>
      </c>
      <c r="H45" s="322"/>
      <c r="I45" s="323"/>
      <c r="J45" s="195"/>
    </row>
    <row r="46" spans="2:10" x14ac:dyDescent="0.2">
      <c r="B46" s="307" t="s">
        <v>804</v>
      </c>
      <c r="C46" s="324">
        <v>165</v>
      </c>
      <c r="D46" s="324">
        <v>165</v>
      </c>
      <c r="E46" s="325">
        <v>1034.2570000000001</v>
      </c>
      <c r="F46" s="325">
        <v>1036.2570000000001</v>
      </c>
      <c r="G46" s="318">
        <v>2</v>
      </c>
      <c r="H46" s="322"/>
      <c r="I46" s="323"/>
      <c r="J46" s="195"/>
    </row>
    <row r="47" spans="2:10" x14ac:dyDescent="0.2">
      <c r="B47" s="327" t="s">
        <v>580</v>
      </c>
      <c r="C47" s="324">
        <v>75</v>
      </c>
      <c r="D47" s="324">
        <v>75</v>
      </c>
      <c r="E47" s="325">
        <v>441.47</v>
      </c>
      <c r="F47" s="325">
        <v>459.38</v>
      </c>
      <c r="G47" s="318">
        <v>17.91</v>
      </c>
      <c r="H47" s="322"/>
      <c r="I47" s="323"/>
      <c r="J47" s="195"/>
    </row>
    <row r="48" spans="2:10" x14ac:dyDescent="0.2">
      <c r="B48" s="302" t="s">
        <v>697</v>
      </c>
      <c r="C48" s="324">
        <v>2789</v>
      </c>
      <c r="D48" s="324">
        <v>2217</v>
      </c>
      <c r="E48" s="325">
        <v>12284.149999999998</v>
      </c>
      <c r="F48" s="325">
        <v>16793.788759800002</v>
      </c>
      <c r="G48" s="318">
        <v>341.93599430000012</v>
      </c>
      <c r="H48" s="322"/>
      <c r="I48" s="323"/>
      <c r="J48" s="195"/>
    </row>
    <row r="49" spans="2:12" x14ac:dyDescent="0.2">
      <c r="B49" s="328"/>
      <c r="C49" s="329"/>
      <c r="D49" s="329"/>
      <c r="F49" s="195"/>
      <c r="G49" s="195"/>
      <c r="H49" s="322"/>
      <c r="I49" s="323"/>
      <c r="L49" s="322"/>
    </row>
    <row r="50" spans="2:12" x14ac:dyDescent="0.2">
      <c r="E50" s="195"/>
      <c r="H50" s="330"/>
      <c r="L50" s="331"/>
    </row>
    <row r="51" spans="2:12" x14ac:dyDescent="0.2">
      <c r="B51" s="299" t="s">
        <v>1027</v>
      </c>
      <c r="F51" s="195"/>
      <c r="G51" s="331"/>
    </row>
    <row r="53" spans="2:12" ht="25.5" x14ac:dyDescent="0.2">
      <c r="B53" s="300" t="s">
        <v>1011</v>
      </c>
      <c r="C53" s="300" t="s">
        <v>1012</v>
      </c>
      <c r="D53" s="300" t="s">
        <v>1013</v>
      </c>
      <c r="E53" s="301" t="s">
        <v>1014</v>
      </c>
      <c r="F53" s="301" t="s">
        <v>1015</v>
      </c>
      <c r="G53" s="301" t="s">
        <v>1028</v>
      </c>
      <c r="I53" s="332"/>
    </row>
    <row r="54" spans="2:12" x14ac:dyDescent="0.2">
      <c r="B54" s="302" t="s">
        <v>697</v>
      </c>
      <c r="C54" s="302" t="s">
        <v>820</v>
      </c>
      <c r="D54" s="302" t="s">
        <v>1029</v>
      </c>
      <c r="E54" s="333">
        <v>11295.86</v>
      </c>
      <c r="F54" s="333">
        <v>11132.2</v>
      </c>
      <c r="G54" s="333">
        <v>28.49</v>
      </c>
      <c r="I54" s="332"/>
    </row>
    <row r="55" spans="2:12" x14ac:dyDescent="0.2">
      <c r="B55" s="189"/>
      <c r="C55" s="334"/>
      <c r="D55" s="335"/>
      <c r="E55" s="336"/>
      <c r="F55" s="336"/>
      <c r="G55" s="336"/>
      <c r="I55" s="332"/>
    </row>
    <row r="56" spans="2:12" x14ac:dyDescent="0.2">
      <c r="B56" s="189"/>
      <c r="C56" s="334"/>
      <c r="D56" s="335"/>
      <c r="E56" s="336"/>
      <c r="F56" s="336"/>
      <c r="G56" s="336"/>
      <c r="I56" s="332"/>
    </row>
    <row r="57" spans="2:12" x14ac:dyDescent="0.2">
      <c r="B57" s="337"/>
      <c r="C57" s="338"/>
      <c r="D57" s="339"/>
      <c r="E57" s="340"/>
      <c r="F57" s="341"/>
      <c r="G57" s="341"/>
      <c r="I57" s="332"/>
      <c r="L57" s="195"/>
    </row>
    <row r="58" spans="2:12" x14ac:dyDescent="0.2">
      <c r="B58" s="299" t="s">
        <v>1030</v>
      </c>
    </row>
    <row r="60" spans="2:12" x14ac:dyDescent="0.2">
      <c r="B60" s="311" t="s">
        <v>1011</v>
      </c>
      <c r="C60" s="311" t="s">
        <v>1020</v>
      </c>
    </row>
    <row r="61" spans="2:12" x14ac:dyDescent="0.2">
      <c r="B61" s="302" t="s">
        <v>697</v>
      </c>
      <c r="C61" s="342">
        <v>1.7899999999999999E-2</v>
      </c>
    </row>
    <row r="63" spans="2:12" x14ac:dyDescent="0.2">
      <c r="B63" s="299" t="s">
        <v>1031</v>
      </c>
    </row>
    <row r="64" spans="2:12" x14ac:dyDescent="0.2">
      <c r="B64" s="299"/>
    </row>
    <row r="65" spans="1:11" ht="63.75" x14ac:dyDescent="0.2">
      <c r="B65" s="300" t="s">
        <v>1011</v>
      </c>
      <c r="C65" s="301" t="s">
        <v>1022</v>
      </c>
      <c r="D65" s="301" t="s">
        <v>1023</v>
      </c>
      <c r="E65" s="301" t="s">
        <v>1024</v>
      </c>
      <c r="F65" s="301" t="s">
        <v>1032</v>
      </c>
      <c r="G65" s="301" t="s">
        <v>1033</v>
      </c>
    </row>
    <row r="66" spans="1:11" x14ac:dyDescent="0.2">
      <c r="B66" s="153" t="s">
        <v>1</v>
      </c>
      <c r="C66" s="197">
        <v>100</v>
      </c>
      <c r="D66" s="197">
        <v>100</v>
      </c>
      <c r="E66" s="343">
        <v>577.79999999999995</v>
      </c>
      <c r="F66" s="344">
        <v>541.875</v>
      </c>
      <c r="G66" s="343">
        <v>-35.925713199999997</v>
      </c>
      <c r="H66" s="322"/>
      <c r="I66" s="323"/>
      <c r="J66" s="195"/>
      <c r="K66" s="195"/>
    </row>
    <row r="67" spans="1:11" x14ac:dyDescent="0.2">
      <c r="B67" s="307" t="s">
        <v>804</v>
      </c>
      <c r="C67" s="197">
        <v>470</v>
      </c>
      <c r="D67" s="197">
        <v>470</v>
      </c>
      <c r="E67" s="345">
        <v>2906.3681749999996</v>
      </c>
      <c r="F67" s="345">
        <v>2937.3670960999998</v>
      </c>
      <c r="G67" s="345">
        <v>30.998921099999997</v>
      </c>
      <c r="H67" s="346"/>
    </row>
    <row r="68" spans="1:11" x14ac:dyDescent="0.2">
      <c r="B68" s="327" t="s">
        <v>580</v>
      </c>
      <c r="C68" s="197">
        <v>420</v>
      </c>
      <c r="D68" s="197">
        <v>420</v>
      </c>
      <c r="E68" s="345">
        <v>3169.3</v>
      </c>
      <c r="F68" s="345">
        <v>3431.8900000000003</v>
      </c>
      <c r="G68" s="345">
        <v>262.58000000000004</v>
      </c>
      <c r="H68" s="346"/>
    </row>
    <row r="69" spans="1:11" x14ac:dyDescent="0.2">
      <c r="B69" s="302" t="s">
        <v>1034</v>
      </c>
      <c r="C69" s="197">
        <v>1713</v>
      </c>
      <c r="D69" s="197">
        <v>1713</v>
      </c>
      <c r="E69" s="345">
        <v>10672.8079</v>
      </c>
      <c r="F69" s="345">
        <v>9957.0587000000014</v>
      </c>
      <c r="G69" s="347">
        <v>-715.74400000000003</v>
      </c>
      <c r="H69" s="348"/>
      <c r="I69" s="332"/>
    </row>
    <row r="70" spans="1:11" x14ac:dyDescent="0.2">
      <c r="B70" s="319" t="s">
        <v>555</v>
      </c>
      <c r="C70" s="349">
        <v>310</v>
      </c>
      <c r="D70" s="349">
        <v>310</v>
      </c>
      <c r="E70" s="345">
        <v>1933.52</v>
      </c>
      <c r="F70" s="345">
        <v>1870.21</v>
      </c>
      <c r="G70" s="345">
        <v>-63.309999999999995</v>
      </c>
      <c r="H70" s="322"/>
      <c r="I70" s="332"/>
    </row>
    <row r="71" spans="1:11" x14ac:dyDescent="0.2">
      <c r="B71" s="307" t="s">
        <v>1018</v>
      </c>
      <c r="C71" s="349">
        <v>55</v>
      </c>
      <c r="D71" s="349">
        <v>55</v>
      </c>
      <c r="E71" s="345">
        <v>465.9</v>
      </c>
      <c r="F71" s="345">
        <v>449.81</v>
      </c>
      <c r="G71" s="345">
        <v>-16.09</v>
      </c>
      <c r="H71" s="322"/>
      <c r="I71" s="332"/>
    </row>
    <row r="72" spans="1:11" x14ac:dyDescent="0.2">
      <c r="B72" s="302" t="s">
        <v>697</v>
      </c>
      <c r="C72" s="349">
        <v>23</v>
      </c>
      <c r="D72" s="349">
        <v>23</v>
      </c>
      <c r="E72" s="345">
        <v>199.72</v>
      </c>
      <c r="F72" s="345">
        <v>194.27</v>
      </c>
      <c r="G72" s="345">
        <v>-5.44</v>
      </c>
      <c r="H72" s="322"/>
      <c r="I72" s="332"/>
    </row>
    <row r="73" spans="1:11" x14ac:dyDescent="0.2">
      <c r="B73" s="319" t="s">
        <v>486</v>
      </c>
      <c r="C73" s="197">
        <v>1260</v>
      </c>
      <c r="D73" s="197">
        <v>1260</v>
      </c>
      <c r="E73" s="345">
        <v>7595.462203</v>
      </c>
      <c r="F73" s="345">
        <v>7591.4411371749993</v>
      </c>
      <c r="G73" s="345">
        <v>-4.0080658249999743</v>
      </c>
      <c r="H73" s="322"/>
    </row>
    <row r="74" spans="1:11" x14ac:dyDescent="0.2">
      <c r="B74" s="350"/>
      <c r="C74" s="351"/>
      <c r="D74" s="351"/>
      <c r="E74" s="352"/>
      <c r="F74" s="352"/>
      <c r="G74" s="352"/>
      <c r="H74" s="331"/>
    </row>
    <row r="75" spans="1:11" x14ac:dyDescent="0.2">
      <c r="B75" s="299" t="s">
        <v>1035</v>
      </c>
      <c r="D75" s="353"/>
    </row>
    <row r="76" spans="1:11" x14ac:dyDescent="0.2">
      <c r="A76" s="337"/>
      <c r="B76" s="337"/>
    </row>
    <row r="77" spans="1:11" ht="25.5" x14ac:dyDescent="0.2">
      <c r="A77" s="337"/>
      <c r="B77" s="301" t="s">
        <v>1011</v>
      </c>
      <c r="C77" s="301" t="s">
        <v>1012</v>
      </c>
      <c r="D77" s="354" t="s">
        <v>1036</v>
      </c>
      <c r="E77" s="301" t="s">
        <v>1037</v>
      </c>
      <c r="F77" s="301" t="s">
        <v>1038</v>
      </c>
      <c r="G77" s="301" t="s">
        <v>1039</v>
      </c>
    </row>
    <row r="78" spans="1:11" x14ac:dyDescent="0.2">
      <c r="A78" s="337"/>
      <c r="B78" s="327" t="s">
        <v>729</v>
      </c>
      <c r="C78" s="355" t="s">
        <v>841</v>
      </c>
      <c r="D78" s="356" t="s">
        <v>1040</v>
      </c>
      <c r="E78" s="357">
        <v>925</v>
      </c>
      <c r="F78" s="358">
        <v>577.97360000000003</v>
      </c>
      <c r="G78" s="358">
        <v>305</v>
      </c>
      <c r="I78" s="359"/>
    </row>
    <row r="79" spans="1:11" x14ac:dyDescent="0.2">
      <c r="A79" s="337"/>
      <c r="B79" s="327" t="s">
        <v>729</v>
      </c>
      <c r="C79" s="355" t="s">
        <v>842</v>
      </c>
      <c r="D79" s="356" t="s">
        <v>1040</v>
      </c>
      <c r="E79" s="357">
        <v>250</v>
      </c>
      <c r="F79" s="358">
        <v>575.24</v>
      </c>
      <c r="G79" s="358">
        <v>279.20999999999998</v>
      </c>
      <c r="I79" s="359"/>
    </row>
    <row r="80" spans="1:11" x14ac:dyDescent="0.2">
      <c r="A80" s="337"/>
      <c r="B80" s="327" t="s">
        <v>718</v>
      </c>
      <c r="C80" s="355" t="s">
        <v>841</v>
      </c>
      <c r="D80" s="356" t="s">
        <v>1040</v>
      </c>
      <c r="E80" s="357">
        <v>515</v>
      </c>
      <c r="F80" s="358">
        <v>581.33429999999998</v>
      </c>
      <c r="G80" s="358">
        <v>305</v>
      </c>
    </row>
    <row r="81" spans="1:7" x14ac:dyDescent="0.2">
      <c r="A81" s="337"/>
      <c r="B81" s="327" t="s">
        <v>718</v>
      </c>
      <c r="C81" s="355" t="s">
        <v>842</v>
      </c>
      <c r="D81" s="356" t="s">
        <v>1040</v>
      </c>
      <c r="E81" s="357">
        <v>140</v>
      </c>
      <c r="F81" s="358">
        <v>575.14</v>
      </c>
      <c r="G81" s="358">
        <v>279.20999999999998</v>
      </c>
    </row>
    <row r="82" spans="1:7" x14ac:dyDescent="0.2">
      <c r="A82" s="337"/>
      <c r="D82" s="353"/>
      <c r="E82" s="353"/>
      <c r="F82" s="360"/>
      <c r="G82" s="360"/>
    </row>
    <row r="83" spans="1:7" x14ac:dyDescent="0.2">
      <c r="A83" s="337"/>
      <c r="B83" s="299" t="s">
        <v>1041</v>
      </c>
      <c r="G83" s="194" t="s">
        <v>959</v>
      </c>
    </row>
    <row r="84" spans="1:7" x14ac:dyDescent="0.2">
      <c r="A84" s="337"/>
      <c r="B84" s="299"/>
    </row>
    <row r="85" spans="1:7" x14ac:dyDescent="0.2">
      <c r="A85" s="337"/>
      <c r="B85" s="311" t="s">
        <v>1011</v>
      </c>
      <c r="C85" s="311" t="s">
        <v>1020</v>
      </c>
    </row>
    <row r="86" spans="1:7" x14ac:dyDescent="0.2">
      <c r="A86" s="337"/>
      <c r="B86" s="327" t="s">
        <v>729</v>
      </c>
      <c r="C86" s="361">
        <v>2.87E-2</v>
      </c>
    </row>
    <row r="87" spans="1:7" x14ac:dyDescent="0.2">
      <c r="A87" s="337"/>
      <c r="B87" s="327" t="s">
        <v>718</v>
      </c>
      <c r="C87" s="361">
        <v>2.8199999999999999E-2</v>
      </c>
    </row>
    <row r="88" spans="1:7" x14ac:dyDescent="0.2">
      <c r="A88" s="337"/>
      <c r="B88" s="337"/>
    </row>
    <row r="89" spans="1:7" x14ac:dyDescent="0.2">
      <c r="A89" s="337"/>
      <c r="B89" s="299" t="s">
        <v>1042</v>
      </c>
    </row>
    <row r="90" spans="1:7" x14ac:dyDescent="0.2">
      <c r="A90" s="337"/>
      <c r="B90" s="337"/>
    </row>
    <row r="91" spans="1:7" ht="51" x14ac:dyDescent="0.2">
      <c r="A91" s="337"/>
      <c r="B91" s="300" t="s">
        <v>1011</v>
      </c>
      <c r="C91" s="301" t="s">
        <v>1043</v>
      </c>
      <c r="D91" s="301" t="s">
        <v>1024</v>
      </c>
      <c r="E91" s="301" t="s">
        <v>1025</v>
      </c>
      <c r="F91" s="301" t="s">
        <v>1044</v>
      </c>
    </row>
    <row r="92" spans="1:7" x14ac:dyDescent="0.2">
      <c r="A92" s="337"/>
      <c r="B92" s="302" t="s">
        <v>1045</v>
      </c>
      <c r="C92" s="302" t="s">
        <v>1045</v>
      </c>
      <c r="D92" s="302" t="s">
        <v>1045</v>
      </c>
      <c r="E92" s="302" t="s">
        <v>1045</v>
      </c>
      <c r="F92" s="302" t="s">
        <v>1045</v>
      </c>
    </row>
    <row r="93" spans="1:7" x14ac:dyDescent="0.2">
      <c r="A93" s="337"/>
    </row>
    <row r="94" spans="1:7" x14ac:dyDescent="0.2">
      <c r="B94" s="299" t="s">
        <v>1046</v>
      </c>
    </row>
    <row r="96" spans="1:7" ht="25.5" x14ac:dyDescent="0.2">
      <c r="B96" s="301" t="s">
        <v>1011</v>
      </c>
      <c r="C96" s="301" t="s">
        <v>1012</v>
      </c>
      <c r="D96" s="354" t="s">
        <v>1036</v>
      </c>
      <c r="E96" s="301" t="s">
        <v>1037</v>
      </c>
      <c r="F96" s="301" t="s">
        <v>1038</v>
      </c>
      <c r="G96" s="301" t="s">
        <v>1039</v>
      </c>
    </row>
    <row r="97" spans="1:7" x14ac:dyDescent="0.2">
      <c r="A97" s="337"/>
      <c r="B97" s="302" t="s">
        <v>1045</v>
      </c>
      <c r="C97" s="302" t="s">
        <v>1045</v>
      </c>
      <c r="D97" s="302" t="s">
        <v>1045</v>
      </c>
      <c r="E97" s="302" t="s">
        <v>1045</v>
      </c>
      <c r="F97" s="302" t="s">
        <v>1045</v>
      </c>
      <c r="G97" s="302" t="s">
        <v>1045</v>
      </c>
    </row>
    <row r="98" spans="1:7" x14ac:dyDescent="0.2">
      <c r="A98" s="337"/>
      <c r="B98" s="189"/>
      <c r="C98" s="338"/>
      <c r="D98" s="362"/>
      <c r="E98" s="363"/>
      <c r="F98" s="360"/>
      <c r="G98" s="360"/>
    </row>
    <row r="99" spans="1:7" x14ac:dyDescent="0.2">
      <c r="B99" s="299" t="s">
        <v>1047</v>
      </c>
    </row>
    <row r="100" spans="1:7" x14ac:dyDescent="0.2">
      <c r="B100" s="299"/>
    </row>
    <row r="101" spans="1:7" x14ac:dyDescent="0.2">
      <c r="B101" s="311" t="s">
        <v>1011</v>
      </c>
      <c r="C101" s="311" t="s">
        <v>1020</v>
      </c>
    </row>
    <row r="102" spans="1:7" x14ac:dyDescent="0.2">
      <c r="B102" s="302" t="s">
        <v>1045</v>
      </c>
      <c r="C102" s="302" t="s">
        <v>1045</v>
      </c>
    </row>
    <row r="103" spans="1:7" x14ac:dyDescent="0.2">
      <c r="B103" s="328"/>
      <c r="C103" s="364"/>
    </row>
    <row r="104" spans="1:7" x14ac:dyDescent="0.2">
      <c r="B104" s="299" t="s">
        <v>1048</v>
      </c>
    </row>
    <row r="105" spans="1:7" x14ac:dyDescent="0.2">
      <c r="B105" s="337"/>
    </row>
    <row r="106" spans="1:7" ht="51" x14ac:dyDescent="0.2">
      <c r="B106" s="300" t="s">
        <v>1011</v>
      </c>
      <c r="C106" s="301" t="s">
        <v>1043</v>
      </c>
      <c r="D106" s="301" t="s">
        <v>1049</v>
      </c>
      <c r="E106" s="301" t="s">
        <v>1050</v>
      </c>
      <c r="F106" s="301" t="s">
        <v>1044</v>
      </c>
    </row>
    <row r="107" spans="1:7" x14ac:dyDescent="0.2">
      <c r="B107" s="327" t="s">
        <v>580</v>
      </c>
      <c r="C107" s="315">
        <v>8000</v>
      </c>
      <c r="D107" s="305">
        <v>182.58079480000001</v>
      </c>
      <c r="E107" s="365">
        <v>6.0000000000000001E-3</v>
      </c>
      <c r="F107" s="365">
        <v>-182.58</v>
      </c>
    </row>
    <row r="108" spans="1:7" x14ac:dyDescent="0.2">
      <c r="B108" s="327" t="s">
        <v>1051</v>
      </c>
      <c r="C108" s="315">
        <v>2100</v>
      </c>
      <c r="D108" s="305">
        <v>396.99</v>
      </c>
      <c r="E108" s="365">
        <v>496.7</v>
      </c>
      <c r="F108" s="365">
        <v>99.71</v>
      </c>
    </row>
    <row r="109" spans="1:7" x14ac:dyDescent="0.2">
      <c r="B109" s="153" t="s">
        <v>1018</v>
      </c>
      <c r="C109" s="315">
        <v>220</v>
      </c>
      <c r="D109" s="305">
        <v>40.119999999999997</v>
      </c>
      <c r="E109" s="365">
        <v>50.54</v>
      </c>
      <c r="F109" s="365">
        <v>10.420000000000002</v>
      </c>
    </row>
    <row r="110" spans="1:7" x14ac:dyDescent="0.2">
      <c r="B110" s="153" t="s">
        <v>555</v>
      </c>
      <c r="C110" s="315">
        <v>759</v>
      </c>
      <c r="D110" s="305">
        <v>199.98</v>
      </c>
      <c r="E110" s="366">
        <v>154.30000000000001</v>
      </c>
      <c r="F110" s="366">
        <v>-45.68</v>
      </c>
    </row>
    <row r="111" spans="1:7" x14ac:dyDescent="0.2">
      <c r="F111" s="367"/>
      <c r="G111" s="195"/>
    </row>
    <row r="112" spans="1:7" x14ac:dyDescent="0.2">
      <c r="B112" s="299" t="s">
        <v>1052</v>
      </c>
    </row>
    <row r="113" spans="2:10" x14ac:dyDescent="0.2">
      <c r="B113" s="299"/>
    </row>
    <row r="114" spans="2:10" x14ac:dyDescent="0.2">
      <c r="E114" s="195"/>
    </row>
    <row r="115" spans="2:10" x14ac:dyDescent="0.2">
      <c r="B115" s="299" t="s">
        <v>1053</v>
      </c>
      <c r="E115" s="195"/>
    </row>
    <row r="116" spans="2:10" x14ac:dyDescent="0.2">
      <c r="E116" s="195"/>
    </row>
    <row r="117" spans="2:10" ht="25.5" x14ac:dyDescent="0.2">
      <c r="B117" s="300" t="s">
        <v>1011</v>
      </c>
      <c r="C117" s="301" t="s">
        <v>1012</v>
      </c>
      <c r="D117" s="301" t="s">
        <v>1013</v>
      </c>
      <c r="E117" s="301" t="s">
        <v>1054</v>
      </c>
      <c r="F117" s="301" t="s">
        <v>1055</v>
      </c>
      <c r="G117" s="301" t="s">
        <v>1056</v>
      </c>
    </row>
    <row r="118" spans="2:10" x14ac:dyDescent="0.2">
      <c r="B118" s="153" t="s">
        <v>1045</v>
      </c>
      <c r="C118" s="368" t="s">
        <v>1045</v>
      </c>
      <c r="D118" s="369" t="s">
        <v>1045</v>
      </c>
      <c r="E118" s="370" t="s">
        <v>1045</v>
      </c>
      <c r="F118" s="370" t="s">
        <v>1045</v>
      </c>
      <c r="G118" s="370" t="s">
        <v>1045</v>
      </c>
    </row>
    <row r="119" spans="2:10" x14ac:dyDescent="0.2">
      <c r="E119" s="195"/>
    </row>
    <row r="120" spans="2:10" x14ac:dyDescent="0.2">
      <c r="B120" s="296" t="s">
        <v>1057</v>
      </c>
      <c r="E120" s="195"/>
    </row>
    <row r="121" spans="2:10" x14ac:dyDescent="0.2">
      <c r="B121" s="296"/>
      <c r="E121" s="195"/>
    </row>
    <row r="122" spans="2:10" x14ac:dyDescent="0.2">
      <c r="B122" s="311" t="s">
        <v>1011</v>
      </c>
      <c r="C122" s="311" t="s">
        <v>1020</v>
      </c>
      <c r="E122" s="195"/>
    </row>
    <row r="123" spans="2:10" x14ac:dyDescent="0.2">
      <c r="B123" s="371" t="s">
        <v>1045</v>
      </c>
      <c r="C123" s="372" t="s">
        <v>1045</v>
      </c>
      <c r="E123" s="195"/>
    </row>
    <row r="124" spans="2:10" x14ac:dyDescent="0.2">
      <c r="E124" s="195"/>
    </row>
    <row r="125" spans="2:10" x14ac:dyDescent="0.2">
      <c r="B125" s="296" t="s">
        <v>1058</v>
      </c>
      <c r="E125" s="195"/>
    </row>
    <row r="126" spans="2:10" x14ac:dyDescent="0.2">
      <c r="E126" s="195"/>
    </row>
    <row r="127" spans="2:10" ht="63.75" x14ac:dyDescent="0.2">
      <c r="B127" s="300" t="s">
        <v>1011</v>
      </c>
      <c r="C127" s="301" t="s">
        <v>1022</v>
      </c>
      <c r="D127" s="301" t="s">
        <v>1023</v>
      </c>
      <c r="E127" s="301" t="s">
        <v>1024</v>
      </c>
      <c r="F127" s="301" t="s">
        <v>1025</v>
      </c>
      <c r="G127" s="301" t="s">
        <v>1026</v>
      </c>
    </row>
    <row r="128" spans="2:10" x14ac:dyDescent="0.2">
      <c r="B128" s="372" t="s">
        <v>1045</v>
      </c>
      <c r="C128" s="372" t="s">
        <v>1045</v>
      </c>
      <c r="D128" s="373" t="s">
        <v>1045</v>
      </c>
      <c r="E128" s="372" t="s">
        <v>1045</v>
      </c>
      <c r="F128" s="374" t="s">
        <v>1045</v>
      </c>
      <c r="G128" s="374" t="s">
        <v>1045</v>
      </c>
      <c r="I128" s="323"/>
      <c r="J128" s="195"/>
    </row>
    <row r="129" spans="2:5" x14ac:dyDescent="0.2">
      <c r="E129" s="195"/>
    </row>
    <row r="130" spans="2:5" x14ac:dyDescent="0.2">
      <c r="B130" s="194" t="s">
        <v>1059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119</vt:i4>
      </vt:variant>
    </vt:vector>
  </HeadingPairs>
  <TitlesOfParts>
    <vt:vector size="173" baseType="lpstr">
      <vt:lpstr>CAPEXG</vt:lpstr>
      <vt:lpstr>MICAP10</vt:lpstr>
      <vt:lpstr>MICAP11</vt:lpstr>
      <vt:lpstr>MICAP12</vt:lpstr>
      <vt:lpstr>MICAP14</vt:lpstr>
      <vt:lpstr>MICAP15</vt:lpstr>
      <vt:lpstr>MICAP16</vt:lpstr>
      <vt:lpstr>MICAP17</vt:lpstr>
      <vt:lpstr>MICAP8</vt:lpstr>
      <vt:lpstr>MICAP9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SMALL3</vt:lpstr>
      <vt:lpstr>SMALL4</vt:lpstr>
      <vt:lpstr>SMALL5</vt:lpstr>
      <vt:lpstr>SMALL6</vt:lpstr>
      <vt:lpstr>SMILE</vt:lpstr>
      <vt:lpstr>SRURAL</vt:lpstr>
      <vt:lpstr>SSFUND</vt:lpstr>
      <vt:lpstr>SSN100</vt:lpstr>
      <vt:lpstr>STAX</vt:lpstr>
      <vt:lpstr>STOP6</vt:lpstr>
      <vt:lpstr>STOP7</vt:lpstr>
      <vt:lpstr>SUNBAL</vt:lpstr>
      <vt:lpstr>SUNESF</vt:lpstr>
      <vt:lpstr>SUNFOP</vt:lpstr>
      <vt:lpstr>SUNVALF10</vt:lpstr>
      <vt:lpstr>SUNVALF2</vt:lpstr>
      <vt:lpstr>SUNVALF3</vt:lpstr>
      <vt:lpstr>SUNVALF7</vt:lpstr>
      <vt:lpstr>SUNVALF8</vt:lpstr>
      <vt:lpstr>SUNVALF9</vt:lpstr>
      <vt:lpstr>SWBFSR2</vt:lpstr>
      <vt:lpstr>SWBFSR3</vt:lpstr>
      <vt:lpstr>GLOB</vt:lpstr>
      <vt:lpstr>DERIVATIVE DISCLOSURE</vt:lpstr>
      <vt:lpstr>XDO_?AMC_NAME?17?</vt:lpstr>
      <vt:lpstr>XDO_?AVG_DURATION_TOT?17?</vt:lpstr>
      <vt:lpstr>XDO_?AVG_DURATION_TOT_TXT?17?</vt:lpstr>
      <vt:lpstr>XDO_?AVG_MATURITY_PER_YR_TOT?17?</vt:lpstr>
      <vt:lpstr>XDO_?AVG_MATURITY_PER_YR_TXT?17?</vt:lpstr>
      <vt:lpstr>XDO_?CASHNCASECA_ISIN_CODE?17?</vt:lpstr>
      <vt:lpstr>XDO_?CASHNCASECA_MARKET_VALUE?17?</vt:lpstr>
      <vt:lpstr>XDO_?CASHNCASECA_NAME?17?</vt:lpstr>
      <vt:lpstr>XDO_?CASHNCASECA_PER_NET_ASSETS?17?</vt:lpstr>
      <vt:lpstr>XDO_?CASHNCASECA_RATING_INDUSTRY?17?</vt:lpstr>
      <vt:lpstr>XDO_?COL1_DESC_DIV?17?</vt:lpstr>
      <vt:lpstr>XDO_?COL2_DESC_DIV?17?</vt:lpstr>
      <vt:lpstr>XDO_?CUR_MNTH_DAY?17?</vt:lpstr>
      <vt:lpstr>XDO_?CUR_MNTH_NAV?17?</vt:lpstr>
      <vt:lpstr>XDO_?DEBTSEC_MARKET_VALUE_TOT?17?</vt:lpstr>
      <vt:lpstr>XDO_?DEBTSEC_PER_NET_ASSETS_TOT?17?</vt:lpstr>
      <vt:lpstr>XDO_?DEBTSECA_ISIN_CODE?16?</vt:lpstr>
      <vt:lpstr>XDO_?DEBTSECA_MARKET_VALUE?16?</vt:lpstr>
      <vt:lpstr>XDO_?DEBTSECA_MARKET_VALUE_TOT?18?</vt:lpstr>
      <vt:lpstr>XDO_?DEBTSECA_NAME?16?</vt:lpstr>
      <vt:lpstr>XDO_?DEBTSECA_PER_NET_ASSETS?16?</vt:lpstr>
      <vt:lpstr>XDO_?DEBTSECA_PER_NET_ASSETS_TOT?18?</vt:lpstr>
      <vt:lpstr>XDO_?DEBTSECA_RATING_INDUSTRY?16?</vt:lpstr>
      <vt:lpstr>XDO_?DEBTSECA_SL_NO?16?</vt:lpstr>
      <vt:lpstr>XDO_?DEBTSECA_UNITS?16?</vt:lpstr>
      <vt:lpstr>XDO_?DEBTSECB_ISIN_CODE?9?</vt:lpstr>
      <vt:lpstr>XDO_?DEBTSECB_MARKET_VALUE?9?</vt:lpstr>
      <vt:lpstr>XDO_?DEBTSECB_MARKET_VALUE_TOT?25?</vt:lpstr>
      <vt:lpstr>XDO_?DEBTSECB_NAME?9?</vt:lpstr>
      <vt:lpstr>XDO_?DEBTSECB_PER_NET_ASSETS?9?</vt:lpstr>
      <vt:lpstr>XDO_?DEBTSECB_PER_NET_ASSETS_TOT?25?</vt:lpstr>
      <vt:lpstr>XDO_?DEBTSECB_RATING_INDUSTRY?9?</vt:lpstr>
      <vt:lpstr>XDO_?DEBTSECB_SL_NO?9?</vt:lpstr>
      <vt:lpstr>XDO_?DEBTSECB_UNITS?9?</vt:lpstr>
      <vt:lpstr>XDO_?DEBTSECC_ISIN_CODE?6?</vt:lpstr>
      <vt:lpstr>XDO_?DEBTSECC_MARKET_VALUE?6?</vt:lpstr>
      <vt:lpstr>XDO_?DEBTSECC_MARKET_VALUE_TOT?28?</vt:lpstr>
      <vt:lpstr>XDO_?DEBTSECC_NAME?6?</vt:lpstr>
      <vt:lpstr>XDO_?DEBTSECC_PER_NET_ASSETS?6?</vt:lpstr>
      <vt:lpstr>XDO_?DEBTSECC_PER_NET_ASSETS_TOT?28?</vt:lpstr>
      <vt:lpstr>XDO_?DEBTSECC_RATING_INDUSTRY?6?</vt:lpstr>
      <vt:lpstr>XDO_?DEBTSECC_SL_NO?6?</vt:lpstr>
      <vt:lpstr>XDO_?DEBTSECC_UNITS?6?</vt:lpstr>
      <vt:lpstr>XDO_?DEBTSECD_MARKET_VALUE_TOT?30?</vt:lpstr>
      <vt:lpstr>XDO_?DEBTSECD_PER_NET_ASSETS_TOT?30?</vt:lpstr>
      <vt:lpstr>XDO_?DERIVATIVE_NOTES?27?</vt:lpstr>
      <vt:lpstr>XDO_?DERIVATIVE_NOTES_VAL?27?</vt:lpstr>
      <vt:lpstr>XDO_?EQUSEC_MARKET_VALUE_TOT?17?</vt:lpstr>
      <vt:lpstr>XDO_?EQUSEC_PER_NET_ASSETS_TOT?17?</vt:lpstr>
      <vt:lpstr>XDO_?EQUSECA_MARKET_VALUE_TOT?31?</vt:lpstr>
      <vt:lpstr>XDO_?EQUSECA_PER_NET_ASSETS?3?</vt:lpstr>
      <vt:lpstr>XDO_?EQUSECA_PER_NET_ASSETS_TOT?31?</vt:lpstr>
      <vt:lpstr>XDO_?EQUSECB_MARKET_VALUE_TOT?33?</vt:lpstr>
      <vt:lpstr>XDO_?EQUSECB_PER_NET_ASSETS_TOT?33?</vt:lpstr>
      <vt:lpstr>XDO_?EQUSECC_MARKET_VALUE_TOT?33?</vt:lpstr>
      <vt:lpstr>XDO_?EQUSECC_PER_NET_ASSETS_TOT?33?</vt:lpstr>
      <vt:lpstr>XDO_?EQUSECD_MARKET_VALUE_TOT?33?</vt:lpstr>
      <vt:lpstr>XDO_?EQUSECD_PER_NET_ASSETS_TOT?33?</vt:lpstr>
      <vt:lpstr>XDO_?EQUSECE_MARKET_VALUE_TOT?33?</vt:lpstr>
      <vt:lpstr>XDO_?EQUSECE_PER_NET_ASSETS_TOT?33?</vt:lpstr>
      <vt:lpstr>XDO_?EQUSECF_MARKET_VALUE_TOT?33?</vt:lpstr>
      <vt:lpstr>XDO_?EQUSECF_MARKET_VALUE_TOT?34?</vt:lpstr>
      <vt:lpstr>XDO_?EQUSECF_PER_NET_ASSETS_TOT?33?</vt:lpstr>
      <vt:lpstr>XDO_?EQUSECF_PER_NET_ASSETS_TOT?34?</vt:lpstr>
      <vt:lpstr>XDO_?FOREGIN_MARKET_VALUE?17?</vt:lpstr>
      <vt:lpstr>XDO_?FOREGIN_SEC_NOTES?17?</vt:lpstr>
      <vt:lpstr>XDO_?INDV_NET_RATE_DIV?7?</vt:lpstr>
      <vt:lpstr>XDO_?ISIN_CODE?3?</vt:lpstr>
      <vt:lpstr>XDO_?MARKET_VALUE?3?</vt:lpstr>
      <vt:lpstr>XDO_?MARKET_VALUE_GRAND_TOT?17?</vt:lpstr>
      <vt:lpstr>XDO_?MONEYMARKETSEC_MARKET_VALUE_TOT?17?</vt:lpstr>
      <vt:lpstr>XDO_?MONEYMARKETSEC_PER_NET_ASSETS_TOT?17?</vt:lpstr>
      <vt:lpstr>XDO_?MONEYMARKETSECA_MARKET_VALUE_TOT?26?</vt:lpstr>
      <vt:lpstr>XDO_?MONEYMARKETSECA_PER_NET_ASSETS_TOT?26?</vt:lpstr>
      <vt:lpstr>XDO_?MONEYMARKETSECB_MARKET_VALUE_TOT?29?</vt:lpstr>
      <vt:lpstr>XDO_?MONEYMARKETSECB_PER_NET_ASSETS_TOT?29?</vt:lpstr>
      <vt:lpstr>XDO_?MONEYMARKETSECC_MARKET_VALUE_TOT?32?</vt:lpstr>
      <vt:lpstr>XDO_?MONEYMARKETSECC_MARKET_VALUE_TOT?33?</vt:lpstr>
      <vt:lpstr>XDO_?MONEYMARKETSECC_PER_NET_ASSETS_TOT?32?</vt:lpstr>
      <vt:lpstr>XDO_?MONEYMARKETSECC_PER_NET_ASSETS_TOT?33?</vt:lpstr>
      <vt:lpstr>XDO_?MONEYMARKETSECD_ISIN_CODE?17?</vt:lpstr>
      <vt:lpstr>XDO_?MONEYMARKETSECD_MARKET_VALUE?17?</vt:lpstr>
      <vt:lpstr>XDO_?MONEYMARKETSECD_MARKET_VALUE_TOT?17?</vt:lpstr>
      <vt:lpstr>XDO_?MONEYMARKETSECD_NAME?17?</vt:lpstr>
      <vt:lpstr>XDO_?MONEYMARKETSECD_PER_NET_ASSETS?17?</vt:lpstr>
      <vt:lpstr>XDO_?MONEYMARKETSECD_PER_NET_ASSETS_TOT?17?</vt:lpstr>
      <vt:lpstr>XDO_?MONEYMARKETSECD_RATING_INDUSTRY?17?</vt:lpstr>
      <vt:lpstr>XDO_?MONEYMARKETSECD_SL_NO?17?</vt:lpstr>
      <vt:lpstr>XDO_?MUTUALFUNDSECA_MARKET_VALUE_TOT?33?</vt:lpstr>
      <vt:lpstr>XDO_?MUTUALFUNDSECA_PER_NET_ASSETS_TOT?33?</vt:lpstr>
      <vt:lpstr>XDO_?NAME?3?</vt:lpstr>
      <vt:lpstr>XDO_?NOTE_PER_NET_ASSETS_TXT?17?</vt:lpstr>
      <vt:lpstr>XDO_?NOTE_THINLY_TRADED_TXT?17?</vt:lpstr>
      <vt:lpstr>XDO_?OTH_NET_RATE_DIV?7?</vt:lpstr>
      <vt:lpstr>XDO_?OTHERSSECA_MARKET_VALUE_TOT?32?</vt:lpstr>
      <vt:lpstr>XDO_?OTHERSSECA_PER_NET_ASSETS_TOT?32?</vt:lpstr>
      <vt:lpstr>XDO_?OTHERSSECB_MARKET_VALUE_TOT?33?</vt:lpstr>
      <vt:lpstr>XDO_?OTHERSSECB_PER_NET_ASSETS_TOT?33?</vt:lpstr>
      <vt:lpstr>XDO_?PER_NET_ASSETS_GRAND_TOT?17?</vt:lpstr>
      <vt:lpstr>XDO_?PRE_MNTH_LAST_DAY?17?</vt:lpstr>
      <vt:lpstr>XDO_?PRE_MNTH_NAV?17?</vt:lpstr>
      <vt:lpstr>XDO_?RATING_INDUSTRY?3?</vt:lpstr>
      <vt:lpstr>XDO_?REPO_BONUS_TEXT?17?</vt:lpstr>
      <vt:lpstr>XDO_?REPO_BONUS_VAL?17?</vt:lpstr>
      <vt:lpstr>XDO_?RPT_HEADER?17?</vt:lpstr>
      <vt:lpstr>XDO_?SCH_NAME_DIV?7?</vt:lpstr>
      <vt:lpstr>XDO_?SCH_NAME_NAV?17?</vt:lpstr>
      <vt:lpstr>XDO_?SCHEME_NAME?17?</vt:lpstr>
      <vt:lpstr>XDO_?SL_NO?3?</vt:lpstr>
      <vt:lpstr>XDO_?UNITS?3?</vt:lpstr>
      <vt:lpstr>XDO_GROUP_?CASH_OTH_NCA_A?17?</vt:lpstr>
      <vt:lpstr>XDO_GROUP_?DEBT_SEC_A?17?</vt:lpstr>
      <vt:lpstr>XDO_GROUP_?DEBT_SEC_B?17?</vt:lpstr>
      <vt:lpstr>XDO_GROUP_?DEBT_SEC_C?17?</vt:lpstr>
      <vt:lpstr>XDO_GROUP_?DIVIDEN_PER_PLAN_OPTION?17?</vt:lpstr>
      <vt:lpstr>XDO_GROUP_?EQUITY_SEC_A?17?</vt:lpstr>
      <vt:lpstr>XDO_GROUP_?MONEY_MARKET_SEC_D?17?</vt:lpstr>
      <vt:lpstr>XDO_GROUP_?NAV_PER_PLAN_OPTION?17?</vt:lpstr>
      <vt:lpstr>XDO_GROUP_?REPO_BONUS?17?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</dc:creator>
  <cp:lastModifiedBy>Venkat Raman R - Sundaram Mutual</cp:lastModifiedBy>
  <dcterms:created xsi:type="dcterms:W3CDTF">2016-06-17T04:30:17Z</dcterms:created>
  <dcterms:modified xsi:type="dcterms:W3CDTF">2019-08-09T12:09:49Z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