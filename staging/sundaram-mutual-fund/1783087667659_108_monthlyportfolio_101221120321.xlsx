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Review\2021-22\8. Nov 2021\"/>
    </mc:Choice>
  </mc:AlternateContent>
  <xr:revisionPtr revIDLastSave="0" documentId="13_ncr:1_{D1767995-AD9A-4138-A513-8AAB8FCC8ED0}" xr6:coauthVersionLast="47" xr6:coauthVersionMax="47" xr10:uidLastSave="{00000000-0000-0000-0000-000000000000}"/>
  <bookViews>
    <workbookView xWindow="-120" yWindow="-120" windowWidth="20730" windowHeight="11160" tabRatio="903" xr2:uid="{00000000-000D-0000-FFFF-FFFF00000000}"/>
  </bookViews>
  <sheets>
    <sheet name="Index" sheetId="37" r:id="rId1"/>
    <sheet name="CAPEXG" sheetId="1" r:id="rId2"/>
    <sheet name="MICAP14" sheetId="2" r:id="rId3"/>
    <sheet name="MICAP15" sheetId="3" r:id="rId4"/>
    <sheet name="MICAP16" sheetId="4" r:id="rId5"/>
    <sheet name="MICAP17" sheetId="5" r:id="rId6"/>
    <sheet name="MIDCAP" sheetId="6" r:id="rId7"/>
    <sheet name="MULTI1" sheetId="7" r:id="rId8"/>
    <sheet name="MULTI2" sheetId="8" r:id="rId9"/>
    <sheet name="MULTIP" sheetId="9" r:id="rId10"/>
    <sheet name="SESCAP1" sheetId="10" r:id="rId11"/>
    <sheet name="SESCAP2" sheetId="11" r:id="rId12"/>
    <sheet name="SESCAP3" sheetId="12" r:id="rId13"/>
    <sheet name="SESCAP4" sheetId="13" r:id="rId14"/>
    <sheet name="SESCAP5" sheetId="14" r:id="rId15"/>
    <sheet name="SESCAP6" sheetId="15" r:id="rId16"/>
    <sheet name="SESCAP7" sheetId="16" r:id="rId17"/>
    <sheet name="SFOCUS" sheetId="17" r:id="rId18"/>
    <sheet name="SLTADV3" sheetId="18" r:id="rId19"/>
    <sheet name="SLTADV4" sheetId="19" r:id="rId20"/>
    <sheet name="SLTAX1" sheetId="20" r:id="rId21"/>
    <sheet name="SLTAX2" sheetId="21" r:id="rId22"/>
    <sheet name="SLTAX3" sheetId="22" r:id="rId23"/>
    <sheet name="SLTAX4" sheetId="23" r:id="rId24"/>
    <sheet name="SLTAX5" sheetId="24" r:id="rId25"/>
    <sheet name="SLTAX6" sheetId="25" r:id="rId26"/>
    <sheet name="SMILE" sheetId="26" r:id="rId27"/>
    <sheet name="SRURAL" sheetId="27" r:id="rId28"/>
    <sheet name="SSFUND" sheetId="28" r:id="rId29"/>
    <sheet name="SSN100" sheetId="29" r:id="rId30"/>
    <sheet name="STAX" sheetId="30" r:id="rId31"/>
    <sheet name="SUNARF" sheetId="31" r:id="rId32"/>
    <sheet name="SUNBAF" sheetId="38" r:id="rId33"/>
    <sheet name="SUNBAL" sheetId="39" r:id="rId34"/>
    <sheet name="SUNBCF" sheetId="32" r:id="rId35"/>
    <sheet name="SUNEQF" sheetId="33" r:id="rId36"/>
    <sheet name="SUNESF" sheetId="34" r:id="rId37"/>
    <sheet name="SUNFOP" sheetId="35" r:id="rId38"/>
    <sheet name="SUNVALF7" sheetId="36" r:id="rId39"/>
    <sheet name="GLOB" sheetId="40" r:id="rId40"/>
    <sheet name="DERIVATIVE DISCLOSURE" sheetId="41" r:id="rId41"/>
  </sheets>
  <definedNames>
    <definedName name="_xlnm._FilterDatabase" localSheetId="1" hidden="1">CAPEXG!$A$7:$J$47</definedName>
    <definedName name="_xlnm._FilterDatabase" localSheetId="0" hidden="1">Index!$A$1:$C$40</definedName>
    <definedName name="_xlnm._FilterDatabase" localSheetId="2" hidden="1">MICAP14!$A$6:$H$78</definedName>
    <definedName name="_xlnm._FilterDatabase" localSheetId="3" hidden="1">MICAP15!$A$7:$J$84</definedName>
    <definedName name="_xlnm._FilterDatabase" localSheetId="4" hidden="1">MICAP16!$A$7:$J$84</definedName>
    <definedName name="_xlnm._FilterDatabase" localSheetId="7" hidden="1">MULTI1!#REF!</definedName>
    <definedName name="_xlnm._FilterDatabase" localSheetId="8" hidden="1">MULTI2!#REF!</definedName>
    <definedName name="_xlnm._FilterDatabase" localSheetId="9" hidden="1">MULTIP!#REF!</definedName>
    <definedName name="_xlnm._FilterDatabase" localSheetId="10" hidden="1">SESCAP1!#REF!</definedName>
    <definedName name="_xlnm._FilterDatabase" localSheetId="13" hidden="1">SESCAP4!#REF!</definedName>
    <definedName name="_xlnm._FilterDatabase" localSheetId="15" hidden="1">SESCAP6!#REF!</definedName>
    <definedName name="_xlnm._FilterDatabase" localSheetId="16" hidden="1">SESCAP7!#REF!</definedName>
    <definedName name="_xlnm._FilterDatabase" localSheetId="17" hidden="1">SFOCUS!#REF!</definedName>
    <definedName name="_xlnm._FilterDatabase" localSheetId="18" hidden="1">SLTADV3!#REF!</definedName>
    <definedName name="_xlnm._FilterDatabase" localSheetId="19" hidden="1">SLTADV4!#REF!</definedName>
    <definedName name="_xlnm._FilterDatabase" localSheetId="20" hidden="1">SLTAX1!#REF!</definedName>
    <definedName name="_xlnm._FilterDatabase" localSheetId="21" hidden="1">SLTAX2!#REF!</definedName>
    <definedName name="_xlnm._FilterDatabase" localSheetId="22" hidden="1">SLTAX3!#REF!</definedName>
    <definedName name="_xlnm._FilterDatabase" localSheetId="23" hidden="1">SLTAX4!#REF!</definedName>
    <definedName name="_xlnm._FilterDatabase" localSheetId="24" hidden="1">SLTAX5!#REF!</definedName>
    <definedName name="_xlnm._FilterDatabase" localSheetId="25" hidden="1">SLTAX6!#REF!</definedName>
    <definedName name="_xlnm._FilterDatabase" localSheetId="26" hidden="1">SMILE!#REF!</definedName>
    <definedName name="_xlnm._FilterDatabase" localSheetId="27" hidden="1">SRURAL!#REF!</definedName>
    <definedName name="_xlnm._FilterDatabase" localSheetId="29" hidden="1">'SSN100'!#REF!</definedName>
    <definedName name="_xlnm._FilterDatabase" localSheetId="30" hidden="1">STAX!#REF!</definedName>
    <definedName name="_xlnm._FilterDatabase" localSheetId="31" hidden="1">SUNARF!#REF!</definedName>
    <definedName name="_xlnm._FilterDatabase" localSheetId="32" hidden="1">SUNBAF!#REF!</definedName>
    <definedName name="_xlnm._FilterDatabase" localSheetId="33" hidden="1">SUNBAL!#REF!</definedName>
    <definedName name="_xlnm._FilterDatabase" localSheetId="34" hidden="1">SUNBCF!#REF!</definedName>
    <definedName name="_xlnm._FilterDatabase" localSheetId="35" hidden="1">SUNEQF!#REF!</definedName>
    <definedName name="_xlnm._FilterDatabase" localSheetId="36" hidden="1">SUNESF!#REF!</definedName>
    <definedName name="_xlnm._FilterDatabase" localSheetId="37" hidden="1">SUNFOP!#REF!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7" i="41" l="1"/>
  <c r="G176" i="41"/>
  <c r="G175" i="41"/>
  <c r="G174" i="41"/>
  <c r="G173" i="41"/>
  <c r="G172" i="41"/>
  <c r="G171" i="41"/>
  <c r="G170" i="41"/>
  <c r="G169" i="41"/>
  <c r="G168" i="41"/>
  <c r="G167" i="41"/>
  <c r="G166" i="41"/>
  <c r="G165" i="41"/>
  <c r="G164" i="41"/>
  <c r="G163" i="41"/>
  <c r="G162" i="41"/>
  <c r="G161" i="41"/>
  <c r="G131" i="41"/>
  <c r="G130" i="41"/>
  <c r="G129" i="41"/>
  <c r="G128" i="41"/>
  <c r="G127" i="41"/>
  <c r="G126" i="41"/>
  <c r="G125" i="41"/>
  <c r="G124" i="41"/>
  <c r="G123" i="41"/>
  <c r="G122" i="41"/>
  <c r="G121" i="41"/>
  <c r="G120" i="41"/>
  <c r="G119" i="41"/>
  <c r="G118" i="41"/>
  <c r="G117" i="41"/>
  <c r="G116" i="41"/>
  <c r="G115" i="41"/>
  <c r="B115" i="41"/>
  <c r="G114" i="41"/>
  <c r="B114" i="41"/>
  <c r="F16" i="40"/>
  <c r="G16" i="40" s="1"/>
  <c r="G18" i="40" s="1"/>
  <c r="F14" i="40"/>
  <c r="G12" i="40"/>
  <c r="G11" i="40"/>
  <c r="G14" i="40" s="1"/>
  <c r="G8" i="40"/>
  <c r="F8" i="40"/>
  <c r="G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Swaminathan N - Sundaram Mutual</author>
  </authors>
  <commentList>
    <comment ref="C107" authorId="0" shapeId="0" xr:uid="{300767DA-8B1E-4ADC-B339-7776E34238DF}">
      <text>
        <r>
          <rPr>
            <b/>
            <sz val="9"/>
            <color indexed="81"/>
            <rFont val="Tahoma"/>
            <family val="2"/>
          </rPr>
          <t>Lot changed for following securities.
Security                             Purchase         Sale          Diff
TATASTEELNSENOV2021     24                  12            12
HINDALCONSENOV2021FUT 18                  09            09
BHARATFORGNSENOV2021  32                 16             16
APOLLOHOSPNSENOV2021   36                21             15
Total                                                                         52</t>
        </r>
      </text>
    </comment>
    <comment ref="G107" authorId="0" shapeId="0" xr:uid="{A99DC4F9-E519-4E79-8EE8-8DB66D9026EF}">
      <text>
        <r>
          <rPr>
            <b/>
            <sz val="9"/>
            <color indexed="81"/>
            <rFont val="Tahoma"/>
            <family val="2"/>
          </rPr>
          <t>Dividend of BPCL and Vedanta ltd included in profitloss. Ex date for BPCL is 16 09 21. Rate is 58 per unit. Vedanta Ex date 08 09 21 rate is 18.5</t>
        </r>
      </text>
    </comment>
    <comment ref="C108" authorId="0" shapeId="0" xr:uid="{53611B70-DEC6-47B3-9743-2A925DCD89ED}">
      <text>
        <r>
          <rPr>
            <b/>
            <sz val="9"/>
            <color indexed="81"/>
            <rFont val="Tahoma"/>
            <family val="2"/>
          </rPr>
          <t>Difference of 286 security wise details given
Security                             Pur      Sale          Diff
TCSBSENOV2021FUT           208     104           104
TATASTEELNSENOV2021FUT 100      50             50
PIDILITINDNSENOV2021FUT  214    107           107
DIVISLABNSENOV2021FUT      50      25             25
            Total                                                    286</t>
        </r>
      </text>
    </comment>
    <comment ref="G108" authorId="0" shapeId="0" xr:uid="{65F8F35A-FC8B-4DD7-A869-61FEC0A68815}">
      <text>
        <r>
          <rPr>
            <b/>
            <sz val="9"/>
            <color indexed="81"/>
            <rFont val="Tahoma"/>
            <family val="2"/>
          </rPr>
          <t>Dividend of  Vedanta ltd included in profitloss. Ex date for Vedanta 08 09 21 rate is 18.5</t>
        </r>
      </text>
    </comment>
    <comment ref="C110" authorId="0" shapeId="0" xr:uid="{FEAE8C51-393D-422F-A028-AA578A01B15F}">
      <text>
        <r>
          <rPr>
            <b/>
            <sz val="9"/>
            <color indexed="81"/>
            <rFont val="Tahoma"/>
            <family val="2"/>
          </rPr>
          <t>there is a lot size change for tata steel  from 850 to 425. Diff is 10 lots
Security                      Pur     Sale         Diff
Tata Steel Nov 21       20        10           10</t>
        </r>
      </text>
    </comment>
    <comment ref="G110" authorId="0" shapeId="0" xr:uid="{D519EE6E-6AF3-43C6-BD81-8132D5A7258E}">
      <text>
        <r>
          <rPr>
            <b/>
            <sz val="9"/>
            <color indexed="81"/>
            <rFont val="Tahoma"/>
            <family val="2"/>
          </rPr>
          <t>Dividend in BPCL included in profit_loss
Ex date for BPCL is 16 09 21. Rate is 58 per unit</t>
        </r>
      </text>
    </comment>
  </commentList>
</comments>
</file>

<file path=xl/sharedStrings.xml><?xml version="1.0" encoding="utf-8"?>
<sst xmlns="http://schemas.openxmlformats.org/spreadsheetml/2006/main" count="11731" uniqueCount="1089">
  <si>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</si>
  <si>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</si>
  <si>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</si>
  <si>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</si>
  <si>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</si>
  <si>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</si>
  <si>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</si>
  <si>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</si>
  <si>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</si>
  <si>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</si>
  <si>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</si>
  <si>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</si>
  <si>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</si>
  <si>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 Project</t>
  </si>
  <si>
    <t>INE002A01018</t>
  </si>
  <si>
    <t>Reliance Industries Ltd</t>
  </si>
  <si>
    <t>Petroleum Products</t>
  </si>
  <si>
    <t>INE397D01024</t>
  </si>
  <si>
    <t>Bharti Airtel Ltd</t>
  </si>
  <si>
    <t>Telecom - Services</t>
  </si>
  <si>
    <t>INE090A01021</t>
  </si>
  <si>
    <t>ICICI Bank Ltd</t>
  </si>
  <si>
    <t>Banks</t>
  </si>
  <si>
    <t>INE481G01011</t>
  </si>
  <si>
    <t>Ultratech Cement Ltd</t>
  </si>
  <si>
    <t>INE536A01023</t>
  </si>
  <si>
    <t>Grindwell Norton Ltd</t>
  </si>
  <si>
    <t>Industrial Products</t>
  </si>
  <si>
    <t>INE331A01037</t>
  </si>
  <si>
    <t>The Ramco Cements Ltd</t>
  </si>
  <si>
    <t>INE245A01021</t>
  </si>
  <si>
    <t>Tata Power Company Ltd</t>
  </si>
  <si>
    <t>Power</t>
  </si>
  <si>
    <t>INE284A01012</t>
  </si>
  <si>
    <t>ESAB India Ltd</t>
  </si>
  <si>
    <t>INE455K01017</t>
  </si>
  <si>
    <t>Polycab India Ltd</t>
  </si>
  <si>
    <t>INE823G01014</t>
  </si>
  <si>
    <t>JK Cement Ltd</t>
  </si>
  <si>
    <t>INE029A01011</t>
  </si>
  <si>
    <t>Bharat Petroleum Corporation Ltd</t>
  </si>
  <si>
    <t>INE999A01015</t>
  </si>
  <si>
    <t>KSB Ltd</t>
  </si>
  <si>
    <t>INE671A01010</t>
  </si>
  <si>
    <t>Honeywell Automation India Ltd</t>
  </si>
  <si>
    <t>Industrial Capital Goods</t>
  </si>
  <si>
    <t>INE766P01016</t>
  </si>
  <si>
    <t>Mahindra Logistics Ltd</t>
  </si>
  <si>
    <t>Transportation</t>
  </si>
  <si>
    <t>INE242A01010</t>
  </si>
  <si>
    <t>Indian Oil Corporation Ltd</t>
  </si>
  <si>
    <t>INE264T01014</t>
  </si>
  <si>
    <t>Capacite Infraprojects Ltd</t>
  </si>
  <si>
    <t>Construction</t>
  </si>
  <si>
    <t>INE868B01028</t>
  </si>
  <si>
    <t>NCC Ltd</t>
  </si>
  <si>
    <t>INE791I01019</t>
  </si>
  <si>
    <t>Brigade Enterprises Ltd</t>
  </si>
  <si>
    <t>INE541A01023</t>
  </si>
  <si>
    <t>GMM Pfaudler Ltd</t>
  </si>
  <si>
    <t>INE213A01029</t>
  </si>
  <si>
    <t>Oil &amp; Natural Gas Corporation Ltd</t>
  </si>
  <si>
    <t>Oil</t>
  </si>
  <si>
    <t>INE114A01011</t>
  </si>
  <si>
    <t>Steel Authority of India Ltd</t>
  </si>
  <si>
    <t>Ferrous Metals</t>
  </si>
  <si>
    <t>INE742F01042</t>
  </si>
  <si>
    <t>Adani Ports and Special Economic Zone Ltd</t>
  </si>
  <si>
    <t>INE129A01019</t>
  </si>
  <si>
    <t>GAIL (India) Ltd</t>
  </si>
  <si>
    <t>Gas</t>
  </si>
  <si>
    <t>INE702C01027</t>
  </si>
  <si>
    <t>APL Apollo Tubes Ltd</t>
  </si>
  <si>
    <t>INE371P01015</t>
  </si>
  <si>
    <t>Amber Enterprises India Ltd</t>
  </si>
  <si>
    <t>Consumer Durables</t>
  </si>
  <si>
    <t>INE896L01010</t>
  </si>
  <si>
    <t>Indostar Capital Finance Ltd</t>
  </si>
  <si>
    <t>Finance</t>
  </si>
  <si>
    <t>INE08ZM01014</t>
  </si>
  <si>
    <t>Green Panel Industries Ltd</t>
  </si>
  <si>
    <t>INE208A01029</t>
  </si>
  <si>
    <t>Ashok Leyland Ltd</t>
  </si>
  <si>
    <t>Auto</t>
  </si>
  <si>
    <t>INE203G01027</t>
  </si>
  <si>
    <t>Indraprastha Gas Ltd</t>
  </si>
  <si>
    <t>INE246F01010</t>
  </si>
  <si>
    <t>Gujarat State Petronet Ltd</t>
  </si>
  <si>
    <t>INE811K01011</t>
  </si>
  <si>
    <t>Prestige Estates Projects Ltd</t>
  </si>
  <si>
    <t>INE513A01014</t>
  </si>
  <si>
    <t>Schaeffler India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</si>
  <si>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</si>
  <si>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</si>
  <si>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</si>
  <si>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</si>
  <si>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</si>
  <si>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</si>
  <si>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</si>
  <si>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</si>
  <si>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</si>
  <si>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</si>
  <si>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</si>
  <si>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</si>
  <si>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</si>
  <si>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</si>
  <si>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</si>
  <si>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</si>
  <si>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</si>
  <si>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</si>
  <si>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</si>
  <si>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</si>
  <si>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</si>
  <si>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</si>
  <si>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</si>
  <si>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</si>
  <si>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</si>
  <si>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</si>
  <si>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</si>
  <si>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</si>
  <si>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</si>
  <si>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</si>
  <si>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</si>
  <si>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</si>
  <si>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</si>
  <si>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</si>
  <si>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</si>
  <si>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</si>
  <si>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</si>
  <si>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</si>
  <si>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</si>
  <si>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</si>
  <si>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31/10/2021</t>
  </si>
  <si>
    <t>30/11/2021</t>
  </si>
  <si>
    <t>Direct Plan - Growth</t>
  </si>
  <si>
    <t>Regular Plan - Growth</t>
  </si>
  <si>
    <t xml:space="preserve"> </t>
  </si>
  <si>
    <t>e) Total outstanding exposure in derivative instruments at the end of the period</t>
  </si>
  <si>
    <t>f) Total investments in foreign securities /ADR'S/GDR'S at the end of the period</t>
  </si>
  <si>
    <t>g) Portfolio Turnover Ratio</t>
  </si>
  <si>
    <t>h) Repo in corporate debt</t>
  </si>
  <si>
    <t>Sundaram Select Micro Cap Series XIV</t>
  </si>
  <si>
    <t>INE048G01026</t>
  </si>
  <si>
    <t>Navin Fluorine International Ltd</t>
  </si>
  <si>
    <t>Chemicals</t>
  </si>
  <si>
    <t>INE878B01027</t>
  </si>
  <si>
    <t>KEI Industries Ltd</t>
  </si>
  <si>
    <t>INE988K01017</t>
  </si>
  <si>
    <t>Equitas Holdings Ltd</t>
  </si>
  <si>
    <t>INE348B01021</t>
  </si>
  <si>
    <t>Century Plyboards (India) Ltd</t>
  </si>
  <si>
    <t>INE067A01029</t>
  </si>
  <si>
    <t>CG Power and Industrial Solutions Ltd</t>
  </si>
  <si>
    <t>INE262H01013</t>
  </si>
  <si>
    <t>Persistent Systems Ltd</t>
  </si>
  <si>
    <t>Software</t>
  </si>
  <si>
    <t>INE227C01017</t>
  </si>
  <si>
    <t>MM Forgings Ltd</t>
  </si>
  <si>
    <t>INE974X01010</t>
  </si>
  <si>
    <t>Tube Investments of India Ltd</t>
  </si>
  <si>
    <t>Auto Ancillaries</t>
  </si>
  <si>
    <t>INE976G01028</t>
  </si>
  <si>
    <t>RBL Bank Ltd</t>
  </si>
  <si>
    <t>INE312H01016</t>
  </si>
  <si>
    <t>INOX Leisure Ltd</t>
  </si>
  <si>
    <t>INE04I401011</t>
  </si>
  <si>
    <t>KPIT Technologies Ltd</t>
  </si>
  <si>
    <t>INE732I01013</t>
  </si>
  <si>
    <t>Angel One Ltd</t>
  </si>
  <si>
    <t>INE00WC01027</t>
  </si>
  <si>
    <t>Affle (India) Ltd</t>
  </si>
  <si>
    <t>INE386C01029</t>
  </si>
  <si>
    <t>Astra Microwave Products Ltd</t>
  </si>
  <si>
    <t>INE075I01017</t>
  </si>
  <si>
    <t>Healthcare Global Enterprises Ltd</t>
  </si>
  <si>
    <t>Healthcare Services</t>
  </si>
  <si>
    <t>INE481N01025</t>
  </si>
  <si>
    <t>Home First Finance Company Ltd</t>
  </si>
  <si>
    <t>INE296E01026</t>
  </si>
  <si>
    <t>Rajapalayam Mills Ltd</t>
  </si>
  <si>
    <t>Textiles - Cotton</t>
  </si>
  <si>
    <t>INE136B01020</t>
  </si>
  <si>
    <t>Cyient Ltd</t>
  </si>
  <si>
    <t>INE00IN01015</t>
  </si>
  <si>
    <t>Stove Kraft Ltd</t>
  </si>
  <si>
    <t>INE094A01015</t>
  </si>
  <si>
    <t>Hindustan Petroleum Corporation Ltd</t>
  </si>
  <si>
    <t>INE615P01015</t>
  </si>
  <si>
    <t>Quess Corp Ltd</t>
  </si>
  <si>
    <t>INE578A01017</t>
  </si>
  <si>
    <t>HeidelbergCement India Ltd</t>
  </si>
  <si>
    <t>INE442H01029</t>
  </si>
  <si>
    <t>Ashoka Buildcon Ltd</t>
  </si>
  <si>
    <t>INE285J01028</t>
  </si>
  <si>
    <t>SIS Ltd</t>
  </si>
  <si>
    <t>Commercial Services</t>
  </si>
  <si>
    <t>INE02A801020</t>
  </si>
  <si>
    <t>Rossari Biotech Ltd</t>
  </si>
  <si>
    <t>INE477A01020</t>
  </si>
  <si>
    <t>Can Fin Homes Ltd</t>
  </si>
  <si>
    <t>INE325A01013</t>
  </si>
  <si>
    <t>Timken India Ltd</t>
  </si>
  <si>
    <t>INE873D01024</t>
  </si>
  <si>
    <t>Indoco Remedies Ltd</t>
  </si>
  <si>
    <t>Pharmaceuticals</t>
  </si>
  <si>
    <t>INE978A01027</t>
  </si>
  <si>
    <t>Heritage Foods Ltd</t>
  </si>
  <si>
    <t>Consumer Non Durables</t>
  </si>
  <si>
    <t>INE043D01016</t>
  </si>
  <si>
    <t>IDFC Ltd</t>
  </si>
  <si>
    <t>INE211B01039</t>
  </si>
  <si>
    <t>The Phoenix Mills Ltd</t>
  </si>
  <si>
    <t>INE274F01020</t>
  </si>
  <si>
    <t>Westlife Development Ltd</t>
  </si>
  <si>
    <t>INE806T01012</t>
  </si>
  <si>
    <t>Sapphire Foods India Ltd</t>
  </si>
  <si>
    <t>INE429E01023</t>
  </si>
  <si>
    <t>Safari Industries (India) Ltd</t>
  </si>
  <si>
    <t>INE731H01025</t>
  </si>
  <si>
    <t>INE049A01027</t>
  </si>
  <si>
    <t>Himatsingka Seide Ltd</t>
  </si>
  <si>
    <t>Textile Products</t>
  </si>
  <si>
    <t>INE126A01031</t>
  </si>
  <si>
    <t>EID Parry India Ltd</t>
  </si>
  <si>
    <t>Fertilisers</t>
  </si>
  <si>
    <t>INE947Q01028</t>
  </si>
  <si>
    <t>Laurus Labs Ltd</t>
  </si>
  <si>
    <t>INE745G01035</t>
  </si>
  <si>
    <t>Multi Commodity Exchange of India Ltd</t>
  </si>
  <si>
    <t>INE782A01015</t>
  </si>
  <si>
    <t>Johnson Controls-Hitachi AirConditioning India Ltd</t>
  </si>
  <si>
    <t>INE113A01013</t>
  </si>
  <si>
    <t>Gujarat Narmada Valley Fertilizers &amp; Chemicals Ltd</t>
  </si>
  <si>
    <t>INE421D01022</t>
  </si>
  <si>
    <t>CCL Products (India) Ltd</t>
  </si>
  <si>
    <t>INE092B01025</t>
  </si>
  <si>
    <t>India Nippon Electricals Ltd</t>
  </si>
  <si>
    <t>INE572A01028</t>
  </si>
  <si>
    <t>JB Chemicals &amp; Pharmaceuticals Ltd</t>
  </si>
  <si>
    <t>INE060A01024</t>
  </si>
  <si>
    <t>Navneet Education Ltd</t>
  </si>
  <si>
    <t>INE419U01012</t>
  </si>
  <si>
    <t>Happiest Minds Technologies Limited</t>
  </si>
  <si>
    <t>INE03QK01018</t>
  </si>
  <si>
    <t>Suven Pharmaceuticals Ltd</t>
  </si>
  <si>
    <t>INE877F01012</t>
  </si>
  <si>
    <t>PTC India Ltd</t>
  </si>
  <si>
    <t>INE834I01025</t>
  </si>
  <si>
    <t>Khadim India Ltd</t>
  </si>
  <si>
    <t>INE290S01011</t>
  </si>
  <si>
    <t>CarTrade Tech Ltd</t>
  </si>
  <si>
    <t>INE384A01010</t>
  </si>
  <si>
    <t>Rane Holdings Ltd</t>
  </si>
  <si>
    <t>INE056C01010</t>
  </si>
  <si>
    <t>Tata Metaliks Ltd</t>
  </si>
  <si>
    <t>INE435A01028</t>
  </si>
  <si>
    <t>International Paper APPM Ltd</t>
  </si>
  <si>
    <t>Paper</t>
  </si>
  <si>
    <t>INE586B01026</t>
  </si>
  <si>
    <t>Taj GVK Hotels &amp; Resorts Ltd</t>
  </si>
  <si>
    <t>INE199A01012</t>
  </si>
  <si>
    <t>Procter &amp; Gamble Health Ltd</t>
  </si>
  <si>
    <t>INE503A01015</t>
  </si>
  <si>
    <t>DCB Bank Ltd</t>
  </si>
  <si>
    <t>INE884B01025</t>
  </si>
  <si>
    <t>Kirloskar Ferrous Ind Ltd</t>
  </si>
  <si>
    <t>INE417T01026</t>
  </si>
  <si>
    <t>PB Fintech Ltd</t>
  </si>
  <si>
    <t>INE864I01014</t>
  </si>
  <si>
    <t>MTAR Technologies Ltd</t>
  </si>
  <si>
    <t>INE488A01050</t>
  </si>
  <si>
    <t>Chemplast Sanmar Ltd</t>
  </si>
  <si>
    <t>INE022I01019</t>
  </si>
  <si>
    <t>Asian Granito India Ltd</t>
  </si>
  <si>
    <t>INE246B01019</t>
  </si>
  <si>
    <t>Ramco Systems Ltd</t>
  </si>
  <si>
    <t>INE0H5O01029</t>
  </si>
  <si>
    <t>Windlas Biotech Ltd</t>
  </si>
  <si>
    <t>INE565V01010</t>
  </si>
  <si>
    <t>Valiant Organics Ltd</t>
  </si>
  <si>
    <t>INE144Z01023</t>
  </si>
  <si>
    <t>Tarsons Products Ltd</t>
  </si>
  <si>
    <t>Sundaram Select Micro Cap Series XV</t>
  </si>
  <si>
    <t>INE220B01022</t>
  </si>
  <si>
    <t>Kalpataru Power Transmission Ltd</t>
  </si>
  <si>
    <t>INE934S01014</t>
  </si>
  <si>
    <t>GNA Axles Ltd</t>
  </si>
  <si>
    <t>INE388Y01029</t>
  </si>
  <si>
    <t>FSN E–Commerce Ventures Ltd(NYKAA)</t>
  </si>
  <si>
    <t>INE743M01012</t>
  </si>
  <si>
    <t>RHI Magnesita India Ltd</t>
  </si>
  <si>
    <t>INE858B01029</t>
  </si>
  <si>
    <t>ISGEC Heavy  Engineering Ltd</t>
  </si>
  <si>
    <t>INE599M01018</t>
  </si>
  <si>
    <t>Just Dial Ltd</t>
  </si>
  <si>
    <t>INE386A01015</t>
  </si>
  <si>
    <t>Vesuvius India Ltd</t>
  </si>
  <si>
    <t>Sundaram Select Micro Cap Series XVI</t>
  </si>
  <si>
    <t>INE201P01022</t>
  </si>
  <si>
    <t>GR Infraprojects Ltd</t>
  </si>
  <si>
    <t>Sundaram Select Micro Cap Series XVII</t>
  </si>
  <si>
    <t>INE045A01017</t>
  </si>
  <si>
    <t>Ador Welding Ltd</t>
  </si>
  <si>
    <t>INE750A01020</t>
  </si>
  <si>
    <t>Oriental Hotels Ltd</t>
  </si>
  <si>
    <t>Sundaram Mid Cap Fund</t>
  </si>
  <si>
    <t>INE018I01017</t>
  </si>
  <si>
    <t>MindTree Ltd</t>
  </si>
  <si>
    <t>INE437A01024</t>
  </si>
  <si>
    <t>Apollo Hospitals Enterprise Ltd</t>
  </si>
  <si>
    <t>INE180A01020</t>
  </si>
  <si>
    <t>Max Financial Services Ltd</t>
  </si>
  <si>
    <t>INE121A01024</t>
  </si>
  <si>
    <t>Cholamandalam Investment and Finance Company Ltd</t>
  </si>
  <si>
    <t>INE226A01021</t>
  </si>
  <si>
    <t>Voltas Ltd</t>
  </si>
  <si>
    <t>INE761H01022</t>
  </si>
  <si>
    <t>Page Industries Ltd</t>
  </si>
  <si>
    <t>INE010V01017</t>
  </si>
  <si>
    <t>L&amp;T Technology Services Ltd</t>
  </si>
  <si>
    <t>INE647A01010</t>
  </si>
  <si>
    <t>SRF Ltd</t>
  </si>
  <si>
    <t>INE200M01013</t>
  </si>
  <si>
    <t>Varun Beverages Ltd</t>
  </si>
  <si>
    <t>INE797F01012</t>
  </si>
  <si>
    <t>Jubilant Foodworks Ltd</t>
  </si>
  <si>
    <t>INE238A01034</t>
  </si>
  <si>
    <t>Axis Bank Ltd</t>
  </si>
  <si>
    <t>INE298A01020</t>
  </si>
  <si>
    <t>Cummins India Ltd</t>
  </si>
  <si>
    <t>INE171A01029</t>
  </si>
  <si>
    <t>The Federal Bank  Ltd</t>
  </si>
  <si>
    <t>INE849A01020</t>
  </si>
  <si>
    <t>Trent Ltd</t>
  </si>
  <si>
    <t>Retailing</t>
  </si>
  <si>
    <t>INE263A01024</t>
  </si>
  <si>
    <t>Bharat Electronics Ltd</t>
  </si>
  <si>
    <t>INE721A01013</t>
  </si>
  <si>
    <t>Shriram Transport Finance Company Ltd</t>
  </si>
  <si>
    <t>INE299U01018</t>
  </si>
  <si>
    <t>Crompton Greaves Consumer Electricals Ltd</t>
  </si>
  <si>
    <t>INE571A01020</t>
  </si>
  <si>
    <t>IPCA Laboratories Ltd</t>
  </si>
  <si>
    <t>INE987B01026</t>
  </si>
  <si>
    <t>Natco Pharma Ltd</t>
  </si>
  <si>
    <t>INE949L01017</t>
  </si>
  <si>
    <t>AU Small Finance Bank Ltd</t>
  </si>
  <si>
    <t>INE068V01023</t>
  </si>
  <si>
    <t>Gland Pharma Ltd</t>
  </si>
  <si>
    <t>INE105A01035</t>
  </si>
  <si>
    <t>Sundaram Clayton Ltd</t>
  </si>
  <si>
    <t>INE028A01039</t>
  </si>
  <si>
    <t>Bank of Baroda</t>
  </si>
  <si>
    <t>INE465A01025</t>
  </si>
  <si>
    <t>Bharat Forge Ltd</t>
  </si>
  <si>
    <t>INE749A01030</t>
  </si>
  <si>
    <t>Jindal Steel &amp; Power Ltd</t>
  </si>
  <si>
    <t>INE763G01038</t>
  </si>
  <si>
    <t>ICICI Securities Ltd</t>
  </si>
  <si>
    <t>INE883A01011</t>
  </si>
  <si>
    <t>MRF Ltd</t>
  </si>
  <si>
    <t>INE548C01032</t>
  </si>
  <si>
    <t>Emami Ltd</t>
  </si>
  <si>
    <t>INE111A01025</t>
  </si>
  <si>
    <t>Container Corporation of India Ltd</t>
  </si>
  <si>
    <t>INE603J01030</t>
  </si>
  <si>
    <t>PI Industries Ltd</t>
  </si>
  <si>
    <t>Pesticides</t>
  </si>
  <si>
    <t>INE769A01020</t>
  </si>
  <si>
    <t>Aarti Industries Ltd</t>
  </si>
  <si>
    <t>INE935N01020</t>
  </si>
  <si>
    <t>Dixon Technologies (India) Ltd</t>
  </si>
  <si>
    <t>INE491A01021</t>
  </si>
  <si>
    <t>City Union Bank Ltd</t>
  </si>
  <si>
    <t>INE303R01014</t>
  </si>
  <si>
    <t>Kalyan Jewellers India Ltd</t>
  </si>
  <si>
    <t>INE356A01018</t>
  </si>
  <si>
    <t>MphasiS Ltd</t>
  </si>
  <si>
    <t>INE169A01031</t>
  </si>
  <si>
    <t>Coromandel International Ltd</t>
  </si>
  <si>
    <t>INE860A01027</t>
  </si>
  <si>
    <t>HCL Technologies Ltd</t>
  </si>
  <si>
    <t>INE115A01026</t>
  </si>
  <si>
    <t>LIC Housing Finance Ltd</t>
  </si>
  <si>
    <t>INE918I01018</t>
  </si>
  <si>
    <t>Bajaj Finserv Ltd</t>
  </si>
  <si>
    <t>INE716A01013</t>
  </si>
  <si>
    <t>Whirlpool of India Ltd</t>
  </si>
  <si>
    <t>INE998I01010</t>
  </si>
  <si>
    <t>Mahindra Holidays &amp; Resorts India Ltd</t>
  </si>
  <si>
    <t>INE216P01012</t>
  </si>
  <si>
    <t>Aavas Financiers Ltd</t>
  </si>
  <si>
    <t>INE484J01027</t>
  </si>
  <si>
    <t>Godrej Properties Ltd</t>
  </si>
  <si>
    <t>INE256A01028</t>
  </si>
  <si>
    <t>Zee Entertainment Enterprises Ltd</t>
  </si>
  <si>
    <t>INE00R701025</t>
  </si>
  <si>
    <t>Dalmia Cement (Bharat) Ltd.</t>
  </si>
  <si>
    <t>INE405E01023</t>
  </si>
  <si>
    <t>Minda Industries Ltd</t>
  </si>
  <si>
    <t>INE758T01015</t>
  </si>
  <si>
    <t>Zomato Ltd</t>
  </si>
  <si>
    <t>INE176A01028</t>
  </si>
  <si>
    <t>Bata India Ltd</t>
  </si>
  <si>
    <t>INE192A01025</t>
  </si>
  <si>
    <t>TATA Consumer Products Ltd</t>
  </si>
  <si>
    <t>INE006I01046</t>
  </si>
  <si>
    <t>Astral Ltd</t>
  </si>
  <si>
    <t>Institutional Plan - Growth</t>
  </si>
  <si>
    <t>Sundaram Multi Cap Fund Series I</t>
  </si>
  <si>
    <t>INE040A01034</t>
  </si>
  <si>
    <t>HDFC Bank Ltd</t>
  </si>
  <si>
    <t>INE009A01021</t>
  </si>
  <si>
    <t>Infosys Ltd</t>
  </si>
  <si>
    <t>INE001A01036</t>
  </si>
  <si>
    <t>Housing Development Finance Corporation Ltd</t>
  </si>
  <si>
    <t>INE062A01020</t>
  </si>
  <si>
    <t>State Bank of India</t>
  </si>
  <si>
    <t>INE123W01016</t>
  </si>
  <si>
    <t>SBI Life Insurance Company Ltd</t>
  </si>
  <si>
    <t>INE467B01029</t>
  </si>
  <si>
    <t>Tata Consultancy Services Ltd</t>
  </si>
  <si>
    <t>INE075A01022</t>
  </si>
  <si>
    <t>Wipro Ltd</t>
  </si>
  <si>
    <t>INE044A01036</t>
  </si>
  <si>
    <t>Sun Pharmaceutical Industries Ltd</t>
  </si>
  <si>
    <t>INE030A01027</t>
  </si>
  <si>
    <t>Hindustan UniLever Ltd</t>
  </si>
  <si>
    <t>INE669C01036</t>
  </si>
  <si>
    <t>Tech Mahindra Ltd</t>
  </si>
  <si>
    <t>INE038A01020</t>
  </si>
  <si>
    <t>Hindalco Industries Ltd</t>
  </si>
  <si>
    <t>Non - Ferrous Metals</t>
  </si>
  <si>
    <t>INE073K01018</t>
  </si>
  <si>
    <t>Sona BLW Precision Forgings Ltd</t>
  </si>
  <si>
    <t>INE101A01026</t>
  </si>
  <si>
    <t>Mahindra &amp; Mahindra Ltd</t>
  </si>
  <si>
    <t>INE154A01025</t>
  </si>
  <si>
    <t>ITC Ltd</t>
  </si>
  <si>
    <t>INE361B01024</t>
  </si>
  <si>
    <t>Divi's Laboratories Ltd</t>
  </si>
  <si>
    <t>INE237A01028</t>
  </si>
  <si>
    <t>Kotak Mahindra Bank Ltd</t>
  </si>
  <si>
    <t>INE081A01012</t>
  </si>
  <si>
    <t>Tata Steel Ltd</t>
  </si>
  <si>
    <t>IN9397D01014</t>
  </si>
  <si>
    <t>Sundaram Multi Cap Fund -Series II</t>
  </si>
  <si>
    <t>Sundaram Large and Mid Cap Fund</t>
  </si>
  <si>
    <t>INE149A01033</t>
  </si>
  <si>
    <t>Cholamandalam Financial Holdings Ltd</t>
  </si>
  <si>
    <t>INE280A01028</t>
  </si>
  <si>
    <t>Titan Company Ltd</t>
  </si>
  <si>
    <t>INE531A01024</t>
  </si>
  <si>
    <t>Kansai Nerolac Paints Ltd</t>
  </si>
  <si>
    <t>INE059A01026</t>
  </si>
  <si>
    <t>Cipla Ltd</t>
  </si>
  <si>
    <t>INE775A01035</t>
  </si>
  <si>
    <t>Motherson Sumi Systems Ltd</t>
  </si>
  <si>
    <t>INE765G01017</t>
  </si>
  <si>
    <t>ICICI Lombard General Insurance Company Ltd</t>
  </si>
  <si>
    <t>Sundaram Emerging Small Cap Series I</t>
  </si>
  <si>
    <t>INE142Z01019</t>
  </si>
  <si>
    <t>Orient Electric Ltd</t>
  </si>
  <si>
    <t>INE717A01029</t>
  </si>
  <si>
    <t>Kennametal India Ltd</t>
  </si>
  <si>
    <t>INE688A01022</t>
  </si>
  <si>
    <t>Transport Corporation of India Ltd</t>
  </si>
  <si>
    <t>INE120A01034</t>
  </si>
  <si>
    <t>Carborundum Universal Ltd</t>
  </si>
  <si>
    <t>INE472A01039</t>
  </si>
  <si>
    <t>Blue Star Ltd</t>
  </si>
  <si>
    <t>INE741K01010</t>
  </si>
  <si>
    <t>Creditaccess Grameen Ltd</t>
  </si>
  <si>
    <t>INE489L01022</t>
  </si>
  <si>
    <t>IIFL Securities Ltd</t>
  </si>
  <si>
    <t>Sundaram Emerging Small Cap Series II</t>
  </si>
  <si>
    <t>Sundaram Emerging Small Cap Series III</t>
  </si>
  <si>
    <t>INE475B01022</t>
  </si>
  <si>
    <t>Hikal Ltd</t>
  </si>
  <si>
    <t>Sundaram Emerging Small Cap Series IV</t>
  </si>
  <si>
    <t>Sundaram Emerging Small Cap Series V</t>
  </si>
  <si>
    <t>Sundaram Emerging Small Cap Series VI</t>
  </si>
  <si>
    <t>Sundaram Emerging Small Cap Series VII</t>
  </si>
  <si>
    <t>INE058A01010</t>
  </si>
  <si>
    <t>Sanofi India Ltd</t>
  </si>
  <si>
    <t>INE854D01024</t>
  </si>
  <si>
    <t>United Spirits Ltd</t>
  </si>
  <si>
    <t>INE172A01027</t>
  </si>
  <si>
    <t>Castrol India Ltd</t>
  </si>
  <si>
    <t>INE182A01018</t>
  </si>
  <si>
    <t>Pfizer Ltd</t>
  </si>
  <si>
    <t>INE517F01014</t>
  </si>
  <si>
    <t>Gujarat Pipavav Port Ltd</t>
  </si>
  <si>
    <t>INE686A01026</t>
  </si>
  <si>
    <t>ITD Cementation India Ltd</t>
  </si>
  <si>
    <t>Sundaram Select Focus</t>
  </si>
  <si>
    <t>INE016A01026</t>
  </si>
  <si>
    <t>Dabur India Ltd</t>
  </si>
  <si>
    <t>Sundaram Long Term Tax Advantage Fund Series III</t>
  </si>
  <si>
    <t>Sundaram Long Term Tax Advantage Fund Series IV</t>
  </si>
  <si>
    <t>Sundaram Long Term Tax Advantage Fund Series-I</t>
  </si>
  <si>
    <t>INE155A01022</t>
  </si>
  <si>
    <t>Tata Motors Ltd</t>
  </si>
  <si>
    <t>INE340A01012</t>
  </si>
  <si>
    <t>Birla Corporation Ltd</t>
  </si>
  <si>
    <t>INE647O01011</t>
  </si>
  <si>
    <t>Aditya Birla Fashion and Retail Ltd</t>
  </si>
  <si>
    <t>Sundaram Long Term Tax Advantage Fund Series-II</t>
  </si>
  <si>
    <t>Sundaram Long Term Micro Cap Tax Advantage Fund Series III</t>
  </si>
  <si>
    <t>Sundaram Long Term Micro Cap Tax Advantage Fund Series IV</t>
  </si>
  <si>
    <t>Sundaram Long Term Micro Cap Tax Advantage Fund Series V</t>
  </si>
  <si>
    <t>Sundaram Long Term Micro Cap Tax Advantage Fund Series VI</t>
  </si>
  <si>
    <t>Sundaram Small Cap Fund</t>
  </si>
  <si>
    <t>INE098F01031</t>
  </si>
  <si>
    <t>Amrutanjan Health Care Ltd</t>
  </si>
  <si>
    <t>INE836A01035</t>
  </si>
  <si>
    <t>Birlasoft Ltd</t>
  </si>
  <si>
    <t>INE136S01016</t>
  </si>
  <si>
    <t>Neogen Chemicals Ltd</t>
  </si>
  <si>
    <t>INE679A01013</t>
  </si>
  <si>
    <t>CSB Bank Ltd</t>
  </si>
  <si>
    <t>INE085A01013</t>
  </si>
  <si>
    <t>Chambal Fertilizers &amp; Chemicals Ltd</t>
  </si>
  <si>
    <t>INE119A01028</t>
  </si>
  <si>
    <t>Balrampur Chini Mills Ltd</t>
  </si>
  <si>
    <t>INE389H01022</t>
  </si>
  <si>
    <t>KEC International Ltd</t>
  </si>
  <si>
    <t>INE217B01036</t>
  </si>
  <si>
    <t>Kajaria Ceramics Ltd</t>
  </si>
  <si>
    <t>INE177F01017</t>
  </si>
  <si>
    <t>Kovai Medical Center &amp; Hospital Ltd</t>
  </si>
  <si>
    <t>INE970X01018</t>
  </si>
  <si>
    <t>Lemon Tree Hotels Ltd</t>
  </si>
  <si>
    <t>INE930P01018</t>
  </si>
  <si>
    <t>Anupam Rasayan India Ltd</t>
  </si>
  <si>
    <t>INE690A01010</t>
  </si>
  <si>
    <t>TTK Prestige Ltd</t>
  </si>
  <si>
    <t>INE355A01028</t>
  </si>
  <si>
    <t>Somany Ceramics Ltd</t>
  </si>
  <si>
    <t>INE596I01012</t>
  </si>
  <si>
    <t>Computer Age Management Services Ltd</t>
  </si>
  <si>
    <t>INE094J01016</t>
  </si>
  <si>
    <t>UTI Asset Management Co Ltd</t>
  </si>
  <si>
    <t>INE146L01010</t>
  </si>
  <si>
    <t>Kirloskar Oil Engines Ltd</t>
  </si>
  <si>
    <t>INE450U01017</t>
  </si>
  <si>
    <t>Route Mobile Ltd</t>
  </si>
  <si>
    <t>INE418L01021</t>
  </si>
  <si>
    <t>Nazara Technologies Ltd</t>
  </si>
  <si>
    <t>INE00LO01017</t>
  </si>
  <si>
    <t>Craftsman Automation Ltd</t>
  </si>
  <si>
    <t>INE562A01011</t>
  </si>
  <si>
    <t>Indian Bank</t>
  </si>
  <si>
    <t>INE00FF01017</t>
  </si>
  <si>
    <t>AMI Organics Ltd</t>
  </si>
  <si>
    <t>INE026A01025</t>
  </si>
  <si>
    <t>Gujarat State Fertilizers &amp; Chemicals Ltd</t>
  </si>
  <si>
    <t>INE736A01011</t>
  </si>
  <si>
    <t>Central Depository Services (India) Ltd</t>
  </si>
  <si>
    <t>Sundaram Rural and Consumption Fund</t>
  </si>
  <si>
    <t>INE021A01026</t>
  </si>
  <si>
    <t>Asian Paints Ltd</t>
  </si>
  <si>
    <t>INE585B01010</t>
  </si>
  <si>
    <t>Maruti Suzuki India Ltd</t>
  </si>
  <si>
    <t>INE296A01024</t>
  </si>
  <si>
    <t>Bajaj Finance Ltd</t>
  </si>
  <si>
    <t>INE179A01014</t>
  </si>
  <si>
    <t>Procter &amp; Gamble Hygiene and Health Care Ltd</t>
  </si>
  <si>
    <t>INE239A01016</t>
  </si>
  <si>
    <t>Nestle India Ltd</t>
  </si>
  <si>
    <t>INE196A01026</t>
  </si>
  <si>
    <t>Marico Ltd</t>
  </si>
  <si>
    <t>INE951I01027</t>
  </si>
  <si>
    <t>V-Guard Industries Ltd</t>
  </si>
  <si>
    <t>INE917I01010</t>
  </si>
  <si>
    <t>Bajaj Auto Ltd</t>
  </si>
  <si>
    <t>INE054A01027</t>
  </si>
  <si>
    <t>VIP Industries Ltd</t>
  </si>
  <si>
    <t>INE872J01023</t>
  </si>
  <si>
    <t>Devyani international limited</t>
  </si>
  <si>
    <t>INE192R01011</t>
  </si>
  <si>
    <t>Avenue Supermarts Ltd</t>
  </si>
  <si>
    <t>Sundaram Services Fund</t>
  </si>
  <si>
    <t>INE670A01012</t>
  </si>
  <si>
    <t>Tata Elxsi Ltd</t>
  </si>
  <si>
    <t>INE07T201019</t>
  </si>
  <si>
    <t>Burger King India Ltd</t>
  </si>
  <si>
    <t>INE663F01024</t>
  </si>
  <si>
    <t>Info Edge (India) Ltd</t>
  </si>
  <si>
    <t>INE795G01014</t>
  </si>
  <si>
    <t>HDFC Life Insurance Company Ltd</t>
  </si>
  <si>
    <t>INE112L01020</t>
  </si>
  <si>
    <t>Metropolis Healthcare Ltd</t>
  </si>
  <si>
    <t>INE933S01016</t>
  </si>
  <si>
    <t>Indiamart Intermesh Ltd</t>
  </si>
  <si>
    <t>INE0BJS01011</t>
  </si>
  <si>
    <t>Go Fashion (India ) Ltd</t>
  </si>
  <si>
    <t>MU0295S00016</t>
  </si>
  <si>
    <t>Make My Trip Ltd (USD)</t>
  </si>
  <si>
    <t>Sundaram Smart NIFTY 100 Equal Weight Fund</t>
  </si>
  <si>
    <t>INE752E01010</t>
  </si>
  <si>
    <t>Power Grid Corporation of India Ltd</t>
  </si>
  <si>
    <t>INE205A01025</t>
  </si>
  <si>
    <t>Vedanta Ltd</t>
  </si>
  <si>
    <t>INE214T01019</t>
  </si>
  <si>
    <t>Larsen &amp; Toubro Infotech Ltd</t>
  </si>
  <si>
    <t>INE931S01010</t>
  </si>
  <si>
    <t>Adani Transmission Ltd</t>
  </si>
  <si>
    <t>INE364U01010</t>
  </si>
  <si>
    <t>Adani Green Energy Ltd</t>
  </si>
  <si>
    <t>INE423A01024</t>
  </si>
  <si>
    <t>Adani Enterprises</t>
  </si>
  <si>
    <t>INE003A01024</t>
  </si>
  <si>
    <t>Siemens Ltd</t>
  </si>
  <si>
    <t>INE323A01026</t>
  </si>
  <si>
    <t>Bosch Ltd</t>
  </si>
  <si>
    <t>INE376G01013</t>
  </si>
  <si>
    <t>Biocon Ltd</t>
  </si>
  <si>
    <t>INE047A01021</t>
  </si>
  <si>
    <t>Grasim Industries Ltd</t>
  </si>
  <si>
    <t>INE733E01010</t>
  </si>
  <si>
    <t>NTPC Ltd</t>
  </si>
  <si>
    <t>INE118A01012</t>
  </si>
  <si>
    <t>Bajaj Holdings &amp; Investment Ltd</t>
  </si>
  <si>
    <t>INE176B01034</t>
  </si>
  <si>
    <t>Havells India Ltd</t>
  </si>
  <si>
    <t>INE685A01028</t>
  </si>
  <si>
    <t>Torrent Pharmaceuticals Ltd</t>
  </si>
  <si>
    <t>INE012A01025</t>
  </si>
  <si>
    <t>ACC Ltd</t>
  </si>
  <si>
    <t>INE089A01023</t>
  </si>
  <si>
    <t>Dr. Reddy's Laboratories Ltd</t>
  </si>
  <si>
    <t>INE160A01022</t>
  </si>
  <si>
    <t>Punjab National Bank</t>
  </si>
  <si>
    <t>INE528G01035</t>
  </si>
  <si>
    <t>Yes Bank Ltd</t>
  </si>
  <si>
    <t>INE414G01012</t>
  </si>
  <si>
    <t>Muthoot Finance Ltd</t>
  </si>
  <si>
    <t>INE545U01014</t>
  </si>
  <si>
    <t>Bandhan Bank Ltd</t>
  </si>
  <si>
    <t>INE326A01037</t>
  </si>
  <si>
    <t>Lupin Ltd</t>
  </si>
  <si>
    <t>INE628A01036</t>
  </si>
  <si>
    <t>UPL Ltd</t>
  </si>
  <si>
    <t>INE584A01023</t>
  </si>
  <si>
    <t>NMDC Ltd</t>
  </si>
  <si>
    <t>Minerals/Mining</t>
  </si>
  <si>
    <t>INE019A01038</t>
  </si>
  <si>
    <t>JSW Steel Ltd</t>
  </si>
  <si>
    <t>INE646L01027</t>
  </si>
  <si>
    <t>Interglobe Aviation Ltd</t>
  </si>
  <si>
    <t>INE121J01017</t>
  </si>
  <si>
    <t>Indus Towers Ltd (Prev Bharti Infratel Ltd)</t>
  </si>
  <si>
    <t>INE018E01016</t>
  </si>
  <si>
    <t>SBI Cards and Payment Services Ltd</t>
  </si>
  <si>
    <t>INE318A01026</t>
  </si>
  <si>
    <t>Pidilite Industries Ltd</t>
  </si>
  <si>
    <t>INE406A01037</t>
  </si>
  <si>
    <t>Aurobindo Pharma Ltd</t>
  </si>
  <si>
    <t>INE463A01038</t>
  </si>
  <si>
    <t>Berger Paints (I) Ltd</t>
  </si>
  <si>
    <t>INE102D01028</t>
  </si>
  <si>
    <t>Godrej Consumer Products Ltd</t>
  </si>
  <si>
    <t>INE726G01019</t>
  </si>
  <si>
    <t>ICICI Prudential Life Insurance Company Ltd</t>
  </si>
  <si>
    <t>INE079A01024</t>
  </si>
  <si>
    <t>Ambuja Cements Ltd</t>
  </si>
  <si>
    <t>INE522F01014</t>
  </si>
  <si>
    <t>Coal India Ltd</t>
  </si>
  <si>
    <t>INE216A01030</t>
  </si>
  <si>
    <t>Britannia Industries Ltd</t>
  </si>
  <si>
    <t>INE271C01023</t>
  </si>
  <si>
    <t>DLF Ltd</t>
  </si>
  <si>
    <t>INE140A01024</t>
  </si>
  <si>
    <t>Piramal Enterprises Ltd</t>
  </si>
  <si>
    <t>INE070A01015</t>
  </si>
  <si>
    <t>Shree Cement Ltd</t>
  </si>
  <si>
    <t>INE259A01022</t>
  </si>
  <si>
    <t>Colgate Palmolive (India) Ltd</t>
  </si>
  <si>
    <t>INE158A01026</t>
  </si>
  <si>
    <t>Hero MotoCorp Ltd</t>
  </si>
  <si>
    <t>INE010B01027</t>
  </si>
  <si>
    <t>Cadila Healthcare Ltd</t>
  </si>
  <si>
    <t>INE066A01021</t>
  </si>
  <si>
    <t>Eicher Motors Ltd</t>
  </si>
  <si>
    <t>INE127D01025</t>
  </si>
  <si>
    <t>HDFC Asset Management Company Ltd</t>
  </si>
  <si>
    <t>INE095A01012</t>
  </si>
  <si>
    <t>IndusInd Bank Ltd</t>
  </si>
  <si>
    <t>INE216A08027</t>
  </si>
  <si>
    <t>Britannia Industries Ltd - 5.5% - 03/06/2024**</t>
  </si>
  <si>
    <t xml:space="preserve"> CRISIL AAA </t>
  </si>
  <si>
    <t>** Thinly traded / Non Traded Securities</t>
  </si>
  <si>
    <t>Sundaram Diversified Equity</t>
  </si>
  <si>
    <t>Sundaram Arbitrage Fund</t>
  </si>
  <si>
    <t>INE476A01014</t>
  </si>
  <si>
    <t>Canara Bank</t>
  </si>
  <si>
    <t>Stock Future</t>
  </si>
  <si>
    <t>INF903J01QF2</t>
  </si>
  <si>
    <t>Margin Money For Derivatives</t>
  </si>
  <si>
    <t>Sundaram Bluechip Fund</t>
  </si>
  <si>
    <t>Sundaram Equity Fund</t>
  </si>
  <si>
    <t>INE944F01028</t>
  </si>
  <si>
    <t>Radico Khaitan Ltd</t>
  </si>
  <si>
    <t>INE093I01010</t>
  </si>
  <si>
    <t>Oberoi Realty Ltd</t>
  </si>
  <si>
    <t>INE342J01019</t>
  </si>
  <si>
    <t>Wabco India Ltd</t>
  </si>
  <si>
    <t>INE470A01017</t>
  </si>
  <si>
    <t>3M India Ltd</t>
  </si>
  <si>
    <t>INE269B01029</t>
  </si>
  <si>
    <t>Lakshmi Machine Works Ltd</t>
  </si>
  <si>
    <t>Sundaram Equity Savings Fund</t>
  </si>
  <si>
    <t>Index Future</t>
  </si>
  <si>
    <t>INE020B08BF0</t>
  </si>
  <si>
    <t>REC Ltd - 8.45% - 22/03/2022**</t>
  </si>
  <si>
    <t>INE001A07RS3</t>
  </si>
  <si>
    <t>Housing Development Finance Corporation Ltd - 8.58% - 18/03/2022**</t>
  </si>
  <si>
    <t>INE020B08AT3</t>
  </si>
  <si>
    <t>REC Ltd - 7.99% - 23/02/2023**</t>
  </si>
  <si>
    <t>IN0020200112</t>
  </si>
  <si>
    <t>Sovereign</t>
  </si>
  <si>
    <t>IN0020180488</t>
  </si>
  <si>
    <t>Sundaram Financial Services Opportunities Fund</t>
  </si>
  <si>
    <t>INE674K01013</t>
  </si>
  <si>
    <t>Aditya Birla Capital Ltd</t>
  </si>
  <si>
    <t>INE780C01023</t>
  </si>
  <si>
    <t>JM Financial Ltd</t>
  </si>
  <si>
    <t>INE774D01024</t>
  </si>
  <si>
    <t>Mahindra &amp; Mahindra Financial Services Ltd</t>
  </si>
  <si>
    <t>Sundaram Value Fund Series VII</t>
  </si>
  <si>
    <t>S.NO.</t>
  </si>
  <si>
    <t>ACRONYM</t>
  </si>
  <si>
    <t>SCHEME NAME</t>
  </si>
  <si>
    <t>CAPEXG</t>
  </si>
  <si>
    <t>MICAP14</t>
  </si>
  <si>
    <t>MICAP15</t>
  </si>
  <si>
    <t>MICAP16</t>
  </si>
  <si>
    <t>MICAP17</t>
  </si>
  <si>
    <t>MIDCAP</t>
  </si>
  <si>
    <t>MULTI1</t>
  </si>
  <si>
    <t>MULTI2</t>
  </si>
  <si>
    <t>Sundaram Multi Cap Fund Series II</t>
  </si>
  <si>
    <t>MULTIP</t>
  </si>
  <si>
    <t>Sundaram Large And Mid Cap Fund</t>
  </si>
  <si>
    <t>SESCAP1</t>
  </si>
  <si>
    <t>SESCAP2</t>
  </si>
  <si>
    <t>SESCAP3</t>
  </si>
  <si>
    <t>SESCAP4</t>
  </si>
  <si>
    <t>SESCAP5</t>
  </si>
  <si>
    <t>SESCAP6</t>
  </si>
  <si>
    <t>SESCAP7</t>
  </si>
  <si>
    <t>SFOCUS</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</si>
  <si>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</si>
  <si>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</si>
  <si>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</si>
  <si>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</si>
  <si>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</si>
  <si>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</si>
  <si>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</si>
  <si>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</si>
  <si>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</si>
  <si>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</si>
  <si>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</si>
  <si>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</si>
  <si>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</si>
  <si>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SRURAL</t>
  </si>
  <si>
    <t>Sundaram Rural And Consumption Fund</t>
  </si>
  <si>
    <t>SSFUND</t>
  </si>
  <si>
    <t>Sundaram Service Fund</t>
  </si>
  <si>
    <t>SSN100</t>
  </si>
  <si>
    <t>Sundaram Smart Nifty 100 Equity Weight Fund</t>
  </si>
  <si>
    <t>STAX</t>
  </si>
  <si>
    <t>SUNARF</t>
  </si>
  <si>
    <t>SUNBAF</t>
  </si>
  <si>
    <t>Sundaram Balanced Advantage Fund</t>
  </si>
  <si>
    <t>SUNBAL</t>
  </si>
  <si>
    <t>Sundaram Equity Hybrid Fund</t>
  </si>
  <si>
    <t>SUNBCF</t>
  </si>
  <si>
    <t>SUNEQF</t>
  </si>
  <si>
    <t>SUNESF</t>
  </si>
  <si>
    <t>SUNFOP</t>
  </si>
  <si>
    <t>SUNVALF7</t>
  </si>
  <si>
    <t>GLOB</t>
  </si>
  <si>
    <t>Sundaram Global Brand Fund</t>
  </si>
  <si>
    <t>INE092A01019</t>
  </si>
  <si>
    <t>Tata Chemicals Ltd</t>
  </si>
  <si>
    <t>INE001A07RU9</t>
  </si>
  <si>
    <t>Housing Development Finance Corporation Ltd - 8.05% - 20/06/2022**</t>
  </si>
  <si>
    <t>INE094A08085</t>
  </si>
  <si>
    <t>Hindustan Petroleum Corporation Ltd - 4.79% - 23/10/2023**</t>
  </si>
  <si>
    <t>INE261F08CA0</t>
  </si>
  <si>
    <t>National Bank for Agricultural &amp; Rural Development - 6.4% - 31/07/2023</t>
  </si>
  <si>
    <t>INE020B08CN2</t>
  </si>
  <si>
    <t>REC Ltd - 6.8% - 30/06/2023**</t>
  </si>
  <si>
    <t>INE115A07OH1</t>
  </si>
  <si>
    <t>LIC Housing Finance Ltd - 7.6% - 22/11/2022**</t>
  </si>
  <si>
    <t>INE261F08BW6</t>
  </si>
  <si>
    <t>National Bank for Agricultural &amp; Rural Development - 6.72% - 14/04/2023**</t>
  </si>
  <si>
    <t>INE001A07SH4</t>
  </si>
  <si>
    <t>Housing Development Finance Corporation Ltd - 6.99% - 13/02/2023</t>
  </si>
  <si>
    <t>INE020B08DC3</t>
  </si>
  <si>
    <t>REC Ltd - 5.69% - 30/09/2023**</t>
  </si>
  <si>
    <t>INE001A07SQ5</t>
  </si>
  <si>
    <t>Housing Development Finance Corporation Ltd - 4.95% - 09/09/2022**</t>
  </si>
  <si>
    <t>INE115A07CY1</t>
  </si>
  <si>
    <t>LIC Housing Finance Ltd - 9.3% - 14/09/2022**</t>
  </si>
  <si>
    <t>INE134E08KJ6</t>
  </si>
  <si>
    <t>Power Finance Corporation Ltd - 7.04% - 14/04/2023**</t>
  </si>
  <si>
    <t>INE020B08CD3</t>
  </si>
  <si>
    <t>REC Ltd - 7.09% - 13/12/2022</t>
  </si>
  <si>
    <t>INE053F07BZ2</t>
  </si>
  <si>
    <t>Indian Railway Finance Corporation Ltd - 6.59% - 14/04/2023**</t>
  </si>
  <si>
    <t>INE115A14DA5</t>
  </si>
  <si>
    <t>LIC Housing Finance Ltd - 14/02/2022**</t>
  </si>
  <si>
    <t xml:space="preserve"> CRISIL A1+ </t>
  </si>
  <si>
    <t>Cash and Other Net Current Assets^</t>
  </si>
  <si>
    <t>**Non Traded Securities</t>
  </si>
  <si>
    <t>^ Net current assets includes interest accrued on fixed income securities</t>
  </si>
  <si>
    <t>i) Repo in corporate debt</t>
  </si>
  <si>
    <t>INE861G08035</t>
  </si>
  <si>
    <t>Food Corporation of India - 9.95% - 07/03/2022</t>
  </si>
  <si>
    <t xml:space="preserve"> CRISIL AAA(CE) </t>
  </si>
  <si>
    <t>INE134E08KO6</t>
  </si>
  <si>
    <t>Power Finance Corporation Ltd - 6.83% - 24/04/2023**</t>
  </si>
  <si>
    <t>INE001A07SD3</t>
  </si>
  <si>
    <t>Housing Development Finance Corporation Ltd - 7.21% - 30/12/2022**</t>
  </si>
  <si>
    <t>INE062A08157</t>
  </si>
  <si>
    <t xml:space="preserve"> CRISIL AA+ </t>
  </si>
  <si>
    <t>INE020B08DR1</t>
  </si>
  <si>
    <t>REC Ltd - 5.74% - 20/06/2024**</t>
  </si>
  <si>
    <t>INE261F08CS2</t>
  </si>
  <si>
    <t>National Bank for Agricultural &amp; Rural Development - 4.6% - 29/07/2022**</t>
  </si>
  <si>
    <t>INE040A08377</t>
  </si>
  <si>
    <t>INE514E08FL5</t>
  </si>
  <si>
    <t>INE028A08158</t>
  </si>
  <si>
    <t xml:space="preserve"> IND AAA </t>
  </si>
  <si>
    <t>INE557F08FG1</t>
  </si>
  <si>
    <t>National Housing Bank  - 7.05% - 18/12/2024**</t>
  </si>
  <si>
    <t>INE028A08117</t>
  </si>
  <si>
    <t>INE115A07PE5</t>
  </si>
  <si>
    <t>LIC Housing Finance Ltd - 4.545% - 28/03/2022**</t>
  </si>
  <si>
    <t xml:space="preserve"> CARE AAA </t>
  </si>
  <si>
    <t>INE134E08KD9</t>
  </si>
  <si>
    <t>Power Finance Corporation Ltd - 8.1% - 04/06/2024**</t>
  </si>
  <si>
    <t>INE020B08AA3</t>
  </si>
  <si>
    <t>REC Ltd - 7.52% - 07/11/2026**</t>
  </si>
  <si>
    <t>INE261F08BK1</t>
  </si>
  <si>
    <t>National Bank for Agricultural &amp; Rural Development - 7.69% - 29/05/2024**</t>
  </si>
  <si>
    <t>INE115A07OJ7</t>
  </si>
  <si>
    <t>LIC Housing Finance Ltd - 7.445% - 13/01/2023**</t>
  </si>
  <si>
    <t>INE238A08443</t>
  </si>
  <si>
    <t>INE090A08TW2</t>
  </si>
  <si>
    <t>INE134E08LK2</t>
  </si>
  <si>
    <t>Power Finance Corporation Ltd - 6.09% - 27/08/2026**</t>
  </si>
  <si>
    <t>INE261F08DI1</t>
  </si>
  <si>
    <t>National Bank for Agricultural &amp; Rural Development - 5.23% - 31/01/2025</t>
  </si>
  <si>
    <t>INE001A07TA7</t>
  </si>
  <si>
    <t>Housing Development Finance Corporation Ltd - 4.71% - 07/09/2023</t>
  </si>
  <si>
    <t>INE528G08246</t>
  </si>
  <si>
    <t>INE895D07487</t>
  </si>
  <si>
    <t>Tata Sons Pvt Ltd - 9.3% - 19/06/2024**</t>
  </si>
  <si>
    <t>IN0020130012</t>
  </si>
  <si>
    <t>IN0020210012</t>
  </si>
  <si>
    <t>IN002020Z428</t>
  </si>
  <si>
    <t>IN002021X330</t>
  </si>
  <si>
    <t>91 Days - T Bill - 27012022</t>
  </si>
  <si>
    <t>Individual &amp; HUF</t>
  </si>
  <si>
    <t>Others</t>
  </si>
  <si>
    <t>Action Construction Equipments Ltd</t>
  </si>
  <si>
    <t>5.22% Central Government Securities 15/06/2025</t>
  </si>
  <si>
    <t>5.63% Central Government Securities 12/04/2026</t>
  </si>
  <si>
    <t>7.16% Central Government Securities 20/05/2023</t>
  </si>
  <si>
    <t>7.32 % Central Government Securities 28/01/2024</t>
  </si>
  <si>
    <t>364 Days - T Bill - 20012022</t>
  </si>
  <si>
    <t>SBI Life Insurance Company Ltd Dec 2021</t>
  </si>
  <si>
    <t>Larsen &amp; Toubro Ltd Dec 2021</t>
  </si>
  <si>
    <t>TATA Consultancy Services Ltd Dec 2021</t>
  </si>
  <si>
    <t>Tata Steel Limited Dec 2021</t>
  </si>
  <si>
    <t>Pidilite Industries Ltd Dec 2021</t>
  </si>
  <si>
    <t>Page Industries Ltd Dec 2021</t>
  </si>
  <si>
    <t>Dabur India Limited Dec 2021</t>
  </si>
  <si>
    <t>Canara Bank Dec 2021</t>
  </si>
  <si>
    <t>Ashok Leyland Ltd Dec 2021</t>
  </si>
  <si>
    <t>Bharat Forge Ltd Dec 2021</t>
  </si>
  <si>
    <t>ICICI Bank Ltd Dec 2021</t>
  </si>
  <si>
    <t>HDFC Asset Management Company Ltd Dec 2021</t>
  </si>
  <si>
    <t>HCL Technologies Limited Dec 2021</t>
  </si>
  <si>
    <t>LIC Housing Finance Ltd Dec 2021</t>
  </si>
  <si>
    <t>Adani Ports &amp; SEZ Ltd Dec 2021</t>
  </si>
  <si>
    <t>HDFC Life Insurance Company Ltd Dec 2021</t>
  </si>
  <si>
    <t>Bajaj Finserv Limited Dec 2021</t>
  </si>
  <si>
    <t>SBI Cards and Payment Services Ltd Dec 2021</t>
  </si>
  <si>
    <t>Hindalco Industries Ltd Dec 2021</t>
  </si>
  <si>
    <t>Indraprastha Gas Ltd Dec 2021</t>
  </si>
  <si>
    <t>Hindustan Unilever Ltd Dec 2021</t>
  </si>
  <si>
    <t>ITC Ltd Dec 2021</t>
  </si>
  <si>
    <t>Apollo Hospitals Enterprise Limited Dec 2021</t>
  </si>
  <si>
    <t>Jindal Steel &amp; Power Ltd Dec 2021</t>
  </si>
  <si>
    <t>State Bank of India Dec 2021</t>
  </si>
  <si>
    <t>Reliance Industries Ltd Dec 2021</t>
  </si>
  <si>
    <t>Axis Bank Ltd Dec 2021</t>
  </si>
  <si>
    <t>MphasiS Limited Dec 2021</t>
  </si>
  <si>
    <t>NMDC Ltd Dec 2021</t>
  </si>
  <si>
    <t>Sun Pharmaceutical Industries Limited Dec 2021</t>
  </si>
  <si>
    <t>Bajaj Finance Limited Dec 2021</t>
  </si>
  <si>
    <t>Maruti Suzuki India Ltd Dec 2021</t>
  </si>
  <si>
    <t>TATA Consumer Products Ltd Dec 2021</t>
  </si>
  <si>
    <t>Tata Chemicals Limited Dec 2021</t>
  </si>
  <si>
    <t>Divis Labarotories Ltd Dec 2021</t>
  </si>
  <si>
    <t>Grasim Industries Limited Dec 2021</t>
  </si>
  <si>
    <t>Lupin Ltd Dec 2021</t>
  </si>
  <si>
    <t>Punjab National Bank Dec 2021</t>
  </si>
  <si>
    <t>Tata Motors Ltd Dec 2021</t>
  </si>
  <si>
    <t>Bajaj Auto Ltd Dec 2021</t>
  </si>
  <si>
    <t>Tata Power Company Limited Dec 2021</t>
  </si>
  <si>
    <t>HDFC Bank Limited Dec 2021</t>
  </si>
  <si>
    <t>Housing Development Fin Corp Ltd Dec 2021</t>
  </si>
  <si>
    <t>Tech Mahindra Ltd Dec 2021</t>
  </si>
  <si>
    <t>Bharti Airtel Ltd Dec 2021</t>
  </si>
  <si>
    <t>United Spirits Ltd Dec 2021</t>
  </si>
  <si>
    <t>Nifty Dec 2021</t>
  </si>
  <si>
    <t>Kotak Mahindra Bank Ltd Dec 2021</t>
  </si>
  <si>
    <t>Nestle India Ltd Dec 2021</t>
  </si>
  <si>
    <t>Hero MotoCorp Ltd Dec 2021</t>
  </si>
  <si>
    <t>Federal Bank Dec 2021</t>
  </si>
  <si>
    <t>INE041025011</t>
  </si>
  <si>
    <t>Embassy Office Parks(REIT)</t>
  </si>
  <si>
    <t>INE0GGX23010</t>
  </si>
  <si>
    <t>Power Grid Infrastructure Investment Trust(InvIT)</t>
  </si>
  <si>
    <t>Bharti Airtel Ltd - Partly Paid Right Shares</t>
  </si>
  <si>
    <t>INE001A13049</t>
  </si>
  <si>
    <t>Housing Development Finance
Corporation Ltd</t>
  </si>
  <si>
    <t>Hindustan Dorr-Oliver Ltd @</t>
  </si>
  <si>
    <t>b) Total value and percentage of illiquid equity shares @</t>
  </si>
  <si>
    <t>0.00 / #</t>
  </si>
  <si>
    <t>^^ IDCW means Income distribution cum capital withdrawal (Payout/Reinvestment/Transfer)</t>
  </si>
  <si>
    <t>As Per Annexure-A</t>
  </si>
  <si>
    <t>Rs.725.19 Lacs</t>
  </si>
  <si>
    <t>g) Average Maturity - only for Debt portion (years)</t>
  </si>
  <si>
    <t>h) Macaulay Duration - only for Debt portion (years)</t>
  </si>
  <si>
    <t>i) Portfolio Turnover Ratio</t>
  </si>
  <si>
    <t>j) Repo in corporate debt</t>
  </si>
  <si>
    <t>j) Portfolio Turnover Ratio</t>
  </si>
  <si>
    <t>Sundaram Money Fund - Direct Growth @@</t>
  </si>
  <si>
    <t xml:space="preserve"> @@ Placed as margin for derivatives</t>
  </si>
  <si>
    <t xml:space="preserve"> ICRA AAA </t>
  </si>
  <si>
    <t xml:space="preserve"> ICRA AA+ </t>
  </si>
  <si>
    <t xml:space="preserve"> ICRA BBB </t>
  </si>
  <si>
    <t>YTM (%)</t>
  </si>
  <si>
    <t xml:space="preserve">Monthly Portfolio Statement for the month ended 30 November 2021       </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</si>
  <si>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</si>
  <si>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</si>
  <si>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</si>
  <si>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</si>
  <si>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</si>
  <si>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</si>
  <si>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</si>
  <si>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</si>
  <si>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</si>
  <si>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</si>
  <si>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31/05/2021 from the default date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</si>
  <si>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</si>
  <si>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</si>
  <si>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to AUM as on 30.11.2021</t>
  </si>
  <si>
    <t>Yes Bank Ltd - 9.9% - 31/10/2022** (Tier II bond under Basel II)</t>
  </si>
  <si>
    <t>State Bank of India - 8.15% - Call Dt 02/08/2022** (Perpetual Bond under Basel III)</t>
  </si>
  <si>
    <t>HDFC Bank Ltd - 8.85% - Call Dt 12/05/2022** (Perpetual Bond under Basel III)</t>
  </si>
  <si>
    <t>Export Import Bank of India - 8.6% - Call Dt 31/03/2022** (Perpetual Bond under Basel III)</t>
  </si>
  <si>
    <t>Bank of Baroda - 8.55% - Call Dt 14-Feb-2024 (Tier II Bond under Basel III)**</t>
  </si>
  <si>
    <t>Bank of Baroda - 8.65% - Call Dt 11/08/2022**  (Perpetual Bond under Basel III)</t>
  </si>
  <si>
    <t>Axis Bank Ltd - 8.75% - Call Dt 28/06/2022** (Perpetual Bond under Basel III)</t>
  </si>
  <si>
    <t>ICICI Bank Ltd - 9.2% - Call Dt 17/03/2022** (Perpetual Bond under Basel III)</t>
  </si>
  <si>
    <t>Yield to call date %</t>
  </si>
  <si>
    <t>Cement &amp; Cement Products</t>
  </si>
  <si>
    <t>Entertainment</t>
  </si>
  <si>
    <t>Capital Markets</t>
  </si>
  <si>
    <t>Aerospace &amp; Defense</t>
  </si>
  <si>
    <t>Other Services</t>
  </si>
  <si>
    <t>Leisure Services</t>
  </si>
  <si>
    <t>Printing &amp; Publication</t>
  </si>
  <si>
    <t>Financial Technology (Fintech)</t>
  </si>
  <si>
    <t>Insurance</t>
  </si>
  <si>
    <t>Direct Plan - IDCW^^</t>
  </si>
  <si>
    <t>Regular Plan - IDCW^^</t>
  </si>
  <si>
    <t>d) IDCW^^ declared during the period (Rupees per unit)</t>
  </si>
  <si>
    <t>Institutional Plan - IDCW^^</t>
  </si>
  <si>
    <t>SUNDARAM GLOBAL BRAND FUND</t>
  </si>
  <si>
    <t>Monthly Portfolio Statement for the period ended 30 Nov 2021</t>
  </si>
  <si>
    <t>S.NO</t>
  </si>
  <si>
    <t>ISIN CODE</t>
  </si>
  <si>
    <t>Name of the Instrument</t>
  </si>
  <si>
    <t>Industry/ Rating</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</si>
  <si>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</si>
  <si>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</si>
  <si>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</si>
  <si>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</si>
  <si>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</si>
  <si>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</si>
  <si>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Cash and Other Net Curent Assets</t>
  </si>
  <si>
    <t>a) Total securities below investment grade or default  - Nil</t>
  </si>
  <si>
    <t>b) Total value and percentage of illiquid equity shares - Nil</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</si>
  <si>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</si>
  <si>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</si>
  <si>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</si>
  <si>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</si>
  <si>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</si>
  <si>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9,388.77 lacs</t>
  </si>
  <si>
    <t>g) Repo in Corporate Debt - Nil</t>
  </si>
  <si>
    <t>Scheme Riskometer</t>
  </si>
  <si>
    <t>Benchmark Riskometer - NIFTY Infrastructure TRI</t>
  </si>
  <si>
    <t>Benchmark Riskometer - S&amp;P BSE Small Cap TRI</t>
  </si>
  <si>
    <t>Benchmark Riskometer - Nifty MidCap 100 TRI</t>
  </si>
  <si>
    <t>Benchmark Riskometer - S&amp;P BSE 500 TRI</t>
  </si>
  <si>
    <t>Benchmark Riskometer - Nifty Large Mid Cap 250 TRI</t>
  </si>
  <si>
    <t>Benchmark Riskometer - S&amp;P BSE 250 SmallCap TRI</t>
  </si>
  <si>
    <t>Benchmark Riskometer - Nifty 50 TRI</t>
  </si>
  <si>
    <t>Benchmark Riskometer - Nifty Small Cap 100 TRI</t>
  </si>
  <si>
    <t>Benchmark Riskometer - Nifty India Consumption TRI</t>
  </si>
  <si>
    <t>Benchmark Riskometer - S&amp;P BSE 200 TRI</t>
  </si>
  <si>
    <t>Benchmark Riskometer - Nifty 100 Equal Weighted TRI</t>
  </si>
  <si>
    <t>Benchmark Riskometer - NIFTY 50 Arbitrage TRI</t>
  </si>
  <si>
    <t>Benchmark Riskometer - CRISIL Hybrid 50+50 - Moderate Index</t>
  </si>
  <si>
    <t>Benchmark Riskometer - CRISIL Hybrid 35+65 - Aggressive Index</t>
  </si>
  <si>
    <t>Benchmark Riskometer - Nifty 100 TRI</t>
  </si>
  <si>
    <t>Benchmark Riskometer - Nifty 500 MultiCap 50:25:25 TRI</t>
  </si>
  <si>
    <t>Benchmark Riskometer - Nifty Equity Savings TRI</t>
  </si>
  <si>
    <t>Benchmark Riskometer - Nifty Financial Services TRI</t>
  </si>
  <si>
    <t>Benchmark Riskometer - Dow Jones Industrial Average TRI</t>
  </si>
  <si>
    <t>Debt instruments having structured obligations or credit enhancement features have been denoted with suffix as (SO) or (CE) respectively against the ratings of the instrument.</t>
  </si>
  <si>
    <t>k) Exposure to securities classified as below investment grade or default as on Nov 30, 2021:-</t>
  </si>
  <si>
    <t>Annexure-A</t>
  </si>
  <si>
    <t>DERIVATIVES DISCLOSURE</t>
  </si>
  <si>
    <t>Disclosure regarding Derivative positions pursuant to SEBI Circular no CIR/IMD/DF/11/2010 dated August18,2010</t>
  </si>
  <si>
    <t>DETAILS OF INVESTMENTS IN DERIVATIVE INSTRUMENTS</t>
  </si>
  <si>
    <t>A. Hedging Positions through Futures as on November 30,2021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</si>
  <si>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</si>
  <si>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</si>
  <si>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</si>
  <si>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</si>
  <si>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</si>
  <si>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</si>
  <si>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</si>
  <si>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</si>
  <si>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</si>
  <si>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November 30,2021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</si>
  <si>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</si>
  <si>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</si>
  <si>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</si>
  <si>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</si>
  <si>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</si>
  <si>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Select Micro Cap Series IX</t>
  </si>
  <si>
    <t>Sundaram Select Micro Cap Series VIII</t>
  </si>
  <si>
    <t>Sundaram Select Micro Cap Series XII</t>
  </si>
  <si>
    <t>Sundaram Select Micro Cap Series XI</t>
  </si>
  <si>
    <t>Sundaram Select Micro Cap Series X</t>
  </si>
  <si>
    <t>B. Other than hedging positions through futures as on November 30,2021:</t>
  </si>
  <si>
    <t>Margin maintained in       (Rs. in Lakhs) *</t>
  </si>
  <si>
    <t>Total percentage of existing assets due to non-hedging positions as a percentage of net assets</t>
  </si>
  <si>
    <t>For the period ended November 30,2021 following were the non-hedging transactions through futures which have been squared off / expired</t>
  </si>
  <si>
    <t>Gross Notional value of contracts where futures were sold      ( Rs. in Lakhs)</t>
  </si>
  <si>
    <t>Net Profit / (Loss) value on all contracts combined      (Rs. in lakhs)</t>
  </si>
  <si>
    <t>Sundaram Midcap Fund</t>
  </si>
  <si>
    <t>C. Hedging Positions through Put Options as on November 30,2021:</t>
  </si>
  <si>
    <t>Call/Put</t>
  </si>
  <si>
    <t>Number of Contracts</t>
  </si>
  <si>
    <t>Option Price when purchased</t>
  </si>
  <si>
    <t>Current Option Price</t>
  </si>
  <si>
    <t>-</t>
  </si>
  <si>
    <t>Total % of existing assets hedged through Put Options</t>
  </si>
  <si>
    <t>For the period ended  November 30,2021,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</si>
  <si>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</si>
  <si>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</si>
  <si>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</si>
  <si>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</si>
  <si>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November 30,2021:</t>
  </si>
  <si>
    <t xml:space="preserve">Total Exposure through Options other than hedging as a percentage of net assets </t>
  </si>
  <si>
    <t>For the period ended November 30,2021, the following non hedging transactions through options which have been already exercised/expired</t>
  </si>
  <si>
    <t>Gross Notional value of contracts  bought(Rs. in Lakhs)</t>
  </si>
  <si>
    <t>Gross Notional value of contracts  sold (Rs. in Lakhs)</t>
  </si>
  <si>
    <t>E. Hedging Positions through Swaps as on November 30,2021- Nil</t>
  </si>
  <si>
    <t>F. Hedging Positions through Interest Rate Futures as on November 30,2021:</t>
  </si>
  <si>
    <t xml:space="preserve">Futures Price
When Purchased </t>
  </si>
  <si>
    <t>Current Price of
the contract</t>
  </si>
  <si>
    <t>Margin maintained
in (Rs. in Lakhs)</t>
  </si>
  <si>
    <t>Total percentage of existing assets hedged through Interest Rate Futures a Percentage of net assets</t>
  </si>
  <si>
    <t>For the period ended November 30,2021 following were the hedging transactions through Interest Rate Futures which have been squared off/ expired</t>
  </si>
  <si>
    <t>For the period ended November 30,2021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</si>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</sst>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 #,##0.00_ ;_ * \-#,##0.00_ ;_ * &quot;-&quot;??_ ;_ @_ "/>
    <numFmt numFmtId="164" formatCode="[$-1014009]General"/>
    <numFmt numFmtId="165" formatCode="[$-1014009]###0;\(###0\)"/>
    <numFmt numFmtId="166" formatCode="[$-1014009]###0.00;\(###0.00\)"/>
    <numFmt numFmtId="167" formatCode="[$-1014009]###0.00%;\(###0.00%\)"/>
    <numFmt numFmtId="168" formatCode="[$-1014009]#,##0.00;\-#,##0.00"/>
    <numFmt numFmtId="169" formatCode="[$-1014009]#,##0.00%"/>
    <numFmt numFmtId="170" formatCode="[$-1014009]#,##0.0000;\-#,##0.0000"/>
    <numFmt numFmtId="171" formatCode="[$-1014009]#.0000"/>
    <numFmt numFmtId="172" formatCode="[$-1014009]#,##0.00;\(#,##0.00\)"/>
    <numFmt numFmtId="173" formatCode="[$-1014009]#,##0.000000;\-#,##0.000000"/>
    <numFmt numFmtId="174" formatCode="_(* #,##0.00_);_(* \(#,##0.00\);_(* &quot;-&quot;??_);_(@_)"/>
    <numFmt numFmtId="175" formatCode="0.000"/>
    <numFmt numFmtId="176" formatCode="#,##0.000"/>
    <numFmt numFmtId="177" formatCode="0.00000"/>
    <numFmt numFmtId="178" formatCode="dd\/mm\/yyyy"/>
    <numFmt numFmtId="179" formatCode="0.0000"/>
    <numFmt numFmtId="180" formatCode="0.000000000"/>
    <numFmt numFmtId="181" formatCode="_(* #,##0.0000_);_(* \(#,##0.0000\);_(* &quot;-&quot;??_);_(@_)"/>
    <numFmt numFmtId="182" formatCode="#,##0.0000;\(#,##0.0000\)"/>
    <numFmt numFmtId="183" formatCode="_(* #,##0.000_);_(* \(#,##0.000\);_(* &quot;-&quot;??_);_(@_)"/>
    <numFmt numFmtId="184" formatCode="_(* #,##0_);_(* \(#,##0\);_(* &quot;-&quot;??_);_(@_)"/>
  </numFmts>
  <fonts count="33"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theme="1"/>
      <name val="Calibri"/>
      <family val="2"/>
    </font>
    <font>
      <b/>
      <sz val="11"/>
      <name val="Calibri"/>
      <family val="2"/>
    </font>
    <font>
      <sz val="11"/>
      <color theme="1"/>
      <name val="Calibri"/>
      <family val="2"/>
    </font>
    <font>
      <sz val="11"/>
      <name val="Calibri"/>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0"/>
      <name val="Arial"/>
      <family val="2"/>
    </font>
    <font>
      <b/>
      <sz val="11"/>
      <color theme="1"/>
      <name val="Calibri"/>
      <family val="2"/>
      <scheme val="minor"/>
    </font>
    <font>
      <sz val="10"/>
      <color theme="1"/>
      <name val="Calibri"/>
      <family val="2"/>
      <scheme val="minor"/>
    </font>
    <font>
      <sz val="11"/>
      <color indexed="8"/>
      <name val="Calibri"/>
      <family val="2"/>
    </font>
    <font>
      <b/>
      <sz val="11"/>
      <name val="Calibri"/>
      <family val="2"/>
      <scheme val="minor"/>
    </font>
    <font>
      <sz val="10"/>
      <name val="Calibri"/>
      <family val="2"/>
      <scheme val="minor"/>
    </font>
    <font>
      <b/>
      <sz val="10"/>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sz val="10"/>
      <name val="Arial"/>
      <charset val="1"/>
    </font>
    <font>
      <sz val="10"/>
      <name val="Calibri"/>
      <family val="2"/>
    </font>
    <font>
      <b/>
      <sz val="10"/>
      <color theme="1"/>
      <name val="Calibri"/>
      <family val="2"/>
      <scheme val="minor"/>
    </font>
    <font>
      <b/>
      <sz val="9"/>
      <color indexed="81"/>
      <name val="Tahoma"/>
      <family val="2"/>
    </font>
  </fonts>
  <fills count="4">
    <fill>
      <patternFill patternType="none"/>
    </fill>
    <fill>
      <patternFill patternType="gray125"/>
    </fill>
    <fill>
      <patternFill patternType="solid">
        <fgColor indexed="9"/>
      </patternFill>
    </fill>
    <fill>
      <patternFill patternType="solid">
        <fgColor indexed="9"/>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15">
    <xf numFmtId="0" fontId="0" fillId="0" borderId="0">
      <alignment wrapText="1"/>
    </xf>
    <xf numFmtId="0" fontId="3" fillId="0" borderId="0"/>
    <xf numFmtId="0" fontId="17" fillId="0" borderId="0">
      <alignment wrapText="1"/>
    </xf>
    <xf numFmtId="0" fontId="2" fillId="0" borderId="0"/>
    <xf numFmtId="174" fontId="21" fillId="0" borderId="0" applyFont="0" applyFill="0" applyBorder="0" applyAlignment="0" applyProtection="0"/>
    <xf numFmtId="9" fontId="21" fillId="0" borderId="0" applyFont="0" applyFill="0" applyBorder="0" applyAlignment="0" applyProtection="0"/>
    <xf numFmtId="0" fontId="1" fillId="0" borderId="0"/>
    <xf numFmtId="0" fontId="17" fillId="0" borderId="0"/>
    <xf numFmtId="0" fontId="1" fillId="0" borderId="0"/>
    <xf numFmtId="43" fontId="1" fillId="0" borderId="0" applyFont="0" applyFill="0" applyBorder="0" applyAlignment="0" applyProtection="0"/>
    <xf numFmtId="174" fontId="17" fillId="0" borderId="0" applyFont="0" applyFill="0" applyBorder="0" applyAlignment="0" applyProtection="0"/>
    <xf numFmtId="0" fontId="17" fillId="0" borderId="0"/>
    <xf numFmtId="0" fontId="17" fillId="0" borderId="0"/>
    <xf numFmtId="0" fontId="17" fillId="0" borderId="0">
      <alignment wrapText="1"/>
    </xf>
    <xf numFmtId="43" fontId="29" fillId="0" borderId="0" applyFont="0" applyFill="0" applyBorder="0" applyAlignment="0" applyProtection="0"/>
  </cellStyleXfs>
  <cellXfs count="281">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169"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Border="1" applyAlignment="1">
      <alignment horizontal="left" vertical="center" wrapText="1" readingOrder="1"/>
    </xf>
    <xf numFmtId="0" fontId="5" fillId="2" borderId="0" xfId="0" applyFont="1" applyFill="1" applyBorder="1" applyAlignment="1">
      <alignment horizontal="left" vertical="center" wrapText="1" readingOrder="1"/>
    </xf>
    <xf numFmtId="0" fontId="7" fillId="2" borderId="0" xfId="0" applyFont="1" applyFill="1" applyBorder="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Border="1" applyAlignment="1">
      <alignment horizontal="right" vertical="top" wrapText="1" readingOrder="1"/>
    </xf>
    <xf numFmtId="0" fontId="6" fillId="2" borderId="4" xfId="0" applyFont="1" applyFill="1" applyBorder="1" applyAlignment="1">
      <alignment horizontal="right" vertical="top" wrapText="1" readingOrder="1"/>
    </xf>
    <xf numFmtId="170" fontId="5" fillId="2" borderId="4" xfId="0" applyNumberFormat="1" applyFont="1" applyFill="1" applyBorder="1" applyAlignment="1">
      <alignment horizontal="right" vertical="center" wrapText="1" readingOrder="1"/>
    </xf>
    <xf numFmtId="0" fontId="5" fillId="2" borderId="0" xfId="0" applyFont="1" applyFill="1" applyBorder="1" applyAlignment="1">
      <alignment horizontal="right" vertical="center" wrapText="1" readingOrder="1"/>
    </xf>
    <xf numFmtId="0" fontId="5" fillId="2" borderId="5" xfId="0" applyFont="1" applyFill="1" applyBorder="1" applyAlignment="1">
      <alignment horizontal="right" vertical="top" wrapText="1" readingOrder="1"/>
    </xf>
    <xf numFmtId="169" fontId="6" fillId="2" borderId="4" xfId="0" applyNumberFormat="1" applyFont="1" applyFill="1" applyBorder="1" applyAlignment="1">
      <alignment horizontal="left" vertical="center" wrapText="1" readingOrder="1"/>
    </xf>
    <xf numFmtId="0" fontId="8" fillId="0" borderId="7" xfId="1" applyFont="1" applyBorder="1" applyAlignment="1">
      <alignment horizontal="center" vertical="center"/>
    </xf>
    <xf numFmtId="0" fontId="9" fillId="0" borderId="7" xfId="1" applyFont="1" applyBorder="1" applyAlignment="1">
      <alignment horizontal="center" vertical="center"/>
    </xf>
    <xf numFmtId="0" fontId="10" fillId="0" borderId="0" xfId="1" applyFont="1" applyAlignment="1">
      <alignment horizontal="center" vertical="center"/>
    </xf>
    <xf numFmtId="0" fontId="10" fillId="0" borderId="7" xfId="1" applyFont="1" applyBorder="1" applyAlignment="1">
      <alignment horizontal="center" vertical="center"/>
    </xf>
    <xf numFmtId="0" fontId="11" fillId="0" borderId="7" xfId="1" applyFont="1" applyBorder="1" applyAlignment="1">
      <alignment vertical="center"/>
    </xf>
    <xf numFmtId="0" fontId="10" fillId="0" borderId="0" xfId="1" applyFont="1" applyAlignment="1">
      <alignment vertical="center"/>
    </xf>
    <xf numFmtId="0" fontId="10" fillId="0" borderId="7" xfId="1" applyFont="1" applyBorder="1" applyAlignment="1">
      <alignment vertical="center"/>
    </xf>
    <xf numFmtId="0" fontId="13" fillId="2" borderId="4" xfId="0" applyFont="1" applyFill="1" applyBorder="1" applyAlignment="1">
      <alignment horizontal="right" vertical="top" wrapText="1" readingOrder="1"/>
    </xf>
    <xf numFmtId="0" fontId="14" fillId="2" borderId="4" xfId="0" applyFont="1" applyFill="1" applyBorder="1" applyAlignment="1">
      <alignment horizontal="left" vertical="center" wrapText="1" readingOrder="1"/>
    </xf>
    <xf numFmtId="164" fontId="13"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left" vertical="center" wrapText="1" readingOrder="1"/>
    </xf>
    <xf numFmtId="165" fontId="13" fillId="2" borderId="4" xfId="0" applyNumberFormat="1" applyFont="1" applyFill="1" applyBorder="1" applyAlignment="1">
      <alignment horizontal="right" vertical="center" wrapText="1" readingOrder="1"/>
    </xf>
    <xf numFmtId="166" fontId="13" fillId="2" borderId="4" xfId="0" applyNumberFormat="1" applyFont="1" applyFill="1" applyBorder="1" applyAlignment="1">
      <alignment horizontal="right" vertical="center" wrapText="1" readingOrder="1"/>
    </xf>
    <xf numFmtId="167" fontId="13" fillId="2" borderId="4" xfId="0" applyNumberFormat="1" applyFont="1" applyFill="1" applyBorder="1" applyAlignment="1">
      <alignment horizontal="right" vertical="center" wrapText="1" readingOrder="1"/>
    </xf>
    <xf numFmtId="166" fontId="14" fillId="2" borderId="4" xfId="0" applyNumberFormat="1" applyFont="1" applyFill="1" applyBorder="1" applyAlignment="1">
      <alignment horizontal="right" vertical="center" wrapText="1" readingOrder="1"/>
    </xf>
    <xf numFmtId="167" fontId="14" fillId="2" borderId="4" xfId="0" applyNumberFormat="1" applyFont="1" applyFill="1" applyBorder="1" applyAlignment="1">
      <alignment horizontal="right" vertical="center" wrapText="1" readingOrder="1"/>
    </xf>
    <xf numFmtId="0" fontId="15" fillId="2" borderId="4" xfId="0" applyFont="1" applyFill="1" applyBorder="1" applyAlignment="1">
      <alignment horizontal="left" vertical="center" wrapText="1" readingOrder="1"/>
    </xf>
    <xf numFmtId="0" fontId="15" fillId="2" borderId="4" xfId="0" applyFont="1" applyFill="1" applyBorder="1" applyAlignment="1">
      <alignment horizontal="right" vertical="center" wrapText="1" readingOrder="1"/>
    </xf>
    <xf numFmtId="168" fontId="14" fillId="2" borderId="4" xfId="0" applyNumberFormat="1" applyFont="1" applyFill="1" applyBorder="1" applyAlignment="1">
      <alignment horizontal="right" vertical="center" wrapText="1" readingOrder="1"/>
    </xf>
    <xf numFmtId="169" fontId="14"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right" vertical="center" wrapText="1" readingOrder="1"/>
    </xf>
    <xf numFmtId="0" fontId="15" fillId="2" borderId="5" xfId="0" applyFont="1" applyFill="1" applyBorder="1" applyAlignment="1">
      <alignment horizontal="left" vertical="center" wrapText="1" readingOrder="1"/>
    </xf>
    <xf numFmtId="0" fontId="15" fillId="2" borderId="5" xfId="0" applyFont="1" applyFill="1" applyBorder="1" applyAlignment="1">
      <alignment horizontal="right" vertical="center" wrapText="1" readingOrder="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15" fillId="2" borderId="6" xfId="0" applyFont="1" applyFill="1" applyBorder="1" applyAlignment="1">
      <alignment horizontal="right" vertical="center" wrapText="1" readingOrder="1"/>
    </xf>
    <xf numFmtId="0" fontId="13" fillId="2" borderId="0" xfId="0" applyFont="1" applyFill="1" applyAlignment="1">
      <alignment horizontal="right" vertical="top" wrapText="1" readingOrder="1"/>
    </xf>
    <xf numFmtId="0" fontId="14" fillId="2" borderId="4" xfId="0" applyFont="1" applyFill="1" applyBorder="1" applyAlignment="1">
      <alignment horizontal="right" vertical="top" wrapText="1" readingOrder="1"/>
    </xf>
    <xf numFmtId="0" fontId="14" fillId="2" borderId="4" xfId="0" applyFont="1" applyFill="1" applyBorder="1" applyAlignment="1">
      <alignment horizontal="left" vertical="top" wrapText="1" readingOrder="1"/>
    </xf>
    <xf numFmtId="171" fontId="13" fillId="2" borderId="4" xfId="0" applyNumberFormat="1" applyFont="1" applyFill="1" applyBorder="1" applyAlignment="1">
      <alignment horizontal="right"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0" fontId="0" fillId="2" borderId="0" xfId="0" applyFill="1" applyAlignment="1">
      <alignment horizontal="center" vertical="top" readingOrder="1"/>
    </xf>
    <xf numFmtId="0" fontId="13" fillId="2" borderId="6" xfId="0" applyFont="1" applyFill="1" applyBorder="1" applyAlignment="1">
      <alignment horizontal="right" vertical="top" wrapText="1" readingOrder="1"/>
    </xf>
    <xf numFmtId="172" fontId="14" fillId="2" borderId="4" xfId="0" applyNumberFormat="1" applyFont="1" applyFill="1" applyBorder="1" applyAlignment="1">
      <alignment horizontal="left" vertical="center" wrapText="1" readingOrder="1"/>
    </xf>
    <xf numFmtId="0" fontId="16" fillId="2" borderId="4" xfId="0" applyFont="1" applyFill="1" applyBorder="1" applyAlignment="1">
      <alignment horizontal="left" vertical="center" wrapText="1" readingOrder="1"/>
    </xf>
    <xf numFmtId="0" fontId="16" fillId="2" borderId="4" xfId="0" applyFont="1" applyFill="1" applyBorder="1" applyAlignment="1">
      <alignment horizontal="right" vertical="center" wrapText="1" readingOrder="1"/>
    </xf>
    <xf numFmtId="173" fontId="13" fillId="2" borderId="4" xfId="0" applyNumberFormat="1" applyFont="1" applyFill="1" applyBorder="1" applyAlignment="1">
      <alignment horizontal="right" vertical="center" wrapText="1" readingOrder="1"/>
    </xf>
    <xf numFmtId="0" fontId="13" fillId="2" borderId="5" xfId="0" applyFont="1" applyFill="1" applyBorder="1" applyAlignment="1">
      <alignment horizontal="left" vertical="center" wrapText="1" readingOrder="1"/>
    </xf>
    <xf numFmtId="0" fontId="14" fillId="2" borderId="5" xfId="0" applyFont="1" applyFill="1" applyBorder="1" applyAlignment="1">
      <alignment horizontal="left" vertical="center" wrapText="1" readingOrder="1"/>
    </xf>
    <xf numFmtId="167" fontId="5" fillId="2" borderId="1" xfId="0" applyNumberFormat="1" applyFont="1" applyFill="1" applyBorder="1" applyAlignment="1">
      <alignment horizontal="right" vertical="center" wrapText="1" readingOrder="1"/>
    </xf>
    <xf numFmtId="0" fontId="0" fillId="0" borderId="7" xfId="0" applyBorder="1">
      <alignment wrapText="1"/>
    </xf>
    <xf numFmtId="0" fontId="17" fillId="0" borderId="0" xfId="2">
      <alignment wrapText="1"/>
    </xf>
    <xf numFmtId="0" fontId="17" fillId="0" borderId="0" xfId="0" applyFont="1">
      <alignment wrapText="1"/>
    </xf>
    <xf numFmtId="0" fontId="5" fillId="2" borderId="4" xfId="2" applyFont="1" applyFill="1" applyBorder="1" applyAlignment="1">
      <alignment horizontal="left" vertical="center" wrapText="1" readingOrder="1"/>
    </xf>
    <xf numFmtId="164"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5" fillId="0" borderId="1" xfId="2" applyNumberFormat="1" applyFont="1" applyBorder="1" applyAlignment="1">
      <alignment horizontal="right" vertical="center" wrapText="1" readingOrder="1"/>
    </xf>
    <xf numFmtId="166" fontId="5" fillId="2" borderId="1" xfId="0" applyNumberFormat="1" applyFont="1" applyFill="1" applyBorder="1" applyAlignment="1">
      <alignment horizontal="right" vertical="center" wrapText="1" readingOrder="1"/>
    </xf>
    <xf numFmtId="167" fontId="5" fillId="2" borderId="7" xfId="0" applyNumberFormat="1" applyFont="1" applyFill="1" applyBorder="1" applyAlignment="1">
      <alignment horizontal="right" vertical="center" wrapText="1" readingOrder="1"/>
    </xf>
    <xf numFmtId="0" fontId="18" fillId="0" borderId="0" xfId="0" applyFont="1">
      <alignment wrapText="1"/>
    </xf>
    <xf numFmtId="0" fontId="6" fillId="2" borderId="4" xfId="0" applyFont="1" applyFill="1" applyBorder="1" applyAlignment="1">
      <alignment horizontal="left" vertical="top" readingOrder="1"/>
    </xf>
    <xf numFmtId="0" fontId="0" fillId="0" borderId="0" xfId="0" applyAlignment="1"/>
    <xf numFmtId="0" fontId="5" fillId="2" borderId="0" xfId="2" applyFont="1" applyFill="1" applyAlignment="1">
      <alignment horizontal="right" vertical="top" wrapText="1" readingOrder="1"/>
    </xf>
    <xf numFmtId="172" fontId="6" fillId="2" borderId="4" xfId="2" applyNumberFormat="1" applyFont="1" applyFill="1" applyBorder="1" applyAlignment="1">
      <alignment horizontal="left" vertical="center" wrapText="1" readingOrder="1"/>
    </xf>
    <xf numFmtId="0" fontId="5" fillId="2" borderId="6" xfId="2" applyFont="1" applyFill="1" applyBorder="1" applyAlignment="1">
      <alignment horizontal="right" vertical="top" wrapText="1" readingOrder="1"/>
    </xf>
    <xf numFmtId="0" fontId="5" fillId="2" borderId="0" xfId="0" applyFont="1" applyFill="1" applyAlignment="1">
      <alignment horizontal="right" vertical="top" wrapText="1" readingOrder="1"/>
    </xf>
    <xf numFmtId="172" fontId="6" fillId="2" borderId="4" xfId="2" applyNumberFormat="1" applyFont="1" applyFill="1" applyBorder="1" applyAlignment="1">
      <alignment horizontal="left" vertical="top" wrapText="1" readingOrder="1"/>
    </xf>
    <xf numFmtId="0" fontId="5"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7" fillId="2" borderId="0" xfId="2" applyFont="1" applyFill="1" applyAlignment="1">
      <alignment horizontal="left" vertical="center" wrapText="1" readingOrder="1"/>
    </xf>
    <xf numFmtId="0" fontId="7" fillId="2" borderId="0" xfId="2" applyFont="1" applyFill="1" applyAlignment="1">
      <alignment horizontal="right" vertical="center" wrapText="1" readingOrder="1"/>
    </xf>
    <xf numFmtId="0" fontId="4" fillId="2" borderId="4" xfId="0" applyFont="1" applyFill="1" applyBorder="1" applyAlignment="1">
      <alignment horizontal="center" vertical="center" wrapText="1" readingOrder="1"/>
    </xf>
    <xf numFmtId="0" fontId="9" fillId="0" borderId="7" xfId="3" applyFont="1" applyBorder="1" applyAlignment="1">
      <alignment horizontal="center" vertical="center" wrapText="1" readingOrder="1"/>
    </xf>
    <xf numFmtId="0" fontId="20" fillId="0" borderId="7" xfId="1" applyFont="1" applyBorder="1"/>
    <xf numFmtId="0" fontId="20" fillId="0" borderId="7" xfId="1" applyFont="1" applyBorder="1" applyAlignment="1">
      <alignment wrapText="1"/>
    </xf>
    <xf numFmtId="0" fontId="20" fillId="0" borderId="7" xfId="1" applyFont="1" applyBorder="1" applyAlignment="1">
      <alignment horizontal="left" vertical="center"/>
    </xf>
    <xf numFmtId="0" fontId="20" fillId="0" borderId="7" xfId="1" applyFont="1" applyBorder="1" applyAlignment="1">
      <alignment vertical="center" wrapText="1"/>
    </xf>
    <xf numFmtId="2" fontId="20" fillId="0" borderId="7" xfId="1" applyNumberFormat="1" applyFont="1" applyBorder="1" applyAlignment="1">
      <alignment horizontal="right" vertical="center" wrapText="1"/>
    </xf>
    <xf numFmtId="174" fontId="20" fillId="0" borderId="7" xfId="4" applyFont="1" applyBorder="1" applyAlignment="1">
      <alignment horizontal="right" vertical="center" wrapText="1"/>
    </xf>
    <xf numFmtId="4" fontId="20" fillId="0" borderId="7" xfId="1" applyNumberFormat="1" applyFont="1" applyBorder="1" applyAlignment="1">
      <alignment horizontal="right" vertical="center"/>
    </xf>
    <xf numFmtId="10" fontId="20" fillId="0" borderId="7" xfId="5" applyNumberFormat="1" applyFont="1" applyBorder="1" applyAlignment="1">
      <alignment vertical="center" wrapText="1"/>
    </xf>
    <xf numFmtId="0" fontId="9" fillId="0" borderId="11" xfId="0" applyFont="1" applyBorder="1" applyAlignment="1">
      <alignment horizontal="center" vertical="center" wrapText="1" readingOrder="1"/>
    </xf>
    <xf numFmtId="0" fontId="0" fillId="0" borderId="0" xfId="0" applyAlignment="1">
      <alignment horizontal="center" vertical="center" wrapText="1"/>
    </xf>
    <xf numFmtId="0" fontId="12" fillId="2" borderId="4" xfId="0" applyFont="1" applyFill="1" applyBorder="1" applyAlignment="1">
      <alignment horizontal="center" vertical="center" wrapText="1" readingOrder="1"/>
    </xf>
    <xf numFmtId="0" fontId="1" fillId="0" borderId="0" xfId="6"/>
    <xf numFmtId="0" fontId="22" fillId="0" borderId="7" xfId="7" applyFont="1" applyBorder="1" applyAlignment="1">
      <alignment horizontal="center" vertical="center" wrapText="1"/>
    </xf>
    <xf numFmtId="0" fontId="9" fillId="0" borderId="7" xfId="6" applyFont="1" applyBorder="1" applyAlignment="1">
      <alignment horizontal="center" vertical="center" wrapText="1" readingOrder="1"/>
    </xf>
    <xf numFmtId="0" fontId="23" fillId="0" borderId="7" xfId="8" applyFont="1" applyBorder="1" applyProtection="1">
      <protection locked="0"/>
    </xf>
    <xf numFmtId="0" fontId="24" fillId="0" borderId="7" xfId="8" applyFont="1" applyBorder="1" applyAlignment="1" applyProtection="1">
      <alignment wrapText="1"/>
      <protection locked="0"/>
    </xf>
    <xf numFmtId="0" fontId="23" fillId="0" borderId="7" xfId="8" applyFont="1" applyBorder="1" applyAlignment="1">
      <alignment horizontal="right"/>
    </xf>
    <xf numFmtId="0" fontId="1" fillId="0" borderId="7" xfId="6" applyBorder="1"/>
    <xf numFmtId="0" fontId="23" fillId="0" borderId="7" xfId="8" applyFont="1" applyBorder="1" applyAlignment="1" applyProtection="1">
      <alignment wrapText="1"/>
      <protection locked="0"/>
    </xf>
    <xf numFmtId="175" fontId="23" fillId="0" borderId="7" xfId="8" applyNumberFormat="1" applyFont="1" applyBorder="1" applyProtection="1">
      <protection locked="0"/>
    </xf>
    <xf numFmtId="43" fontId="23" fillId="0" borderId="7" xfId="9" applyFont="1" applyFill="1" applyBorder="1" applyAlignment="1">
      <alignment horizontal="right"/>
    </xf>
    <xf numFmtId="2" fontId="23" fillId="0" borderId="7" xfId="8" applyNumberFormat="1" applyFont="1" applyBorder="1" applyAlignment="1">
      <alignment horizontal="right"/>
    </xf>
    <xf numFmtId="0" fontId="23" fillId="0" borderId="7" xfId="8" applyFont="1" applyBorder="1" applyAlignment="1">
      <alignment horizontal="center"/>
    </xf>
    <xf numFmtId="176" fontId="1" fillId="0" borderId="7" xfId="6" applyNumberFormat="1" applyBorder="1"/>
    <xf numFmtId="0" fontId="23" fillId="0" borderId="7" xfId="8" applyFont="1" applyBorder="1"/>
    <xf numFmtId="0" fontId="24" fillId="0" borderId="7" xfId="7" applyFont="1" applyBorder="1" applyAlignment="1">
      <alignment vertical="center" wrapText="1"/>
    </xf>
    <xf numFmtId="175" fontId="24" fillId="0" borderId="7" xfId="7" applyNumberFormat="1" applyFont="1" applyBorder="1" applyAlignment="1">
      <alignment vertical="center" wrapText="1"/>
    </xf>
    <xf numFmtId="174" fontId="24" fillId="0" borderId="7" xfId="10" applyFont="1" applyFill="1" applyBorder="1" applyAlignment="1">
      <alignment vertical="center" wrapText="1"/>
    </xf>
    <xf numFmtId="43" fontId="24" fillId="0" borderId="7" xfId="9" applyFont="1" applyBorder="1" applyAlignment="1">
      <alignment horizontal="right" vertical="center"/>
    </xf>
    <xf numFmtId="10" fontId="1" fillId="0" borderId="7" xfId="6" applyNumberFormat="1" applyBorder="1"/>
    <xf numFmtId="174" fontId="23" fillId="0" borderId="7" xfId="10" applyFont="1" applyFill="1" applyBorder="1" applyAlignment="1">
      <alignment horizontal="right"/>
    </xf>
    <xf numFmtId="0" fontId="24" fillId="0" borderId="7" xfId="8" applyFont="1" applyBorder="1" applyProtection="1">
      <protection locked="0"/>
    </xf>
    <xf numFmtId="174" fontId="23" fillId="0" borderId="7" xfId="10" applyFont="1" applyFill="1" applyBorder="1" applyAlignment="1" applyProtection="1">
      <alignment horizontal="right"/>
      <protection locked="0"/>
    </xf>
    <xf numFmtId="0" fontId="23" fillId="0" borderId="7" xfId="6" applyFont="1" applyBorder="1"/>
    <xf numFmtId="174" fontId="23" fillId="0" borderId="7" xfId="10" applyFont="1" applyFill="1" applyBorder="1"/>
    <xf numFmtId="43" fontId="20" fillId="0" borderId="7" xfId="6" applyNumberFormat="1" applyFont="1" applyBorder="1"/>
    <xf numFmtId="0" fontId="24" fillId="0" borderId="7" xfId="8" applyFont="1" applyBorder="1"/>
    <xf numFmtId="174" fontId="24" fillId="0" borderId="7" xfId="10" applyFont="1" applyFill="1" applyBorder="1" applyAlignment="1">
      <alignment horizontal="right"/>
    </xf>
    <xf numFmtId="43" fontId="1" fillId="0" borderId="7" xfId="6" applyNumberFormat="1" applyBorder="1"/>
    <xf numFmtId="2" fontId="24" fillId="0" borderId="7" xfId="8" applyNumberFormat="1" applyFont="1" applyBorder="1" applyAlignment="1">
      <alignment horizontal="right"/>
    </xf>
    <xf numFmtId="4" fontId="25" fillId="0" borderId="7" xfId="6" applyNumberFormat="1" applyFont="1" applyBorder="1"/>
    <xf numFmtId="4" fontId="1" fillId="0" borderId="0" xfId="6" applyNumberFormat="1"/>
    <xf numFmtId="177" fontId="1" fillId="0" borderId="0" xfId="6" applyNumberFormat="1"/>
    <xf numFmtId="0" fontId="26" fillId="0" borderId="0" xfId="11" applyFont="1" applyAlignment="1">
      <alignment horizontal="left" vertical="center" wrapText="1"/>
    </xf>
    <xf numFmtId="0" fontId="27" fillId="0" borderId="0" xfId="11" applyFont="1" applyAlignment="1">
      <alignment vertical="center"/>
    </xf>
    <xf numFmtId="43" fontId="27" fillId="0" borderId="0" xfId="11" applyNumberFormat="1" applyFont="1" applyAlignment="1">
      <alignment vertical="center"/>
    </xf>
    <xf numFmtId="4" fontId="28" fillId="0" borderId="0" xfId="6" applyNumberFormat="1" applyFont="1"/>
    <xf numFmtId="2" fontId="27" fillId="0" borderId="0" xfId="11" applyNumberFormat="1" applyFont="1" applyAlignment="1">
      <alignment vertical="center"/>
    </xf>
    <xf numFmtId="0" fontId="23" fillId="0" borderId="0" xfId="12" applyFont="1" applyAlignment="1">
      <alignment vertical="center"/>
    </xf>
    <xf numFmtId="0" fontId="27" fillId="0" borderId="0" xfId="11" applyFont="1" applyAlignment="1">
      <alignment horizontal="left" vertical="center"/>
    </xf>
    <xf numFmtId="0" fontId="27" fillId="0" borderId="7" xfId="11" applyFont="1" applyBorder="1" applyAlignment="1">
      <alignment vertical="center"/>
    </xf>
    <xf numFmtId="0" fontId="24" fillId="0" borderId="7" xfId="12" applyFont="1" applyBorder="1" applyAlignment="1">
      <alignment horizontal="center" vertical="center"/>
    </xf>
    <xf numFmtId="0" fontId="26" fillId="0" borderId="0" xfId="11" applyFont="1" applyAlignment="1">
      <alignment vertical="center"/>
    </xf>
    <xf numFmtId="0" fontId="24" fillId="0" borderId="7" xfId="12" applyFont="1" applyBorder="1" applyAlignment="1">
      <alignment vertical="center"/>
    </xf>
    <xf numFmtId="178" fontId="26" fillId="0" borderId="7" xfId="11" applyNumberFormat="1" applyFont="1" applyBorder="1" applyAlignment="1">
      <alignment horizontal="center"/>
    </xf>
    <xf numFmtId="14" fontId="26" fillId="0" borderId="0" xfId="11" applyNumberFormat="1" applyFont="1" applyAlignment="1">
      <alignment horizontal="center"/>
    </xf>
    <xf numFmtId="0" fontId="20" fillId="0" borderId="0" xfId="6" applyFont="1"/>
    <xf numFmtId="0" fontId="27" fillId="0" borderId="7" xfId="11" applyFont="1" applyBorder="1" applyAlignment="1">
      <alignment horizontal="left" vertical="center"/>
    </xf>
    <xf numFmtId="179" fontId="20" fillId="0" borderId="7" xfId="6" applyNumberFormat="1" applyFont="1" applyBorder="1"/>
    <xf numFmtId="179" fontId="20" fillId="0" borderId="0" xfId="6" applyNumberFormat="1" applyFont="1"/>
    <xf numFmtId="0" fontId="5" fillId="0" borderId="4" xfId="6" applyFont="1" applyBorder="1" applyAlignment="1">
      <alignment horizontal="left" vertical="center" wrapText="1" readingOrder="1"/>
    </xf>
    <xf numFmtId="0" fontId="5" fillId="0" borderId="0" xfId="6" applyFont="1" applyAlignment="1">
      <alignment vertical="center" readingOrder="1"/>
    </xf>
    <xf numFmtId="0" fontId="5" fillId="0" borderId="0" xfId="6" applyFont="1" applyAlignment="1">
      <alignment vertical="center" wrapText="1" readingOrder="1"/>
    </xf>
    <xf numFmtId="0" fontId="23" fillId="0" borderId="0" xfId="11" applyFont="1" applyAlignment="1">
      <alignment horizontal="center" vertical="center"/>
    </xf>
    <xf numFmtId="0" fontId="27" fillId="0" borderId="0" xfId="11" quotePrefix="1" applyFont="1" applyAlignment="1">
      <alignment vertical="center"/>
    </xf>
    <xf numFmtId="0" fontId="23" fillId="0" borderId="0" xfId="6" applyFont="1" applyAlignment="1">
      <alignment vertical="center" wrapText="1"/>
    </xf>
    <xf numFmtId="0" fontId="19" fillId="0" borderId="0" xfId="0" applyFont="1" applyAlignment="1">
      <alignment horizontal="left" vertical="center"/>
    </xf>
    <xf numFmtId="0" fontId="17" fillId="0" borderId="0" xfId="2" applyAlignment="1">
      <alignment horizontal="center" vertical="center" wrapText="1"/>
    </xf>
    <xf numFmtId="0" fontId="17" fillId="0" borderId="0" xfId="2" applyAlignment="1">
      <alignment vertical="center" wrapText="1"/>
    </xf>
    <xf numFmtId="0" fontId="2" fillId="0" borderId="0" xfId="3"/>
    <xf numFmtId="0" fontId="2" fillId="0" borderId="0" xfId="3" applyAlignment="1">
      <alignment horizontal="center" vertical="center"/>
    </xf>
    <xf numFmtId="43" fontId="2" fillId="0" borderId="0" xfId="3" applyNumberFormat="1"/>
    <xf numFmtId="175" fontId="2" fillId="0" borderId="0" xfId="3" applyNumberFormat="1"/>
    <xf numFmtId="0" fontId="4" fillId="2" borderId="7" xfId="0" applyFont="1" applyFill="1" applyBorder="1" applyAlignment="1">
      <alignment horizontal="center" vertical="center" wrapText="1" readingOrder="1"/>
    </xf>
    <xf numFmtId="0" fontId="4" fillId="2" borderId="8" xfId="0" applyFont="1" applyFill="1" applyBorder="1" applyAlignment="1">
      <alignment horizontal="center" vertical="center" wrapText="1" readingOrder="1"/>
    </xf>
    <xf numFmtId="0" fontId="4" fillId="2" borderId="9" xfId="0" applyFont="1" applyFill="1" applyBorder="1" applyAlignment="1">
      <alignment horizontal="center" vertical="center" wrapText="1" readingOrder="1"/>
    </xf>
    <xf numFmtId="0" fontId="4" fillId="2" borderId="10" xfId="0" applyFont="1" applyFill="1" applyBorder="1" applyAlignment="1">
      <alignment horizontal="center" vertical="center" wrapText="1" readingOrder="1"/>
    </xf>
    <xf numFmtId="0" fontId="22" fillId="0" borderId="0" xfId="13"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0" xfId="0" applyFont="1" applyFill="1" applyBorder="1" applyAlignment="1">
      <alignment horizontal="left" vertical="center" wrapText="1" readingOrder="1"/>
    </xf>
    <xf numFmtId="0" fontId="5" fillId="0" borderId="0" xfId="0" applyFont="1" applyAlignment="1">
      <alignment horizontal="left" vertical="center" wrapText="1" readingOrder="1"/>
    </xf>
    <xf numFmtId="0" fontId="5" fillId="2" borderId="0" xfId="2" applyFont="1" applyFill="1" applyAlignment="1">
      <alignment horizontal="left" vertical="center" wrapText="1" readingOrder="1"/>
    </xf>
    <xf numFmtId="0" fontId="5" fillId="2" borderId="1" xfId="0" applyFont="1" applyFill="1" applyBorder="1" applyAlignment="1">
      <alignment horizontal="left" vertical="top" wrapText="1" readingOrder="1"/>
    </xf>
    <xf numFmtId="0" fontId="5" fillId="2" borderId="3" xfId="0" applyFont="1" applyFill="1" applyBorder="1" applyAlignment="1">
      <alignment horizontal="left" vertical="top" wrapText="1" readingOrder="1"/>
    </xf>
    <xf numFmtId="0" fontId="5" fillId="2" borderId="0" xfId="0" applyFont="1" applyFill="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5" fillId="2" borderId="1" xfId="2" applyFont="1" applyFill="1" applyBorder="1" applyAlignment="1">
      <alignment horizontal="left" vertical="center" wrapText="1" readingOrder="1"/>
    </xf>
    <xf numFmtId="0" fontId="5" fillId="2" borderId="3" xfId="2" applyFont="1" applyFill="1" applyBorder="1" applyAlignment="1">
      <alignment horizontal="left" vertical="center" wrapText="1" readingOrder="1"/>
    </xf>
    <xf numFmtId="0" fontId="13" fillId="2" borderId="0" xfId="0" applyFont="1" applyFill="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2"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20" fillId="0" borderId="7" xfId="1" applyFont="1" applyBorder="1" applyAlignment="1">
      <alignment horizontal="left" wrapText="1"/>
    </xf>
    <xf numFmtId="0" fontId="20" fillId="0" borderId="7" xfId="1" applyFont="1" applyBorder="1" applyAlignment="1">
      <alignment horizontal="left"/>
    </xf>
    <xf numFmtId="0" fontId="20" fillId="0" borderId="7" xfId="1" applyFont="1" applyBorder="1" applyAlignment="1">
      <alignment horizontal="center"/>
    </xf>
    <xf numFmtId="0" fontId="4" fillId="0" borderId="7" xfId="0" applyFont="1" applyBorder="1" applyAlignment="1">
      <alignment horizontal="center" vertical="center" wrapText="1" readingOrder="1"/>
    </xf>
    <xf numFmtId="0" fontId="5" fillId="0" borderId="1" xfId="0" applyFont="1" applyBorder="1" applyAlignment="1">
      <alignment horizontal="left" vertical="top" wrapText="1" readingOrder="1"/>
    </xf>
    <xf numFmtId="0" fontId="5" fillId="0" borderId="3" xfId="0" applyFont="1" applyBorder="1" applyAlignment="1">
      <alignment horizontal="left" vertical="top" wrapText="1" readingOrder="1"/>
    </xf>
    <xf numFmtId="0" fontId="27" fillId="0" borderId="0" xfId="11" applyFont="1" applyAlignment="1">
      <alignment horizontal="left" vertical="center"/>
    </xf>
    <xf numFmtId="0" fontId="20" fillId="0" borderId="0" xfId="6" applyFont="1" applyAlignment="1">
      <alignment horizontal="left"/>
    </xf>
    <xf numFmtId="0" fontId="19" fillId="0" borderId="7" xfId="6" applyFont="1" applyBorder="1" applyAlignment="1">
      <alignment horizontal="center"/>
    </xf>
    <xf numFmtId="0" fontId="22" fillId="0" borderId="7" xfId="7" applyFont="1" applyBorder="1" applyAlignment="1">
      <alignment horizontal="center" vertical="center"/>
    </xf>
    <xf numFmtId="0" fontId="9" fillId="3" borderId="7" xfId="7" applyFont="1" applyFill="1" applyBorder="1" applyAlignment="1">
      <alignment horizontal="center" vertical="center" wrapText="1"/>
    </xf>
    <xf numFmtId="0" fontId="27" fillId="0" borderId="0" xfId="11" applyFont="1" applyAlignment="1">
      <alignment horizontal="left"/>
    </xf>
    <xf numFmtId="0" fontId="30" fillId="3" borderId="0" xfId="0" applyFont="1" applyFill="1" applyAlignment="1">
      <alignment horizontal="left" vertical="center" wrapText="1"/>
    </xf>
    <xf numFmtId="0" fontId="31" fillId="0" borderId="7" xfId="1" applyFont="1" applyBorder="1" applyAlignment="1">
      <alignment horizontal="center"/>
    </xf>
    <xf numFmtId="0" fontId="31" fillId="0" borderId="7" xfId="1" applyFont="1" applyBorder="1" applyAlignment="1">
      <alignment horizontal="center" wrapText="1"/>
    </xf>
    <xf numFmtId="0" fontId="31" fillId="0" borderId="7" xfId="1" applyFont="1" applyBorder="1" applyAlignment="1">
      <alignment horizontal="center"/>
    </xf>
    <xf numFmtId="0" fontId="31" fillId="0" borderId="7" xfId="1" applyFont="1" applyBorder="1" applyAlignment="1">
      <alignment horizontal="center" vertical="center"/>
    </xf>
    <xf numFmtId="0" fontId="31" fillId="0" borderId="7" xfId="1" applyFont="1" applyBorder="1" applyAlignment="1">
      <alignment horizontal="center" vertical="center" wrapText="1"/>
    </xf>
    <xf numFmtId="0" fontId="24" fillId="2" borderId="7" xfId="0" applyFont="1" applyFill="1" applyBorder="1" applyAlignment="1">
      <alignment horizontal="left" vertical="top" readingOrder="1"/>
    </xf>
    <xf numFmtId="43" fontId="20" fillId="0" borderId="7" xfId="14" applyFont="1" applyBorder="1" applyAlignment="1">
      <alignment horizontal="center"/>
    </xf>
    <xf numFmtId="0" fontId="23" fillId="0" borderId="0" xfId="0" applyFont="1" applyAlignment="1"/>
    <xf numFmtId="0" fontId="24" fillId="0" borderId="0" xfId="0" applyFont="1" applyAlignment="1"/>
    <xf numFmtId="0" fontId="24" fillId="0" borderId="0" xfId="0" applyFont="1" applyAlignment="1">
      <alignment horizontal="center"/>
    </xf>
    <xf numFmtId="0" fontId="24" fillId="0" borderId="7" xfId="0" applyFont="1" applyBorder="1" applyAlignment="1">
      <alignment horizontal="center" vertical="top"/>
    </xf>
    <xf numFmtId="0" fontId="24" fillId="0" borderId="7" xfId="0" applyFont="1" applyBorder="1" applyAlignment="1">
      <alignment horizontal="center" vertical="top" wrapText="1"/>
    </xf>
    <xf numFmtId="0" fontId="23" fillId="0" borderId="7" xfId="0" applyFont="1" applyBorder="1" applyAlignment="1">
      <alignment horizontal="left" vertical="top"/>
    </xf>
    <xf numFmtId="0" fontId="23" fillId="0" borderId="0" xfId="0" applyFont="1" applyAlignment="1">
      <alignment horizontal="left" vertical="top"/>
    </xf>
    <xf numFmtId="0" fontId="23" fillId="0" borderId="7" xfId="0" applyFont="1" applyBorder="1" applyAlignment="1">
      <alignment horizontal="center" vertical="top"/>
    </xf>
    <xf numFmtId="172" fontId="5" fillId="2" borderId="4" xfId="0" applyNumberFormat="1" applyFont="1" applyFill="1" applyBorder="1" applyAlignment="1">
      <alignment horizontal="right" vertical="center" readingOrder="1"/>
    </xf>
    <xf numFmtId="2" fontId="23" fillId="0" borderId="7" xfId="0" applyNumberFormat="1" applyFont="1" applyBorder="1" applyAlignment="1">
      <alignment horizontal="right" vertical="top" wrapText="1"/>
    </xf>
    <xf numFmtId="0" fontId="5" fillId="2" borderId="4" xfId="0" applyFont="1" applyFill="1" applyBorder="1" applyAlignment="1">
      <alignment horizontal="left" vertical="center" readingOrder="1"/>
    </xf>
    <xf numFmtId="0" fontId="23" fillId="0" borderId="12" xfId="0" applyFont="1" applyBorder="1" applyAlignment="1">
      <alignment horizontal="left" vertical="top"/>
    </xf>
    <xf numFmtId="0" fontId="5" fillId="2" borderId="13" xfId="0" applyFont="1" applyFill="1" applyBorder="1" applyAlignment="1">
      <alignment horizontal="left" vertical="center" readingOrder="1"/>
    </xf>
    <xf numFmtId="0" fontId="5" fillId="2" borderId="7" xfId="0" applyFont="1" applyFill="1" applyBorder="1" applyAlignment="1">
      <alignment horizontal="left" vertical="center" readingOrder="1"/>
    </xf>
    <xf numFmtId="0" fontId="5" fillId="2" borderId="8" xfId="0" applyFont="1" applyFill="1" applyBorder="1" applyAlignment="1">
      <alignment horizontal="left" vertical="center" readingOrder="1"/>
    </xf>
    <xf numFmtId="0" fontId="30" fillId="0" borderId="8" xfId="7" applyFont="1" applyBorder="1" applyAlignment="1">
      <alignment vertical="center" wrapText="1"/>
    </xf>
    <xf numFmtId="0" fontId="5" fillId="2" borderId="4" xfId="0" applyFont="1" applyFill="1" applyBorder="1" applyAlignment="1">
      <alignment horizontal="left" vertical="top" readingOrder="1"/>
    </xf>
    <xf numFmtId="2" fontId="23" fillId="0" borderId="14" xfId="0" applyNumberFormat="1" applyFont="1" applyBorder="1" applyAlignment="1">
      <alignment horizontal="right" vertical="top" wrapText="1"/>
    </xf>
    <xf numFmtId="4" fontId="23" fillId="0" borderId="7" xfId="0" applyNumberFormat="1" applyFont="1" applyBorder="1" applyAlignment="1"/>
    <xf numFmtId="0" fontId="23" fillId="0" borderId="14" xfId="0" applyFont="1" applyBorder="1" applyAlignment="1"/>
    <xf numFmtId="2" fontId="23" fillId="0" borderId="0" xfId="0" applyNumberFormat="1" applyFont="1" applyAlignment="1">
      <alignment horizontal="right" vertical="top" wrapText="1"/>
    </xf>
    <xf numFmtId="0" fontId="30" fillId="0" borderId="7" xfId="7" applyFont="1" applyBorder="1" applyAlignment="1">
      <alignment vertical="center" wrapText="1"/>
    </xf>
    <xf numFmtId="0" fontId="24" fillId="0" borderId="7" xfId="0" applyFont="1" applyBorder="1" applyAlignment="1">
      <alignment horizontal="center"/>
    </xf>
    <xf numFmtId="2" fontId="23" fillId="0" borderId="7" xfId="0" applyNumberFormat="1" applyFont="1" applyBorder="1" applyAlignment="1">
      <alignment horizontal="center"/>
    </xf>
    <xf numFmtId="0" fontId="23" fillId="0" borderId="7" xfId="0" applyFont="1" applyBorder="1" applyAlignment="1">
      <alignment horizontal="center"/>
    </xf>
    <xf numFmtId="0" fontId="23" fillId="0" borderId="7" xfId="0" applyFont="1" applyBorder="1" applyAlignment="1"/>
    <xf numFmtId="37" fontId="23" fillId="0" borderId="7" xfId="4" applyNumberFormat="1" applyFont="1" applyFill="1" applyBorder="1" applyAlignment="1">
      <alignment horizontal="center"/>
    </xf>
    <xf numFmtId="174" fontId="23" fillId="0" borderId="7" xfId="4" applyFont="1" applyFill="1" applyBorder="1"/>
    <xf numFmtId="174" fontId="23" fillId="0" borderId="0" xfId="4" applyFont="1" applyFill="1" applyBorder="1"/>
    <xf numFmtId="174" fontId="23" fillId="0" borderId="0" xfId="0" applyNumberFormat="1" applyFont="1" applyAlignment="1"/>
    <xf numFmtId="4" fontId="23" fillId="0" borderId="0" xfId="0" applyNumberFormat="1" applyFont="1" applyAlignment="1"/>
    <xf numFmtId="0" fontId="23" fillId="0" borderId="7" xfId="0" applyFont="1" applyBorder="1" applyAlignment="1">
      <alignment vertical="top" wrapText="1"/>
    </xf>
    <xf numFmtId="0" fontId="23" fillId="0" borderId="7" xfId="4" applyNumberFormat="1" applyFont="1" applyFill="1" applyBorder="1" applyAlignment="1">
      <alignment horizontal="center"/>
    </xf>
    <xf numFmtId="4" fontId="23" fillId="0" borderId="7" xfId="4" applyNumberFormat="1" applyFont="1" applyFill="1" applyBorder="1"/>
    <xf numFmtId="4" fontId="23" fillId="0" borderId="0" xfId="4" applyNumberFormat="1" applyFont="1" applyFill="1" applyBorder="1"/>
    <xf numFmtId="180" fontId="23" fillId="0" borderId="0" xfId="0" applyNumberFormat="1" applyFont="1" applyAlignment="1"/>
    <xf numFmtId="2" fontId="23" fillId="0" borderId="0" xfId="0" applyNumberFormat="1" applyFont="1" applyAlignment="1">
      <alignment vertical="top" wrapText="1"/>
    </xf>
    <xf numFmtId="174" fontId="23" fillId="0" borderId="0" xfId="4" applyFont="1" applyFill="1" applyBorder="1" applyAlignment="1"/>
    <xf numFmtId="0" fontId="23" fillId="0" borderId="0" xfId="0" applyFont="1" applyAlignment="1" applyProtection="1">
      <alignment horizontal="left"/>
      <protection locked="0"/>
    </xf>
    <xf numFmtId="0" fontId="23" fillId="0" borderId="0" xfId="0" applyFont="1" applyAlignment="1">
      <alignment horizontal="center" vertical="top"/>
    </xf>
    <xf numFmtId="174" fontId="23" fillId="0" borderId="0" xfId="4" applyFont="1" applyFill="1" applyBorder="1" applyAlignment="1" applyProtection="1">
      <alignment horizontal="left"/>
      <protection locked="0"/>
    </xf>
    <xf numFmtId="4" fontId="23" fillId="0" borderId="0" xfId="0" applyNumberFormat="1" applyFont="1" applyAlignment="1">
      <alignment horizontal="right" vertical="center"/>
    </xf>
    <xf numFmtId="10" fontId="23" fillId="0" borderId="0" xfId="0" applyNumberFormat="1" applyFont="1" applyAlignment="1">
      <alignment horizontal="center"/>
    </xf>
    <xf numFmtId="174" fontId="23" fillId="0" borderId="7" xfId="4" applyFont="1" applyFill="1" applyBorder="1" applyAlignment="1">
      <alignment horizontal="center" vertical="top" wrapText="1"/>
    </xf>
    <xf numFmtId="2" fontId="23" fillId="0" borderId="7" xfId="0" applyNumberFormat="1" applyFont="1" applyBorder="1" applyAlignment="1">
      <alignment horizontal="right"/>
    </xf>
    <xf numFmtId="1" fontId="23" fillId="0" borderId="7" xfId="0" applyNumberFormat="1" applyFont="1" applyBorder="1" applyAlignment="1">
      <alignment horizontal="center"/>
    </xf>
    <xf numFmtId="174" fontId="24" fillId="0" borderId="0" xfId="4" applyFont="1" applyFill="1" applyBorder="1"/>
    <xf numFmtId="181" fontId="23" fillId="0" borderId="0" xfId="0" applyNumberFormat="1" applyFont="1" applyAlignment="1"/>
    <xf numFmtId="174" fontId="24" fillId="0" borderId="0" xfId="0" applyNumberFormat="1" applyFont="1" applyAlignment="1"/>
    <xf numFmtId="43" fontId="23" fillId="0" borderId="0" xfId="0" applyNumberFormat="1" applyFont="1" applyAlignment="1"/>
    <xf numFmtId="0" fontId="23" fillId="0" borderId="7" xfId="0" applyFont="1" applyBorder="1" applyAlignment="1">
      <alignment horizontal="left"/>
    </xf>
    <xf numFmtId="0" fontId="24" fillId="0" borderId="0" xfId="0" applyFont="1" applyAlignment="1">
      <alignment vertical="top" wrapText="1"/>
    </xf>
    <xf numFmtId="0" fontId="23" fillId="0" borderId="0" xfId="0" applyFont="1" applyAlignment="1">
      <alignment horizontal="center"/>
    </xf>
    <xf numFmtId="2" fontId="23" fillId="0" borderId="0" xfId="0" applyNumberFormat="1" applyFont="1" applyAlignment="1">
      <alignment horizontal="right"/>
    </xf>
    <xf numFmtId="0" fontId="23" fillId="0" borderId="0" xfId="0" applyFont="1" applyAlignment="1">
      <alignment horizontal="right" vertical="top" wrapText="1"/>
    </xf>
    <xf numFmtId="0" fontId="23" fillId="0" borderId="7" xfId="0" applyFont="1" applyBorder="1" applyAlignment="1">
      <alignment horizontal="center" vertical="top" wrapText="1"/>
    </xf>
    <xf numFmtId="182" fontId="23" fillId="0" borderId="0" xfId="0" applyNumberFormat="1" applyFont="1" applyAlignment="1">
      <alignment horizontal="right" vertical="top" wrapText="1"/>
    </xf>
    <xf numFmtId="2" fontId="23" fillId="0" borderId="0" xfId="0" applyNumberFormat="1" applyFont="1" applyAlignment="1">
      <alignment horizontal="center"/>
    </xf>
    <xf numFmtId="0" fontId="23" fillId="0" borderId="0" xfId="0" applyFont="1" applyAlignment="1">
      <alignment horizontal="left"/>
    </xf>
    <xf numFmtId="0" fontId="23" fillId="0" borderId="0" xfId="0" applyFont="1" applyAlignment="1">
      <alignment horizontal="right" vertical="top"/>
    </xf>
    <xf numFmtId="2" fontId="23" fillId="0" borderId="0" xfId="0" applyNumberFormat="1" applyFont="1" applyAlignment="1">
      <alignment horizontal="right" vertical="top"/>
    </xf>
    <xf numFmtId="183" fontId="23" fillId="0" borderId="0" xfId="4" applyNumberFormat="1" applyFont="1" applyFill="1" applyBorder="1" applyAlignment="1">
      <alignment horizontal="center" vertical="top" wrapText="1"/>
    </xf>
    <xf numFmtId="0" fontId="23" fillId="0" borderId="0" xfId="0" applyFont="1" applyAlignment="1">
      <alignment horizontal="left" vertical="top" wrapText="1"/>
    </xf>
    <xf numFmtId="184" fontId="23" fillId="0" borderId="0" xfId="4" applyNumberFormat="1" applyFont="1" applyFill="1" applyBorder="1" applyAlignment="1">
      <alignment horizontal="right" vertical="top" wrapText="1"/>
    </xf>
    <xf numFmtId="2" fontId="23" fillId="0" borderId="0" xfId="0" applyNumberFormat="1" applyFont="1" applyAlignment="1"/>
    <xf numFmtId="2" fontId="23" fillId="0" borderId="7" xfId="0" applyNumberFormat="1" applyFont="1" applyBorder="1" applyAlignment="1">
      <alignment vertical="top" wrapText="1"/>
    </xf>
    <xf numFmtId="174" fontId="23" fillId="0" borderId="7" xfId="4" applyFont="1" applyFill="1" applyBorder="1" applyAlignment="1"/>
    <xf numFmtId="4" fontId="23" fillId="0" borderId="7" xfId="0" applyNumberFormat="1" applyFont="1" applyBorder="1" applyAlignment="1">
      <alignment horizontal="center"/>
    </xf>
    <xf numFmtId="4" fontId="23" fillId="0" borderId="7" xfId="4" applyNumberFormat="1" applyFont="1" applyFill="1" applyBorder="1" applyAlignment="1">
      <alignment horizontal="center"/>
    </xf>
    <xf numFmtId="4" fontId="24" fillId="0" borderId="7" xfId="0" applyNumberFormat="1" applyFont="1" applyBorder="1" applyAlignment="1">
      <alignment horizontal="center" vertical="top" wrapText="1"/>
    </xf>
    <xf numFmtId="4" fontId="23" fillId="0" borderId="7" xfId="0" applyNumberFormat="1" applyFont="1" applyBorder="1" applyAlignment="1">
      <alignment horizontal="center" vertical="top" wrapText="1"/>
    </xf>
  </cellXfs>
  <cellStyles count="15">
    <cellStyle name="Comma" xfId="14" builtinId="3"/>
    <cellStyle name="Comma 10" xfId="10" xr:uid="{922EC678-9CBF-4815-A68B-91E4F90A7B04}"/>
    <cellStyle name="Comma 2" xfId="9" xr:uid="{0B2B66E9-8CED-4EC9-B428-4616D6224667}"/>
    <cellStyle name="Comma 2 2" xfId="4" xr:uid="{8B26900F-23F0-4BAB-AC26-A894E6DDD86C}"/>
    <cellStyle name="Normal" xfId="0" builtinId="0"/>
    <cellStyle name="Normal 2" xfId="2" xr:uid="{4674B93F-0435-4931-8A0E-E77E28E19815}"/>
    <cellStyle name="Normal 2 2" xfId="8" xr:uid="{826B066C-537F-491A-8911-1894BA904866}"/>
    <cellStyle name="Normal 2 2 3" xfId="1" xr:uid="{C33A6C29-45BE-4670-95E7-9303571229A7}"/>
    <cellStyle name="Normal 3" xfId="13" xr:uid="{C1D49D03-BCB2-4B7D-8DEF-CDE7844298F5}"/>
    <cellStyle name="Normal 4" xfId="3" xr:uid="{622CEC92-902A-4549-AD0E-2D5007106A7E}"/>
    <cellStyle name="Normal 4 2" xfId="6" xr:uid="{6E097439-5274-4AAD-B365-0066FB387D34}"/>
    <cellStyle name="Normal_Bonsaverportfolio 2 2" xfId="7" xr:uid="{E492BFA2-9A86-4088-9FFE-ADDADB41738E}"/>
    <cellStyle name="Normal_Halfyearly_Debtholdings_30092011 2" xfId="11" xr:uid="{64442F43-1A48-4B50-965A-16F769A2989B}"/>
    <cellStyle name="Normal_Holdingotherschemes new" xfId="12" xr:uid="{6925939B-F793-4FFE-B596-801E28430B82}"/>
    <cellStyle name="Percent 2" xfId="5" xr:uid="{30015DDB-4BB4-4AF2-B8B4-71F72171F9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19050</xdr:rowOff>
    </xdr:from>
    <xdr:to>
      <xdr:col>14</xdr:col>
      <xdr:colOff>235942</xdr:colOff>
      <xdr:row>10</xdr:row>
      <xdr:rowOff>238125</xdr:rowOff>
    </xdr:to>
    <xdr:pic>
      <xdr:nvPicPr>
        <xdr:cNvPr id="2" name="Picture 1">
          <a:extLst>
            <a:ext uri="{FF2B5EF4-FFF2-40B4-BE49-F238E27FC236}">
              <a16:creationId xmlns:a16="http://schemas.microsoft.com/office/drawing/2014/main" id="{066BAEB9-A3AB-4BEB-84C4-453882CEA2ED}"/>
            </a:ext>
          </a:extLst>
        </xdr:cNvPr>
        <xdr:cNvPicPr>
          <a:picLocks noChangeAspect="1"/>
        </xdr:cNvPicPr>
      </xdr:nvPicPr>
      <xdr:blipFill>
        <a:blip xmlns:r="http://schemas.openxmlformats.org/officeDocument/2006/relationships" r:embed="rId1"/>
        <a:stretch>
          <a:fillRect/>
        </a:stretch>
      </xdr:blipFill>
      <xdr:spPr>
        <a:xfrm>
          <a:off x="10172700" y="4572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C2C54870-84DC-4654-8C3A-2C933CAD29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66675</xdr:rowOff>
    </xdr:from>
    <xdr:to>
      <xdr:col>14</xdr:col>
      <xdr:colOff>235942</xdr:colOff>
      <xdr:row>11</xdr:row>
      <xdr:rowOff>123825</xdr:rowOff>
    </xdr:to>
    <xdr:pic>
      <xdr:nvPicPr>
        <xdr:cNvPr id="2" name="Picture 1">
          <a:extLst>
            <a:ext uri="{FF2B5EF4-FFF2-40B4-BE49-F238E27FC236}">
              <a16:creationId xmlns:a16="http://schemas.microsoft.com/office/drawing/2014/main" id="{24395AAC-EB42-4209-B932-4FEE899145DD}"/>
            </a:ext>
          </a:extLst>
        </xdr:cNvPr>
        <xdr:cNvPicPr>
          <a:picLocks noChangeAspect="1"/>
        </xdr:cNvPicPr>
      </xdr:nvPicPr>
      <xdr:blipFill>
        <a:blip xmlns:r="http://schemas.openxmlformats.org/officeDocument/2006/relationships" r:embed="rId1"/>
        <a:stretch>
          <a:fillRect/>
        </a:stretch>
      </xdr:blipFill>
      <xdr:spPr>
        <a:xfrm>
          <a:off x="10172700" y="504825"/>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09A2993A-AFB0-4033-B2BB-EB65B0EFF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2</xdr:row>
      <xdr:rowOff>123825</xdr:rowOff>
    </xdr:from>
    <xdr:to>
      <xdr:col>14</xdr:col>
      <xdr:colOff>235942</xdr:colOff>
      <xdr:row>12</xdr:row>
      <xdr:rowOff>19050</xdr:rowOff>
    </xdr:to>
    <xdr:pic>
      <xdr:nvPicPr>
        <xdr:cNvPr id="2" name="Picture 1">
          <a:extLst>
            <a:ext uri="{FF2B5EF4-FFF2-40B4-BE49-F238E27FC236}">
              <a16:creationId xmlns:a16="http://schemas.microsoft.com/office/drawing/2014/main" id="{C37B800E-C8CC-482A-A630-A4E4C27DD66B}"/>
            </a:ext>
          </a:extLst>
        </xdr:cNvPr>
        <xdr:cNvPicPr>
          <a:picLocks noChangeAspect="1"/>
        </xdr:cNvPicPr>
      </xdr:nvPicPr>
      <xdr:blipFill>
        <a:blip xmlns:r="http://schemas.openxmlformats.org/officeDocument/2006/relationships" r:embed="rId1"/>
        <a:stretch>
          <a:fillRect/>
        </a:stretch>
      </xdr:blipFill>
      <xdr:spPr>
        <a:xfrm>
          <a:off x="10172700" y="56197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DBB03DC4-1055-4985-B05C-918AA4129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161925</xdr:rowOff>
    </xdr:from>
    <xdr:to>
      <xdr:col>14</xdr:col>
      <xdr:colOff>235942</xdr:colOff>
      <xdr:row>11</xdr:row>
      <xdr:rowOff>219075</xdr:rowOff>
    </xdr:to>
    <xdr:pic>
      <xdr:nvPicPr>
        <xdr:cNvPr id="2" name="Picture 1">
          <a:extLst>
            <a:ext uri="{FF2B5EF4-FFF2-40B4-BE49-F238E27FC236}">
              <a16:creationId xmlns:a16="http://schemas.microsoft.com/office/drawing/2014/main" id="{192F63AD-335E-4AA9-8074-776D88F2C2F9}"/>
            </a:ext>
          </a:extLst>
        </xdr:cNvPr>
        <xdr:cNvPicPr>
          <a:picLocks noChangeAspect="1"/>
        </xdr:cNvPicPr>
      </xdr:nvPicPr>
      <xdr:blipFill>
        <a:blip xmlns:r="http://schemas.openxmlformats.org/officeDocument/2006/relationships" r:embed="rId1"/>
        <a:stretch>
          <a:fillRect/>
        </a:stretch>
      </xdr:blipFill>
      <xdr:spPr>
        <a:xfrm>
          <a:off x="10172700" y="60007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D7B9A19B-E1A2-47DC-9BB7-37E5F7BC7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CF35883D-3C06-4032-89AF-37987AB709CB}"/>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48C97F08-6A7A-4DC9-95DB-7005642E6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D0BB3F23-F10D-4906-BC41-EB37665BB37F}"/>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F2645AC3-7960-44CE-89B8-6442796092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03B94CB8-AE8E-48B0-83DD-B2E86D46A8CD}"/>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3D2676B2-1CFF-4A8D-A64A-35B68A228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EA057EFC-C281-479B-B41F-09BA6448A8F0}"/>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4B7145A9-7AB1-4EE9-83E6-D91A5DD6B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12</xdr:row>
      <xdr:rowOff>38100</xdr:rowOff>
    </xdr:to>
    <xdr:pic>
      <xdr:nvPicPr>
        <xdr:cNvPr id="2" name="Picture 1">
          <a:extLst>
            <a:ext uri="{FF2B5EF4-FFF2-40B4-BE49-F238E27FC236}">
              <a16:creationId xmlns:a16="http://schemas.microsoft.com/office/drawing/2014/main" id="{D653CA81-51F9-4C31-9D2C-BCB6CEC04782}"/>
            </a:ext>
          </a:extLst>
        </xdr:cNvPr>
        <xdr:cNvPicPr>
          <a:picLocks noChangeAspect="1"/>
        </xdr:cNvPicPr>
      </xdr:nvPicPr>
      <xdr:blipFill>
        <a:blip xmlns:r="http://schemas.openxmlformats.org/officeDocument/2006/relationships" r:embed="rId1"/>
        <a:stretch>
          <a:fillRect/>
        </a:stretch>
      </xdr:blipFill>
      <xdr:spPr>
        <a:xfrm>
          <a:off x="10172700" y="52387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2A9EAF05-91D4-4BEE-8EF4-FE16F4FF4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161925</xdr:rowOff>
    </xdr:to>
    <xdr:pic>
      <xdr:nvPicPr>
        <xdr:cNvPr id="2" name="Picture 1">
          <a:extLst>
            <a:ext uri="{FF2B5EF4-FFF2-40B4-BE49-F238E27FC236}">
              <a16:creationId xmlns:a16="http://schemas.microsoft.com/office/drawing/2014/main" id="{8381CEEF-509A-4B78-8852-2404E7BDF43C}"/>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22FCF930-BD1B-441F-A71A-73F1D2BEC3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6FB5D034-7E3B-4939-8CC1-4E30AE3AD81D}"/>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FEB399BF-AE89-488D-8521-E8887046D1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CE2FDA1B-9CAF-42E5-AC58-42711A269C52}"/>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B9EA4983-B7FE-4BFF-9295-AA6BB4FCF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4115DBD9-83BA-4EE1-9266-6C838BE56A5C}"/>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2C5E3D38-8D18-40D6-8680-9DA4ACE76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E823346C-244A-49A9-935A-B2D4101F30A2}"/>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C353C8E5-B742-4623-B575-64F6BC651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49C6669E-CA0A-4AFA-892D-3ABA19967F36}"/>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2BF522EB-2E58-4C11-AB7D-F3C3EF803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F11DF56E-9EED-4724-A598-92FCA16F15D9}"/>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73804066-B449-43C4-9507-FC92DEB6F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C16A4961-F085-4BA0-B3DC-AB246A6FC74B}"/>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14A4B67F-75EE-4422-A9D4-D087DFBDAA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5452C65B-674C-44CD-85FA-109770F5F1D8}"/>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70400284-3F48-43A4-A553-16477474AB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13</xdr:row>
      <xdr:rowOff>9525</xdr:rowOff>
    </xdr:to>
    <xdr:pic>
      <xdr:nvPicPr>
        <xdr:cNvPr id="2" name="Picture 1">
          <a:extLst>
            <a:ext uri="{FF2B5EF4-FFF2-40B4-BE49-F238E27FC236}">
              <a16:creationId xmlns:a16="http://schemas.microsoft.com/office/drawing/2014/main" id="{E36AA7B4-F38F-4B61-B8CA-220D66724B53}"/>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9525B7D8-A37E-429B-9D56-117A6AA6B2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64356253-330D-409B-97B6-EAF509FC34FD}"/>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A28DE67D-67B9-4A5D-8A14-764F5AAC6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718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1D1D476D-E8CC-430C-B9B6-5528983A9111}"/>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8D414DB9-2FDD-4760-8EC7-8B5FB8E5D0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718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0</xdr:colOff>
      <xdr:row>1</xdr:row>
      <xdr:rowOff>190500</xdr:rowOff>
    </xdr:from>
    <xdr:to>
      <xdr:col>14</xdr:col>
      <xdr:colOff>235942</xdr:colOff>
      <xdr:row>11</xdr:row>
      <xdr:rowOff>38100</xdr:rowOff>
    </xdr:to>
    <xdr:pic>
      <xdr:nvPicPr>
        <xdr:cNvPr id="2" name="Picture 1">
          <a:extLst>
            <a:ext uri="{FF2B5EF4-FFF2-40B4-BE49-F238E27FC236}">
              <a16:creationId xmlns:a16="http://schemas.microsoft.com/office/drawing/2014/main" id="{625F7237-3279-4E03-B4A0-F31833B61576}"/>
            </a:ext>
          </a:extLst>
        </xdr:cNvPr>
        <xdr:cNvPicPr>
          <a:picLocks noChangeAspect="1"/>
        </xdr:cNvPicPr>
      </xdr:nvPicPr>
      <xdr:blipFill>
        <a:blip xmlns:r="http://schemas.openxmlformats.org/officeDocument/2006/relationships" r:embed="rId1"/>
        <a:stretch>
          <a:fillRect/>
        </a:stretch>
      </xdr:blipFill>
      <xdr:spPr>
        <a:xfrm>
          <a:off x="10172700" y="4191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ADD9ED9D-8EAD-4A82-B33E-8DD70668C9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7F2BDCFD-71B6-448C-9F43-2376ECF480F7}"/>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23</xdr:row>
      <xdr:rowOff>266698</xdr:rowOff>
    </xdr:to>
    <xdr:pic>
      <xdr:nvPicPr>
        <xdr:cNvPr id="3" name="Picture 2">
          <a:extLst>
            <a:ext uri="{FF2B5EF4-FFF2-40B4-BE49-F238E27FC236}">
              <a16:creationId xmlns:a16="http://schemas.microsoft.com/office/drawing/2014/main" id="{00BB7DE1-EA81-48BE-A514-33C7467068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B18D2AE4-51D5-4A3D-88BA-B6575099C5BE}"/>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266698</xdr:rowOff>
    </xdr:to>
    <xdr:pic>
      <xdr:nvPicPr>
        <xdr:cNvPr id="3" name="Picture 2">
          <a:extLst>
            <a:ext uri="{FF2B5EF4-FFF2-40B4-BE49-F238E27FC236}">
              <a16:creationId xmlns:a16="http://schemas.microsoft.com/office/drawing/2014/main" id="{B7C6A711-D66B-4E61-BBB0-2C3DCB463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161925</xdr:rowOff>
    </xdr:to>
    <xdr:pic>
      <xdr:nvPicPr>
        <xdr:cNvPr id="2" name="Picture 1">
          <a:extLst>
            <a:ext uri="{FF2B5EF4-FFF2-40B4-BE49-F238E27FC236}">
              <a16:creationId xmlns:a16="http://schemas.microsoft.com/office/drawing/2014/main" id="{E0C70ACE-F27D-4E48-9709-B76189239E85}"/>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30E3B412-44A6-4A7B-95EF-C2E1FC7E6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718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825C1F9C-448F-42ED-8F7F-AF92B7CE2137}"/>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5AFA461C-7724-4486-B555-3F13206C0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2</xdr:row>
      <xdr:rowOff>209550</xdr:rowOff>
    </xdr:from>
    <xdr:to>
      <xdr:col>14</xdr:col>
      <xdr:colOff>235942</xdr:colOff>
      <xdr:row>9</xdr:row>
      <xdr:rowOff>133350</xdr:rowOff>
    </xdr:to>
    <xdr:pic>
      <xdr:nvPicPr>
        <xdr:cNvPr id="2" name="Picture 1">
          <a:extLst>
            <a:ext uri="{FF2B5EF4-FFF2-40B4-BE49-F238E27FC236}">
              <a16:creationId xmlns:a16="http://schemas.microsoft.com/office/drawing/2014/main" id="{0945B7A9-4585-47BF-9061-7171E588C340}"/>
            </a:ext>
          </a:extLst>
        </xdr:cNvPr>
        <xdr:cNvPicPr>
          <a:picLocks noChangeAspect="1"/>
        </xdr:cNvPicPr>
      </xdr:nvPicPr>
      <xdr:blipFill>
        <a:blip xmlns:r="http://schemas.openxmlformats.org/officeDocument/2006/relationships" r:embed="rId1"/>
        <a:stretch>
          <a:fillRect/>
        </a:stretch>
      </xdr:blipFill>
      <xdr:spPr>
        <a:xfrm>
          <a:off x="10172700" y="647700"/>
          <a:ext cx="3283942" cy="2038350"/>
        </a:xfrm>
        <a:prstGeom prst="rect">
          <a:avLst/>
        </a:prstGeom>
      </xdr:spPr>
    </xdr:pic>
    <xdr:clientData/>
  </xdr:twoCellAnchor>
  <xdr:twoCellAnchor editAs="oneCell">
    <xdr:from>
      <xdr:col>8</xdr:col>
      <xdr:colOff>476250</xdr:colOff>
      <xdr:row>13</xdr:row>
      <xdr:rowOff>190500</xdr:rowOff>
    </xdr:from>
    <xdr:to>
      <xdr:col>14</xdr:col>
      <xdr:colOff>92371</xdr:colOff>
      <xdr:row>22</xdr:row>
      <xdr:rowOff>295273</xdr:rowOff>
    </xdr:to>
    <xdr:pic>
      <xdr:nvPicPr>
        <xdr:cNvPr id="3" name="Picture 2">
          <a:extLst>
            <a:ext uri="{FF2B5EF4-FFF2-40B4-BE49-F238E27FC236}">
              <a16:creationId xmlns:a16="http://schemas.microsoft.com/office/drawing/2014/main" id="{00AB71FD-B18A-47B9-840A-943869837F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32766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691E596B-1690-41BF-BA73-A09387D2C3F0}"/>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A4BDF8B8-0719-4843-92F1-E51218E5D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0</xdr:rowOff>
    </xdr:to>
    <xdr:pic>
      <xdr:nvPicPr>
        <xdr:cNvPr id="2" name="Picture 1">
          <a:extLst>
            <a:ext uri="{FF2B5EF4-FFF2-40B4-BE49-F238E27FC236}">
              <a16:creationId xmlns:a16="http://schemas.microsoft.com/office/drawing/2014/main" id="{E717A1D5-42F5-4C7F-8893-8128F96E80F6}"/>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10859752-3DE4-4140-840E-6C2243C6ED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C72E7EF7-8A2D-46D1-ACE2-911F2C3CEACD}"/>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8C021528-288A-40C8-9EA7-4582E34E5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575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12</xdr:row>
      <xdr:rowOff>9525</xdr:rowOff>
    </xdr:to>
    <xdr:pic>
      <xdr:nvPicPr>
        <xdr:cNvPr id="2" name="Picture 1">
          <a:extLst>
            <a:ext uri="{FF2B5EF4-FFF2-40B4-BE49-F238E27FC236}">
              <a16:creationId xmlns:a16="http://schemas.microsoft.com/office/drawing/2014/main" id="{8599F302-BD05-4B85-9B33-DB86A5730048}"/>
            </a:ext>
          </a:extLst>
        </xdr:cNvPr>
        <xdr:cNvPicPr>
          <a:picLocks noChangeAspect="1"/>
        </xdr:cNvPicPr>
      </xdr:nvPicPr>
      <xdr:blipFill>
        <a:blip xmlns:r="http://schemas.openxmlformats.org/officeDocument/2006/relationships" r:embed="rId1"/>
        <a:stretch>
          <a:fillRect/>
        </a:stretch>
      </xdr:blipFill>
      <xdr:spPr>
        <a:xfrm>
          <a:off x="10687050" y="571500"/>
          <a:ext cx="3179167" cy="2019300"/>
        </a:xfrm>
        <a:prstGeom prst="rect">
          <a:avLst/>
        </a:prstGeom>
      </xdr:spPr>
    </xdr:pic>
    <xdr:clientData/>
  </xdr:twoCellAnchor>
  <xdr:twoCellAnchor editAs="oneCell">
    <xdr:from>
      <xdr:col>9</xdr:col>
      <xdr:colOff>0</xdr:colOff>
      <xdr:row>16</xdr:row>
      <xdr:rowOff>0</xdr:rowOff>
    </xdr:from>
    <xdr:to>
      <xdr:col>14</xdr:col>
      <xdr:colOff>374530</xdr:colOff>
      <xdr:row>26</xdr:row>
      <xdr:rowOff>190500</xdr:rowOff>
    </xdr:to>
    <xdr:pic>
      <xdr:nvPicPr>
        <xdr:cNvPr id="3" name="Picture 2">
          <a:extLst>
            <a:ext uri="{FF2B5EF4-FFF2-40B4-BE49-F238E27FC236}">
              <a16:creationId xmlns:a16="http://schemas.microsoft.com/office/drawing/2014/main" id="{2A4E8C6A-1492-4C42-ABB2-532F6FCEE1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50" y="3248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276225</xdr:colOff>
      <xdr:row>12</xdr:row>
      <xdr:rowOff>104775</xdr:rowOff>
    </xdr:to>
    <xdr:pic>
      <xdr:nvPicPr>
        <xdr:cNvPr id="2" name="Picture 1">
          <a:extLst>
            <a:ext uri="{FF2B5EF4-FFF2-40B4-BE49-F238E27FC236}">
              <a16:creationId xmlns:a16="http://schemas.microsoft.com/office/drawing/2014/main" id="{CAD3C24D-4B4F-41DC-9288-92819E3EBDA0}"/>
            </a:ext>
          </a:extLst>
        </xdr:cNvPr>
        <xdr:cNvPicPr>
          <a:picLocks noChangeAspect="1"/>
        </xdr:cNvPicPr>
      </xdr:nvPicPr>
      <xdr:blipFill>
        <a:blip xmlns:r="http://schemas.openxmlformats.org/officeDocument/2006/relationships" r:embed="rId1"/>
        <a:stretch>
          <a:fillRect/>
        </a:stretch>
      </xdr:blipFill>
      <xdr:spPr>
        <a:xfrm>
          <a:off x="10525125" y="571500"/>
          <a:ext cx="3324225" cy="2047875"/>
        </a:xfrm>
        <a:prstGeom prst="rect">
          <a:avLst/>
        </a:prstGeom>
      </xdr:spPr>
    </xdr:pic>
    <xdr:clientData/>
  </xdr:twoCellAnchor>
  <xdr:twoCellAnchor editAs="oneCell">
    <xdr:from>
      <xdr:col>9</xdr:col>
      <xdr:colOff>0</xdr:colOff>
      <xdr:row>16</xdr:row>
      <xdr:rowOff>0</xdr:rowOff>
    </xdr:from>
    <xdr:to>
      <xdr:col>14</xdr:col>
      <xdr:colOff>324928</xdr:colOff>
      <xdr:row>26</xdr:row>
      <xdr:rowOff>0</xdr:rowOff>
    </xdr:to>
    <xdr:pic>
      <xdr:nvPicPr>
        <xdr:cNvPr id="3" name="Picture 2">
          <a:extLst>
            <a:ext uri="{FF2B5EF4-FFF2-40B4-BE49-F238E27FC236}">
              <a16:creationId xmlns:a16="http://schemas.microsoft.com/office/drawing/2014/main" id="{E930EDFF-EEB8-41B7-B150-235F97F8B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3086100"/>
          <a:ext cx="3372928"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15</xdr:col>
      <xdr:colOff>57151</xdr:colOff>
      <xdr:row>12</xdr:row>
      <xdr:rowOff>0</xdr:rowOff>
    </xdr:to>
    <xdr:pic>
      <xdr:nvPicPr>
        <xdr:cNvPr id="2" name="Picture 1">
          <a:extLst>
            <a:ext uri="{FF2B5EF4-FFF2-40B4-BE49-F238E27FC236}">
              <a16:creationId xmlns:a16="http://schemas.microsoft.com/office/drawing/2014/main" id="{D4112F10-1C9D-4BBC-A9BD-AFF282BA5B90}"/>
            </a:ext>
          </a:extLst>
        </xdr:cNvPr>
        <xdr:cNvPicPr>
          <a:picLocks noChangeAspect="1"/>
        </xdr:cNvPicPr>
      </xdr:nvPicPr>
      <xdr:blipFill>
        <a:blip xmlns:r="http://schemas.openxmlformats.org/officeDocument/2006/relationships" r:embed="rId1"/>
        <a:stretch>
          <a:fillRect/>
        </a:stretch>
      </xdr:blipFill>
      <xdr:spPr>
        <a:xfrm>
          <a:off x="11439525" y="571500"/>
          <a:ext cx="3105151" cy="2000250"/>
        </a:xfrm>
        <a:prstGeom prst="rect">
          <a:avLst/>
        </a:prstGeom>
      </xdr:spPr>
    </xdr:pic>
    <xdr:clientData/>
  </xdr:twoCellAnchor>
  <xdr:twoCellAnchor editAs="oneCell">
    <xdr:from>
      <xdr:col>10</xdr:col>
      <xdr:colOff>0</xdr:colOff>
      <xdr:row>15</xdr:row>
      <xdr:rowOff>0</xdr:rowOff>
    </xdr:from>
    <xdr:to>
      <xdr:col>15</xdr:col>
      <xdr:colOff>225721</xdr:colOff>
      <xdr:row>24</xdr:row>
      <xdr:rowOff>266698</xdr:rowOff>
    </xdr:to>
    <xdr:pic>
      <xdr:nvPicPr>
        <xdr:cNvPr id="3" name="Picture 2">
          <a:extLst>
            <a:ext uri="{FF2B5EF4-FFF2-40B4-BE49-F238E27FC236}">
              <a16:creationId xmlns:a16="http://schemas.microsoft.com/office/drawing/2014/main" id="{1FDABAE8-6C89-4F22-A2E2-0431672C0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1439525" y="29241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5A94C070-E381-4F48-B14F-32052C6019A2}"/>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809A987E-A43C-4E0A-8CD5-4A7247F495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3E70D37B-627E-4136-AF82-B7A9F5B78B8B}"/>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984E068C-12D3-4C55-92D2-73D1592B9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11</xdr:row>
      <xdr:rowOff>85725</xdr:rowOff>
    </xdr:to>
    <xdr:pic>
      <xdr:nvPicPr>
        <xdr:cNvPr id="2" name="Picture 1">
          <a:extLst>
            <a:ext uri="{FF2B5EF4-FFF2-40B4-BE49-F238E27FC236}">
              <a16:creationId xmlns:a16="http://schemas.microsoft.com/office/drawing/2014/main" id="{09B8EEFA-D43C-4468-876A-69BEB01EE40A}"/>
            </a:ext>
          </a:extLst>
        </xdr:cNvPr>
        <xdr:cNvPicPr>
          <a:picLocks noChangeAspect="1"/>
        </xdr:cNvPicPr>
      </xdr:nvPicPr>
      <xdr:blipFill>
        <a:blip xmlns:r="http://schemas.openxmlformats.org/officeDocument/2006/relationships" r:embed="rId1"/>
        <a:stretch>
          <a:fillRect/>
        </a:stretch>
      </xdr:blipFill>
      <xdr:spPr>
        <a:xfrm>
          <a:off x="10344150" y="571500"/>
          <a:ext cx="3274417" cy="2095500"/>
        </a:xfrm>
        <a:prstGeom prst="rect">
          <a:avLst/>
        </a:prstGeom>
      </xdr:spPr>
    </xdr:pic>
    <xdr:clientData/>
  </xdr:twoCellAnchor>
  <xdr:twoCellAnchor editAs="oneCell">
    <xdr:from>
      <xdr:col>9</xdr:col>
      <xdr:colOff>0</xdr:colOff>
      <xdr:row>16</xdr:row>
      <xdr:rowOff>0</xdr:rowOff>
    </xdr:from>
    <xdr:to>
      <xdr:col>14</xdr:col>
      <xdr:colOff>374530</xdr:colOff>
      <xdr:row>26</xdr:row>
      <xdr:rowOff>28575</xdr:rowOff>
    </xdr:to>
    <xdr:pic>
      <xdr:nvPicPr>
        <xdr:cNvPr id="3" name="Picture 2">
          <a:extLst>
            <a:ext uri="{FF2B5EF4-FFF2-40B4-BE49-F238E27FC236}">
              <a16:creationId xmlns:a16="http://schemas.microsoft.com/office/drawing/2014/main" id="{7818C42F-9A26-45DE-93A7-CB157377F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35718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F9C2C220-E6EC-4F39-B87F-6F3CECFDE602}"/>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2A4795D4-247D-48BA-B49C-9E4D7CF129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9</xdr:col>
      <xdr:colOff>0</xdr:colOff>
      <xdr:row>16</xdr:row>
      <xdr:rowOff>0</xdr:rowOff>
    </xdr:from>
    <xdr:to>
      <xdr:col>14</xdr:col>
      <xdr:colOff>225721</xdr:colOff>
      <xdr:row>26</xdr:row>
      <xdr:rowOff>266698</xdr:rowOff>
    </xdr:to>
    <xdr:pic>
      <xdr:nvPicPr>
        <xdr:cNvPr id="2" name="Picture 1">
          <a:extLst>
            <a:ext uri="{FF2B5EF4-FFF2-40B4-BE49-F238E27FC236}">
              <a16:creationId xmlns:a16="http://schemas.microsoft.com/office/drawing/2014/main" id="{B8A62C9A-6C63-4B79-9DD5-CBEC5EF4F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133350</xdr:rowOff>
    </xdr:to>
    <xdr:pic>
      <xdr:nvPicPr>
        <xdr:cNvPr id="4" name="Picture 3">
          <a:extLst>
            <a:ext uri="{FF2B5EF4-FFF2-40B4-BE49-F238E27FC236}">
              <a16:creationId xmlns:a16="http://schemas.microsoft.com/office/drawing/2014/main" id="{BB67507F-CB26-4F9F-B2E2-4DFA4038E278}"/>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140692</xdr:colOff>
      <xdr:row>10</xdr:row>
      <xdr:rowOff>66675</xdr:rowOff>
    </xdr:to>
    <xdr:pic>
      <xdr:nvPicPr>
        <xdr:cNvPr id="2" name="Picture 1">
          <a:extLst>
            <a:ext uri="{FF2B5EF4-FFF2-40B4-BE49-F238E27FC236}">
              <a16:creationId xmlns:a16="http://schemas.microsoft.com/office/drawing/2014/main" id="{F2847123-CE5B-4CA1-A264-37B100430977}"/>
            </a:ext>
          </a:extLst>
        </xdr:cNvPr>
        <xdr:cNvPicPr>
          <a:picLocks noChangeAspect="1"/>
        </xdr:cNvPicPr>
      </xdr:nvPicPr>
      <xdr:blipFill>
        <a:blip xmlns:r="http://schemas.openxmlformats.org/officeDocument/2006/relationships" r:embed="rId1"/>
        <a:stretch>
          <a:fillRect/>
        </a:stretch>
      </xdr:blipFill>
      <xdr:spPr>
        <a:xfrm>
          <a:off x="8562975" y="571500"/>
          <a:ext cx="3283942" cy="2009775"/>
        </a:xfrm>
        <a:prstGeom prst="rect">
          <a:avLst/>
        </a:prstGeom>
      </xdr:spPr>
    </xdr:pic>
    <xdr:clientData/>
  </xdr:twoCellAnchor>
  <xdr:twoCellAnchor editAs="oneCell">
    <xdr:from>
      <xdr:col>9</xdr:col>
      <xdr:colOff>0</xdr:colOff>
      <xdr:row>15</xdr:row>
      <xdr:rowOff>0</xdr:rowOff>
    </xdr:from>
    <xdr:to>
      <xdr:col>14</xdr:col>
      <xdr:colOff>130471</xdr:colOff>
      <xdr:row>24</xdr:row>
      <xdr:rowOff>171448</xdr:rowOff>
    </xdr:to>
    <xdr:pic>
      <xdr:nvPicPr>
        <xdr:cNvPr id="3" name="Picture 2">
          <a:extLst>
            <a:ext uri="{FF2B5EF4-FFF2-40B4-BE49-F238E27FC236}">
              <a16:creationId xmlns:a16="http://schemas.microsoft.com/office/drawing/2014/main" id="{9E06D161-D40C-411D-B1D0-05481A781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62975" y="3467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32565-215A-4E42-9D05-C97D3240FE55}">
  <dimension ref="A1:C40"/>
  <sheetViews>
    <sheetView tabSelected="1" workbookViewId="0">
      <pane ySplit="1" topLeftCell="A2" activePane="bottomLeft" state="frozen"/>
      <selection pane="bottomLeft"/>
    </sheetView>
  </sheetViews>
  <sheetFormatPr defaultColWidth="8.85546875" defaultRowHeight="15" x14ac:dyDescent="0.2"/>
  <cols>
    <col min="1" max="1" width="6" style="30" bestFit="1" customWidth="1"/>
    <col min="2" max="2" width="11.140625" style="33" bestFit="1" customWidth="1"/>
    <col min="3" max="3" width="56.42578125" style="33" bestFit="1" customWidth="1"/>
    <col min="4" max="16384" width="8.85546875" style="33"/>
  </cols>
  <sheetData>
    <row r="1" spans="1:3" s="30" customFormat="1" x14ac:dyDescent="0.2">
      <c r="A1" s="28" t="s">
        <v>731</v>
      </c>
      <c r="B1" s="29" t="s">
        <v>732</v>
      </c>
      <c r="C1" s="29" t="s">
        <v>733</v>
      </c>
    </row>
    <row r="2" spans="1:3" x14ac:dyDescent="0.2">
      <c r="A2" s="31">
        <v>1</v>
      </c>
      <c r="B2" s="32" t="s">
        <v>734</v>
      </c>
      <c r="C2" s="32" t="s">
        <v>1</v>
      </c>
    </row>
    <row r="3" spans="1:3" x14ac:dyDescent="0.2">
      <c r="A3" s="31">
        <v>2</v>
      </c>
      <c r="B3" s="32" t="s">
        <v>735</v>
      </c>
      <c r="C3" s="32" t="s">
        <v>141</v>
      </c>
    </row>
    <row r="4" spans="1:3" x14ac:dyDescent="0.2">
      <c r="A4" s="31">
        <v>3</v>
      </c>
      <c r="B4" s="32" t="s">
        <v>736</v>
      </c>
      <c r="C4" s="32" t="s">
        <v>282</v>
      </c>
    </row>
    <row r="5" spans="1:3" x14ac:dyDescent="0.2">
      <c r="A5" s="31">
        <v>4</v>
      </c>
      <c r="B5" s="32" t="s">
        <v>737</v>
      </c>
      <c r="C5" s="34" t="s">
        <v>297</v>
      </c>
    </row>
    <row r="6" spans="1:3" x14ac:dyDescent="0.2">
      <c r="A6" s="31">
        <v>5</v>
      </c>
      <c r="B6" s="32" t="s">
        <v>738</v>
      </c>
      <c r="C6" s="34" t="s">
        <v>300</v>
      </c>
    </row>
    <row r="7" spans="1:3" x14ac:dyDescent="0.2">
      <c r="A7" s="31">
        <v>6</v>
      </c>
      <c r="B7" s="32" t="s">
        <v>739</v>
      </c>
      <c r="C7" s="32" t="s">
        <v>305</v>
      </c>
    </row>
    <row r="8" spans="1:3" x14ac:dyDescent="0.2">
      <c r="A8" s="31">
        <v>7</v>
      </c>
      <c r="B8" s="32" t="s">
        <v>740</v>
      </c>
      <c r="C8" s="32" t="s">
        <v>409</v>
      </c>
    </row>
    <row r="9" spans="1:3" x14ac:dyDescent="0.2">
      <c r="A9" s="31">
        <v>8</v>
      </c>
      <c r="B9" s="32" t="s">
        <v>741</v>
      </c>
      <c r="C9" s="32" t="s">
        <v>742</v>
      </c>
    </row>
    <row r="10" spans="1:3" x14ac:dyDescent="0.2">
      <c r="A10" s="31">
        <v>9</v>
      </c>
      <c r="B10" s="32" t="s">
        <v>743</v>
      </c>
      <c r="C10" s="32" t="s">
        <v>744</v>
      </c>
    </row>
    <row r="11" spans="1:3" x14ac:dyDescent="0.2">
      <c r="A11" s="31">
        <v>10</v>
      </c>
      <c r="B11" s="32" t="s">
        <v>745</v>
      </c>
      <c r="C11" s="32" t="s">
        <v>460</v>
      </c>
    </row>
    <row r="12" spans="1:3" x14ac:dyDescent="0.2">
      <c r="A12" s="31">
        <v>11</v>
      </c>
      <c r="B12" s="32" t="s">
        <v>746</v>
      </c>
      <c r="C12" s="32" t="s">
        <v>475</v>
      </c>
    </row>
    <row r="13" spans="1:3" x14ac:dyDescent="0.2">
      <c r="A13" s="31">
        <v>12</v>
      </c>
      <c r="B13" s="32" t="s">
        <v>747</v>
      </c>
      <c r="C13" s="32" t="s">
        <v>476</v>
      </c>
    </row>
    <row r="14" spans="1:3" x14ac:dyDescent="0.2">
      <c r="A14" s="31">
        <v>13</v>
      </c>
      <c r="B14" s="32" t="s">
        <v>748</v>
      </c>
      <c r="C14" s="32" t="s">
        <v>479</v>
      </c>
    </row>
    <row r="15" spans="1:3" x14ac:dyDescent="0.2">
      <c r="A15" s="31">
        <v>14</v>
      </c>
      <c r="B15" s="32" t="s">
        <v>749</v>
      </c>
      <c r="C15" s="32" t="s">
        <v>480</v>
      </c>
    </row>
    <row r="16" spans="1:3" x14ac:dyDescent="0.2">
      <c r="A16" s="31">
        <v>15</v>
      </c>
      <c r="B16" s="34" t="s">
        <v>750</v>
      </c>
      <c r="C16" s="34" t="s">
        <v>481</v>
      </c>
    </row>
    <row r="17" spans="1:3" x14ac:dyDescent="0.2">
      <c r="A17" s="31">
        <v>16</v>
      </c>
      <c r="B17" s="34" t="s">
        <v>751</v>
      </c>
      <c r="C17" s="34" t="s">
        <v>482</v>
      </c>
    </row>
    <row r="18" spans="1:3" x14ac:dyDescent="0.2">
      <c r="A18" s="31">
        <v>17</v>
      </c>
      <c r="B18" s="34" t="s">
        <v>752</v>
      </c>
      <c r="C18" s="34" t="s">
        <v>495</v>
      </c>
    </row>
    <row r="19" spans="1:3" x14ac:dyDescent="0.2">
      <c r="A19" s="31">
        <v>18</v>
      </c>
      <c r="B19" s="34" t="s">
        <v>753</v>
      </c>
      <c r="C19" s="34" t="s">
        <v>754</v>
      </c>
    </row>
    <row r="20" spans="1:3" x14ac:dyDescent="0.2">
      <c r="A20" s="31">
        <v>19</v>
      </c>
      <c r="B20" s="34" t="s">
        <v>755</v>
      </c>
      <c r="C20" s="34" t="s">
        <v>756</v>
      </c>
    </row>
    <row r="21" spans="1:3" x14ac:dyDescent="0.2">
      <c r="A21" s="31">
        <v>20</v>
      </c>
      <c r="B21" s="34" t="s">
        <v>757</v>
      </c>
      <c r="C21" s="34" t="s">
        <v>758</v>
      </c>
    </row>
    <row r="22" spans="1:3" x14ac:dyDescent="0.2">
      <c r="A22" s="31">
        <v>21</v>
      </c>
      <c r="B22" s="34" t="s">
        <v>759</v>
      </c>
      <c r="C22" s="34" t="s">
        <v>760</v>
      </c>
    </row>
    <row r="23" spans="1:3" x14ac:dyDescent="0.2">
      <c r="A23" s="31">
        <v>22</v>
      </c>
      <c r="B23" s="34" t="s">
        <v>761</v>
      </c>
      <c r="C23" s="34" t="s">
        <v>508</v>
      </c>
    </row>
    <row r="24" spans="1:3" x14ac:dyDescent="0.2">
      <c r="A24" s="31">
        <v>23</v>
      </c>
      <c r="B24" s="34" t="s">
        <v>762</v>
      </c>
      <c r="C24" s="34" t="s">
        <v>509</v>
      </c>
    </row>
    <row r="25" spans="1:3" x14ac:dyDescent="0.2">
      <c r="A25" s="31">
        <v>24</v>
      </c>
      <c r="B25" s="34" t="s">
        <v>763</v>
      </c>
      <c r="C25" s="34" t="s">
        <v>510</v>
      </c>
    </row>
    <row r="26" spans="1:3" x14ac:dyDescent="0.2">
      <c r="A26" s="31">
        <v>25</v>
      </c>
      <c r="B26" s="34" t="s">
        <v>764</v>
      </c>
      <c r="C26" s="34" t="s">
        <v>511</v>
      </c>
    </row>
    <row r="27" spans="1:3" x14ac:dyDescent="0.2">
      <c r="A27" s="31">
        <v>26</v>
      </c>
      <c r="B27" s="34" t="s">
        <v>765</v>
      </c>
      <c r="C27" s="34" t="s">
        <v>512</v>
      </c>
    </row>
    <row r="28" spans="1:3" x14ac:dyDescent="0.2">
      <c r="A28" s="31">
        <v>27</v>
      </c>
      <c r="B28" s="34" t="s">
        <v>766</v>
      </c>
      <c r="C28" s="34" t="s">
        <v>767</v>
      </c>
    </row>
    <row r="29" spans="1:3" x14ac:dyDescent="0.2">
      <c r="A29" s="31">
        <v>28</v>
      </c>
      <c r="B29" s="34" t="s">
        <v>768</v>
      </c>
      <c r="C29" s="34" t="s">
        <v>769</v>
      </c>
    </row>
    <row r="30" spans="1:3" x14ac:dyDescent="0.2">
      <c r="A30" s="31">
        <v>29</v>
      </c>
      <c r="B30" s="34" t="s">
        <v>770</v>
      </c>
      <c r="C30" s="34" t="s">
        <v>771</v>
      </c>
    </row>
    <row r="31" spans="1:3" x14ac:dyDescent="0.2">
      <c r="A31" s="31">
        <v>30</v>
      </c>
      <c r="B31" s="34" t="s">
        <v>772</v>
      </c>
      <c r="C31" s="34" t="s">
        <v>693</v>
      </c>
    </row>
    <row r="32" spans="1:3" x14ac:dyDescent="0.2">
      <c r="A32" s="31">
        <v>31</v>
      </c>
      <c r="B32" s="34" t="s">
        <v>773</v>
      </c>
      <c r="C32" s="34" t="s">
        <v>694</v>
      </c>
    </row>
    <row r="33" spans="1:3" x14ac:dyDescent="0.2">
      <c r="A33" s="31">
        <v>32</v>
      </c>
      <c r="B33" s="34" t="s">
        <v>774</v>
      </c>
      <c r="C33" s="34" t="s">
        <v>775</v>
      </c>
    </row>
    <row r="34" spans="1:3" x14ac:dyDescent="0.2">
      <c r="A34" s="31">
        <v>33</v>
      </c>
      <c r="B34" s="34" t="s">
        <v>776</v>
      </c>
      <c r="C34" s="34" t="s">
        <v>777</v>
      </c>
    </row>
    <row r="35" spans="1:3" x14ac:dyDescent="0.2">
      <c r="A35" s="31">
        <v>34</v>
      </c>
      <c r="B35" s="34" t="s">
        <v>778</v>
      </c>
      <c r="C35" s="34" t="s">
        <v>700</v>
      </c>
    </row>
    <row r="36" spans="1:3" x14ac:dyDescent="0.2">
      <c r="A36" s="31">
        <v>35</v>
      </c>
      <c r="B36" s="34" t="s">
        <v>779</v>
      </c>
      <c r="C36" s="34" t="s">
        <v>701</v>
      </c>
    </row>
    <row r="37" spans="1:3" x14ac:dyDescent="0.2">
      <c r="A37" s="31">
        <v>36</v>
      </c>
      <c r="B37" s="34" t="s">
        <v>780</v>
      </c>
      <c r="C37" s="34" t="s">
        <v>712</v>
      </c>
    </row>
    <row r="38" spans="1:3" x14ac:dyDescent="0.2">
      <c r="A38" s="31">
        <v>37</v>
      </c>
      <c r="B38" s="34" t="s">
        <v>781</v>
      </c>
      <c r="C38" s="34" t="s">
        <v>723</v>
      </c>
    </row>
    <row r="39" spans="1:3" x14ac:dyDescent="0.2">
      <c r="A39" s="31">
        <v>38</v>
      </c>
      <c r="B39" s="34" t="s">
        <v>782</v>
      </c>
      <c r="C39" s="34" t="s">
        <v>730</v>
      </c>
    </row>
    <row r="40" spans="1:3" x14ac:dyDescent="0.2">
      <c r="A40" s="31">
        <v>39</v>
      </c>
      <c r="B40" s="34" t="s">
        <v>783</v>
      </c>
      <c r="C40" s="34" t="s">
        <v>784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2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1</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11</v>
      </c>
      <c r="C7" s="4" t="s">
        <v>12</v>
      </c>
      <c r="D7" s="4" t="s">
        <v>13</v>
      </c>
      <c r="E7" s="5">
        <v>345376</v>
      </c>
      <c r="F7" s="6">
        <v>6095.0229600000002</v>
      </c>
      <c r="G7" s="7">
        <v>9.7733921000000001E-2</v>
      </c>
      <c r="H7" s="69"/>
    </row>
    <row r="8" spans="1:14" x14ac:dyDescent="0.2">
      <c r="A8" s="3">
        <v>2</v>
      </c>
      <c r="B8" s="4" t="s">
        <v>14</v>
      </c>
      <c r="C8" s="4" t="s">
        <v>15</v>
      </c>
      <c r="D8" s="4" t="s">
        <v>16</v>
      </c>
      <c r="E8" s="5">
        <v>228165</v>
      </c>
      <c r="F8" s="6">
        <v>5488.2809100000004</v>
      </c>
      <c r="G8" s="7">
        <v>8.8004789E-2</v>
      </c>
      <c r="H8" s="69"/>
    </row>
    <row r="9" spans="1:14" x14ac:dyDescent="0.2">
      <c r="A9" s="3">
        <v>3</v>
      </c>
      <c r="B9" s="4" t="s">
        <v>17</v>
      </c>
      <c r="C9" s="4" t="s">
        <v>18</v>
      </c>
      <c r="D9" s="4" t="s">
        <v>19</v>
      </c>
      <c r="E9" s="5">
        <v>551604</v>
      </c>
      <c r="F9" s="6">
        <v>4017.0561299999999</v>
      </c>
      <c r="G9" s="7">
        <v>6.4413645000000005E-2</v>
      </c>
      <c r="H9" s="69"/>
    </row>
    <row r="10" spans="1:14" x14ac:dyDescent="0.2">
      <c r="A10" s="3">
        <v>4</v>
      </c>
      <c r="B10" s="4" t="s">
        <v>20</v>
      </c>
      <c r="C10" s="4" t="s">
        <v>21</v>
      </c>
      <c r="D10" s="4" t="s">
        <v>22</v>
      </c>
      <c r="E10" s="5">
        <v>498729</v>
      </c>
      <c r="F10" s="6">
        <v>3562.6706115000002</v>
      </c>
      <c r="G10" s="7">
        <v>5.7127556000000003E-2</v>
      </c>
      <c r="H10" s="69"/>
    </row>
    <row r="11" spans="1:14" ht="25.5" x14ac:dyDescent="0.2">
      <c r="A11" s="3">
        <v>5</v>
      </c>
      <c r="B11" s="4" t="s">
        <v>23</v>
      </c>
      <c r="C11" s="4" t="s">
        <v>24</v>
      </c>
      <c r="D11" s="4" t="s">
        <v>974</v>
      </c>
      <c r="E11" s="5">
        <v>47925</v>
      </c>
      <c r="F11" s="6">
        <v>3562.6246875000002</v>
      </c>
      <c r="G11" s="7">
        <v>5.7126820000000002E-2</v>
      </c>
      <c r="H11" s="69"/>
    </row>
    <row r="12" spans="1:14" x14ac:dyDescent="0.2">
      <c r="A12" s="3">
        <v>6</v>
      </c>
      <c r="B12" s="4" t="s">
        <v>25</v>
      </c>
      <c r="C12" s="4" t="s">
        <v>26</v>
      </c>
      <c r="D12" s="4" t="s">
        <v>27</v>
      </c>
      <c r="E12" s="5">
        <v>214237</v>
      </c>
      <c r="F12" s="6">
        <v>3456.1784025000002</v>
      </c>
      <c r="G12" s="7">
        <v>5.5419950000000003E-2</v>
      </c>
      <c r="H12" s="69"/>
    </row>
    <row r="13" spans="1:14" ht="25.5" x14ac:dyDescent="0.2">
      <c r="A13" s="3">
        <v>7</v>
      </c>
      <c r="B13" s="4" t="s">
        <v>28</v>
      </c>
      <c r="C13" s="4" t="s">
        <v>29</v>
      </c>
      <c r="D13" s="4" t="s">
        <v>974</v>
      </c>
      <c r="E13" s="5">
        <v>362486</v>
      </c>
      <c r="F13" s="6">
        <v>3411.1745030000002</v>
      </c>
      <c r="G13" s="7">
        <v>5.4698310999999999E-2</v>
      </c>
      <c r="H13" s="69"/>
    </row>
    <row r="14" spans="1:14" x14ac:dyDescent="0.2">
      <c r="A14" s="3">
        <v>8</v>
      </c>
      <c r="B14" s="4" t="s">
        <v>30</v>
      </c>
      <c r="C14" s="4" t="s">
        <v>31</v>
      </c>
      <c r="D14" s="4" t="s">
        <v>32</v>
      </c>
      <c r="E14" s="5">
        <v>1151835</v>
      </c>
      <c r="F14" s="6">
        <v>2497.1782800000001</v>
      </c>
      <c r="G14" s="7">
        <v>4.0042346999999999E-2</v>
      </c>
      <c r="H14" s="69"/>
    </row>
    <row r="15" spans="1:14" ht="15" x14ac:dyDescent="0.2">
      <c r="A15" s="3">
        <v>9</v>
      </c>
      <c r="B15" s="4" t="s">
        <v>33</v>
      </c>
      <c r="C15" s="4" t="s">
        <v>34</v>
      </c>
      <c r="D15" s="4" t="s">
        <v>27</v>
      </c>
      <c r="E15" s="5">
        <v>87472</v>
      </c>
      <c r="F15" s="6">
        <v>2342.5001600000001</v>
      </c>
      <c r="G15" s="7">
        <v>3.7562077999999999E-2</v>
      </c>
      <c r="H15" s="69"/>
      <c r="J15" s="160" t="s">
        <v>1010</v>
      </c>
    </row>
    <row r="16" spans="1:14" x14ac:dyDescent="0.2">
      <c r="A16" s="3">
        <v>10</v>
      </c>
      <c r="B16" s="4" t="s">
        <v>35</v>
      </c>
      <c r="C16" s="4" t="s">
        <v>36</v>
      </c>
      <c r="D16" s="4" t="s">
        <v>27</v>
      </c>
      <c r="E16" s="5">
        <v>100858</v>
      </c>
      <c r="F16" s="6">
        <v>2325.7350510000001</v>
      </c>
      <c r="G16" s="7">
        <v>3.7293248000000001E-2</v>
      </c>
      <c r="H16" s="69"/>
    </row>
    <row r="17" spans="1:8" ht="25.5" x14ac:dyDescent="0.2">
      <c r="A17" s="3">
        <v>11</v>
      </c>
      <c r="B17" s="4" t="s">
        <v>37</v>
      </c>
      <c r="C17" s="4" t="s">
        <v>38</v>
      </c>
      <c r="D17" s="4" t="s">
        <v>974</v>
      </c>
      <c r="E17" s="5">
        <v>70820</v>
      </c>
      <c r="F17" s="6">
        <v>2290.9915900000001</v>
      </c>
      <c r="G17" s="7">
        <v>3.6736136000000003E-2</v>
      </c>
      <c r="H17" s="69"/>
    </row>
    <row r="18" spans="1:8" x14ac:dyDescent="0.2">
      <c r="A18" s="3">
        <v>12</v>
      </c>
      <c r="B18" s="4" t="s">
        <v>39</v>
      </c>
      <c r="C18" s="4" t="s">
        <v>40</v>
      </c>
      <c r="D18" s="4" t="s">
        <v>16</v>
      </c>
      <c r="E18" s="5">
        <v>587681</v>
      </c>
      <c r="F18" s="6">
        <v>2174.4196999999999</v>
      </c>
      <c r="G18" s="7">
        <v>3.4866900999999999E-2</v>
      </c>
      <c r="H18" s="69"/>
    </row>
    <row r="19" spans="1:8" x14ac:dyDescent="0.2">
      <c r="A19" s="3">
        <v>13</v>
      </c>
      <c r="B19" s="4" t="s">
        <v>41</v>
      </c>
      <c r="C19" s="4" t="s">
        <v>42</v>
      </c>
      <c r="D19" s="4" t="s">
        <v>27</v>
      </c>
      <c r="E19" s="5">
        <v>152152</v>
      </c>
      <c r="F19" s="6">
        <v>1889.651764</v>
      </c>
      <c r="G19" s="7">
        <v>3.0300636999999998E-2</v>
      </c>
      <c r="H19" s="69"/>
    </row>
    <row r="20" spans="1:8" ht="25.5" x14ac:dyDescent="0.2">
      <c r="A20" s="3">
        <v>14</v>
      </c>
      <c r="B20" s="4" t="s">
        <v>43</v>
      </c>
      <c r="C20" s="4" t="s">
        <v>44</v>
      </c>
      <c r="D20" s="4" t="s">
        <v>45</v>
      </c>
      <c r="E20" s="5">
        <v>4395</v>
      </c>
      <c r="F20" s="6">
        <v>1709.4154725000001</v>
      </c>
      <c r="G20" s="7">
        <v>2.7410541E-2</v>
      </c>
      <c r="H20" s="69"/>
    </row>
    <row r="21" spans="1:8" x14ac:dyDescent="0.2">
      <c r="A21" s="3">
        <v>15</v>
      </c>
      <c r="B21" s="4" t="s">
        <v>46</v>
      </c>
      <c r="C21" s="4" t="s">
        <v>47</v>
      </c>
      <c r="D21" s="4" t="s">
        <v>48</v>
      </c>
      <c r="E21" s="5">
        <v>208993</v>
      </c>
      <c r="F21" s="6">
        <v>1372.1435415000001</v>
      </c>
      <c r="G21" s="7">
        <v>2.2002372999999999E-2</v>
      </c>
      <c r="H21" s="69"/>
    </row>
    <row r="22" spans="1:8" x14ac:dyDescent="0.2">
      <c r="A22" s="3">
        <v>16</v>
      </c>
      <c r="B22" s="4" t="s">
        <v>49</v>
      </c>
      <c r="C22" s="4" t="s">
        <v>50</v>
      </c>
      <c r="D22" s="4" t="s">
        <v>16</v>
      </c>
      <c r="E22" s="5">
        <v>1125633</v>
      </c>
      <c r="F22" s="6">
        <v>1338.9404535000001</v>
      </c>
      <c r="G22" s="7">
        <v>2.146996E-2</v>
      </c>
      <c r="H22" s="69"/>
    </row>
    <row r="23" spans="1:8" x14ac:dyDescent="0.2">
      <c r="A23" s="3">
        <v>17</v>
      </c>
      <c r="B23" s="4" t="s">
        <v>51</v>
      </c>
      <c r="C23" s="4" t="s">
        <v>52</v>
      </c>
      <c r="D23" s="4" t="s">
        <v>53</v>
      </c>
      <c r="E23" s="5">
        <v>694710</v>
      </c>
      <c r="F23" s="6">
        <v>1176.8387399999999</v>
      </c>
      <c r="G23" s="7">
        <v>1.8870653000000001E-2</v>
      </c>
      <c r="H23" s="69"/>
    </row>
    <row r="24" spans="1:8" x14ac:dyDescent="0.2">
      <c r="A24" s="3">
        <v>18</v>
      </c>
      <c r="B24" s="4" t="s">
        <v>54</v>
      </c>
      <c r="C24" s="4" t="s">
        <v>55</v>
      </c>
      <c r="D24" s="4" t="s">
        <v>13</v>
      </c>
      <c r="E24" s="5">
        <v>1589604</v>
      </c>
      <c r="F24" s="6">
        <v>1126.234434</v>
      </c>
      <c r="G24" s="7">
        <v>1.8059210999999999E-2</v>
      </c>
      <c r="H24" s="69"/>
    </row>
    <row r="25" spans="1:8" x14ac:dyDescent="0.2">
      <c r="A25" s="3">
        <v>19</v>
      </c>
      <c r="B25" s="4" t="s">
        <v>56</v>
      </c>
      <c r="C25" s="4" t="s">
        <v>57</v>
      </c>
      <c r="D25" s="4" t="s">
        <v>53</v>
      </c>
      <c r="E25" s="5">
        <v>222845</v>
      </c>
      <c r="F25" s="6">
        <v>1119.6847025</v>
      </c>
      <c r="G25" s="7">
        <v>1.7954186E-2</v>
      </c>
      <c r="H25" s="69"/>
    </row>
    <row r="26" spans="1:8" ht="25.5" x14ac:dyDescent="0.2">
      <c r="A26" s="3">
        <v>20</v>
      </c>
      <c r="B26" s="4" t="s">
        <v>58</v>
      </c>
      <c r="C26" s="4" t="s">
        <v>59</v>
      </c>
      <c r="D26" s="4" t="s">
        <v>45</v>
      </c>
      <c r="E26" s="5">
        <v>23847</v>
      </c>
      <c r="F26" s="6">
        <v>1067.5467255000001</v>
      </c>
      <c r="G26" s="7">
        <v>1.7118152000000001E-2</v>
      </c>
      <c r="H26" s="69"/>
    </row>
    <row r="27" spans="1:8" x14ac:dyDescent="0.2">
      <c r="A27" s="3">
        <v>21</v>
      </c>
      <c r="B27" s="4" t="s">
        <v>60</v>
      </c>
      <c r="C27" s="4" t="s">
        <v>61</v>
      </c>
      <c r="D27" s="4" t="s">
        <v>62</v>
      </c>
      <c r="E27" s="5">
        <v>716100</v>
      </c>
      <c r="F27" s="6">
        <v>1017.5780999999999</v>
      </c>
      <c r="G27" s="7">
        <v>1.6316903000000001E-2</v>
      </c>
      <c r="H27" s="69"/>
    </row>
    <row r="28" spans="1:8" x14ac:dyDescent="0.2">
      <c r="A28" s="3">
        <v>22</v>
      </c>
      <c r="B28" s="4" t="s">
        <v>63</v>
      </c>
      <c r="C28" s="4" t="s">
        <v>64</v>
      </c>
      <c r="D28" s="4" t="s">
        <v>65</v>
      </c>
      <c r="E28" s="5">
        <v>1000000</v>
      </c>
      <c r="F28" s="6">
        <v>1000.5</v>
      </c>
      <c r="G28" s="7">
        <v>1.6043055000000001E-2</v>
      </c>
      <c r="H28" s="69"/>
    </row>
    <row r="29" spans="1:8" ht="25.5" x14ac:dyDescent="0.2">
      <c r="A29" s="3">
        <v>23</v>
      </c>
      <c r="B29" s="4" t="s">
        <v>66</v>
      </c>
      <c r="C29" s="4" t="s">
        <v>67</v>
      </c>
      <c r="D29" s="4" t="s">
        <v>48</v>
      </c>
      <c r="E29" s="5">
        <v>140270</v>
      </c>
      <c r="F29" s="6">
        <v>959.23639500000002</v>
      </c>
      <c r="G29" s="7">
        <v>1.5381390999999999E-2</v>
      </c>
      <c r="H29" s="69"/>
    </row>
    <row r="30" spans="1:8" x14ac:dyDescent="0.2">
      <c r="A30" s="3">
        <v>24</v>
      </c>
      <c r="B30" s="4" t="s">
        <v>68</v>
      </c>
      <c r="C30" s="4" t="s">
        <v>69</v>
      </c>
      <c r="D30" s="4" t="s">
        <v>70</v>
      </c>
      <c r="E30" s="5">
        <v>716249</v>
      </c>
      <c r="F30" s="6">
        <v>929.69120199999998</v>
      </c>
      <c r="G30" s="7">
        <v>1.4907633E-2</v>
      </c>
      <c r="H30" s="69"/>
    </row>
    <row r="31" spans="1:8" x14ac:dyDescent="0.2">
      <c r="A31" s="3">
        <v>25</v>
      </c>
      <c r="B31" s="4" t="s">
        <v>71</v>
      </c>
      <c r="C31" s="4" t="s">
        <v>72</v>
      </c>
      <c r="D31" s="4" t="s">
        <v>65</v>
      </c>
      <c r="E31" s="5">
        <v>100000</v>
      </c>
      <c r="F31" s="6">
        <v>924</v>
      </c>
      <c r="G31" s="7">
        <v>1.4816375E-2</v>
      </c>
      <c r="H31" s="69"/>
    </row>
    <row r="32" spans="1:8" x14ac:dyDescent="0.2">
      <c r="A32" s="3">
        <v>26</v>
      </c>
      <c r="B32" s="4" t="s">
        <v>73</v>
      </c>
      <c r="C32" s="4" t="s">
        <v>74</v>
      </c>
      <c r="D32" s="4" t="s">
        <v>75</v>
      </c>
      <c r="E32" s="5">
        <v>29108</v>
      </c>
      <c r="F32" s="6">
        <v>881.81230600000004</v>
      </c>
      <c r="G32" s="7">
        <v>1.4139893000000001E-2</v>
      </c>
      <c r="H32" s="69"/>
    </row>
    <row r="33" spans="1:8" x14ac:dyDescent="0.2">
      <c r="A33" s="3">
        <v>27</v>
      </c>
      <c r="B33" s="4" t="s">
        <v>76</v>
      </c>
      <c r="C33" s="4" t="s">
        <v>77</v>
      </c>
      <c r="D33" s="4" t="s">
        <v>78</v>
      </c>
      <c r="E33" s="5">
        <v>240000</v>
      </c>
      <c r="F33" s="6">
        <v>614.4</v>
      </c>
      <c r="G33" s="7">
        <v>9.8519269999999999E-3</v>
      </c>
      <c r="H33" s="69"/>
    </row>
    <row r="34" spans="1:8" x14ac:dyDescent="0.2">
      <c r="A34" s="3">
        <v>28</v>
      </c>
      <c r="B34" s="4" t="s">
        <v>79</v>
      </c>
      <c r="C34" s="4" t="s">
        <v>80</v>
      </c>
      <c r="D34" s="4" t="s">
        <v>75</v>
      </c>
      <c r="E34" s="5">
        <v>159223</v>
      </c>
      <c r="F34" s="6">
        <v>594.220236</v>
      </c>
      <c r="G34" s="7">
        <v>9.5283439999999994E-3</v>
      </c>
      <c r="H34" s="69"/>
    </row>
    <row r="35" spans="1:8" x14ac:dyDescent="0.2">
      <c r="A35" s="3">
        <v>29</v>
      </c>
      <c r="B35" s="4" t="s">
        <v>81</v>
      </c>
      <c r="C35" s="4" t="s">
        <v>82</v>
      </c>
      <c r="D35" s="4" t="s">
        <v>83</v>
      </c>
      <c r="E35" s="5">
        <v>494783</v>
      </c>
      <c r="F35" s="6">
        <v>592.25525100000004</v>
      </c>
      <c r="G35" s="7">
        <v>9.4968350000000003E-3</v>
      </c>
      <c r="H35" s="69"/>
    </row>
    <row r="36" spans="1:8" x14ac:dyDescent="0.2">
      <c r="A36" s="3">
        <v>30</v>
      </c>
      <c r="B36" s="4" t="s">
        <v>84</v>
      </c>
      <c r="C36" s="4" t="s">
        <v>85</v>
      </c>
      <c r="D36" s="4" t="s">
        <v>70</v>
      </c>
      <c r="E36" s="5">
        <v>121081</v>
      </c>
      <c r="F36" s="6">
        <v>586.33474249999995</v>
      </c>
      <c r="G36" s="7">
        <v>9.4018999999999995E-3</v>
      </c>
      <c r="H36" s="69"/>
    </row>
    <row r="37" spans="1:8" x14ac:dyDescent="0.2">
      <c r="A37" s="3">
        <v>31</v>
      </c>
      <c r="B37" s="4" t="s">
        <v>86</v>
      </c>
      <c r="C37" s="4" t="s">
        <v>87</v>
      </c>
      <c r="D37" s="4" t="s">
        <v>70</v>
      </c>
      <c r="E37" s="5">
        <v>153124</v>
      </c>
      <c r="F37" s="6">
        <v>479.73749199999997</v>
      </c>
      <c r="G37" s="7">
        <v>7.6926090000000004E-3</v>
      </c>
      <c r="H37" s="69"/>
    </row>
    <row r="38" spans="1:8" x14ac:dyDescent="0.2">
      <c r="A38" s="3">
        <v>32</v>
      </c>
      <c r="B38" s="4" t="s">
        <v>88</v>
      </c>
      <c r="C38" s="4" t="s">
        <v>89</v>
      </c>
      <c r="D38" s="4" t="s">
        <v>53</v>
      </c>
      <c r="E38" s="5">
        <v>83965</v>
      </c>
      <c r="F38" s="6">
        <v>354.1223875</v>
      </c>
      <c r="G38" s="7">
        <v>5.6783659999999998E-3</v>
      </c>
      <c r="H38" s="69"/>
    </row>
    <row r="39" spans="1:8" x14ac:dyDescent="0.2">
      <c r="A39" s="3">
        <v>33</v>
      </c>
      <c r="B39" s="4" t="s">
        <v>90</v>
      </c>
      <c r="C39" s="4" t="s">
        <v>91</v>
      </c>
      <c r="D39" s="4" t="s">
        <v>27</v>
      </c>
      <c r="E39" s="5">
        <v>4449</v>
      </c>
      <c r="F39" s="6">
        <v>346.74616200000003</v>
      </c>
      <c r="G39" s="7">
        <v>5.5600880000000004E-3</v>
      </c>
      <c r="H39" s="69"/>
    </row>
    <row r="40" spans="1:8" x14ac:dyDescent="0.2">
      <c r="A40" s="1"/>
      <c r="B40" s="1"/>
      <c r="C40" s="2" t="s">
        <v>95</v>
      </c>
      <c r="D40" s="1"/>
      <c r="E40" s="1" t="s">
        <v>96</v>
      </c>
      <c r="F40" s="9">
        <v>61304.923104189002</v>
      </c>
      <c r="G40" s="10">
        <v>0.98302673399999996</v>
      </c>
      <c r="H40" s="69"/>
    </row>
    <row r="41" spans="1:8" x14ac:dyDescent="0.2">
      <c r="A41" s="1"/>
      <c r="B41" s="1"/>
      <c r="C41" s="11"/>
      <c r="D41" s="1"/>
      <c r="E41" s="1"/>
      <c r="F41" s="12"/>
      <c r="G41" s="12"/>
      <c r="H41" s="69"/>
    </row>
    <row r="42" spans="1:8" x14ac:dyDescent="0.2">
      <c r="A42" s="1"/>
      <c r="B42" s="1"/>
      <c r="C42" s="2" t="s">
        <v>97</v>
      </c>
      <c r="D42" s="1"/>
      <c r="E42" s="1"/>
      <c r="F42" s="1"/>
      <c r="G42" s="1"/>
      <c r="H42" s="69"/>
    </row>
    <row r="43" spans="1:8" x14ac:dyDescent="0.2">
      <c r="A43" s="1"/>
      <c r="B43" s="1"/>
      <c r="C43" s="2" t="s">
        <v>95</v>
      </c>
      <c r="D43" s="1"/>
      <c r="E43" s="1" t="s">
        <v>96</v>
      </c>
      <c r="F43" s="13">
        <v>0</v>
      </c>
      <c r="G43" s="14">
        <v>0</v>
      </c>
      <c r="H43" s="69"/>
    </row>
    <row r="44" spans="1:8" x14ac:dyDescent="0.2">
      <c r="A44" s="1"/>
      <c r="B44" s="1"/>
      <c r="C44" s="11"/>
      <c r="D44" s="1"/>
      <c r="E44" s="1"/>
      <c r="F44" s="12"/>
      <c r="G44" s="12"/>
      <c r="H44" s="69"/>
    </row>
    <row r="45" spans="1:8" x14ac:dyDescent="0.2">
      <c r="A45" s="1"/>
      <c r="B45" s="1"/>
      <c r="C45" s="2" t="s">
        <v>98</v>
      </c>
      <c r="D45" s="1"/>
      <c r="E45" s="1"/>
      <c r="F45" s="1"/>
      <c r="G45" s="1"/>
      <c r="H45" s="69"/>
    </row>
    <row r="46" spans="1:8" x14ac:dyDescent="0.2">
      <c r="A46" s="3">
        <v>1</v>
      </c>
      <c r="B46" s="4" t="s">
        <v>92</v>
      </c>
      <c r="C46" s="4" t="s">
        <v>933</v>
      </c>
      <c r="D46" s="4" t="s">
        <v>93</v>
      </c>
      <c r="E46" s="5">
        <v>559425</v>
      </c>
      <c r="F46" s="6">
        <v>1.1189000000000001E-5</v>
      </c>
      <c r="G46" s="8" t="s">
        <v>94</v>
      </c>
      <c r="H46" s="69"/>
    </row>
    <row r="47" spans="1:8" x14ac:dyDescent="0.2">
      <c r="A47" s="1"/>
      <c r="B47" s="1"/>
      <c r="C47" s="2" t="s">
        <v>95</v>
      </c>
      <c r="D47" s="1"/>
      <c r="E47" s="1" t="s">
        <v>96</v>
      </c>
      <c r="F47" s="13">
        <v>0</v>
      </c>
      <c r="G47" s="14">
        <v>0</v>
      </c>
      <c r="H47" s="69"/>
    </row>
    <row r="48" spans="1:8" x14ac:dyDescent="0.2">
      <c r="A48" s="1"/>
      <c r="B48" s="1"/>
      <c r="C48" s="11"/>
      <c r="D48" s="1"/>
      <c r="E48" s="1"/>
      <c r="F48" s="12"/>
      <c r="G48" s="12"/>
      <c r="H48" s="69"/>
    </row>
    <row r="49" spans="1:8" x14ac:dyDescent="0.2">
      <c r="A49" s="1"/>
      <c r="B49" s="1"/>
      <c r="C49" s="2" t="s">
        <v>99</v>
      </c>
      <c r="D49" s="1"/>
      <c r="E49" s="1"/>
      <c r="F49" s="1"/>
      <c r="G49" s="1"/>
      <c r="H49" s="69"/>
    </row>
    <row r="50" spans="1:8" x14ac:dyDescent="0.2">
      <c r="A50" s="1"/>
      <c r="B50" s="1"/>
      <c r="C50" s="2" t="s">
        <v>95</v>
      </c>
      <c r="D50" s="1"/>
      <c r="E50" s="1" t="s">
        <v>96</v>
      </c>
      <c r="F50" s="13">
        <v>0</v>
      </c>
      <c r="G50" s="14">
        <v>0</v>
      </c>
      <c r="H50" s="69"/>
    </row>
    <row r="51" spans="1:8" x14ac:dyDescent="0.2">
      <c r="A51" s="1"/>
      <c r="B51" s="1"/>
      <c r="C51" s="11"/>
      <c r="D51" s="1"/>
      <c r="E51" s="1"/>
      <c r="F51" s="12"/>
      <c r="G51" s="12"/>
      <c r="H51" s="69"/>
    </row>
    <row r="52" spans="1:8" x14ac:dyDescent="0.2">
      <c r="A52" s="1"/>
      <c r="B52" s="1"/>
      <c r="C52" s="2" t="s">
        <v>100</v>
      </c>
      <c r="D52" s="1"/>
      <c r="E52" s="1"/>
      <c r="F52" s="12"/>
      <c r="G52" s="12"/>
      <c r="H52" s="69"/>
    </row>
    <row r="53" spans="1:8" x14ac:dyDescent="0.2">
      <c r="A53" s="1"/>
      <c r="B53" s="1"/>
      <c r="C53" s="2" t="s">
        <v>95</v>
      </c>
      <c r="D53" s="1"/>
      <c r="E53" s="1" t="s">
        <v>96</v>
      </c>
      <c r="F53" s="13">
        <v>0</v>
      </c>
      <c r="G53" s="14">
        <v>0</v>
      </c>
      <c r="H53" s="69"/>
    </row>
    <row r="54" spans="1:8" x14ac:dyDescent="0.2">
      <c r="A54" s="1"/>
      <c r="B54" s="1"/>
      <c r="C54" s="11"/>
      <c r="D54" s="1"/>
      <c r="E54" s="1"/>
      <c r="F54" s="12"/>
      <c r="G54" s="12"/>
      <c r="H54" s="69"/>
    </row>
    <row r="55" spans="1:8" x14ac:dyDescent="0.2">
      <c r="A55" s="1"/>
      <c r="B55" s="1"/>
      <c r="C55" s="2" t="s">
        <v>101</v>
      </c>
      <c r="D55" s="1"/>
      <c r="E55" s="1"/>
      <c r="F55" s="12"/>
      <c r="G55" s="12"/>
      <c r="H55" s="69"/>
    </row>
    <row r="56" spans="1:8" x14ac:dyDescent="0.2">
      <c r="A56" s="1"/>
      <c r="B56" s="1"/>
      <c r="C56" s="2" t="s">
        <v>95</v>
      </c>
      <c r="D56" s="1"/>
      <c r="E56" s="1" t="s">
        <v>96</v>
      </c>
      <c r="F56" s="13">
        <v>0</v>
      </c>
      <c r="G56" s="14">
        <v>0</v>
      </c>
      <c r="H56" s="69"/>
    </row>
    <row r="57" spans="1:8" x14ac:dyDescent="0.2">
      <c r="A57" s="1"/>
      <c r="B57" s="1"/>
      <c r="C57" s="11"/>
      <c r="D57" s="1"/>
      <c r="E57" s="1"/>
      <c r="F57" s="12"/>
      <c r="G57" s="12"/>
      <c r="H57" s="69"/>
    </row>
    <row r="58" spans="1:8" x14ac:dyDescent="0.2">
      <c r="A58" s="1"/>
      <c r="B58" s="1"/>
      <c r="C58" s="2" t="s">
        <v>102</v>
      </c>
      <c r="D58" s="1"/>
      <c r="E58" s="1"/>
      <c r="F58" s="9">
        <v>61304.923104189002</v>
      </c>
      <c r="G58" s="10">
        <v>0.98302673399999996</v>
      </c>
      <c r="H58" s="69"/>
    </row>
    <row r="59" spans="1:8" x14ac:dyDescent="0.2">
      <c r="A59" s="1"/>
      <c r="B59" s="1"/>
      <c r="C59" s="11"/>
      <c r="D59" s="1"/>
      <c r="E59" s="1"/>
      <c r="F59" s="12"/>
      <c r="G59" s="12"/>
      <c r="H59" s="69"/>
    </row>
    <row r="60" spans="1:8" x14ac:dyDescent="0.2">
      <c r="A60" s="1"/>
      <c r="B60" s="1"/>
      <c r="C60" s="2" t="s">
        <v>103</v>
      </c>
      <c r="D60" s="1"/>
      <c r="E60" s="1"/>
      <c r="F60" s="12"/>
      <c r="G60" s="12"/>
      <c r="H60" s="69"/>
    </row>
    <row r="61" spans="1:8" ht="25.5" x14ac:dyDescent="0.2">
      <c r="A61" s="1"/>
      <c r="B61" s="1"/>
      <c r="C61" s="2" t="s">
        <v>10</v>
      </c>
      <c r="D61" s="1"/>
      <c r="E61" s="1"/>
      <c r="F61" s="12"/>
      <c r="G61" s="12"/>
      <c r="H61" s="69"/>
    </row>
    <row r="62" spans="1:8" x14ac:dyDescent="0.2">
      <c r="A62" s="1"/>
      <c r="B62" s="1"/>
      <c r="C62" s="2" t="s">
        <v>95</v>
      </c>
      <c r="D62" s="1"/>
      <c r="E62" s="1" t="s">
        <v>96</v>
      </c>
      <c r="F62" s="13">
        <v>0</v>
      </c>
      <c r="G62" s="14">
        <v>0</v>
      </c>
      <c r="H62" s="69"/>
    </row>
    <row r="63" spans="1:8" x14ac:dyDescent="0.2">
      <c r="A63" s="1"/>
      <c r="B63" s="1"/>
      <c r="C63" s="11"/>
      <c r="D63" s="1"/>
      <c r="E63" s="1"/>
      <c r="F63" s="12"/>
      <c r="G63" s="12"/>
      <c r="H63" s="69"/>
    </row>
    <row r="64" spans="1:8" x14ac:dyDescent="0.2">
      <c r="A64" s="1"/>
      <c r="B64" s="1"/>
      <c r="C64" s="2" t="s">
        <v>104</v>
      </c>
      <c r="D64" s="1"/>
      <c r="E64" s="1"/>
      <c r="F64" s="1"/>
      <c r="G64" s="1"/>
      <c r="H64" s="69"/>
    </row>
    <row r="65" spans="1:8" x14ac:dyDescent="0.2">
      <c r="A65" s="1"/>
      <c r="B65" s="1"/>
      <c r="C65" s="2" t="s">
        <v>95</v>
      </c>
      <c r="D65" s="1"/>
      <c r="E65" s="1" t="s">
        <v>96</v>
      </c>
      <c r="F65" s="13">
        <v>0</v>
      </c>
      <c r="G65" s="14">
        <v>0</v>
      </c>
      <c r="H65" s="69"/>
    </row>
    <row r="66" spans="1:8" x14ac:dyDescent="0.2">
      <c r="A66" s="1"/>
      <c r="B66" s="1"/>
      <c r="C66" s="11"/>
      <c r="D66" s="1"/>
      <c r="E66" s="1"/>
      <c r="F66" s="12"/>
      <c r="G66" s="12"/>
      <c r="H66" s="69"/>
    </row>
    <row r="67" spans="1:8" x14ac:dyDescent="0.2">
      <c r="A67" s="1"/>
      <c r="B67" s="1"/>
      <c r="C67" s="2" t="s">
        <v>105</v>
      </c>
      <c r="D67" s="1"/>
      <c r="E67" s="1"/>
      <c r="F67" s="1"/>
      <c r="G67" s="1"/>
      <c r="H67" s="69"/>
    </row>
    <row r="68" spans="1:8" x14ac:dyDescent="0.2">
      <c r="A68" s="1"/>
      <c r="B68" s="1"/>
      <c r="C68" s="2" t="s">
        <v>95</v>
      </c>
      <c r="D68" s="1"/>
      <c r="E68" s="1" t="s">
        <v>96</v>
      </c>
      <c r="F68" s="13">
        <v>0</v>
      </c>
      <c r="G68" s="14">
        <v>0</v>
      </c>
      <c r="H68" s="69"/>
    </row>
    <row r="69" spans="1:8" x14ac:dyDescent="0.2">
      <c r="A69" s="1"/>
      <c r="B69" s="1"/>
      <c r="C69" s="11"/>
      <c r="D69" s="1"/>
      <c r="E69" s="1"/>
      <c r="F69" s="12"/>
      <c r="G69" s="12"/>
      <c r="H69" s="69"/>
    </row>
    <row r="70" spans="1:8" x14ac:dyDescent="0.2">
      <c r="A70" s="1"/>
      <c r="B70" s="1"/>
      <c r="C70" s="2" t="s">
        <v>106</v>
      </c>
      <c r="D70" s="1"/>
      <c r="E70" s="1"/>
      <c r="F70" s="12"/>
      <c r="G70" s="12"/>
      <c r="H70" s="69"/>
    </row>
    <row r="71" spans="1:8" x14ac:dyDescent="0.2">
      <c r="A71" s="1"/>
      <c r="B71" s="1"/>
      <c r="C71" s="2" t="s">
        <v>95</v>
      </c>
      <c r="D71" s="1"/>
      <c r="E71" s="1" t="s">
        <v>96</v>
      </c>
      <c r="F71" s="13">
        <v>0</v>
      </c>
      <c r="G71" s="14">
        <v>0</v>
      </c>
      <c r="H71" s="69"/>
    </row>
    <row r="72" spans="1:8" x14ac:dyDescent="0.2">
      <c r="A72" s="1"/>
      <c r="B72" s="1"/>
      <c r="C72" s="11"/>
      <c r="D72" s="1"/>
      <c r="E72" s="1"/>
      <c r="F72" s="12"/>
      <c r="G72" s="12"/>
      <c r="H72" s="69"/>
    </row>
    <row r="73" spans="1:8" x14ac:dyDescent="0.2">
      <c r="A73" s="1"/>
      <c r="B73" s="1"/>
      <c r="C73" s="2" t="s">
        <v>107</v>
      </c>
      <c r="D73" s="1"/>
      <c r="E73" s="1"/>
      <c r="F73" s="9">
        <v>0</v>
      </c>
      <c r="G73" s="10">
        <v>0</v>
      </c>
      <c r="H73" s="69"/>
    </row>
    <row r="74" spans="1:8" x14ac:dyDescent="0.2">
      <c r="A74" s="1"/>
      <c r="B74" s="1"/>
      <c r="C74" s="11"/>
      <c r="D74" s="1"/>
      <c r="E74" s="1"/>
      <c r="F74" s="12"/>
      <c r="G74" s="12"/>
      <c r="H74" s="69"/>
    </row>
    <row r="75" spans="1:8" x14ac:dyDescent="0.2">
      <c r="A75" s="1"/>
      <c r="B75" s="1"/>
      <c r="C75" s="2" t="s">
        <v>108</v>
      </c>
      <c r="D75" s="1"/>
      <c r="E75" s="1"/>
      <c r="F75" s="12"/>
      <c r="G75" s="12"/>
      <c r="H75" s="69"/>
    </row>
    <row r="76" spans="1:8" x14ac:dyDescent="0.2">
      <c r="A76" s="1"/>
      <c r="B76" s="1"/>
      <c r="C76" s="2" t="s">
        <v>109</v>
      </c>
      <c r="D76" s="1"/>
      <c r="E76" s="1"/>
      <c r="F76" s="12"/>
      <c r="G76" s="12"/>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110</v>
      </c>
      <c r="D79" s="1"/>
      <c r="E79" s="1"/>
      <c r="F79" s="12"/>
      <c r="G79" s="12"/>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111</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112</v>
      </c>
      <c r="D85" s="1"/>
      <c r="E85" s="1"/>
      <c r="F85" s="12"/>
      <c r="G85" s="12"/>
      <c r="H85" s="69"/>
    </row>
    <row r="86" spans="1:8" x14ac:dyDescent="0.2">
      <c r="A86" s="3">
        <v>1</v>
      </c>
      <c r="B86" s="4"/>
      <c r="C86" s="4" t="s">
        <v>113</v>
      </c>
      <c r="D86" s="4"/>
      <c r="E86" s="8"/>
      <c r="F86" s="6">
        <v>353.01417579999998</v>
      </c>
      <c r="G86" s="7">
        <v>5.660595E-3</v>
      </c>
      <c r="H86" s="6">
        <v>3.3628721504199861</v>
      </c>
    </row>
    <row r="87" spans="1:8" x14ac:dyDescent="0.2">
      <c r="A87" s="3">
        <v>2</v>
      </c>
      <c r="B87" s="4"/>
      <c r="C87" s="4" t="s">
        <v>114</v>
      </c>
      <c r="D87" s="4"/>
      <c r="E87" s="8"/>
      <c r="F87" s="6">
        <v>136.33084590000001</v>
      </c>
      <c r="G87" s="7">
        <v>2.18607E-3</v>
      </c>
      <c r="H87" s="6">
        <v>3.4499999999999966</v>
      </c>
    </row>
    <row r="88" spans="1:8" x14ac:dyDescent="0.2">
      <c r="A88" s="1"/>
      <c r="B88" s="1"/>
      <c r="C88" s="2" t="s">
        <v>95</v>
      </c>
      <c r="D88" s="1"/>
      <c r="E88" s="1" t="s">
        <v>96</v>
      </c>
      <c r="F88" s="9">
        <v>489.34502170000002</v>
      </c>
      <c r="G88" s="10">
        <v>7.8466649999999992E-3</v>
      </c>
      <c r="H88" s="6"/>
    </row>
    <row r="89" spans="1:8" x14ac:dyDescent="0.2">
      <c r="A89" s="1"/>
      <c r="B89" s="1"/>
      <c r="C89" s="11"/>
      <c r="D89" s="1"/>
      <c r="E89" s="1"/>
      <c r="F89" s="12"/>
      <c r="G89" s="12"/>
      <c r="H89" s="69"/>
    </row>
    <row r="90" spans="1:8" x14ac:dyDescent="0.2">
      <c r="A90" s="1"/>
      <c r="B90" s="1"/>
      <c r="C90" s="2" t="s">
        <v>115</v>
      </c>
      <c r="D90" s="1"/>
      <c r="E90" s="1"/>
      <c r="F90" s="9">
        <v>489.34502170000002</v>
      </c>
      <c r="G90" s="10">
        <v>7.8466649999999992E-3</v>
      </c>
      <c r="H90" s="69"/>
    </row>
    <row r="91" spans="1:8" x14ac:dyDescent="0.2">
      <c r="A91" s="1"/>
      <c r="B91" s="1"/>
      <c r="C91" s="12"/>
      <c r="D91" s="1"/>
      <c r="E91" s="1"/>
      <c r="F91" s="1"/>
      <c r="G91" s="1"/>
      <c r="H91" s="69"/>
    </row>
    <row r="92" spans="1:8" x14ac:dyDescent="0.2">
      <c r="A92" s="1"/>
      <c r="B92" s="1"/>
      <c r="C92" s="2" t="s">
        <v>116</v>
      </c>
      <c r="D92" s="1"/>
      <c r="E92" s="1"/>
      <c r="F92" s="1"/>
      <c r="G92" s="1"/>
      <c r="H92" s="69"/>
    </row>
    <row r="93" spans="1:8" x14ac:dyDescent="0.2">
      <c r="A93" s="1"/>
      <c r="B93" s="1"/>
      <c r="C93" s="2" t="s">
        <v>117</v>
      </c>
      <c r="D93" s="1"/>
      <c r="E93" s="1"/>
      <c r="F93" s="1"/>
      <c r="G93" s="1"/>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118</v>
      </c>
      <c r="D96" s="1"/>
      <c r="E96" s="1"/>
      <c r="F96" s="1"/>
      <c r="G96" s="1"/>
      <c r="H96" s="69"/>
    </row>
    <row r="97" spans="1:8" x14ac:dyDescent="0.2">
      <c r="A97" s="1"/>
      <c r="B97" s="1"/>
      <c r="C97" s="2" t="s">
        <v>119</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11"/>
      <c r="D100" s="1"/>
      <c r="E100" s="1"/>
      <c r="F100" s="12"/>
      <c r="G100" s="12"/>
      <c r="H100" s="69"/>
    </row>
    <row r="101" spans="1:8" ht="25.5" x14ac:dyDescent="0.2">
      <c r="A101" s="1"/>
      <c r="B101" s="1"/>
      <c r="C101" s="2" t="s">
        <v>120</v>
      </c>
      <c r="D101" s="1"/>
      <c r="E101" s="1"/>
      <c r="F101" s="12"/>
      <c r="G101" s="12"/>
      <c r="H101" s="69"/>
    </row>
    <row r="102" spans="1:8" x14ac:dyDescent="0.2">
      <c r="A102" s="1"/>
      <c r="B102" s="1"/>
      <c r="C102" s="2" t="s">
        <v>95</v>
      </c>
      <c r="D102" s="1"/>
      <c r="E102" s="1" t="s">
        <v>96</v>
      </c>
      <c r="F102" s="13">
        <v>0</v>
      </c>
      <c r="G102" s="14">
        <v>0</v>
      </c>
      <c r="H102" s="69"/>
    </row>
    <row r="103" spans="1:8" x14ac:dyDescent="0.2">
      <c r="A103" s="1"/>
      <c r="B103" s="1"/>
      <c r="C103" s="11"/>
      <c r="D103" s="1"/>
      <c r="E103" s="1"/>
      <c r="F103" s="12"/>
      <c r="G103" s="12"/>
      <c r="H103" s="69"/>
    </row>
    <row r="104" spans="1:8" x14ac:dyDescent="0.2">
      <c r="A104" s="1"/>
      <c r="B104" s="4"/>
      <c r="C104" s="4"/>
      <c r="D104" s="2"/>
      <c r="E104" s="1"/>
      <c r="F104" s="4"/>
      <c r="G104" s="8"/>
      <c r="H104" s="69"/>
    </row>
    <row r="105" spans="1:8" x14ac:dyDescent="0.2">
      <c r="A105" s="8"/>
      <c r="B105" s="4"/>
      <c r="C105" s="4" t="s">
        <v>121</v>
      </c>
      <c r="D105" s="4"/>
      <c r="E105" s="8"/>
      <c r="F105" s="6">
        <v>569.16621811000005</v>
      </c>
      <c r="G105" s="7">
        <v>9.1266019999999993E-3</v>
      </c>
      <c r="H105" s="69"/>
    </row>
    <row r="106" spans="1:8" x14ac:dyDescent="0.2">
      <c r="A106" s="11"/>
      <c r="B106" s="11"/>
      <c r="C106" s="2" t="s">
        <v>122</v>
      </c>
      <c r="D106" s="15"/>
      <c r="E106" s="15"/>
      <c r="F106" s="9">
        <v>62363.434343999004</v>
      </c>
      <c r="G106" s="10">
        <v>1.0000000009999999</v>
      </c>
      <c r="H106" s="69"/>
    </row>
    <row r="107" spans="1:8" ht="14.1" customHeight="1" x14ac:dyDescent="0.2">
      <c r="A107" s="16"/>
      <c r="B107" s="16"/>
      <c r="C107" s="16"/>
      <c r="D107" s="17"/>
      <c r="E107" s="17"/>
      <c r="F107" s="17"/>
      <c r="G107" s="17"/>
    </row>
    <row r="108" spans="1:8" ht="14.1" customHeight="1" x14ac:dyDescent="0.2">
      <c r="A108" s="18"/>
      <c r="B108" s="176" t="s">
        <v>96</v>
      </c>
      <c r="C108" s="176"/>
      <c r="D108" s="176"/>
      <c r="E108" s="176"/>
      <c r="F108" s="176"/>
      <c r="G108" s="20"/>
    </row>
    <row r="109" spans="1:8" ht="17.100000000000001" customHeight="1" x14ac:dyDescent="0.2">
      <c r="A109" s="18"/>
      <c r="B109" s="176" t="s">
        <v>123</v>
      </c>
      <c r="C109" s="176"/>
      <c r="D109" s="176"/>
      <c r="E109" s="176"/>
      <c r="F109" s="176"/>
      <c r="G109" s="20"/>
    </row>
    <row r="110" spans="1:8" ht="14.1" customHeight="1" x14ac:dyDescent="0.2">
      <c r="A110" s="18"/>
      <c r="B110" s="18"/>
      <c r="C110" s="18"/>
      <c r="D110" s="20"/>
      <c r="E110" s="20"/>
      <c r="F110" s="20"/>
      <c r="G110" s="20"/>
    </row>
    <row r="111" spans="1:8" ht="14.1" customHeight="1" x14ac:dyDescent="0.2">
      <c r="A111" s="18"/>
      <c r="B111" s="174" t="s">
        <v>124</v>
      </c>
      <c r="C111" s="175"/>
      <c r="D111" s="12" t="s">
        <v>96</v>
      </c>
      <c r="E111" s="21"/>
      <c r="F111" s="20"/>
      <c r="G111" s="20"/>
    </row>
    <row r="112" spans="1:8" ht="29.1" customHeight="1" x14ac:dyDescent="0.2">
      <c r="A112" s="18"/>
      <c r="B112" s="172" t="s">
        <v>125</v>
      </c>
      <c r="C112" s="173"/>
      <c r="D112" s="2" t="s">
        <v>126</v>
      </c>
      <c r="E112" s="21"/>
      <c r="F112" s="20"/>
      <c r="G112" s="20"/>
    </row>
    <row r="113" spans="1:16" ht="17.100000000000001" customHeight="1" x14ac:dyDescent="0.2">
      <c r="A113" s="18"/>
      <c r="B113" s="172" t="s">
        <v>934</v>
      </c>
      <c r="C113" s="173"/>
      <c r="D113" s="81" t="s">
        <v>935</v>
      </c>
      <c r="E113" s="21"/>
      <c r="F113" s="20"/>
      <c r="G113" s="20"/>
    </row>
    <row r="114" spans="1:16" ht="17.100000000000001" customHeight="1" x14ac:dyDescent="0.2">
      <c r="A114" s="18"/>
      <c r="B114" s="172" t="s">
        <v>128</v>
      </c>
      <c r="C114" s="173"/>
      <c r="D114" s="12" t="s">
        <v>96</v>
      </c>
      <c r="E114" s="21"/>
      <c r="F114" s="20"/>
      <c r="G114" s="20"/>
    </row>
    <row r="115" spans="1:16" ht="24" customHeight="1" x14ac:dyDescent="0.2">
      <c r="A115" s="22"/>
      <c r="B115" s="23" t="s">
        <v>96</v>
      </c>
      <c r="C115" s="23" t="s">
        <v>129</v>
      </c>
      <c r="D115" s="23" t="s">
        <v>130</v>
      </c>
      <c r="E115" s="22"/>
      <c r="F115" s="22"/>
      <c r="G115" s="22"/>
    </row>
    <row r="116" spans="1:16" ht="18" customHeight="1" x14ac:dyDescent="0.2">
      <c r="A116" s="22"/>
      <c r="B116" s="23" t="s">
        <v>131</v>
      </c>
      <c r="C116" s="23" t="s">
        <v>132</v>
      </c>
      <c r="D116" s="23" t="s">
        <v>133</v>
      </c>
      <c r="E116" s="22"/>
      <c r="F116" s="22"/>
      <c r="G116" s="22"/>
    </row>
    <row r="117" spans="1:16" ht="17.100000000000001" customHeight="1" x14ac:dyDescent="0.2">
      <c r="A117" s="22"/>
      <c r="B117" s="4" t="s">
        <v>134</v>
      </c>
      <c r="C117" s="24">
        <v>53.7881</v>
      </c>
      <c r="D117" s="24">
        <v>52.253599999999999</v>
      </c>
      <c r="E117" s="22"/>
      <c r="F117" s="19"/>
      <c r="G117" s="25"/>
    </row>
    <row r="118" spans="1:16" ht="17.100000000000001" customHeight="1" x14ac:dyDescent="0.2">
      <c r="A118" s="22"/>
      <c r="B118" s="4" t="s">
        <v>983</v>
      </c>
      <c r="C118" s="24">
        <v>41.499200000000002</v>
      </c>
      <c r="D118" s="24">
        <v>40.315300000000001</v>
      </c>
      <c r="E118" s="22"/>
      <c r="F118" s="19"/>
      <c r="G118" s="25"/>
    </row>
    <row r="119" spans="1:16" ht="17.100000000000001" customHeight="1" x14ac:dyDescent="0.2">
      <c r="A119" s="22"/>
      <c r="B119" s="4" t="s">
        <v>135</v>
      </c>
      <c r="C119" s="24">
        <v>51.383299999999998</v>
      </c>
      <c r="D119" s="24">
        <v>49.896799999999999</v>
      </c>
      <c r="E119" s="22"/>
      <c r="F119" s="19"/>
      <c r="G119" s="25"/>
    </row>
    <row r="120" spans="1:16" ht="17.100000000000001" customHeight="1" x14ac:dyDescent="0.2">
      <c r="A120" s="22"/>
      <c r="B120" s="4" t="s">
        <v>984</v>
      </c>
      <c r="C120" s="24">
        <v>39.4435</v>
      </c>
      <c r="D120" s="24">
        <v>38.302399999999999</v>
      </c>
      <c r="E120" s="22"/>
      <c r="F120" s="19"/>
      <c r="G120" s="25"/>
    </row>
    <row r="121" spans="1:16" ht="14.1" customHeight="1" x14ac:dyDescent="0.2">
      <c r="A121" s="22"/>
      <c r="B121" s="22"/>
      <c r="C121" s="22"/>
      <c r="D121" s="22"/>
      <c r="E121" s="22"/>
      <c r="F121" s="22"/>
      <c r="G121" s="22"/>
    </row>
    <row r="122" spans="1:16" ht="17.100000000000001" customHeight="1" x14ac:dyDescent="0.2">
      <c r="A122" s="22"/>
      <c r="B122" s="172" t="s">
        <v>985</v>
      </c>
      <c r="C122" s="173"/>
      <c r="D122" s="36" t="s">
        <v>126</v>
      </c>
      <c r="E122" s="22"/>
      <c r="F122" s="22"/>
      <c r="G122" s="22"/>
    </row>
    <row r="123" spans="1:16" ht="18" customHeight="1" x14ac:dyDescent="0.2">
      <c r="A123" s="22"/>
      <c r="B123" s="26" t="s">
        <v>136</v>
      </c>
      <c r="C123" s="26" t="s">
        <v>136</v>
      </c>
      <c r="D123" s="26"/>
      <c r="E123" s="22"/>
      <c r="F123" s="22"/>
      <c r="G123" s="22"/>
    </row>
    <row r="124" spans="1:16" s="82" customFormat="1" x14ac:dyDescent="0.2">
      <c r="B124" s="177" t="s">
        <v>936</v>
      </c>
      <c r="C124" s="177"/>
      <c r="D124" s="177"/>
      <c r="E124" s="177"/>
      <c r="F124" s="177"/>
      <c r="I124"/>
      <c r="J124"/>
      <c r="K124"/>
      <c r="L124"/>
      <c r="M124"/>
      <c r="N124"/>
      <c r="O124"/>
      <c r="P124" s="70"/>
    </row>
    <row r="125" spans="1:16" ht="14.1" customHeight="1" x14ac:dyDescent="0.2">
      <c r="A125" s="22"/>
      <c r="B125" s="19"/>
      <c r="C125" s="19"/>
      <c r="D125" s="22"/>
      <c r="E125" s="22"/>
      <c r="F125" s="22"/>
      <c r="G125" s="22"/>
    </row>
    <row r="126" spans="1:16" ht="29.1" customHeight="1" x14ac:dyDescent="0.2">
      <c r="A126" s="22"/>
      <c r="B126" s="172" t="s">
        <v>137</v>
      </c>
      <c r="C126" s="173"/>
      <c r="D126" s="2" t="s">
        <v>126</v>
      </c>
      <c r="E126" s="22"/>
      <c r="F126" s="22"/>
      <c r="G126" s="22"/>
    </row>
    <row r="127" spans="1:16" ht="29.1" customHeight="1" x14ac:dyDescent="0.2">
      <c r="A127" s="22"/>
      <c r="B127" s="172" t="s">
        <v>138</v>
      </c>
      <c r="C127" s="173"/>
      <c r="D127" s="2" t="s">
        <v>126</v>
      </c>
      <c r="E127" s="22"/>
      <c r="F127" s="22"/>
      <c r="G127" s="22"/>
    </row>
    <row r="128" spans="1:16" ht="17.100000000000001" customHeight="1" x14ac:dyDescent="0.2">
      <c r="A128" s="22"/>
      <c r="B128" s="172" t="s">
        <v>139</v>
      </c>
      <c r="C128" s="173"/>
      <c r="D128" s="27">
        <v>0.40919707782558601</v>
      </c>
      <c r="E128" s="22"/>
      <c r="F128" s="19"/>
      <c r="G128" s="25"/>
      <c r="I128" s="82"/>
      <c r="J128" s="82"/>
      <c r="K128" s="82"/>
      <c r="L128" s="82"/>
      <c r="M128" s="82"/>
      <c r="N128" s="82"/>
      <c r="O128" s="82"/>
    </row>
    <row r="129" spans="1:7" ht="17.100000000000001" customHeight="1" x14ac:dyDescent="0.2">
      <c r="A129" s="22"/>
      <c r="B129" s="172" t="s">
        <v>140</v>
      </c>
      <c r="C129" s="173"/>
      <c r="D129" s="2" t="s">
        <v>126</v>
      </c>
      <c r="E129" s="22"/>
      <c r="F129" s="22"/>
      <c r="G129" s="22"/>
    </row>
  </sheetData>
  <mergeCells count="16">
    <mergeCell ref="B129:C129"/>
    <mergeCell ref="B112:C112"/>
    <mergeCell ref="B113:C113"/>
    <mergeCell ref="B114:C114"/>
    <mergeCell ref="B122:C122"/>
    <mergeCell ref="B126:C126"/>
    <mergeCell ref="B127:C127"/>
    <mergeCell ref="B124:F124"/>
    <mergeCell ref="A1:H1"/>
    <mergeCell ref="A2:H2"/>
    <mergeCell ref="A3:H3"/>
    <mergeCell ref="J2:N2"/>
    <mergeCell ref="B128:C128"/>
    <mergeCell ref="B111:C111"/>
    <mergeCell ref="B108:F108"/>
    <mergeCell ref="B109:F109"/>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67"/>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141</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142</v>
      </c>
      <c r="C7" s="4" t="s">
        <v>143</v>
      </c>
      <c r="D7" s="4" t="s">
        <v>144</v>
      </c>
      <c r="E7" s="5">
        <v>16130</v>
      </c>
      <c r="F7" s="6">
        <v>603.42330000000004</v>
      </c>
      <c r="G7" s="7">
        <v>2.8176073999999999E-2</v>
      </c>
      <c r="H7" s="69"/>
    </row>
    <row r="8" spans="1:14" x14ac:dyDescent="0.2">
      <c r="A8" s="3">
        <v>2</v>
      </c>
      <c r="B8" s="4" t="s">
        <v>145</v>
      </c>
      <c r="C8" s="4" t="s">
        <v>146</v>
      </c>
      <c r="D8" s="4" t="s">
        <v>27</v>
      </c>
      <c r="E8" s="5">
        <v>52070</v>
      </c>
      <c r="F8" s="6">
        <v>575.32142999999996</v>
      </c>
      <c r="G8" s="7">
        <v>2.6863893E-2</v>
      </c>
      <c r="H8" s="69"/>
    </row>
    <row r="9" spans="1:14" x14ac:dyDescent="0.2">
      <c r="A9" s="3">
        <v>3</v>
      </c>
      <c r="B9" s="4" t="s">
        <v>79</v>
      </c>
      <c r="C9" s="4" t="s">
        <v>80</v>
      </c>
      <c r="D9" s="4" t="s">
        <v>75</v>
      </c>
      <c r="E9" s="5">
        <v>143593</v>
      </c>
      <c r="F9" s="6">
        <v>535.88907600000005</v>
      </c>
      <c r="G9" s="7">
        <v>2.502265E-2</v>
      </c>
      <c r="H9" s="69"/>
    </row>
    <row r="10" spans="1:14" x14ac:dyDescent="0.2">
      <c r="A10" s="3">
        <v>4</v>
      </c>
      <c r="B10" s="4" t="s">
        <v>147</v>
      </c>
      <c r="C10" s="4" t="s">
        <v>148</v>
      </c>
      <c r="D10" s="4" t="s">
        <v>78</v>
      </c>
      <c r="E10" s="5">
        <v>429664</v>
      </c>
      <c r="F10" s="6">
        <v>520.96759999999995</v>
      </c>
      <c r="G10" s="7">
        <v>2.4325910999999999E-2</v>
      </c>
      <c r="H10" s="69"/>
    </row>
    <row r="11" spans="1:14" x14ac:dyDescent="0.2">
      <c r="A11" s="3">
        <v>5</v>
      </c>
      <c r="B11" s="4" t="s">
        <v>149</v>
      </c>
      <c r="C11" s="4" t="s">
        <v>150</v>
      </c>
      <c r="D11" s="4" t="s">
        <v>75</v>
      </c>
      <c r="E11" s="5">
        <v>86113</v>
      </c>
      <c r="F11" s="6">
        <v>518.05580799999996</v>
      </c>
      <c r="G11" s="7">
        <v>2.4189947999999999E-2</v>
      </c>
      <c r="H11" s="69"/>
    </row>
    <row r="12" spans="1:14" ht="25.5" x14ac:dyDescent="0.2">
      <c r="A12" s="3">
        <v>6</v>
      </c>
      <c r="B12" s="4" t="s">
        <v>151</v>
      </c>
      <c r="C12" s="4" t="s">
        <v>152</v>
      </c>
      <c r="D12" s="4" t="s">
        <v>45</v>
      </c>
      <c r="E12" s="5">
        <v>347324</v>
      </c>
      <c r="F12" s="6">
        <v>518.03374599999995</v>
      </c>
      <c r="G12" s="7">
        <v>2.4188918E-2</v>
      </c>
      <c r="H12" s="69"/>
    </row>
    <row r="13" spans="1:14" x14ac:dyDescent="0.2">
      <c r="A13" s="3">
        <v>7</v>
      </c>
      <c r="B13" s="4" t="s">
        <v>153</v>
      </c>
      <c r="C13" s="4" t="s">
        <v>154</v>
      </c>
      <c r="D13" s="4" t="s">
        <v>155</v>
      </c>
      <c r="E13" s="5">
        <v>10880</v>
      </c>
      <c r="F13" s="6">
        <v>450.30144000000001</v>
      </c>
      <c r="G13" s="7">
        <v>2.1026245999999998E-2</v>
      </c>
      <c r="H13" s="69"/>
    </row>
    <row r="14" spans="1:14" x14ac:dyDescent="0.2">
      <c r="A14" s="3">
        <v>8</v>
      </c>
      <c r="B14" s="4" t="s">
        <v>156</v>
      </c>
      <c r="C14" s="4" t="s">
        <v>157</v>
      </c>
      <c r="D14" s="4" t="s">
        <v>27</v>
      </c>
      <c r="E14" s="5">
        <v>55197</v>
      </c>
      <c r="F14" s="6">
        <v>428.27352300000001</v>
      </c>
      <c r="G14" s="7">
        <v>1.999768E-2</v>
      </c>
      <c r="H14" s="69"/>
    </row>
    <row r="15" spans="1:14" ht="15" x14ac:dyDescent="0.2">
      <c r="A15" s="3">
        <v>9</v>
      </c>
      <c r="B15" s="4" t="s">
        <v>158</v>
      </c>
      <c r="C15" s="4" t="s">
        <v>159</v>
      </c>
      <c r="D15" s="4" t="s">
        <v>160</v>
      </c>
      <c r="E15" s="5">
        <v>24077</v>
      </c>
      <c r="F15" s="6">
        <v>390.66136349999999</v>
      </c>
      <c r="G15" s="7">
        <v>1.8241429E-2</v>
      </c>
      <c r="H15" s="69"/>
      <c r="J15" s="160" t="s">
        <v>1011</v>
      </c>
    </row>
    <row r="16" spans="1:14" ht="25.5" x14ac:dyDescent="0.2">
      <c r="A16" s="3">
        <v>10</v>
      </c>
      <c r="B16" s="4" t="s">
        <v>37</v>
      </c>
      <c r="C16" s="4" t="s">
        <v>38</v>
      </c>
      <c r="D16" s="4" t="s">
        <v>974</v>
      </c>
      <c r="E16" s="5">
        <v>12014</v>
      </c>
      <c r="F16" s="6">
        <v>388.64689299999998</v>
      </c>
      <c r="G16" s="7">
        <v>1.8147366000000002E-2</v>
      </c>
      <c r="H16" s="69"/>
    </row>
    <row r="17" spans="1:8" x14ac:dyDescent="0.2">
      <c r="A17" s="3">
        <v>11</v>
      </c>
      <c r="B17" s="4" t="s">
        <v>56</v>
      </c>
      <c r="C17" s="4" t="s">
        <v>57</v>
      </c>
      <c r="D17" s="4" t="s">
        <v>53</v>
      </c>
      <c r="E17" s="5">
        <v>74785</v>
      </c>
      <c r="F17" s="6">
        <v>375.75723249999999</v>
      </c>
      <c r="G17" s="7">
        <v>1.7545499999999999E-2</v>
      </c>
      <c r="H17" s="69"/>
    </row>
    <row r="18" spans="1:8" x14ac:dyDescent="0.2">
      <c r="A18" s="3">
        <v>12</v>
      </c>
      <c r="B18" s="4" t="s">
        <v>161</v>
      </c>
      <c r="C18" s="4" t="s">
        <v>162</v>
      </c>
      <c r="D18" s="4" t="s">
        <v>22</v>
      </c>
      <c r="E18" s="5">
        <v>202807</v>
      </c>
      <c r="F18" s="6">
        <v>370.4269855</v>
      </c>
      <c r="G18" s="7">
        <v>1.7296611E-2</v>
      </c>
      <c r="H18" s="69"/>
    </row>
    <row r="19" spans="1:8" x14ac:dyDescent="0.2">
      <c r="A19" s="3">
        <v>13</v>
      </c>
      <c r="B19" s="4" t="s">
        <v>163</v>
      </c>
      <c r="C19" s="4" t="s">
        <v>164</v>
      </c>
      <c r="D19" s="4" t="s">
        <v>975</v>
      </c>
      <c r="E19" s="5">
        <v>92489</v>
      </c>
      <c r="F19" s="6">
        <v>370.18722250000002</v>
      </c>
      <c r="G19" s="7">
        <v>1.7285414999999998E-2</v>
      </c>
      <c r="H19" s="69"/>
    </row>
    <row r="20" spans="1:8" x14ac:dyDescent="0.2">
      <c r="A20" s="3">
        <v>14</v>
      </c>
      <c r="B20" s="4" t="s">
        <v>165</v>
      </c>
      <c r="C20" s="4" t="s">
        <v>166</v>
      </c>
      <c r="D20" s="4" t="s">
        <v>155</v>
      </c>
      <c r="E20" s="5">
        <v>74267</v>
      </c>
      <c r="F20" s="6">
        <v>367.3617155</v>
      </c>
      <c r="G20" s="7">
        <v>1.7153482000000001E-2</v>
      </c>
      <c r="H20" s="69"/>
    </row>
    <row r="21" spans="1:8" x14ac:dyDescent="0.2">
      <c r="A21" s="3">
        <v>15</v>
      </c>
      <c r="B21" s="4" t="s">
        <v>167</v>
      </c>
      <c r="C21" s="4" t="s">
        <v>168</v>
      </c>
      <c r="D21" s="4" t="s">
        <v>976</v>
      </c>
      <c r="E21" s="5">
        <v>36099</v>
      </c>
      <c r="F21" s="6">
        <v>366.13410750000003</v>
      </c>
      <c r="G21" s="7">
        <v>1.7096159999999999E-2</v>
      </c>
      <c r="H21" s="69"/>
    </row>
    <row r="22" spans="1:8" x14ac:dyDescent="0.2">
      <c r="A22" s="3">
        <v>16</v>
      </c>
      <c r="B22" s="4" t="s">
        <v>169</v>
      </c>
      <c r="C22" s="4" t="s">
        <v>170</v>
      </c>
      <c r="D22" s="4" t="s">
        <v>155</v>
      </c>
      <c r="E22" s="5">
        <v>31830</v>
      </c>
      <c r="F22" s="6">
        <v>365.69486999999998</v>
      </c>
      <c r="G22" s="7">
        <v>1.7075651000000001E-2</v>
      </c>
      <c r="H22" s="69"/>
    </row>
    <row r="23" spans="1:8" x14ac:dyDescent="0.2">
      <c r="A23" s="3">
        <v>17</v>
      </c>
      <c r="B23" s="4" t="s">
        <v>25</v>
      </c>
      <c r="C23" s="4" t="s">
        <v>26</v>
      </c>
      <c r="D23" s="4" t="s">
        <v>27</v>
      </c>
      <c r="E23" s="5">
        <v>21024</v>
      </c>
      <c r="F23" s="6">
        <v>339.16968000000003</v>
      </c>
      <c r="G23" s="7">
        <v>1.5837091000000001E-2</v>
      </c>
      <c r="H23" s="69"/>
    </row>
    <row r="24" spans="1:8" x14ac:dyDescent="0.2">
      <c r="A24" s="3">
        <v>18</v>
      </c>
      <c r="B24" s="4" t="s">
        <v>171</v>
      </c>
      <c r="C24" s="4" t="s">
        <v>172</v>
      </c>
      <c r="D24" s="4" t="s">
        <v>977</v>
      </c>
      <c r="E24" s="5">
        <v>136467</v>
      </c>
      <c r="F24" s="6">
        <v>331.13717550000001</v>
      </c>
      <c r="G24" s="7">
        <v>1.5462024E-2</v>
      </c>
      <c r="H24" s="69"/>
    </row>
    <row r="25" spans="1:8" x14ac:dyDescent="0.2">
      <c r="A25" s="3">
        <v>19</v>
      </c>
      <c r="B25" s="4" t="s">
        <v>41</v>
      </c>
      <c r="C25" s="4" t="s">
        <v>42</v>
      </c>
      <c r="D25" s="4" t="s">
        <v>27</v>
      </c>
      <c r="E25" s="5">
        <v>26435</v>
      </c>
      <c r="F25" s="6">
        <v>328.3094825</v>
      </c>
      <c r="G25" s="7">
        <v>1.5329987999999999E-2</v>
      </c>
      <c r="H25" s="69"/>
    </row>
    <row r="26" spans="1:8" x14ac:dyDescent="0.2">
      <c r="A26" s="3">
        <v>20</v>
      </c>
      <c r="B26" s="4" t="s">
        <v>173</v>
      </c>
      <c r="C26" s="4" t="s">
        <v>174</v>
      </c>
      <c r="D26" s="4" t="s">
        <v>175</v>
      </c>
      <c r="E26" s="5">
        <v>128225</v>
      </c>
      <c r="F26" s="6">
        <v>324.47336250000001</v>
      </c>
      <c r="G26" s="7">
        <v>1.5150866000000001E-2</v>
      </c>
      <c r="H26" s="69"/>
    </row>
    <row r="27" spans="1:8" x14ac:dyDescent="0.2">
      <c r="A27" s="3">
        <v>21</v>
      </c>
      <c r="B27" s="4" t="s">
        <v>176</v>
      </c>
      <c r="C27" s="4" t="s">
        <v>177</v>
      </c>
      <c r="D27" s="4" t="s">
        <v>78</v>
      </c>
      <c r="E27" s="5">
        <v>39225</v>
      </c>
      <c r="F27" s="6">
        <v>317.48714999999999</v>
      </c>
      <c r="G27" s="7">
        <v>1.4824653E-2</v>
      </c>
      <c r="H27" s="69"/>
    </row>
    <row r="28" spans="1:8" x14ac:dyDescent="0.2">
      <c r="A28" s="3">
        <v>22</v>
      </c>
      <c r="B28" s="4" t="s">
        <v>178</v>
      </c>
      <c r="C28" s="4" t="s">
        <v>179</v>
      </c>
      <c r="D28" s="4" t="s">
        <v>180</v>
      </c>
      <c r="E28" s="5">
        <v>32673</v>
      </c>
      <c r="F28" s="6">
        <v>307.84500600000001</v>
      </c>
      <c r="G28" s="7">
        <v>1.4374425999999999E-2</v>
      </c>
      <c r="H28" s="69"/>
    </row>
    <row r="29" spans="1:8" x14ac:dyDescent="0.2">
      <c r="A29" s="3">
        <v>23</v>
      </c>
      <c r="B29" s="4" t="s">
        <v>181</v>
      </c>
      <c r="C29" s="4" t="s">
        <v>182</v>
      </c>
      <c r="D29" s="4" t="s">
        <v>155</v>
      </c>
      <c r="E29" s="5">
        <v>29067</v>
      </c>
      <c r="F29" s="6">
        <v>294.28884149999999</v>
      </c>
      <c r="G29" s="7">
        <v>1.3741438E-2</v>
      </c>
      <c r="H29" s="69"/>
    </row>
    <row r="30" spans="1:8" x14ac:dyDescent="0.2">
      <c r="A30" s="3">
        <v>24</v>
      </c>
      <c r="B30" s="4" t="s">
        <v>183</v>
      </c>
      <c r="C30" s="4" t="s">
        <v>184</v>
      </c>
      <c r="D30" s="4" t="s">
        <v>75</v>
      </c>
      <c r="E30" s="5">
        <v>30856</v>
      </c>
      <c r="F30" s="6">
        <v>293.59483999999998</v>
      </c>
      <c r="G30" s="7">
        <v>1.3709033000000001E-2</v>
      </c>
      <c r="H30" s="69"/>
    </row>
    <row r="31" spans="1:8" x14ac:dyDescent="0.2">
      <c r="A31" s="3">
        <v>25</v>
      </c>
      <c r="B31" s="4" t="s">
        <v>185</v>
      </c>
      <c r="C31" s="4" t="s">
        <v>186</v>
      </c>
      <c r="D31" s="4" t="s">
        <v>16</v>
      </c>
      <c r="E31" s="5">
        <v>99378</v>
      </c>
      <c r="F31" s="6">
        <v>293.264478</v>
      </c>
      <c r="G31" s="7">
        <v>1.3693607E-2</v>
      </c>
      <c r="H31" s="69"/>
    </row>
    <row r="32" spans="1:8" x14ac:dyDescent="0.2">
      <c r="A32" s="3">
        <v>26</v>
      </c>
      <c r="B32" s="4" t="s">
        <v>187</v>
      </c>
      <c r="C32" s="4" t="s">
        <v>188</v>
      </c>
      <c r="D32" s="4" t="s">
        <v>978</v>
      </c>
      <c r="E32" s="5">
        <v>31000</v>
      </c>
      <c r="F32" s="6">
        <v>277.03149999999999</v>
      </c>
      <c r="G32" s="7">
        <v>1.2935629000000001E-2</v>
      </c>
      <c r="H32" s="69"/>
    </row>
    <row r="33" spans="1:8" ht="25.5" x14ac:dyDescent="0.2">
      <c r="A33" s="3">
        <v>27</v>
      </c>
      <c r="B33" s="4" t="s">
        <v>189</v>
      </c>
      <c r="C33" s="4" t="s">
        <v>190</v>
      </c>
      <c r="D33" s="4" t="s">
        <v>974</v>
      </c>
      <c r="E33" s="5">
        <v>125135</v>
      </c>
      <c r="F33" s="6">
        <v>276.17294500000003</v>
      </c>
      <c r="G33" s="7">
        <v>1.289554E-2</v>
      </c>
      <c r="H33" s="69"/>
    </row>
    <row r="34" spans="1:8" x14ac:dyDescent="0.2">
      <c r="A34" s="3">
        <v>28</v>
      </c>
      <c r="B34" s="4" t="s">
        <v>191</v>
      </c>
      <c r="C34" s="4" t="s">
        <v>192</v>
      </c>
      <c r="D34" s="4" t="s">
        <v>53</v>
      </c>
      <c r="E34" s="5">
        <v>281600</v>
      </c>
      <c r="F34" s="6">
        <v>270.89920000000001</v>
      </c>
      <c r="G34" s="7">
        <v>1.2649288999999999E-2</v>
      </c>
      <c r="H34" s="69"/>
    </row>
    <row r="35" spans="1:8" x14ac:dyDescent="0.2">
      <c r="A35" s="3">
        <v>29</v>
      </c>
      <c r="B35" s="4" t="s">
        <v>193</v>
      </c>
      <c r="C35" s="4" t="s">
        <v>194</v>
      </c>
      <c r="D35" s="4" t="s">
        <v>195</v>
      </c>
      <c r="E35" s="5">
        <v>56206</v>
      </c>
      <c r="F35" s="6">
        <v>270.29465399999998</v>
      </c>
      <c r="G35" s="7">
        <v>1.2621060999999999E-2</v>
      </c>
      <c r="H35" s="69"/>
    </row>
    <row r="36" spans="1:8" x14ac:dyDescent="0.2">
      <c r="A36" s="3">
        <v>30</v>
      </c>
      <c r="B36" s="4" t="s">
        <v>196</v>
      </c>
      <c r="C36" s="4" t="s">
        <v>197</v>
      </c>
      <c r="D36" s="4" t="s">
        <v>144</v>
      </c>
      <c r="E36" s="5">
        <v>20627</v>
      </c>
      <c r="F36" s="6">
        <v>266.92369350000001</v>
      </c>
      <c r="G36" s="7">
        <v>1.2463658000000001E-2</v>
      </c>
      <c r="H36" s="69"/>
    </row>
    <row r="37" spans="1:8" x14ac:dyDescent="0.2">
      <c r="A37" s="3">
        <v>31</v>
      </c>
      <c r="B37" s="4" t="s">
        <v>198</v>
      </c>
      <c r="C37" s="4" t="s">
        <v>199</v>
      </c>
      <c r="D37" s="4" t="s">
        <v>78</v>
      </c>
      <c r="E37" s="5">
        <v>44944</v>
      </c>
      <c r="F37" s="6">
        <v>265.21454399999999</v>
      </c>
      <c r="G37" s="7">
        <v>1.2383851E-2</v>
      </c>
      <c r="H37" s="69"/>
    </row>
    <row r="38" spans="1:8" x14ac:dyDescent="0.2">
      <c r="A38" s="3">
        <v>32</v>
      </c>
      <c r="B38" s="4" t="s">
        <v>200</v>
      </c>
      <c r="C38" s="4" t="s">
        <v>201</v>
      </c>
      <c r="D38" s="4" t="s">
        <v>27</v>
      </c>
      <c r="E38" s="5">
        <v>13087</v>
      </c>
      <c r="F38" s="6">
        <v>264.47518300000002</v>
      </c>
      <c r="G38" s="7">
        <v>1.2349328E-2</v>
      </c>
      <c r="H38" s="69"/>
    </row>
    <row r="39" spans="1:8" x14ac:dyDescent="0.2">
      <c r="A39" s="3">
        <v>33</v>
      </c>
      <c r="B39" s="4" t="s">
        <v>202</v>
      </c>
      <c r="C39" s="4" t="s">
        <v>203</v>
      </c>
      <c r="D39" s="4" t="s">
        <v>204</v>
      </c>
      <c r="E39" s="5">
        <v>66638</v>
      </c>
      <c r="F39" s="6">
        <v>258.688716</v>
      </c>
      <c r="G39" s="7">
        <v>1.2079136000000001E-2</v>
      </c>
      <c r="H39" s="69"/>
    </row>
    <row r="40" spans="1:8" ht="25.5" x14ac:dyDescent="0.2">
      <c r="A40" s="3">
        <v>34</v>
      </c>
      <c r="B40" s="4" t="s">
        <v>205</v>
      </c>
      <c r="C40" s="4" t="s">
        <v>206</v>
      </c>
      <c r="D40" s="4" t="s">
        <v>207</v>
      </c>
      <c r="E40" s="5">
        <v>59268</v>
      </c>
      <c r="F40" s="6">
        <v>253.01509200000001</v>
      </c>
      <c r="G40" s="7">
        <v>1.1814214E-2</v>
      </c>
      <c r="H40" s="69"/>
    </row>
    <row r="41" spans="1:8" x14ac:dyDescent="0.2">
      <c r="A41" s="3">
        <v>35</v>
      </c>
      <c r="B41" s="4" t="s">
        <v>208</v>
      </c>
      <c r="C41" s="4" t="s">
        <v>209</v>
      </c>
      <c r="D41" s="4" t="s">
        <v>78</v>
      </c>
      <c r="E41" s="5">
        <v>488151</v>
      </c>
      <c r="F41" s="6">
        <v>245.05180200000001</v>
      </c>
      <c r="G41" s="7">
        <v>1.1442378E-2</v>
      </c>
      <c r="H41" s="69"/>
    </row>
    <row r="42" spans="1:8" x14ac:dyDescent="0.2">
      <c r="A42" s="3">
        <v>36</v>
      </c>
      <c r="B42" s="4" t="s">
        <v>210</v>
      </c>
      <c r="C42" s="4" t="s">
        <v>211</v>
      </c>
      <c r="D42" s="4" t="s">
        <v>53</v>
      </c>
      <c r="E42" s="5">
        <v>25501</v>
      </c>
      <c r="F42" s="6">
        <v>241.7112285</v>
      </c>
      <c r="G42" s="7">
        <v>1.1286394E-2</v>
      </c>
      <c r="H42" s="69"/>
    </row>
    <row r="43" spans="1:8" x14ac:dyDescent="0.2">
      <c r="A43" s="3">
        <v>37</v>
      </c>
      <c r="B43" s="4" t="s">
        <v>212</v>
      </c>
      <c r="C43" s="4" t="s">
        <v>213</v>
      </c>
      <c r="D43" s="4" t="s">
        <v>979</v>
      </c>
      <c r="E43" s="5">
        <v>42797</v>
      </c>
      <c r="F43" s="6">
        <v>234.741545</v>
      </c>
      <c r="G43" s="7">
        <v>1.0960954E-2</v>
      </c>
      <c r="H43" s="69"/>
    </row>
    <row r="44" spans="1:8" x14ac:dyDescent="0.2">
      <c r="A44" s="3">
        <v>38</v>
      </c>
      <c r="B44" s="4" t="s">
        <v>214</v>
      </c>
      <c r="C44" s="4" t="s">
        <v>215</v>
      </c>
      <c r="D44" s="4" t="s">
        <v>979</v>
      </c>
      <c r="E44" s="5">
        <v>22956</v>
      </c>
      <c r="F44" s="6">
        <v>234.23154600000001</v>
      </c>
      <c r="G44" s="7">
        <v>1.093714E-2</v>
      </c>
      <c r="H44" s="69"/>
    </row>
    <row r="45" spans="1:8" x14ac:dyDescent="0.2">
      <c r="A45" s="3">
        <v>39</v>
      </c>
      <c r="B45" s="4" t="s">
        <v>216</v>
      </c>
      <c r="C45" s="4" t="s">
        <v>217</v>
      </c>
      <c r="D45" s="4" t="s">
        <v>75</v>
      </c>
      <c r="E45" s="5">
        <v>26372</v>
      </c>
      <c r="F45" s="6">
        <v>231.335184</v>
      </c>
      <c r="G45" s="7">
        <v>1.0801898000000001E-2</v>
      </c>
      <c r="H45" s="69"/>
    </row>
    <row r="46" spans="1:8" ht="25.5" x14ac:dyDescent="0.2">
      <c r="A46" s="3">
        <v>40</v>
      </c>
      <c r="B46" s="4" t="s">
        <v>218</v>
      </c>
      <c r="C46" s="4" t="s">
        <v>869</v>
      </c>
      <c r="D46" s="4" t="s">
        <v>45</v>
      </c>
      <c r="E46" s="5">
        <v>106130</v>
      </c>
      <c r="F46" s="6">
        <v>220.64427000000001</v>
      </c>
      <c r="G46" s="7">
        <v>1.03027E-2</v>
      </c>
      <c r="H46" s="69"/>
    </row>
    <row r="47" spans="1:8" x14ac:dyDescent="0.2">
      <c r="A47" s="3">
        <v>41</v>
      </c>
      <c r="B47" s="4" t="s">
        <v>219</v>
      </c>
      <c r="C47" s="4" t="s">
        <v>220</v>
      </c>
      <c r="D47" s="4" t="s">
        <v>221</v>
      </c>
      <c r="E47" s="5">
        <v>103185</v>
      </c>
      <c r="F47" s="6">
        <v>217.10123999999999</v>
      </c>
      <c r="G47" s="7">
        <v>1.0137263000000001E-2</v>
      </c>
      <c r="H47" s="69"/>
    </row>
    <row r="48" spans="1:8" ht="25.5" x14ac:dyDescent="0.2">
      <c r="A48" s="3">
        <v>42</v>
      </c>
      <c r="B48" s="4" t="s">
        <v>222</v>
      </c>
      <c r="C48" s="4" t="s">
        <v>223</v>
      </c>
      <c r="D48" s="4" t="s">
        <v>207</v>
      </c>
      <c r="E48" s="5">
        <v>46200</v>
      </c>
      <c r="F48" s="6">
        <v>215.4999</v>
      </c>
      <c r="G48" s="7">
        <v>1.006249E-2</v>
      </c>
      <c r="H48" s="69"/>
    </row>
    <row r="49" spans="1:8" x14ac:dyDescent="0.2">
      <c r="A49" s="3">
        <v>43</v>
      </c>
      <c r="B49" s="4" t="s">
        <v>225</v>
      </c>
      <c r="C49" s="4" t="s">
        <v>226</v>
      </c>
      <c r="D49" s="4" t="s">
        <v>204</v>
      </c>
      <c r="E49" s="5">
        <v>40455</v>
      </c>
      <c r="F49" s="6">
        <v>205.77435750000001</v>
      </c>
      <c r="G49" s="7">
        <v>9.6083680000000008E-3</v>
      </c>
      <c r="H49" s="69"/>
    </row>
    <row r="50" spans="1:8" x14ac:dyDescent="0.2">
      <c r="A50" s="3">
        <v>44</v>
      </c>
      <c r="B50" s="4" t="s">
        <v>227</v>
      </c>
      <c r="C50" s="4" t="s">
        <v>228</v>
      </c>
      <c r="D50" s="4" t="s">
        <v>976</v>
      </c>
      <c r="E50" s="5">
        <v>12809</v>
      </c>
      <c r="F50" s="6">
        <v>204.8223145</v>
      </c>
      <c r="G50" s="7">
        <v>9.5639139999999997E-3</v>
      </c>
      <c r="H50" s="69"/>
    </row>
    <row r="51" spans="1:8" ht="25.5" x14ac:dyDescent="0.2">
      <c r="A51" s="3">
        <v>45</v>
      </c>
      <c r="B51" s="4" t="s">
        <v>229</v>
      </c>
      <c r="C51" s="4" t="s">
        <v>230</v>
      </c>
      <c r="D51" s="4" t="s">
        <v>75</v>
      </c>
      <c r="E51" s="5">
        <v>10523</v>
      </c>
      <c r="F51" s="6">
        <v>199.78441649999999</v>
      </c>
      <c r="G51" s="7">
        <v>9.3286759999999993E-3</v>
      </c>
      <c r="H51" s="69"/>
    </row>
    <row r="52" spans="1:8" ht="25.5" x14ac:dyDescent="0.2">
      <c r="A52" s="3">
        <v>46</v>
      </c>
      <c r="B52" s="4" t="s">
        <v>231</v>
      </c>
      <c r="C52" s="4" t="s">
        <v>232</v>
      </c>
      <c r="D52" s="4" t="s">
        <v>144</v>
      </c>
      <c r="E52" s="5">
        <v>46362</v>
      </c>
      <c r="F52" s="6">
        <v>196.922595</v>
      </c>
      <c r="G52" s="7">
        <v>9.1950469999999996E-3</v>
      </c>
      <c r="H52" s="69"/>
    </row>
    <row r="53" spans="1:8" ht="25.5" x14ac:dyDescent="0.2">
      <c r="A53" s="3">
        <v>47</v>
      </c>
      <c r="B53" s="4" t="s">
        <v>233</v>
      </c>
      <c r="C53" s="4" t="s">
        <v>234</v>
      </c>
      <c r="D53" s="4" t="s">
        <v>207</v>
      </c>
      <c r="E53" s="5">
        <v>48460</v>
      </c>
      <c r="F53" s="6">
        <v>195.70571000000001</v>
      </c>
      <c r="G53" s="7">
        <v>9.1382259999999993E-3</v>
      </c>
      <c r="H53" s="69"/>
    </row>
    <row r="54" spans="1:8" x14ac:dyDescent="0.2">
      <c r="A54" s="3">
        <v>48</v>
      </c>
      <c r="B54" s="4" t="s">
        <v>235</v>
      </c>
      <c r="C54" s="4" t="s">
        <v>236</v>
      </c>
      <c r="D54" s="4" t="s">
        <v>160</v>
      </c>
      <c r="E54" s="5">
        <v>51255</v>
      </c>
      <c r="F54" s="6">
        <v>192.43689749999999</v>
      </c>
      <c r="G54" s="7">
        <v>8.9855930000000001E-3</v>
      </c>
      <c r="H54" s="69"/>
    </row>
    <row r="55" spans="1:8" x14ac:dyDescent="0.2">
      <c r="A55" s="3">
        <v>49</v>
      </c>
      <c r="B55" s="4" t="s">
        <v>237</v>
      </c>
      <c r="C55" s="4" t="s">
        <v>238</v>
      </c>
      <c r="D55" s="4" t="s">
        <v>204</v>
      </c>
      <c r="E55" s="5">
        <v>11356</v>
      </c>
      <c r="F55" s="6">
        <v>186.09077199999999</v>
      </c>
      <c r="G55" s="7">
        <v>8.6892689999999995E-3</v>
      </c>
      <c r="H55" s="69"/>
    </row>
    <row r="56" spans="1:8" ht="25.5" x14ac:dyDescent="0.2">
      <c r="A56" s="3">
        <v>50</v>
      </c>
      <c r="B56" s="4" t="s">
        <v>239</v>
      </c>
      <c r="C56" s="4" t="s">
        <v>240</v>
      </c>
      <c r="D56" s="4" t="s">
        <v>980</v>
      </c>
      <c r="E56" s="5">
        <v>185657</v>
      </c>
      <c r="F56" s="6">
        <v>185.842657</v>
      </c>
      <c r="G56" s="7">
        <v>8.6776830000000003E-3</v>
      </c>
      <c r="H56" s="69"/>
    </row>
    <row r="57" spans="1:8" x14ac:dyDescent="0.2">
      <c r="A57" s="3">
        <v>51</v>
      </c>
      <c r="B57" s="4" t="s">
        <v>73</v>
      </c>
      <c r="C57" s="4" t="s">
        <v>74</v>
      </c>
      <c r="D57" s="4" t="s">
        <v>75</v>
      </c>
      <c r="E57" s="5">
        <v>5800</v>
      </c>
      <c r="F57" s="6">
        <v>175.7081</v>
      </c>
      <c r="G57" s="7">
        <v>8.2044630000000004E-3</v>
      </c>
      <c r="H57" s="69"/>
    </row>
    <row r="58" spans="1:8" x14ac:dyDescent="0.2">
      <c r="A58" s="3">
        <v>52</v>
      </c>
      <c r="B58" s="4" t="s">
        <v>241</v>
      </c>
      <c r="C58" s="4" t="s">
        <v>242</v>
      </c>
      <c r="D58" s="4" t="s">
        <v>155</v>
      </c>
      <c r="E58" s="5">
        <v>14091</v>
      </c>
      <c r="F58" s="6">
        <v>169.87405050000001</v>
      </c>
      <c r="G58" s="7">
        <v>7.9320499999999995E-3</v>
      </c>
      <c r="H58" s="69"/>
    </row>
    <row r="59" spans="1:8" x14ac:dyDescent="0.2">
      <c r="A59" s="3">
        <v>53</v>
      </c>
      <c r="B59" s="4" t="s">
        <v>243</v>
      </c>
      <c r="C59" s="4" t="s">
        <v>244</v>
      </c>
      <c r="D59" s="4" t="s">
        <v>204</v>
      </c>
      <c r="E59" s="5">
        <v>33629</v>
      </c>
      <c r="F59" s="6">
        <v>163.6555285</v>
      </c>
      <c r="G59" s="7">
        <v>7.6416840000000002E-3</v>
      </c>
      <c r="H59" s="69"/>
    </row>
    <row r="60" spans="1:8" x14ac:dyDescent="0.2">
      <c r="A60" s="3">
        <v>54</v>
      </c>
      <c r="B60" s="4" t="s">
        <v>245</v>
      </c>
      <c r="C60" s="4" t="s">
        <v>246</v>
      </c>
      <c r="D60" s="4" t="s">
        <v>32</v>
      </c>
      <c r="E60" s="5">
        <v>143614</v>
      </c>
      <c r="F60" s="6">
        <v>159.26792599999999</v>
      </c>
      <c r="G60" s="7">
        <v>7.4368109999999998E-3</v>
      </c>
      <c r="H60" s="69"/>
    </row>
    <row r="61" spans="1:8" x14ac:dyDescent="0.2">
      <c r="A61" s="3">
        <v>55</v>
      </c>
      <c r="B61" s="4" t="s">
        <v>247</v>
      </c>
      <c r="C61" s="4" t="s">
        <v>248</v>
      </c>
      <c r="D61" s="4" t="s">
        <v>75</v>
      </c>
      <c r="E61" s="5">
        <v>62724</v>
      </c>
      <c r="F61" s="6">
        <v>156.59046599999999</v>
      </c>
      <c r="G61" s="7">
        <v>7.3117900000000003E-3</v>
      </c>
      <c r="H61" s="69"/>
    </row>
    <row r="62" spans="1:8" x14ac:dyDescent="0.2">
      <c r="A62" s="3">
        <v>56</v>
      </c>
      <c r="B62" s="4" t="s">
        <v>249</v>
      </c>
      <c r="C62" s="4" t="s">
        <v>250</v>
      </c>
      <c r="D62" s="4" t="s">
        <v>334</v>
      </c>
      <c r="E62" s="5">
        <v>16948</v>
      </c>
      <c r="F62" s="6">
        <v>155.769068</v>
      </c>
      <c r="G62" s="7">
        <v>7.2734360000000003E-3</v>
      </c>
      <c r="H62" s="69"/>
    </row>
    <row r="63" spans="1:8" x14ac:dyDescent="0.2">
      <c r="A63" s="3">
        <v>57</v>
      </c>
      <c r="B63" s="4" t="s">
        <v>251</v>
      </c>
      <c r="C63" s="4" t="s">
        <v>252</v>
      </c>
      <c r="D63" s="4" t="s">
        <v>160</v>
      </c>
      <c r="E63" s="5">
        <v>23266</v>
      </c>
      <c r="F63" s="6">
        <v>135.29178999999999</v>
      </c>
      <c r="G63" s="7">
        <v>6.3172760000000001E-3</v>
      </c>
      <c r="H63" s="69"/>
    </row>
    <row r="64" spans="1:8" x14ac:dyDescent="0.2">
      <c r="A64" s="3">
        <v>58</v>
      </c>
      <c r="B64" s="4" t="s">
        <v>253</v>
      </c>
      <c r="C64" s="4" t="s">
        <v>254</v>
      </c>
      <c r="D64" s="4" t="s">
        <v>65</v>
      </c>
      <c r="E64" s="5">
        <v>15808</v>
      </c>
      <c r="F64" s="6">
        <v>135.1584</v>
      </c>
      <c r="G64" s="7">
        <v>6.3110470000000002E-3</v>
      </c>
      <c r="H64" s="69"/>
    </row>
    <row r="65" spans="1:8" x14ac:dyDescent="0.2">
      <c r="A65" s="3">
        <v>59</v>
      </c>
      <c r="B65" s="4" t="s">
        <v>255</v>
      </c>
      <c r="C65" s="4" t="s">
        <v>256</v>
      </c>
      <c r="D65" s="4" t="s">
        <v>257</v>
      </c>
      <c r="E65" s="5">
        <v>56338</v>
      </c>
      <c r="F65" s="6">
        <v>125.29571199999999</v>
      </c>
      <c r="G65" s="7">
        <v>5.8505220000000004E-3</v>
      </c>
      <c r="H65" s="69"/>
    </row>
    <row r="66" spans="1:8" x14ac:dyDescent="0.2">
      <c r="A66" s="3">
        <v>60</v>
      </c>
      <c r="B66" s="4" t="s">
        <v>258</v>
      </c>
      <c r="C66" s="4" t="s">
        <v>259</v>
      </c>
      <c r="D66" s="4" t="s">
        <v>979</v>
      </c>
      <c r="E66" s="5">
        <v>96898</v>
      </c>
      <c r="F66" s="6">
        <v>125.046869</v>
      </c>
      <c r="G66" s="7">
        <v>5.838902E-3</v>
      </c>
      <c r="H66" s="69"/>
    </row>
    <row r="67" spans="1:8" x14ac:dyDescent="0.2">
      <c r="A67" s="3">
        <v>61</v>
      </c>
      <c r="B67" s="4" t="s">
        <v>260</v>
      </c>
      <c r="C67" s="4" t="s">
        <v>261</v>
      </c>
      <c r="D67" s="4" t="s">
        <v>204</v>
      </c>
      <c r="E67" s="5">
        <v>2332</v>
      </c>
      <c r="F67" s="6">
        <v>124.172004</v>
      </c>
      <c r="G67" s="7">
        <v>5.7980519999999997E-3</v>
      </c>
      <c r="H67" s="69"/>
    </row>
    <row r="68" spans="1:8" x14ac:dyDescent="0.2">
      <c r="A68" s="3">
        <v>62</v>
      </c>
      <c r="B68" s="4" t="s">
        <v>262</v>
      </c>
      <c r="C68" s="4" t="s">
        <v>263</v>
      </c>
      <c r="D68" s="4" t="s">
        <v>22</v>
      </c>
      <c r="E68" s="5">
        <v>139624</v>
      </c>
      <c r="F68" s="6">
        <v>114.561492</v>
      </c>
      <c r="G68" s="7">
        <v>5.3493009999999999E-3</v>
      </c>
      <c r="H68" s="69"/>
    </row>
    <row r="69" spans="1:8" x14ac:dyDescent="0.2">
      <c r="A69" s="3">
        <v>63</v>
      </c>
      <c r="B69" s="4" t="s">
        <v>264</v>
      </c>
      <c r="C69" s="4" t="s">
        <v>265</v>
      </c>
      <c r="D69" s="4" t="s">
        <v>65</v>
      </c>
      <c r="E69" s="5">
        <v>50000</v>
      </c>
      <c r="F69" s="6">
        <v>111.875</v>
      </c>
      <c r="G69" s="7">
        <v>5.223859E-3</v>
      </c>
      <c r="H69" s="69"/>
    </row>
    <row r="70" spans="1:8" ht="25.5" x14ac:dyDescent="0.2">
      <c r="A70" s="3">
        <v>64</v>
      </c>
      <c r="B70" s="4" t="s">
        <v>266</v>
      </c>
      <c r="C70" s="4" t="s">
        <v>267</v>
      </c>
      <c r="D70" s="4" t="s">
        <v>981</v>
      </c>
      <c r="E70" s="5">
        <v>9075</v>
      </c>
      <c r="F70" s="6">
        <v>110.31570000000001</v>
      </c>
      <c r="G70" s="7">
        <v>5.1510490000000004E-3</v>
      </c>
      <c r="H70" s="69"/>
    </row>
    <row r="71" spans="1:8" x14ac:dyDescent="0.2">
      <c r="A71" s="3">
        <v>65</v>
      </c>
      <c r="B71" s="4" t="s">
        <v>268</v>
      </c>
      <c r="C71" s="4" t="s">
        <v>269</v>
      </c>
      <c r="D71" s="4" t="s">
        <v>977</v>
      </c>
      <c r="E71" s="5">
        <v>5133</v>
      </c>
      <c r="F71" s="6">
        <v>108.3601965</v>
      </c>
      <c r="G71" s="7">
        <v>5.0597400000000001E-3</v>
      </c>
      <c r="H71" s="69"/>
    </row>
    <row r="72" spans="1:8" x14ac:dyDescent="0.2">
      <c r="A72" s="3">
        <v>66</v>
      </c>
      <c r="B72" s="4" t="s">
        <v>270</v>
      </c>
      <c r="C72" s="4" t="s">
        <v>271</v>
      </c>
      <c r="D72" s="4" t="s">
        <v>144</v>
      </c>
      <c r="E72" s="5">
        <v>18127</v>
      </c>
      <c r="F72" s="6">
        <v>103.795202</v>
      </c>
      <c r="G72" s="7">
        <v>4.8465829999999998E-3</v>
      </c>
      <c r="H72" s="69"/>
    </row>
    <row r="73" spans="1:8" x14ac:dyDescent="0.2">
      <c r="A73" s="3">
        <v>67</v>
      </c>
      <c r="B73" s="4" t="s">
        <v>272</v>
      </c>
      <c r="C73" s="4" t="s">
        <v>273</v>
      </c>
      <c r="D73" s="4" t="s">
        <v>75</v>
      </c>
      <c r="E73" s="5">
        <v>79149</v>
      </c>
      <c r="F73" s="6">
        <v>99.411143999999993</v>
      </c>
      <c r="G73" s="7">
        <v>4.6418750000000002E-3</v>
      </c>
      <c r="H73" s="69"/>
    </row>
    <row r="74" spans="1:8" x14ac:dyDescent="0.2">
      <c r="A74" s="3">
        <v>68</v>
      </c>
      <c r="B74" s="4" t="s">
        <v>274</v>
      </c>
      <c r="C74" s="4" t="s">
        <v>275</v>
      </c>
      <c r="D74" s="4" t="s">
        <v>155</v>
      </c>
      <c r="E74" s="5">
        <v>22041</v>
      </c>
      <c r="F74" s="6">
        <v>83.899066500000004</v>
      </c>
      <c r="G74" s="7">
        <v>3.9175590000000001E-3</v>
      </c>
      <c r="H74" s="69"/>
    </row>
    <row r="75" spans="1:8" x14ac:dyDescent="0.2">
      <c r="A75" s="3">
        <v>69</v>
      </c>
      <c r="B75" s="4" t="s">
        <v>276</v>
      </c>
      <c r="C75" s="4" t="s">
        <v>277</v>
      </c>
      <c r="D75" s="4" t="s">
        <v>204</v>
      </c>
      <c r="E75" s="5">
        <v>27599</v>
      </c>
      <c r="F75" s="6">
        <v>78.174167499999996</v>
      </c>
      <c r="G75" s="7">
        <v>3.6502420000000002E-3</v>
      </c>
      <c r="H75" s="69"/>
    </row>
    <row r="76" spans="1:8" x14ac:dyDescent="0.2">
      <c r="A76" s="3">
        <v>70</v>
      </c>
      <c r="B76" s="4" t="s">
        <v>51</v>
      </c>
      <c r="C76" s="4" t="s">
        <v>52</v>
      </c>
      <c r="D76" s="4" t="s">
        <v>53</v>
      </c>
      <c r="E76" s="5">
        <v>45310</v>
      </c>
      <c r="F76" s="6">
        <v>76.755139999999997</v>
      </c>
      <c r="G76" s="7">
        <v>3.5839819999999999E-3</v>
      </c>
      <c r="H76" s="69"/>
    </row>
    <row r="77" spans="1:8" x14ac:dyDescent="0.2">
      <c r="A77" s="3">
        <v>71</v>
      </c>
      <c r="B77" s="4" t="s">
        <v>278</v>
      </c>
      <c r="C77" s="4" t="s">
        <v>279</v>
      </c>
      <c r="D77" s="4" t="s">
        <v>144</v>
      </c>
      <c r="E77" s="5">
        <v>6312</v>
      </c>
      <c r="F77" s="6">
        <v>63.65652</v>
      </c>
      <c r="G77" s="7">
        <v>2.9723589999999999E-3</v>
      </c>
      <c r="H77" s="69"/>
    </row>
    <row r="78" spans="1:8" x14ac:dyDescent="0.2">
      <c r="A78" s="3">
        <v>72</v>
      </c>
      <c r="B78" s="4" t="s">
        <v>280</v>
      </c>
      <c r="C78" s="4" t="s">
        <v>281</v>
      </c>
      <c r="D78" s="4" t="s">
        <v>175</v>
      </c>
      <c r="E78" s="5">
        <v>2840</v>
      </c>
      <c r="F78" s="6">
        <v>19.807580000000002</v>
      </c>
      <c r="G78" s="7">
        <v>9.2488900000000003E-4</v>
      </c>
      <c r="H78" s="69"/>
    </row>
    <row r="79" spans="1:8" x14ac:dyDescent="0.2">
      <c r="A79" s="1"/>
      <c r="B79" s="1"/>
      <c r="C79" s="2" t="s">
        <v>95</v>
      </c>
      <c r="D79" s="1"/>
      <c r="E79" s="1" t="s">
        <v>96</v>
      </c>
      <c r="F79" s="9">
        <v>18381.5594145</v>
      </c>
      <c r="G79" s="10">
        <v>0.85830322999999997</v>
      </c>
      <c r="H79" s="69"/>
    </row>
    <row r="80" spans="1:8" x14ac:dyDescent="0.2">
      <c r="A80" s="1"/>
      <c r="B80" s="1"/>
      <c r="C80" s="11"/>
      <c r="D80" s="1"/>
      <c r="E80" s="1"/>
      <c r="F80" s="12"/>
      <c r="G80" s="12"/>
      <c r="H80" s="69"/>
    </row>
    <row r="81" spans="1:8" x14ac:dyDescent="0.2">
      <c r="A81" s="1"/>
      <c r="B81" s="1"/>
      <c r="C81" s="2" t="s">
        <v>97</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98</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99</v>
      </c>
      <c r="D87" s="1"/>
      <c r="E87" s="1"/>
      <c r="F87" s="1"/>
      <c r="G87" s="1"/>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100</v>
      </c>
      <c r="D90" s="1"/>
      <c r="E90" s="1"/>
      <c r="F90" s="12"/>
      <c r="G90" s="12"/>
      <c r="H90" s="69"/>
    </row>
    <row r="91" spans="1:8" x14ac:dyDescent="0.2">
      <c r="A91" s="1"/>
      <c r="B91" s="1"/>
      <c r="C91" s="2" t="s">
        <v>95</v>
      </c>
      <c r="D91" s="1"/>
      <c r="E91" s="1" t="s">
        <v>96</v>
      </c>
      <c r="F91" s="13">
        <v>0</v>
      </c>
      <c r="G91" s="14">
        <v>0</v>
      </c>
      <c r="H91" s="69"/>
    </row>
    <row r="92" spans="1:8" x14ac:dyDescent="0.2">
      <c r="A92" s="1"/>
      <c r="B92" s="1"/>
      <c r="C92" s="11"/>
      <c r="D92" s="1"/>
      <c r="E92" s="1"/>
      <c r="F92" s="12"/>
      <c r="G92" s="12"/>
      <c r="H92" s="69"/>
    </row>
    <row r="93" spans="1:8" x14ac:dyDescent="0.2">
      <c r="A93" s="1"/>
      <c r="B93" s="1"/>
      <c r="C93" s="2" t="s">
        <v>101</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102</v>
      </c>
      <c r="D96" s="1"/>
      <c r="E96" s="1"/>
      <c r="F96" s="9">
        <v>18381.5594145</v>
      </c>
      <c r="G96" s="10">
        <v>0.85830322999999997</v>
      </c>
      <c r="H96" s="69"/>
    </row>
    <row r="97" spans="1:8" x14ac:dyDescent="0.2">
      <c r="A97" s="1"/>
      <c r="B97" s="1"/>
      <c r="C97" s="11"/>
      <c r="D97" s="1"/>
      <c r="E97" s="1"/>
      <c r="F97" s="12"/>
      <c r="G97" s="12"/>
      <c r="H97" s="69"/>
    </row>
    <row r="98" spans="1:8" x14ac:dyDescent="0.2">
      <c r="A98" s="1"/>
      <c r="B98" s="1"/>
      <c r="C98" s="2" t="s">
        <v>103</v>
      </c>
      <c r="D98" s="1"/>
      <c r="E98" s="1"/>
      <c r="F98" s="12"/>
      <c r="G98" s="12"/>
      <c r="H98" s="69"/>
    </row>
    <row r="99" spans="1:8" ht="25.5" x14ac:dyDescent="0.2">
      <c r="A99" s="1"/>
      <c r="B99" s="1"/>
      <c r="C99" s="2" t="s">
        <v>10</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104</v>
      </c>
      <c r="D102" s="1"/>
      <c r="E102" s="1"/>
      <c r="F102" s="1"/>
      <c r="G102" s="1"/>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2" t="s">
        <v>105</v>
      </c>
      <c r="D105" s="1"/>
      <c r="E105" s="1"/>
      <c r="F105" s="1"/>
      <c r="G105" s="1"/>
      <c r="H105" s="69"/>
    </row>
    <row r="106" spans="1:8" x14ac:dyDescent="0.2">
      <c r="A106" s="1"/>
      <c r="B106" s="1"/>
      <c r="C106" s="2" t="s">
        <v>95</v>
      </c>
      <c r="D106" s="1"/>
      <c r="E106" s="1" t="s">
        <v>96</v>
      </c>
      <c r="F106" s="13">
        <v>0</v>
      </c>
      <c r="G106" s="14">
        <v>0</v>
      </c>
      <c r="H106" s="69"/>
    </row>
    <row r="107" spans="1:8" x14ac:dyDescent="0.2">
      <c r="A107" s="1"/>
      <c r="B107" s="1"/>
      <c r="C107" s="11"/>
      <c r="D107" s="1"/>
      <c r="E107" s="1"/>
      <c r="F107" s="12"/>
      <c r="G107" s="12"/>
      <c r="H107" s="69"/>
    </row>
    <row r="108" spans="1:8" x14ac:dyDescent="0.2">
      <c r="A108" s="1"/>
      <c r="B108" s="1"/>
      <c r="C108" s="2" t="s">
        <v>106</v>
      </c>
      <c r="D108" s="1"/>
      <c r="E108" s="1"/>
      <c r="F108" s="12"/>
      <c r="G108" s="12"/>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107</v>
      </c>
      <c r="D111" s="1"/>
      <c r="E111" s="1"/>
      <c r="F111" s="9">
        <v>0</v>
      </c>
      <c r="G111" s="10">
        <v>0</v>
      </c>
      <c r="H111" s="69"/>
    </row>
    <row r="112" spans="1:8" x14ac:dyDescent="0.2">
      <c r="A112" s="1"/>
      <c r="B112" s="1"/>
      <c r="C112" s="11"/>
      <c r="D112" s="1"/>
      <c r="E112" s="1"/>
      <c r="F112" s="12"/>
      <c r="G112" s="12"/>
      <c r="H112" s="69"/>
    </row>
    <row r="113" spans="1:8" x14ac:dyDescent="0.2">
      <c r="A113" s="1"/>
      <c r="B113" s="1"/>
      <c r="C113" s="2" t="s">
        <v>108</v>
      </c>
      <c r="D113" s="1"/>
      <c r="E113" s="1"/>
      <c r="F113" s="12"/>
      <c r="G113" s="12"/>
      <c r="H113" s="69"/>
    </row>
    <row r="114" spans="1:8" x14ac:dyDescent="0.2">
      <c r="A114" s="1"/>
      <c r="B114" s="1"/>
      <c r="C114" s="2" t="s">
        <v>109</v>
      </c>
      <c r="D114" s="1"/>
      <c r="E114" s="1"/>
      <c r="F114" s="12"/>
      <c r="G114" s="12"/>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2" t="s">
        <v>110</v>
      </c>
      <c r="D117" s="1"/>
      <c r="E117" s="1"/>
      <c r="F117" s="12"/>
      <c r="G117" s="12"/>
      <c r="H117" s="69"/>
    </row>
    <row r="118" spans="1:8" x14ac:dyDescent="0.2">
      <c r="A118" s="1"/>
      <c r="B118" s="1"/>
      <c r="C118" s="2" t="s">
        <v>95</v>
      </c>
      <c r="D118" s="1"/>
      <c r="E118" s="1" t="s">
        <v>96</v>
      </c>
      <c r="F118" s="13">
        <v>0</v>
      </c>
      <c r="G118" s="14">
        <v>0</v>
      </c>
      <c r="H118" s="69"/>
    </row>
    <row r="119" spans="1:8" x14ac:dyDescent="0.2">
      <c r="A119" s="1"/>
      <c r="B119" s="1"/>
      <c r="C119" s="11"/>
      <c r="D119" s="1"/>
      <c r="E119" s="1"/>
      <c r="F119" s="12"/>
      <c r="G119" s="12"/>
      <c r="H119" s="69"/>
    </row>
    <row r="120" spans="1:8" x14ac:dyDescent="0.2">
      <c r="A120" s="1"/>
      <c r="B120" s="1"/>
      <c r="C120" s="2" t="s">
        <v>111</v>
      </c>
      <c r="D120" s="1"/>
      <c r="E120" s="1"/>
      <c r="F120" s="12"/>
      <c r="G120" s="12"/>
      <c r="H120" s="69"/>
    </row>
    <row r="121" spans="1:8" x14ac:dyDescent="0.2">
      <c r="A121" s="1"/>
      <c r="B121" s="1"/>
      <c r="C121" s="2" t="s">
        <v>95</v>
      </c>
      <c r="D121" s="1"/>
      <c r="E121" s="1" t="s">
        <v>96</v>
      </c>
      <c r="F121" s="13">
        <v>0</v>
      </c>
      <c r="G121" s="14">
        <v>0</v>
      </c>
      <c r="H121" s="69"/>
    </row>
    <row r="122" spans="1:8" x14ac:dyDescent="0.2">
      <c r="A122" s="1"/>
      <c r="B122" s="1"/>
      <c r="C122" s="11"/>
      <c r="D122" s="1"/>
      <c r="E122" s="1"/>
      <c r="F122" s="12"/>
      <c r="G122" s="12"/>
      <c r="H122" s="69"/>
    </row>
    <row r="123" spans="1:8" x14ac:dyDescent="0.2">
      <c r="A123" s="1"/>
      <c r="B123" s="1"/>
      <c r="C123" s="2" t="s">
        <v>112</v>
      </c>
      <c r="D123" s="1"/>
      <c r="E123" s="1"/>
      <c r="F123" s="12"/>
      <c r="G123" s="12"/>
      <c r="H123" s="69"/>
    </row>
    <row r="124" spans="1:8" x14ac:dyDescent="0.2">
      <c r="A124" s="3">
        <v>1</v>
      </c>
      <c r="B124" s="4"/>
      <c r="C124" s="4" t="s">
        <v>113</v>
      </c>
      <c r="D124" s="4"/>
      <c r="E124" s="8"/>
      <c r="F124" s="6">
        <v>2092.4755132999999</v>
      </c>
      <c r="G124" s="7">
        <v>9.7705448E-2</v>
      </c>
      <c r="H124" s="6">
        <v>3.3628721504199861</v>
      </c>
    </row>
    <row r="125" spans="1:8" x14ac:dyDescent="0.2">
      <c r="A125" s="3">
        <v>2</v>
      </c>
      <c r="B125" s="4"/>
      <c r="C125" s="4" t="s">
        <v>114</v>
      </c>
      <c r="D125" s="4"/>
      <c r="E125" s="8"/>
      <c r="F125" s="6">
        <v>808.09493350000002</v>
      </c>
      <c r="G125" s="7">
        <v>3.7732952E-2</v>
      </c>
      <c r="H125" s="6">
        <v>3.4499999999999966</v>
      </c>
    </row>
    <row r="126" spans="1:8" x14ac:dyDescent="0.2">
      <c r="A126" s="1"/>
      <c r="B126" s="1"/>
      <c r="C126" s="2" t="s">
        <v>95</v>
      </c>
      <c r="D126" s="1"/>
      <c r="E126" s="1" t="s">
        <v>96</v>
      </c>
      <c r="F126" s="9">
        <v>2900.5704467999999</v>
      </c>
      <c r="G126" s="10">
        <v>0.13543839999999999</v>
      </c>
      <c r="H126" s="69"/>
    </row>
    <row r="127" spans="1:8" x14ac:dyDescent="0.2">
      <c r="A127" s="1"/>
      <c r="B127" s="1"/>
      <c r="C127" s="11"/>
      <c r="D127" s="1"/>
      <c r="E127" s="1"/>
      <c r="F127" s="12"/>
      <c r="G127" s="12"/>
      <c r="H127" s="69"/>
    </row>
    <row r="128" spans="1:8" x14ac:dyDescent="0.2">
      <c r="A128" s="1"/>
      <c r="B128" s="1"/>
      <c r="C128" s="2" t="s">
        <v>115</v>
      </c>
      <c r="D128" s="1"/>
      <c r="E128" s="1"/>
      <c r="F128" s="9">
        <v>2900.5704467999999</v>
      </c>
      <c r="G128" s="10">
        <v>0.13543839999999999</v>
      </c>
      <c r="H128" s="69"/>
    </row>
    <row r="129" spans="1:8" x14ac:dyDescent="0.2">
      <c r="A129" s="1"/>
      <c r="B129" s="1"/>
      <c r="C129" s="12"/>
      <c r="D129" s="1"/>
      <c r="E129" s="1"/>
      <c r="F129" s="1"/>
      <c r="G129" s="1"/>
      <c r="H129" s="69"/>
    </row>
    <row r="130" spans="1:8" x14ac:dyDescent="0.2">
      <c r="A130" s="1"/>
      <c r="B130" s="1"/>
      <c r="C130" s="2" t="s">
        <v>116</v>
      </c>
      <c r="D130" s="1"/>
      <c r="E130" s="1"/>
      <c r="F130" s="1"/>
      <c r="G130" s="1"/>
      <c r="H130" s="69"/>
    </row>
    <row r="131" spans="1:8" x14ac:dyDescent="0.2">
      <c r="A131" s="1"/>
      <c r="B131" s="1"/>
      <c r="C131" s="2" t="s">
        <v>117</v>
      </c>
      <c r="D131" s="1"/>
      <c r="E131" s="1"/>
      <c r="F131" s="1"/>
      <c r="G131" s="1"/>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1"/>
      <c r="C134" s="2" t="s">
        <v>118</v>
      </c>
      <c r="D134" s="1"/>
      <c r="E134" s="1"/>
      <c r="F134" s="1"/>
      <c r="G134" s="1"/>
      <c r="H134" s="69"/>
    </row>
    <row r="135" spans="1:8" x14ac:dyDescent="0.2">
      <c r="A135" s="1"/>
      <c r="B135" s="1"/>
      <c r="C135" s="2" t="s">
        <v>119</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11"/>
      <c r="D138" s="1"/>
      <c r="E138" s="1"/>
      <c r="F138" s="12"/>
      <c r="G138" s="12"/>
      <c r="H138" s="69"/>
    </row>
    <row r="139" spans="1:8" ht="25.5" x14ac:dyDescent="0.2">
      <c r="A139" s="1"/>
      <c r="B139" s="1"/>
      <c r="C139" s="2" t="s">
        <v>120</v>
      </c>
      <c r="D139" s="1"/>
      <c r="E139" s="1"/>
      <c r="F139" s="12"/>
      <c r="G139" s="12"/>
      <c r="H139" s="69"/>
    </row>
    <row r="140" spans="1:8" x14ac:dyDescent="0.2">
      <c r="A140" s="1"/>
      <c r="B140" s="1"/>
      <c r="C140" s="2" t="s">
        <v>95</v>
      </c>
      <c r="D140" s="1"/>
      <c r="E140" s="1" t="s">
        <v>96</v>
      </c>
      <c r="F140" s="13">
        <v>0</v>
      </c>
      <c r="G140" s="14">
        <v>0</v>
      </c>
      <c r="H140" s="69"/>
    </row>
    <row r="141" spans="1:8" x14ac:dyDescent="0.2">
      <c r="A141" s="1"/>
      <c r="B141" s="1"/>
      <c r="C141" s="11"/>
      <c r="D141" s="1"/>
      <c r="E141" s="1"/>
      <c r="F141" s="12"/>
      <c r="G141" s="12"/>
      <c r="H141" s="69"/>
    </row>
    <row r="142" spans="1:8" x14ac:dyDescent="0.2">
      <c r="A142" s="1"/>
      <c r="B142" s="4"/>
      <c r="C142" s="4"/>
      <c r="D142" s="2"/>
      <c r="E142" s="1"/>
      <c r="F142" s="4"/>
      <c r="G142" s="8"/>
      <c r="H142" s="69"/>
    </row>
    <row r="143" spans="1:8" x14ac:dyDescent="0.2">
      <c r="A143" s="8"/>
      <c r="B143" s="4"/>
      <c r="C143" s="4" t="s">
        <v>121</v>
      </c>
      <c r="D143" s="4"/>
      <c r="E143" s="8"/>
      <c r="F143" s="6">
        <v>134.03018109999999</v>
      </c>
      <c r="G143" s="7">
        <v>6.2583669999999999E-3</v>
      </c>
      <c r="H143" s="69"/>
    </row>
    <row r="144" spans="1:8" x14ac:dyDescent="0.2">
      <c r="A144" s="11"/>
      <c r="B144" s="11"/>
      <c r="C144" s="2" t="s">
        <v>122</v>
      </c>
      <c r="D144" s="15"/>
      <c r="E144" s="15"/>
      <c r="F144" s="9">
        <v>21416.160042399999</v>
      </c>
      <c r="G144" s="10">
        <v>0.99999999699999997</v>
      </c>
      <c r="H144" s="69"/>
    </row>
    <row r="145" spans="1:7" ht="14.1" customHeight="1" x14ac:dyDescent="0.2">
      <c r="A145" s="16"/>
      <c r="B145" s="16"/>
      <c r="C145" s="16"/>
      <c r="D145" s="17"/>
      <c r="E145" s="17"/>
      <c r="F145" s="17"/>
      <c r="G145" s="17"/>
    </row>
    <row r="146" spans="1:7" ht="14.1" customHeight="1" x14ac:dyDescent="0.2">
      <c r="A146" s="18"/>
      <c r="B146" s="176" t="s">
        <v>96</v>
      </c>
      <c r="C146" s="176"/>
      <c r="D146" s="176"/>
      <c r="E146" s="176"/>
      <c r="F146" s="176"/>
      <c r="G146" s="20"/>
    </row>
    <row r="147" spans="1:7" ht="14.1" customHeight="1" x14ac:dyDescent="0.2">
      <c r="A147" s="18"/>
      <c r="B147" s="176" t="s">
        <v>96</v>
      </c>
      <c r="C147" s="176"/>
      <c r="D147" s="176"/>
      <c r="E147" s="176"/>
      <c r="F147" s="176"/>
      <c r="G147" s="20"/>
    </row>
    <row r="148" spans="1:7" ht="14.1" customHeight="1" x14ac:dyDescent="0.2">
      <c r="A148" s="18"/>
      <c r="B148" s="18"/>
      <c r="C148" s="18"/>
      <c r="D148" s="20"/>
      <c r="E148" s="20"/>
      <c r="F148" s="20"/>
      <c r="G148" s="20"/>
    </row>
    <row r="149" spans="1:7" ht="14.1" customHeight="1" x14ac:dyDescent="0.2">
      <c r="A149" s="18"/>
      <c r="B149" s="174" t="s">
        <v>124</v>
      </c>
      <c r="C149" s="175"/>
      <c r="D149" s="12" t="s">
        <v>96</v>
      </c>
      <c r="E149" s="21"/>
      <c r="F149" s="20"/>
      <c r="G149" s="20"/>
    </row>
    <row r="150" spans="1:7" ht="29.1" customHeight="1" x14ac:dyDescent="0.2">
      <c r="A150" s="18"/>
      <c r="B150" s="172" t="s">
        <v>125</v>
      </c>
      <c r="C150" s="173"/>
      <c r="D150" s="2" t="s">
        <v>126</v>
      </c>
      <c r="E150" s="21"/>
      <c r="F150" s="20"/>
      <c r="G150" s="20"/>
    </row>
    <row r="151" spans="1:7" ht="17.100000000000001" customHeight="1" x14ac:dyDescent="0.2">
      <c r="A151" s="18"/>
      <c r="B151" s="172" t="s">
        <v>127</v>
      </c>
      <c r="C151" s="173"/>
      <c r="D151" s="2" t="s">
        <v>126</v>
      </c>
      <c r="E151" s="21"/>
      <c r="F151" s="20"/>
      <c r="G151" s="20"/>
    </row>
    <row r="152" spans="1:7" ht="17.100000000000001" customHeight="1" x14ac:dyDescent="0.2">
      <c r="A152" s="18"/>
      <c r="B152" s="172" t="s">
        <v>128</v>
      </c>
      <c r="C152" s="173"/>
      <c r="D152" s="12" t="s">
        <v>96</v>
      </c>
      <c r="E152" s="21"/>
      <c r="F152" s="20"/>
      <c r="G152" s="20"/>
    </row>
    <row r="153" spans="1:7" ht="24" customHeight="1" x14ac:dyDescent="0.2">
      <c r="A153" s="22"/>
      <c r="B153" s="23" t="s">
        <v>96</v>
      </c>
      <c r="C153" s="23" t="s">
        <v>129</v>
      </c>
      <c r="D153" s="23" t="s">
        <v>130</v>
      </c>
      <c r="E153" s="22"/>
      <c r="F153" s="22"/>
      <c r="G153" s="22"/>
    </row>
    <row r="154" spans="1:7" ht="18" customHeight="1" x14ac:dyDescent="0.2">
      <c r="A154" s="22"/>
      <c r="B154" s="23" t="s">
        <v>131</v>
      </c>
      <c r="C154" s="23" t="s">
        <v>132</v>
      </c>
      <c r="D154" s="23" t="s">
        <v>133</v>
      </c>
      <c r="E154" s="22"/>
      <c r="F154" s="22"/>
      <c r="G154" s="22"/>
    </row>
    <row r="155" spans="1:7" ht="17.100000000000001" customHeight="1" x14ac:dyDescent="0.2">
      <c r="A155" s="22"/>
      <c r="B155" s="4" t="s">
        <v>134</v>
      </c>
      <c r="C155" s="24">
        <v>16.629100000000001</v>
      </c>
      <c r="D155" s="24">
        <v>16.584800000000001</v>
      </c>
      <c r="E155" s="22"/>
      <c r="F155" s="19"/>
      <c r="G155" s="25"/>
    </row>
    <row r="156" spans="1:7" ht="17.100000000000001" customHeight="1" x14ac:dyDescent="0.2">
      <c r="A156" s="22"/>
      <c r="B156" s="4" t="s">
        <v>983</v>
      </c>
      <c r="C156" s="24">
        <v>16.629100000000001</v>
      </c>
      <c r="D156" s="24">
        <v>16.584800000000001</v>
      </c>
      <c r="E156" s="22"/>
      <c r="F156" s="19"/>
      <c r="G156" s="25"/>
    </row>
    <row r="157" spans="1:7" ht="17.100000000000001" customHeight="1" x14ac:dyDescent="0.2">
      <c r="A157" s="22"/>
      <c r="B157" s="4" t="s">
        <v>135</v>
      </c>
      <c r="C157" s="24">
        <v>16.169799999999999</v>
      </c>
      <c r="D157" s="24">
        <v>16.118600000000001</v>
      </c>
      <c r="E157" s="22"/>
      <c r="F157" s="19"/>
      <c r="G157" s="25"/>
    </row>
    <row r="158" spans="1:7" ht="17.100000000000001" customHeight="1" x14ac:dyDescent="0.2">
      <c r="A158" s="22"/>
      <c r="B158" s="4" t="s">
        <v>984</v>
      </c>
      <c r="C158" s="24">
        <v>16.169799999999999</v>
      </c>
      <c r="D158" s="24">
        <v>16.118600000000001</v>
      </c>
      <c r="E158" s="22"/>
      <c r="F158" s="19"/>
      <c r="G158" s="25"/>
    </row>
    <row r="159" spans="1:7" ht="14.1" customHeight="1" x14ac:dyDescent="0.2">
      <c r="A159" s="22"/>
      <c r="B159" s="22"/>
      <c r="C159" s="22"/>
      <c r="D159" s="22"/>
      <c r="E159" s="22"/>
      <c r="F159" s="22"/>
      <c r="G159" s="22"/>
    </row>
    <row r="160" spans="1:7" ht="17.100000000000001" customHeight="1" x14ac:dyDescent="0.2">
      <c r="A160" s="22"/>
      <c r="B160" s="172" t="s">
        <v>985</v>
      </c>
      <c r="C160" s="173"/>
      <c r="D160" s="2" t="s">
        <v>126</v>
      </c>
      <c r="E160" s="22"/>
      <c r="F160" s="22"/>
      <c r="G160" s="22"/>
    </row>
    <row r="161" spans="1:16" ht="18" customHeight="1" x14ac:dyDescent="0.2">
      <c r="A161" s="22"/>
      <c r="B161" s="26" t="s">
        <v>136</v>
      </c>
      <c r="C161" s="26" t="s">
        <v>136</v>
      </c>
      <c r="D161" s="26"/>
      <c r="E161" s="22"/>
      <c r="F161" s="22"/>
      <c r="G161" s="22"/>
    </row>
    <row r="162" spans="1:16" s="82" customFormat="1" x14ac:dyDescent="0.2">
      <c r="B162" s="177" t="s">
        <v>936</v>
      </c>
      <c r="C162" s="177"/>
      <c r="D162" s="177"/>
      <c r="E162" s="177"/>
      <c r="F162" s="177"/>
      <c r="I162"/>
      <c r="J162"/>
      <c r="K162"/>
      <c r="L162"/>
      <c r="M162"/>
      <c r="N162"/>
      <c r="O162"/>
      <c r="P162"/>
    </row>
    <row r="163" spans="1:16" ht="14.1" customHeight="1" x14ac:dyDescent="0.2">
      <c r="A163" s="22"/>
      <c r="B163" s="19"/>
      <c r="C163" s="19"/>
      <c r="D163" s="22"/>
      <c r="E163" s="22"/>
      <c r="F163" s="22"/>
      <c r="G163" s="22"/>
    </row>
    <row r="164" spans="1:16" ht="29.1" customHeight="1" x14ac:dyDescent="0.2">
      <c r="A164" s="22"/>
      <c r="B164" s="172" t="s">
        <v>137</v>
      </c>
      <c r="C164" s="173"/>
      <c r="D164" s="2" t="s">
        <v>126</v>
      </c>
      <c r="E164" s="22"/>
      <c r="F164" s="22"/>
      <c r="G164" s="22"/>
    </row>
    <row r="165" spans="1:16" ht="29.1" customHeight="1" x14ac:dyDescent="0.2">
      <c r="A165" s="22"/>
      <c r="B165" s="172" t="s">
        <v>138</v>
      </c>
      <c r="C165" s="173"/>
      <c r="D165" s="2" t="s">
        <v>126</v>
      </c>
      <c r="E165" s="22"/>
      <c r="F165" s="22"/>
      <c r="G165" s="22"/>
      <c r="I165" s="82"/>
      <c r="J165" s="82"/>
      <c r="K165" s="82"/>
      <c r="L165" s="82"/>
      <c r="M165" s="82"/>
      <c r="N165" s="82"/>
      <c r="O165" s="82"/>
      <c r="P165" s="82"/>
    </row>
    <row r="166" spans="1:16" ht="17.100000000000001" customHeight="1" x14ac:dyDescent="0.2">
      <c r="A166" s="22"/>
      <c r="B166" s="172" t="s">
        <v>139</v>
      </c>
      <c r="C166" s="173"/>
      <c r="D166" s="27">
        <v>0.42871078482853686</v>
      </c>
      <c r="E166" s="22"/>
      <c r="F166" s="19"/>
      <c r="G166" s="25"/>
    </row>
    <row r="167" spans="1:16" ht="17.100000000000001" customHeight="1" x14ac:dyDescent="0.2">
      <c r="A167" s="22"/>
      <c r="B167" s="172" t="s">
        <v>140</v>
      </c>
      <c r="C167" s="173"/>
      <c r="D167" s="2" t="s">
        <v>126</v>
      </c>
      <c r="E167" s="22"/>
      <c r="F167" s="22"/>
      <c r="G167" s="22"/>
    </row>
  </sheetData>
  <mergeCells count="16">
    <mergeCell ref="B167:C167"/>
    <mergeCell ref="B150:C150"/>
    <mergeCell ref="B151:C151"/>
    <mergeCell ref="B152:C152"/>
    <mergeCell ref="B160:C160"/>
    <mergeCell ref="B164:C164"/>
    <mergeCell ref="B165:C165"/>
    <mergeCell ref="B162:F162"/>
    <mergeCell ref="A1:H1"/>
    <mergeCell ref="A2:H2"/>
    <mergeCell ref="A3:H3"/>
    <mergeCell ref="J2:N2"/>
    <mergeCell ref="B166:C166"/>
    <mergeCell ref="B149:C149"/>
    <mergeCell ref="B146:F146"/>
    <mergeCell ref="B147:F147"/>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282</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61203</v>
      </c>
      <c r="F7" s="6">
        <v>676.23194699999999</v>
      </c>
      <c r="G7" s="7">
        <v>3.2829958999999999E-2</v>
      </c>
      <c r="H7" s="69"/>
    </row>
    <row r="8" spans="1:14" x14ac:dyDescent="0.2">
      <c r="A8" s="3">
        <v>2</v>
      </c>
      <c r="B8" s="4" t="s">
        <v>25</v>
      </c>
      <c r="C8" s="4" t="s">
        <v>26</v>
      </c>
      <c r="D8" s="4" t="s">
        <v>27</v>
      </c>
      <c r="E8" s="5">
        <v>38417</v>
      </c>
      <c r="F8" s="6">
        <v>619.76225250000005</v>
      </c>
      <c r="G8" s="7">
        <v>3.0088447000000001E-2</v>
      </c>
      <c r="H8" s="69"/>
    </row>
    <row r="9" spans="1:14" x14ac:dyDescent="0.2">
      <c r="A9" s="3">
        <v>3</v>
      </c>
      <c r="B9" s="4" t="s">
        <v>142</v>
      </c>
      <c r="C9" s="4" t="s">
        <v>143</v>
      </c>
      <c r="D9" s="4" t="s">
        <v>144</v>
      </c>
      <c r="E9" s="5">
        <v>15430</v>
      </c>
      <c r="F9" s="6">
        <v>577.23630000000003</v>
      </c>
      <c r="G9" s="7">
        <v>2.8023881E-2</v>
      </c>
      <c r="H9" s="69"/>
    </row>
    <row r="10" spans="1:14" x14ac:dyDescent="0.2">
      <c r="A10" s="3">
        <v>4</v>
      </c>
      <c r="B10" s="4" t="s">
        <v>79</v>
      </c>
      <c r="C10" s="4" t="s">
        <v>80</v>
      </c>
      <c r="D10" s="4" t="s">
        <v>75</v>
      </c>
      <c r="E10" s="5">
        <v>137565</v>
      </c>
      <c r="F10" s="6">
        <v>513.39257999999995</v>
      </c>
      <c r="G10" s="7">
        <v>2.4924373E-2</v>
      </c>
      <c r="H10" s="69"/>
    </row>
    <row r="11" spans="1:14" x14ac:dyDescent="0.2">
      <c r="A11" s="3">
        <v>5</v>
      </c>
      <c r="B11" s="4" t="s">
        <v>165</v>
      </c>
      <c r="C11" s="4" t="s">
        <v>166</v>
      </c>
      <c r="D11" s="4" t="s">
        <v>155</v>
      </c>
      <c r="E11" s="5">
        <v>101176</v>
      </c>
      <c r="F11" s="6">
        <v>500.467084</v>
      </c>
      <c r="G11" s="7">
        <v>2.4296860999999999E-2</v>
      </c>
      <c r="H11" s="69"/>
    </row>
    <row r="12" spans="1:14" x14ac:dyDescent="0.2">
      <c r="A12" s="3">
        <v>6</v>
      </c>
      <c r="B12" s="4" t="s">
        <v>147</v>
      </c>
      <c r="C12" s="4" t="s">
        <v>148</v>
      </c>
      <c r="D12" s="4" t="s">
        <v>78</v>
      </c>
      <c r="E12" s="5">
        <v>412563</v>
      </c>
      <c r="F12" s="6">
        <v>500.23263750000001</v>
      </c>
      <c r="G12" s="7">
        <v>2.4285478999999999E-2</v>
      </c>
      <c r="H12" s="69"/>
    </row>
    <row r="13" spans="1:14" x14ac:dyDescent="0.2">
      <c r="A13" s="3">
        <v>7</v>
      </c>
      <c r="B13" s="4" t="s">
        <v>149</v>
      </c>
      <c r="C13" s="4" t="s">
        <v>150</v>
      </c>
      <c r="D13" s="4" t="s">
        <v>75</v>
      </c>
      <c r="E13" s="5">
        <v>83037</v>
      </c>
      <c r="F13" s="6">
        <v>499.55059199999999</v>
      </c>
      <c r="G13" s="7">
        <v>2.4252367E-2</v>
      </c>
      <c r="H13" s="69"/>
    </row>
    <row r="14" spans="1:14" ht="25.5" x14ac:dyDescent="0.2">
      <c r="A14" s="3">
        <v>8</v>
      </c>
      <c r="B14" s="4" t="s">
        <v>151</v>
      </c>
      <c r="C14" s="4" t="s">
        <v>152</v>
      </c>
      <c r="D14" s="4" t="s">
        <v>45</v>
      </c>
      <c r="E14" s="5">
        <v>333052</v>
      </c>
      <c r="F14" s="6">
        <v>496.74705799999998</v>
      </c>
      <c r="G14" s="7">
        <v>2.411626E-2</v>
      </c>
      <c r="H14" s="69"/>
    </row>
    <row r="15" spans="1:14" x14ac:dyDescent="0.2">
      <c r="A15" s="3">
        <v>9</v>
      </c>
      <c r="B15" s="4" t="s">
        <v>156</v>
      </c>
      <c r="C15" s="4" t="s">
        <v>157</v>
      </c>
      <c r="D15" s="4" t="s">
        <v>27</v>
      </c>
      <c r="E15" s="5">
        <v>58313</v>
      </c>
      <c r="F15" s="6">
        <v>452.45056699999998</v>
      </c>
      <c r="G15" s="7">
        <v>2.1965736999999999E-2</v>
      </c>
      <c r="H15" s="69"/>
    </row>
    <row r="16" spans="1:14" ht="15" x14ac:dyDescent="0.2">
      <c r="A16" s="3">
        <v>10</v>
      </c>
      <c r="B16" s="4" t="s">
        <v>171</v>
      </c>
      <c r="C16" s="4" t="s">
        <v>172</v>
      </c>
      <c r="D16" s="4" t="s">
        <v>977</v>
      </c>
      <c r="E16" s="5">
        <v>180631</v>
      </c>
      <c r="F16" s="6">
        <v>438.30112150000002</v>
      </c>
      <c r="G16" s="7">
        <v>2.1278805000000001E-2</v>
      </c>
      <c r="H16" s="69"/>
      <c r="J16" s="160" t="s">
        <v>1011</v>
      </c>
    </row>
    <row r="17" spans="1:8" x14ac:dyDescent="0.2">
      <c r="A17" s="3">
        <v>11</v>
      </c>
      <c r="B17" s="4" t="s">
        <v>153</v>
      </c>
      <c r="C17" s="4" t="s">
        <v>154</v>
      </c>
      <c r="D17" s="4" t="s">
        <v>155</v>
      </c>
      <c r="E17" s="5">
        <v>10499</v>
      </c>
      <c r="F17" s="6">
        <v>434.53261199999997</v>
      </c>
      <c r="G17" s="7">
        <v>2.1095849999999999E-2</v>
      </c>
      <c r="H17" s="69"/>
    </row>
    <row r="18" spans="1:8" x14ac:dyDescent="0.2">
      <c r="A18" s="3">
        <v>12</v>
      </c>
      <c r="B18" s="4" t="s">
        <v>176</v>
      </c>
      <c r="C18" s="4" t="s">
        <v>177</v>
      </c>
      <c r="D18" s="4" t="s">
        <v>78</v>
      </c>
      <c r="E18" s="5">
        <v>50003</v>
      </c>
      <c r="F18" s="6">
        <v>404.72428200000002</v>
      </c>
      <c r="G18" s="7">
        <v>1.9648703999999999E-2</v>
      </c>
      <c r="H18" s="69"/>
    </row>
    <row r="19" spans="1:8" x14ac:dyDescent="0.2">
      <c r="A19" s="3">
        <v>13</v>
      </c>
      <c r="B19" s="4" t="s">
        <v>158</v>
      </c>
      <c r="C19" s="4" t="s">
        <v>159</v>
      </c>
      <c r="D19" s="4" t="s">
        <v>160</v>
      </c>
      <c r="E19" s="5">
        <v>23138</v>
      </c>
      <c r="F19" s="6">
        <v>375.42561899999998</v>
      </c>
      <c r="G19" s="7">
        <v>1.8226302E-2</v>
      </c>
      <c r="H19" s="69"/>
    </row>
    <row r="20" spans="1:8" ht="25.5" x14ac:dyDescent="0.2">
      <c r="A20" s="3">
        <v>14</v>
      </c>
      <c r="B20" s="4" t="s">
        <v>37</v>
      </c>
      <c r="C20" s="4" t="s">
        <v>38</v>
      </c>
      <c r="D20" s="4" t="s">
        <v>974</v>
      </c>
      <c r="E20" s="5">
        <v>11486</v>
      </c>
      <c r="F20" s="6">
        <v>371.56635699999998</v>
      </c>
      <c r="G20" s="7">
        <v>1.8038940999999999E-2</v>
      </c>
      <c r="H20" s="69"/>
    </row>
    <row r="21" spans="1:8" x14ac:dyDescent="0.2">
      <c r="A21" s="3">
        <v>15</v>
      </c>
      <c r="B21" s="4" t="s">
        <v>169</v>
      </c>
      <c r="C21" s="4" t="s">
        <v>170</v>
      </c>
      <c r="D21" s="4" t="s">
        <v>155</v>
      </c>
      <c r="E21" s="5">
        <v>31200</v>
      </c>
      <c r="F21" s="6">
        <v>358.45679999999999</v>
      </c>
      <c r="G21" s="7">
        <v>1.7402493000000002E-2</v>
      </c>
      <c r="H21" s="69"/>
    </row>
    <row r="22" spans="1:8" x14ac:dyDescent="0.2">
      <c r="A22" s="3">
        <v>16</v>
      </c>
      <c r="B22" s="4" t="s">
        <v>161</v>
      </c>
      <c r="C22" s="4" t="s">
        <v>162</v>
      </c>
      <c r="D22" s="4" t="s">
        <v>22</v>
      </c>
      <c r="E22" s="5">
        <v>194509</v>
      </c>
      <c r="F22" s="6">
        <v>355.27068850000001</v>
      </c>
      <c r="G22" s="7">
        <v>1.7247813000000001E-2</v>
      </c>
      <c r="H22" s="69"/>
    </row>
    <row r="23" spans="1:8" x14ac:dyDescent="0.2">
      <c r="A23" s="3">
        <v>17</v>
      </c>
      <c r="B23" s="4" t="s">
        <v>163</v>
      </c>
      <c r="C23" s="4" t="s">
        <v>164</v>
      </c>
      <c r="D23" s="4" t="s">
        <v>975</v>
      </c>
      <c r="E23" s="5">
        <v>88565</v>
      </c>
      <c r="F23" s="6">
        <v>354.48141249999998</v>
      </c>
      <c r="G23" s="7">
        <v>1.7209494999999998E-2</v>
      </c>
      <c r="H23" s="69"/>
    </row>
    <row r="24" spans="1:8" x14ac:dyDescent="0.2">
      <c r="A24" s="3">
        <v>18</v>
      </c>
      <c r="B24" s="4" t="s">
        <v>167</v>
      </c>
      <c r="C24" s="4" t="s">
        <v>168</v>
      </c>
      <c r="D24" s="4" t="s">
        <v>976</v>
      </c>
      <c r="E24" s="5">
        <v>34884</v>
      </c>
      <c r="F24" s="6">
        <v>353.81097</v>
      </c>
      <c r="G24" s="7">
        <v>1.7176945999999998E-2</v>
      </c>
      <c r="H24" s="69"/>
    </row>
    <row r="25" spans="1:8" x14ac:dyDescent="0.2">
      <c r="A25" s="3">
        <v>19</v>
      </c>
      <c r="B25" s="4" t="s">
        <v>56</v>
      </c>
      <c r="C25" s="4" t="s">
        <v>57</v>
      </c>
      <c r="D25" s="4" t="s">
        <v>53</v>
      </c>
      <c r="E25" s="5">
        <v>68767</v>
      </c>
      <c r="F25" s="6">
        <v>345.5197915</v>
      </c>
      <c r="G25" s="7">
        <v>1.6774423E-2</v>
      </c>
      <c r="H25" s="69"/>
    </row>
    <row r="26" spans="1:8" x14ac:dyDescent="0.2">
      <c r="A26" s="3">
        <v>20</v>
      </c>
      <c r="B26" s="4" t="s">
        <v>173</v>
      </c>
      <c r="C26" s="4" t="s">
        <v>174</v>
      </c>
      <c r="D26" s="4" t="s">
        <v>175</v>
      </c>
      <c r="E26" s="5">
        <v>132103</v>
      </c>
      <c r="F26" s="6">
        <v>334.28664149999997</v>
      </c>
      <c r="G26" s="7">
        <v>1.6229072000000001E-2</v>
      </c>
      <c r="H26" s="69"/>
    </row>
    <row r="27" spans="1:8" x14ac:dyDescent="0.2">
      <c r="A27" s="3">
        <v>21</v>
      </c>
      <c r="B27" s="4" t="s">
        <v>41</v>
      </c>
      <c r="C27" s="4" t="s">
        <v>42</v>
      </c>
      <c r="D27" s="4" t="s">
        <v>27</v>
      </c>
      <c r="E27" s="5">
        <v>25282</v>
      </c>
      <c r="F27" s="6">
        <v>313.989799</v>
      </c>
      <c r="G27" s="7">
        <v>1.5243693000000001E-2</v>
      </c>
      <c r="H27" s="69"/>
    </row>
    <row r="28" spans="1:8" x14ac:dyDescent="0.2">
      <c r="A28" s="3">
        <v>22</v>
      </c>
      <c r="B28" s="4" t="s">
        <v>196</v>
      </c>
      <c r="C28" s="4" t="s">
        <v>197</v>
      </c>
      <c r="D28" s="4" t="s">
        <v>144</v>
      </c>
      <c r="E28" s="5">
        <v>23264</v>
      </c>
      <c r="F28" s="6">
        <v>301.04779200000002</v>
      </c>
      <c r="G28" s="7">
        <v>1.4615380000000001E-2</v>
      </c>
      <c r="H28" s="69"/>
    </row>
    <row r="29" spans="1:8" x14ac:dyDescent="0.2">
      <c r="A29" s="3">
        <v>23</v>
      </c>
      <c r="B29" s="4" t="s">
        <v>178</v>
      </c>
      <c r="C29" s="4" t="s">
        <v>179</v>
      </c>
      <c r="D29" s="4" t="s">
        <v>180</v>
      </c>
      <c r="E29" s="5">
        <v>31547</v>
      </c>
      <c r="F29" s="6">
        <v>297.23583400000001</v>
      </c>
      <c r="G29" s="7">
        <v>1.4430315000000001E-2</v>
      </c>
      <c r="H29" s="69"/>
    </row>
    <row r="30" spans="1:8" x14ac:dyDescent="0.2">
      <c r="A30" s="3">
        <v>24</v>
      </c>
      <c r="B30" s="4" t="s">
        <v>181</v>
      </c>
      <c r="C30" s="4" t="s">
        <v>182</v>
      </c>
      <c r="D30" s="4" t="s">
        <v>155</v>
      </c>
      <c r="E30" s="5">
        <v>27880</v>
      </c>
      <c r="F30" s="6">
        <v>282.27105999999998</v>
      </c>
      <c r="G30" s="7">
        <v>1.37038E-2</v>
      </c>
      <c r="H30" s="69"/>
    </row>
    <row r="31" spans="1:8" x14ac:dyDescent="0.2">
      <c r="A31" s="3">
        <v>25</v>
      </c>
      <c r="B31" s="4" t="s">
        <v>183</v>
      </c>
      <c r="C31" s="4" t="s">
        <v>184</v>
      </c>
      <c r="D31" s="4" t="s">
        <v>75</v>
      </c>
      <c r="E31" s="5">
        <v>29640</v>
      </c>
      <c r="F31" s="6">
        <v>282.02460000000002</v>
      </c>
      <c r="G31" s="7">
        <v>1.3691834999999999E-2</v>
      </c>
      <c r="H31" s="69"/>
    </row>
    <row r="32" spans="1:8" x14ac:dyDescent="0.2">
      <c r="A32" s="3">
        <v>26</v>
      </c>
      <c r="B32" s="4" t="s">
        <v>185</v>
      </c>
      <c r="C32" s="4" t="s">
        <v>186</v>
      </c>
      <c r="D32" s="4" t="s">
        <v>16</v>
      </c>
      <c r="E32" s="5">
        <v>95230</v>
      </c>
      <c r="F32" s="6">
        <v>281.02373</v>
      </c>
      <c r="G32" s="7">
        <v>1.3643244000000001E-2</v>
      </c>
      <c r="H32" s="69"/>
    </row>
    <row r="33" spans="1:8" x14ac:dyDescent="0.2">
      <c r="A33" s="3">
        <v>27</v>
      </c>
      <c r="B33" s="4" t="s">
        <v>283</v>
      </c>
      <c r="C33" s="4" t="s">
        <v>284</v>
      </c>
      <c r="D33" s="4" t="s">
        <v>32</v>
      </c>
      <c r="E33" s="5">
        <v>70480</v>
      </c>
      <c r="F33" s="6">
        <v>273.74432000000002</v>
      </c>
      <c r="G33" s="7">
        <v>1.3289841E-2</v>
      </c>
      <c r="H33" s="69"/>
    </row>
    <row r="34" spans="1:8" x14ac:dyDescent="0.2">
      <c r="A34" s="3">
        <v>28</v>
      </c>
      <c r="B34" s="4" t="s">
        <v>187</v>
      </c>
      <c r="C34" s="4" t="s">
        <v>188</v>
      </c>
      <c r="D34" s="4" t="s">
        <v>978</v>
      </c>
      <c r="E34" s="5">
        <v>30000</v>
      </c>
      <c r="F34" s="6">
        <v>268.09500000000003</v>
      </c>
      <c r="G34" s="7">
        <v>1.3015575E-2</v>
      </c>
      <c r="H34" s="69"/>
    </row>
    <row r="35" spans="1:8" ht="25.5" x14ac:dyDescent="0.2">
      <c r="A35" s="3">
        <v>29</v>
      </c>
      <c r="B35" s="4" t="s">
        <v>218</v>
      </c>
      <c r="C35" s="4" t="s">
        <v>869</v>
      </c>
      <c r="D35" s="4" t="s">
        <v>45</v>
      </c>
      <c r="E35" s="5">
        <v>128577</v>
      </c>
      <c r="F35" s="6">
        <v>267.31158299999998</v>
      </c>
      <c r="G35" s="7">
        <v>1.2977542E-2</v>
      </c>
      <c r="H35" s="69"/>
    </row>
    <row r="36" spans="1:8" ht="25.5" x14ac:dyDescent="0.2">
      <c r="A36" s="3">
        <v>30</v>
      </c>
      <c r="B36" s="4" t="s">
        <v>189</v>
      </c>
      <c r="C36" s="4" t="s">
        <v>190</v>
      </c>
      <c r="D36" s="4" t="s">
        <v>974</v>
      </c>
      <c r="E36" s="5">
        <v>120862</v>
      </c>
      <c r="F36" s="6">
        <v>266.742434</v>
      </c>
      <c r="G36" s="7">
        <v>1.294991E-2</v>
      </c>
      <c r="H36" s="69"/>
    </row>
    <row r="37" spans="1:8" x14ac:dyDescent="0.2">
      <c r="A37" s="3">
        <v>31</v>
      </c>
      <c r="B37" s="4" t="s">
        <v>219</v>
      </c>
      <c r="C37" s="4" t="s">
        <v>220</v>
      </c>
      <c r="D37" s="4" t="s">
        <v>221</v>
      </c>
      <c r="E37" s="5">
        <v>125377</v>
      </c>
      <c r="F37" s="6">
        <v>263.79320799999999</v>
      </c>
      <c r="G37" s="7">
        <v>1.2806730000000001E-2</v>
      </c>
      <c r="H37" s="69"/>
    </row>
    <row r="38" spans="1:8" x14ac:dyDescent="0.2">
      <c r="A38" s="3">
        <v>32</v>
      </c>
      <c r="B38" s="4" t="s">
        <v>191</v>
      </c>
      <c r="C38" s="4" t="s">
        <v>192</v>
      </c>
      <c r="D38" s="4" t="s">
        <v>53</v>
      </c>
      <c r="E38" s="5">
        <v>270092</v>
      </c>
      <c r="F38" s="6">
        <v>259.82850400000001</v>
      </c>
      <c r="G38" s="7">
        <v>1.261425E-2</v>
      </c>
      <c r="H38" s="69"/>
    </row>
    <row r="39" spans="1:8" x14ac:dyDescent="0.2">
      <c r="A39" s="3">
        <v>33</v>
      </c>
      <c r="B39" s="4" t="s">
        <v>193</v>
      </c>
      <c r="C39" s="4" t="s">
        <v>194</v>
      </c>
      <c r="D39" s="4" t="s">
        <v>195</v>
      </c>
      <c r="E39" s="5">
        <v>53909</v>
      </c>
      <c r="F39" s="6">
        <v>259.24838099999999</v>
      </c>
      <c r="G39" s="7">
        <v>1.2586086E-2</v>
      </c>
      <c r="H39" s="69"/>
    </row>
    <row r="40" spans="1:8" x14ac:dyDescent="0.2">
      <c r="A40" s="3">
        <v>34</v>
      </c>
      <c r="B40" s="4" t="s">
        <v>198</v>
      </c>
      <c r="C40" s="4" t="s">
        <v>199</v>
      </c>
      <c r="D40" s="4" t="s">
        <v>78</v>
      </c>
      <c r="E40" s="5">
        <v>43018</v>
      </c>
      <c r="F40" s="6">
        <v>253.84921800000001</v>
      </c>
      <c r="G40" s="7">
        <v>1.2323966E-2</v>
      </c>
      <c r="H40" s="69"/>
    </row>
    <row r="41" spans="1:8" x14ac:dyDescent="0.2">
      <c r="A41" s="3">
        <v>35</v>
      </c>
      <c r="B41" s="4" t="s">
        <v>200</v>
      </c>
      <c r="C41" s="4" t="s">
        <v>201</v>
      </c>
      <c r="D41" s="4" t="s">
        <v>27</v>
      </c>
      <c r="E41" s="5">
        <v>12546</v>
      </c>
      <c r="F41" s="6">
        <v>253.542114</v>
      </c>
      <c r="G41" s="7">
        <v>1.2309056000000001E-2</v>
      </c>
      <c r="H41" s="69"/>
    </row>
    <row r="42" spans="1:8" x14ac:dyDescent="0.2">
      <c r="A42" s="3">
        <v>36</v>
      </c>
      <c r="B42" s="4" t="s">
        <v>202</v>
      </c>
      <c r="C42" s="4" t="s">
        <v>203</v>
      </c>
      <c r="D42" s="4" t="s">
        <v>204</v>
      </c>
      <c r="E42" s="5">
        <v>64323</v>
      </c>
      <c r="F42" s="6">
        <v>249.701886</v>
      </c>
      <c r="G42" s="7">
        <v>1.2122620000000001E-2</v>
      </c>
      <c r="H42" s="69"/>
    </row>
    <row r="43" spans="1:8" ht="25.5" x14ac:dyDescent="0.2">
      <c r="A43" s="3">
        <v>37</v>
      </c>
      <c r="B43" s="4" t="s">
        <v>205</v>
      </c>
      <c r="C43" s="4" t="s">
        <v>206</v>
      </c>
      <c r="D43" s="4" t="s">
        <v>207</v>
      </c>
      <c r="E43" s="5">
        <v>57162</v>
      </c>
      <c r="F43" s="6">
        <v>244.02457799999999</v>
      </c>
      <c r="G43" s="7">
        <v>1.1846995000000001E-2</v>
      </c>
      <c r="H43" s="69"/>
    </row>
    <row r="44" spans="1:8" x14ac:dyDescent="0.2">
      <c r="A44" s="3">
        <v>38</v>
      </c>
      <c r="B44" s="4" t="s">
        <v>210</v>
      </c>
      <c r="C44" s="4" t="s">
        <v>211</v>
      </c>
      <c r="D44" s="4" t="s">
        <v>53</v>
      </c>
      <c r="E44" s="5">
        <v>25533</v>
      </c>
      <c r="F44" s="6">
        <v>242.01454050000001</v>
      </c>
      <c r="G44" s="7">
        <v>1.1749411E-2</v>
      </c>
      <c r="H44" s="69"/>
    </row>
    <row r="45" spans="1:8" x14ac:dyDescent="0.2">
      <c r="A45" s="3">
        <v>39</v>
      </c>
      <c r="B45" s="4" t="s">
        <v>208</v>
      </c>
      <c r="C45" s="4" t="s">
        <v>209</v>
      </c>
      <c r="D45" s="4" t="s">
        <v>78</v>
      </c>
      <c r="E45" s="5">
        <v>468917</v>
      </c>
      <c r="F45" s="6">
        <v>235.396334</v>
      </c>
      <c r="G45" s="7">
        <v>1.1428107999999999E-2</v>
      </c>
      <c r="H45" s="69"/>
    </row>
    <row r="46" spans="1:8" x14ac:dyDescent="0.2">
      <c r="A46" s="3">
        <v>40</v>
      </c>
      <c r="B46" s="4" t="s">
        <v>212</v>
      </c>
      <c r="C46" s="4" t="s">
        <v>213</v>
      </c>
      <c r="D46" s="4" t="s">
        <v>979</v>
      </c>
      <c r="E46" s="5">
        <v>41009</v>
      </c>
      <c r="F46" s="6">
        <v>224.93436500000001</v>
      </c>
      <c r="G46" s="7">
        <v>1.0920197E-2</v>
      </c>
      <c r="H46" s="69"/>
    </row>
    <row r="47" spans="1:8" x14ac:dyDescent="0.2">
      <c r="A47" s="3">
        <v>41</v>
      </c>
      <c r="B47" s="4" t="s">
        <v>214</v>
      </c>
      <c r="C47" s="4" t="s">
        <v>215</v>
      </c>
      <c r="D47" s="4" t="s">
        <v>979</v>
      </c>
      <c r="E47" s="5">
        <v>22044</v>
      </c>
      <c r="F47" s="6">
        <v>224.92595399999999</v>
      </c>
      <c r="G47" s="7">
        <v>1.0919788E-2</v>
      </c>
      <c r="H47" s="69"/>
    </row>
    <row r="48" spans="1:8" x14ac:dyDescent="0.2">
      <c r="A48" s="3">
        <v>42</v>
      </c>
      <c r="B48" s="4" t="s">
        <v>268</v>
      </c>
      <c r="C48" s="4" t="s">
        <v>269</v>
      </c>
      <c r="D48" s="4" t="s">
        <v>977</v>
      </c>
      <c r="E48" s="5">
        <v>9951</v>
      </c>
      <c r="F48" s="6">
        <v>210.07058549999999</v>
      </c>
      <c r="G48" s="7">
        <v>1.0198584E-2</v>
      </c>
      <c r="H48" s="69"/>
    </row>
    <row r="49" spans="1:8" ht="25.5" x14ac:dyDescent="0.2">
      <c r="A49" s="3">
        <v>43</v>
      </c>
      <c r="B49" s="4" t="s">
        <v>222</v>
      </c>
      <c r="C49" s="4" t="s">
        <v>223</v>
      </c>
      <c r="D49" s="4" t="s">
        <v>207</v>
      </c>
      <c r="E49" s="5">
        <v>44258</v>
      </c>
      <c r="F49" s="6">
        <v>206.441441</v>
      </c>
      <c r="G49" s="7">
        <v>1.0022395E-2</v>
      </c>
      <c r="H49" s="69"/>
    </row>
    <row r="50" spans="1:8" x14ac:dyDescent="0.2">
      <c r="A50" s="3">
        <v>44</v>
      </c>
      <c r="B50" s="4" t="s">
        <v>225</v>
      </c>
      <c r="C50" s="4" t="s">
        <v>226</v>
      </c>
      <c r="D50" s="4" t="s">
        <v>204</v>
      </c>
      <c r="E50" s="5">
        <v>38836</v>
      </c>
      <c r="F50" s="6">
        <v>197.53931399999999</v>
      </c>
      <c r="G50" s="7">
        <v>9.5902120000000007E-3</v>
      </c>
      <c r="H50" s="69"/>
    </row>
    <row r="51" spans="1:8" x14ac:dyDescent="0.2">
      <c r="A51" s="3">
        <v>45</v>
      </c>
      <c r="B51" s="4" t="s">
        <v>227</v>
      </c>
      <c r="C51" s="4" t="s">
        <v>228</v>
      </c>
      <c r="D51" s="4" t="s">
        <v>976</v>
      </c>
      <c r="E51" s="5">
        <v>12282</v>
      </c>
      <c r="F51" s="6">
        <v>196.395321</v>
      </c>
      <c r="G51" s="7">
        <v>9.5346730000000005E-3</v>
      </c>
      <c r="H51" s="69"/>
    </row>
    <row r="52" spans="1:8" ht="25.5" x14ac:dyDescent="0.2">
      <c r="A52" s="3">
        <v>46</v>
      </c>
      <c r="B52" s="4" t="s">
        <v>229</v>
      </c>
      <c r="C52" s="4" t="s">
        <v>230</v>
      </c>
      <c r="D52" s="4" t="s">
        <v>75</v>
      </c>
      <c r="E52" s="5">
        <v>10136</v>
      </c>
      <c r="F52" s="6">
        <v>192.437028</v>
      </c>
      <c r="G52" s="7">
        <v>9.3425039999999997E-3</v>
      </c>
      <c r="H52" s="69"/>
    </row>
    <row r="53" spans="1:8" ht="25.5" x14ac:dyDescent="0.2">
      <c r="A53" s="3">
        <v>47</v>
      </c>
      <c r="B53" s="4" t="s">
        <v>231</v>
      </c>
      <c r="C53" s="4" t="s">
        <v>232</v>
      </c>
      <c r="D53" s="4" t="s">
        <v>144</v>
      </c>
      <c r="E53" s="5">
        <v>44330</v>
      </c>
      <c r="F53" s="6">
        <v>188.291675</v>
      </c>
      <c r="G53" s="7">
        <v>9.1412539999999997E-3</v>
      </c>
      <c r="H53" s="69"/>
    </row>
    <row r="54" spans="1:8" ht="25.5" x14ac:dyDescent="0.2">
      <c r="A54" s="3">
        <v>48</v>
      </c>
      <c r="B54" s="4" t="s">
        <v>233</v>
      </c>
      <c r="C54" s="4" t="s">
        <v>234</v>
      </c>
      <c r="D54" s="4" t="s">
        <v>207</v>
      </c>
      <c r="E54" s="5">
        <v>46339</v>
      </c>
      <c r="F54" s="6">
        <v>187.1400515</v>
      </c>
      <c r="G54" s="7">
        <v>9.0853440000000004E-3</v>
      </c>
      <c r="H54" s="69"/>
    </row>
    <row r="55" spans="1:8" x14ac:dyDescent="0.2">
      <c r="A55" s="3">
        <v>49</v>
      </c>
      <c r="B55" s="4" t="s">
        <v>235</v>
      </c>
      <c r="C55" s="4" t="s">
        <v>236</v>
      </c>
      <c r="D55" s="4" t="s">
        <v>160</v>
      </c>
      <c r="E55" s="5">
        <v>49282</v>
      </c>
      <c r="F55" s="6">
        <v>185.029269</v>
      </c>
      <c r="G55" s="7">
        <v>8.9828689999999992E-3</v>
      </c>
      <c r="H55" s="69"/>
    </row>
    <row r="56" spans="1:8" x14ac:dyDescent="0.2">
      <c r="A56" s="3">
        <v>50</v>
      </c>
      <c r="B56" s="4" t="s">
        <v>247</v>
      </c>
      <c r="C56" s="4" t="s">
        <v>248</v>
      </c>
      <c r="D56" s="4" t="s">
        <v>75</v>
      </c>
      <c r="E56" s="5">
        <v>73734</v>
      </c>
      <c r="F56" s="6">
        <v>184.076931</v>
      </c>
      <c r="G56" s="7">
        <v>8.9366350000000001E-3</v>
      </c>
      <c r="H56" s="69"/>
    </row>
    <row r="57" spans="1:8" ht="25.5" x14ac:dyDescent="0.2">
      <c r="A57" s="3">
        <v>51</v>
      </c>
      <c r="B57" s="4" t="s">
        <v>239</v>
      </c>
      <c r="C57" s="4" t="s">
        <v>240</v>
      </c>
      <c r="D57" s="4" t="s">
        <v>980</v>
      </c>
      <c r="E57" s="5">
        <v>183660</v>
      </c>
      <c r="F57" s="6">
        <v>183.84366</v>
      </c>
      <c r="G57" s="7">
        <v>8.9253100000000005E-3</v>
      </c>
      <c r="H57" s="69"/>
    </row>
    <row r="58" spans="1:8" x14ac:dyDescent="0.2">
      <c r="A58" s="3">
        <v>52</v>
      </c>
      <c r="B58" s="4" t="s">
        <v>285</v>
      </c>
      <c r="C58" s="4" t="s">
        <v>286</v>
      </c>
      <c r="D58" s="4" t="s">
        <v>160</v>
      </c>
      <c r="E58" s="5">
        <v>27084</v>
      </c>
      <c r="F58" s="6">
        <v>183.42639</v>
      </c>
      <c r="G58" s="7">
        <v>8.9050520000000001E-3</v>
      </c>
      <c r="H58" s="69"/>
    </row>
    <row r="59" spans="1:8" x14ac:dyDescent="0.2">
      <c r="A59" s="3">
        <v>53</v>
      </c>
      <c r="B59" s="4" t="s">
        <v>287</v>
      </c>
      <c r="C59" s="4" t="s">
        <v>288</v>
      </c>
      <c r="D59" s="4" t="s">
        <v>334</v>
      </c>
      <c r="E59" s="5">
        <v>7464</v>
      </c>
      <c r="F59" s="6">
        <v>182.15518800000001</v>
      </c>
      <c r="G59" s="7">
        <v>8.8433369999999997E-3</v>
      </c>
      <c r="H59" s="69"/>
    </row>
    <row r="60" spans="1:8" x14ac:dyDescent="0.2">
      <c r="A60" s="3">
        <v>54</v>
      </c>
      <c r="B60" s="4" t="s">
        <v>237</v>
      </c>
      <c r="C60" s="4" t="s">
        <v>238</v>
      </c>
      <c r="D60" s="4" t="s">
        <v>204</v>
      </c>
      <c r="E60" s="5">
        <v>10907</v>
      </c>
      <c r="F60" s="6">
        <v>178.73300900000001</v>
      </c>
      <c r="G60" s="7">
        <v>8.6771959999999999E-3</v>
      </c>
      <c r="H60" s="69"/>
    </row>
    <row r="61" spans="1:8" x14ac:dyDescent="0.2">
      <c r="A61" s="3">
        <v>55</v>
      </c>
      <c r="B61" s="4" t="s">
        <v>73</v>
      </c>
      <c r="C61" s="4" t="s">
        <v>74</v>
      </c>
      <c r="D61" s="4" t="s">
        <v>75</v>
      </c>
      <c r="E61" s="5">
        <v>5600</v>
      </c>
      <c r="F61" s="6">
        <v>169.64920000000001</v>
      </c>
      <c r="G61" s="7">
        <v>8.2361919999999998E-3</v>
      </c>
      <c r="H61" s="69"/>
    </row>
    <row r="62" spans="1:8" x14ac:dyDescent="0.2">
      <c r="A62" s="3">
        <v>56</v>
      </c>
      <c r="B62" s="4" t="s">
        <v>241</v>
      </c>
      <c r="C62" s="4" t="s">
        <v>242</v>
      </c>
      <c r="D62" s="4" t="s">
        <v>155</v>
      </c>
      <c r="E62" s="5">
        <v>13480</v>
      </c>
      <c r="F62" s="6">
        <v>162.50814</v>
      </c>
      <c r="G62" s="7">
        <v>7.8895049999999998E-3</v>
      </c>
      <c r="H62" s="69"/>
    </row>
    <row r="63" spans="1:8" x14ac:dyDescent="0.2">
      <c r="A63" s="3">
        <v>57</v>
      </c>
      <c r="B63" s="4" t="s">
        <v>245</v>
      </c>
      <c r="C63" s="4" t="s">
        <v>246</v>
      </c>
      <c r="D63" s="4" t="s">
        <v>32</v>
      </c>
      <c r="E63" s="5">
        <v>142112</v>
      </c>
      <c r="F63" s="6">
        <v>157.60220799999999</v>
      </c>
      <c r="G63" s="7">
        <v>7.6513299999999996E-3</v>
      </c>
      <c r="H63" s="69"/>
    </row>
    <row r="64" spans="1:8" x14ac:dyDescent="0.2">
      <c r="A64" s="3">
        <v>58</v>
      </c>
      <c r="B64" s="4" t="s">
        <v>243</v>
      </c>
      <c r="C64" s="4" t="s">
        <v>244</v>
      </c>
      <c r="D64" s="4" t="s">
        <v>204</v>
      </c>
      <c r="E64" s="5">
        <v>32168</v>
      </c>
      <c r="F64" s="6">
        <v>156.54557199999999</v>
      </c>
      <c r="G64" s="7">
        <v>7.6000319999999996E-3</v>
      </c>
      <c r="H64" s="69"/>
    </row>
    <row r="65" spans="1:8" x14ac:dyDescent="0.2">
      <c r="A65" s="3">
        <v>59</v>
      </c>
      <c r="B65" s="4" t="s">
        <v>249</v>
      </c>
      <c r="C65" s="4" t="s">
        <v>250</v>
      </c>
      <c r="D65" s="4" t="s">
        <v>334</v>
      </c>
      <c r="E65" s="5">
        <v>16232</v>
      </c>
      <c r="F65" s="6">
        <v>149.188312</v>
      </c>
      <c r="G65" s="7">
        <v>7.242849E-3</v>
      </c>
      <c r="H65" s="69"/>
    </row>
    <row r="66" spans="1:8" x14ac:dyDescent="0.2">
      <c r="A66" s="3">
        <v>60</v>
      </c>
      <c r="B66" s="4" t="s">
        <v>251</v>
      </c>
      <c r="C66" s="4" t="s">
        <v>252</v>
      </c>
      <c r="D66" s="4" t="s">
        <v>160</v>
      </c>
      <c r="E66" s="5">
        <v>22382</v>
      </c>
      <c r="F66" s="6">
        <v>130.15133</v>
      </c>
      <c r="G66" s="7">
        <v>6.3186350000000004E-3</v>
      </c>
      <c r="H66" s="69"/>
    </row>
    <row r="67" spans="1:8" x14ac:dyDescent="0.2">
      <c r="A67" s="3">
        <v>61</v>
      </c>
      <c r="B67" s="4" t="s">
        <v>253</v>
      </c>
      <c r="C67" s="4" t="s">
        <v>254</v>
      </c>
      <c r="D67" s="4" t="s">
        <v>65</v>
      </c>
      <c r="E67" s="5">
        <v>15128</v>
      </c>
      <c r="F67" s="6">
        <v>129.34440000000001</v>
      </c>
      <c r="G67" s="7">
        <v>6.2794599999999997E-3</v>
      </c>
      <c r="H67" s="69"/>
    </row>
    <row r="68" spans="1:8" x14ac:dyDescent="0.2">
      <c r="A68" s="3">
        <v>62</v>
      </c>
      <c r="B68" s="4" t="s">
        <v>255</v>
      </c>
      <c r="C68" s="4" t="s">
        <v>256</v>
      </c>
      <c r="D68" s="4" t="s">
        <v>257</v>
      </c>
      <c r="E68" s="5">
        <v>54097</v>
      </c>
      <c r="F68" s="6">
        <v>120.311728</v>
      </c>
      <c r="G68" s="7">
        <v>5.8409380000000004E-3</v>
      </c>
      <c r="H68" s="69"/>
    </row>
    <row r="69" spans="1:8" x14ac:dyDescent="0.2">
      <c r="A69" s="3">
        <v>63</v>
      </c>
      <c r="B69" s="4" t="s">
        <v>258</v>
      </c>
      <c r="C69" s="4" t="s">
        <v>259</v>
      </c>
      <c r="D69" s="4" t="s">
        <v>979</v>
      </c>
      <c r="E69" s="5">
        <v>92831</v>
      </c>
      <c r="F69" s="6">
        <v>119.7984055</v>
      </c>
      <c r="G69" s="7">
        <v>5.8160169999999997E-3</v>
      </c>
      <c r="H69" s="69"/>
    </row>
    <row r="70" spans="1:8" x14ac:dyDescent="0.2">
      <c r="A70" s="3">
        <v>64</v>
      </c>
      <c r="B70" s="4" t="s">
        <v>260</v>
      </c>
      <c r="C70" s="4" t="s">
        <v>261</v>
      </c>
      <c r="D70" s="4" t="s">
        <v>204</v>
      </c>
      <c r="E70" s="5">
        <v>2229</v>
      </c>
      <c r="F70" s="6">
        <v>118.687563</v>
      </c>
      <c r="G70" s="7">
        <v>5.7620880000000003E-3</v>
      </c>
      <c r="H70" s="69"/>
    </row>
    <row r="71" spans="1:8" x14ac:dyDescent="0.2">
      <c r="A71" s="3">
        <v>65</v>
      </c>
      <c r="B71" s="4" t="s">
        <v>262</v>
      </c>
      <c r="C71" s="4" t="s">
        <v>263</v>
      </c>
      <c r="D71" s="4" t="s">
        <v>22</v>
      </c>
      <c r="E71" s="5">
        <v>135178</v>
      </c>
      <c r="F71" s="6">
        <v>110.913549</v>
      </c>
      <c r="G71" s="7">
        <v>5.3846720000000001E-3</v>
      </c>
      <c r="H71" s="69"/>
    </row>
    <row r="72" spans="1:8" ht="25.5" x14ac:dyDescent="0.2">
      <c r="A72" s="3">
        <v>66</v>
      </c>
      <c r="B72" s="4" t="s">
        <v>266</v>
      </c>
      <c r="C72" s="4" t="s">
        <v>267</v>
      </c>
      <c r="D72" s="4" t="s">
        <v>981</v>
      </c>
      <c r="E72" s="5">
        <v>8610</v>
      </c>
      <c r="F72" s="6">
        <v>104.66316</v>
      </c>
      <c r="G72" s="7">
        <v>5.0812260000000003E-3</v>
      </c>
      <c r="H72" s="69"/>
    </row>
    <row r="73" spans="1:8" x14ac:dyDescent="0.2">
      <c r="A73" s="3">
        <v>67</v>
      </c>
      <c r="B73" s="4" t="s">
        <v>289</v>
      </c>
      <c r="C73" s="4" t="s">
        <v>290</v>
      </c>
      <c r="D73" s="4" t="s">
        <v>27</v>
      </c>
      <c r="E73" s="5">
        <v>30430</v>
      </c>
      <c r="F73" s="6">
        <v>103.112055</v>
      </c>
      <c r="G73" s="7">
        <v>5.0059220000000003E-3</v>
      </c>
      <c r="H73" s="69"/>
    </row>
    <row r="74" spans="1:8" x14ac:dyDescent="0.2">
      <c r="A74" s="3">
        <v>68</v>
      </c>
      <c r="B74" s="4" t="s">
        <v>270</v>
      </c>
      <c r="C74" s="4" t="s">
        <v>271</v>
      </c>
      <c r="D74" s="4" t="s">
        <v>144</v>
      </c>
      <c r="E74" s="5">
        <v>17388</v>
      </c>
      <c r="F74" s="6">
        <v>99.563687999999999</v>
      </c>
      <c r="G74" s="7">
        <v>4.8336550000000001E-3</v>
      </c>
      <c r="H74" s="69"/>
    </row>
    <row r="75" spans="1:8" x14ac:dyDescent="0.2">
      <c r="A75" s="3">
        <v>69</v>
      </c>
      <c r="B75" s="4" t="s">
        <v>272</v>
      </c>
      <c r="C75" s="4" t="s">
        <v>273</v>
      </c>
      <c r="D75" s="4" t="s">
        <v>75</v>
      </c>
      <c r="E75" s="5">
        <v>79149</v>
      </c>
      <c r="F75" s="6">
        <v>99.411143999999993</v>
      </c>
      <c r="G75" s="7">
        <v>4.8262490000000003E-3</v>
      </c>
      <c r="H75" s="69"/>
    </row>
    <row r="76" spans="1:8" x14ac:dyDescent="0.2">
      <c r="A76" s="3">
        <v>70</v>
      </c>
      <c r="B76" s="4" t="s">
        <v>274</v>
      </c>
      <c r="C76" s="4" t="s">
        <v>275</v>
      </c>
      <c r="D76" s="4" t="s">
        <v>155</v>
      </c>
      <c r="E76" s="5">
        <v>21071</v>
      </c>
      <c r="F76" s="6">
        <v>80.206761499999999</v>
      </c>
      <c r="G76" s="7">
        <v>3.8939080000000002E-3</v>
      </c>
      <c r="H76" s="69"/>
    </row>
    <row r="77" spans="1:8" x14ac:dyDescent="0.2">
      <c r="A77" s="3">
        <v>71</v>
      </c>
      <c r="B77" s="4" t="s">
        <v>51</v>
      </c>
      <c r="C77" s="4" t="s">
        <v>52</v>
      </c>
      <c r="D77" s="4" t="s">
        <v>53</v>
      </c>
      <c r="E77" s="5">
        <v>44443</v>
      </c>
      <c r="F77" s="6">
        <v>75.286441999999994</v>
      </c>
      <c r="G77" s="7">
        <v>3.6550340000000001E-3</v>
      </c>
      <c r="H77" s="69"/>
    </row>
    <row r="78" spans="1:8" x14ac:dyDescent="0.2">
      <c r="A78" s="3">
        <v>72</v>
      </c>
      <c r="B78" s="4" t="s">
        <v>276</v>
      </c>
      <c r="C78" s="4" t="s">
        <v>277</v>
      </c>
      <c r="D78" s="4" t="s">
        <v>204</v>
      </c>
      <c r="E78" s="5">
        <v>26441</v>
      </c>
      <c r="F78" s="6">
        <v>74.894132499999998</v>
      </c>
      <c r="G78" s="7">
        <v>3.6359880000000002E-3</v>
      </c>
      <c r="H78" s="69"/>
    </row>
    <row r="79" spans="1:8" ht="25.5" x14ac:dyDescent="0.2">
      <c r="A79" s="3">
        <v>73</v>
      </c>
      <c r="B79" s="4" t="s">
        <v>291</v>
      </c>
      <c r="C79" s="4" t="s">
        <v>292</v>
      </c>
      <c r="D79" s="4" t="s">
        <v>45</v>
      </c>
      <c r="E79" s="5">
        <v>11635</v>
      </c>
      <c r="F79" s="6">
        <v>64.097215000000006</v>
      </c>
      <c r="G79" s="7">
        <v>3.111815E-3</v>
      </c>
      <c r="H79" s="69"/>
    </row>
    <row r="80" spans="1:8" x14ac:dyDescent="0.2">
      <c r="A80" s="3">
        <v>74</v>
      </c>
      <c r="B80" s="4" t="s">
        <v>278</v>
      </c>
      <c r="C80" s="4" t="s">
        <v>279</v>
      </c>
      <c r="D80" s="4" t="s">
        <v>144</v>
      </c>
      <c r="E80" s="5">
        <v>6090</v>
      </c>
      <c r="F80" s="6">
        <v>61.417650000000002</v>
      </c>
      <c r="G80" s="7">
        <v>2.981727E-3</v>
      </c>
      <c r="H80" s="69"/>
    </row>
    <row r="81" spans="1:8" x14ac:dyDescent="0.2">
      <c r="A81" s="3">
        <v>75</v>
      </c>
      <c r="B81" s="4" t="s">
        <v>293</v>
      </c>
      <c r="C81" s="4" t="s">
        <v>294</v>
      </c>
      <c r="D81" s="4" t="s">
        <v>334</v>
      </c>
      <c r="E81" s="5">
        <v>6255</v>
      </c>
      <c r="F81" s="6">
        <v>40.882680000000001</v>
      </c>
      <c r="G81" s="7">
        <v>1.984787E-3</v>
      </c>
      <c r="H81" s="69"/>
    </row>
    <row r="82" spans="1:8" x14ac:dyDescent="0.2">
      <c r="A82" s="3">
        <v>76</v>
      </c>
      <c r="B82" s="4" t="s">
        <v>295</v>
      </c>
      <c r="C82" s="4" t="s">
        <v>296</v>
      </c>
      <c r="D82" s="4" t="s">
        <v>27</v>
      </c>
      <c r="E82" s="5">
        <v>2539</v>
      </c>
      <c r="F82" s="6">
        <v>29.812937999999999</v>
      </c>
      <c r="G82" s="7">
        <v>1.4473699999999999E-3</v>
      </c>
      <c r="H82" s="69"/>
    </row>
    <row r="83" spans="1:8" x14ac:dyDescent="0.2">
      <c r="A83" s="3">
        <v>77</v>
      </c>
      <c r="B83" s="4" t="s">
        <v>280</v>
      </c>
      <c r="C83" s="4" t="s">
        <v>281</v>
      </c>
      <c r="D83" s="4" t="s">
        <v>175</v>
      </c>
      <c r="E83" s="5">
        <v>1290</v>
      </c>
      <c r="F83" s="6">
        <v>8.9971049999999995</v>
      </c>
      <c r="G83" s="7">
        <v>4.3679500000000002E-4</v>
      </c>
      <c r="H83" s="69"/>
    </row>
    <row r="84" spans="1:8" x14ac:dyDescent="0.2">
      <c r="A84" s="1"/>
      <c r="B84" s="1"/>
      <c r="C84" s="2" t="s">
        <v>95</v>
      </c>
      <c r="D84" s="1"/>
      <c r="E84" s="1" t="s">
        <v>96</v>
      </c>
      <c r="F84" s="9">
        <v>19349.817789500001</v>
      </c>
      <c r="G84" s="10">
        <v>0.93940210899999999</v>
      </c>
      <c r="H84" s="69"/>
    </row>
    <row r="85" spans="1:8" x14ac:dyDescent="0.2">
      <c r="A85" s="1"/>
      <c r="B85" s="1"/>
      <c r="C85" s="11"/>
      <c r="D85" s="1"/>
      <c r="E85" s="1"/>
      <c r="F85" s="12"/>
      <c r="G85" s="12"/>
      <c r="H85" s="69"/>
    </row>
    <row r="86" spans="1:8" x14ac:dyDescent="0.2">
      <c r="A86" s="1"/>
      <c r="B86" s="1"/>
      <c r="C86" s="2" t="s">
        <v>97</v>
      </c>
      <c r="D86" s="1"/>
      <c r="E86" s="1"/>
      <c r="F86" s="1"/>
      <c r="G86" s="1"/>
      <c r="H86" s="69"/>
    </row>
    <row r="87" spans="1:8" x14ac:dyDescent="0.2">
      <c r="A87" s="1"/>
      <c r="B87" s="1"/>
      <c r="C87" s="2" t="s">
        <v>95</v>
      </c>
      <c r="D87" s="1"/>
      <c r="E87" s="1" t="s">
        <v>96</v>
      </c>
      <c r="F87" s="13">
        <v>0</v>
      </c>
      <c r="G87" s="14">
        <v>0</v>
      </c>
      <c r="H87" s="69"/>
    </row>
    <row r="88" spans="1:8" x14ac:dyDescent="0.2">
      <c r="A88" s="1"/>
      <c r="B88" s="1"/>
      <c r="C88" s="11"/>
      <c r="D88" s="1"/>
      <c r="E88" s="1"/>
      <c r="F88" s="12"/>
      <c r="G88" s="12"/>
      <c r="H88" s="69"/>
    </row>
    <row r="89" spans="1:8" x14ac:dyDescent="0.2">
      <c r="A89" s="1"/>
      <c r="B89" s="1"/>
      <c r="C89" s="2" t="s">
        <v>98</v>
      </c>
      <c r="D89" s="1"/>
      <c r="E89" s="1"/>
      <c r="F89" s="1"/>
      <c r="G89" s="1"/>
      <c r="H89" s="69"/>
    </row>
    <row r="90" spans="1:8" x14ac:dyDescent="0.2">
      <c r="A90" s="1"/>
      <c r="B90" s="1"/>
      <c r="C90" s="2" t="s">
        <v>95</v>
      </c>
      <c r="D90" s="1"/>
      <c r="E90" s="1" t="s">
        <v>96</v>
      </c>
      <c r="F90" s="13">
        <v>0</v>
      </c>
      <c r="G90" s="14">
        <v>0</v>
      </c>
      <c r="H90" s="69"/>
    </row>
    <row r="91" spans="1:8" x14ac:dyDescent="0.2">
      <c r="A91" s="1"/>
      <c r="B91" s="1"/>
      <c r="C91" s="11"/>
      <c r="D91" s="1"/>
      <c r="E91" s="1"/>
      <c r="F91" s="12"/>
      <c r="G91" s="12"/>
      <c r="H91" s="69"/>
    </row>
    <row r="92" spans="1:8" x14ac:dyDescent="0.2">
      <c r="A92" s="1"/>
      <c r="B92" s="1"/>
      <c r="C92" s="2" t="s">
        <v>99</v>
      </c>
      <c r="D92" s="1"/>
      <c r="E92" s="1"/>
      <c r="F92" s="1"/>
      <c r="G92" s="1"/>
      <c r="H92" s="69"/>
    </row>
    <row r="93" spans="1:8" x14ac:dyDescent="0.2">
      <c r="A93" s="1"/>
      <c r="B93" s="1"/>
      <c r="C93" s="2" t="s">
        <v>95</v>
      </c>
      <c r="D93" s="1"/>
      <c r="E93" s="1" t="s">
        <v>96</v>
      </c>
      <c r="F93" s="13">
        <v>0</v>
      </c>
      <c r="G93" s="14">
        <v>0</v>
      </c>
      <c r="H93" s="69"/>
    </row>
    <row r="94" spans="1:8" x14ac:dyDescent="0.2">
      <c r="A94" s="1"/>
      <c r="B94" s="1"/>
      <c r="C94" s="11"/>
      <c r="D94" s="1"/>
      <c r="E94" s="1"/>
      <c r="F94" s="12"/>
      <c r="G94" s="12"/>
      <c r="H94" s="69"/>
    </row>
    <row r="95" spans="1:8" x14ac:dyDescent="0.2">
      <c r="A95" s="1"/>
      <c r="B95" s="1"/>
      <c r="C95" s="2" t="s">
        <v>100</v>
      </c>
      <c r="D95" s="1"/>
      <c r="E95" s="1"/>
      <c r="F95" s="12"/>
      <c r="G95" s="12"/>
      <c r="H95" s="69"/>
    </row>
    <row r="96" spans="1:8" x14ac:dyDescent="0.2">
      <c r="A96" s="1"/>
      <c r="B96" s="1"/>
      <c r="C96" s="2" t="s">
        <v>95</v>
      </c>
      <c r="D96" s="1"/>
      <c r="E96" s="1" t="s">
        <v>96</v>
      </c>
      <c r="F96" s="13">
        <v>0</v>
      </c>
      <c r="G96" s="14">
        <v>0</v>
      </c>
      <c r="H96" s="69"/>
    </row>
    <row r="97" spans="1:8" x14ac:dyDescent="0.2">
      <c r="A97" s="1"/>
      <c r="B97" s="1"/>
      <c r="C97" s="11"/>
      <c r="D97" s="1"/>
      <c r="E97" s="1"/>
      <c r="F97" s="12"/>
      <c r="G97" s="12"/>
      <c r="H97" s="69"/>
    </row>
    <row r="98" spans="1:8" x14ac:dyDescent="0.2">
      <c r="A98" s="1"/>
      <c r="B98" s="1"/>
      <c r="C98" s="2" t="s">
        <v>101</v>
      </c>
      <c r="D98" s="1"/>
      <c r="E98" s="1"/>
      <c r="F98" s="12"/>
      <c r="G98" s="12"/>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102</v>
      </c>
      <c r="D101" s="1"/>
      <c r="E101" s="1"/>
      <c r="F101" s="9">
        <v>19349.817789500001</v>
      </c>
      <c r="G101" s="10">
        <v>0.93940210899999999</v>
      </c>
      <c r="H101" s="69"/>
    </row>
    <row r="102" spans="1:8" x14ac:dyDescent="0.2">
      <c r="A102" s="1"/>
      <c r="B102" s="1"/>
      <c r="C102" s="11"/>
      <c r="D102" s="1"/>
      <c r="E102" s="1"/>
      <c r="F102" s="12"/>
      <c r="G102" s="12"/>
      <c r="H102" s="69"/>
    </row>
    <row r="103" spans="1:8" x14ac:dyDescent="0.2">
      <c r="A103" s="1"/>
      <c r="B103" s="1"/>
      <c r="C103" s="2" t="s">
        <v>103</v>
      </c>
      <c r="D103" s="1"/>
      <c r="E103" s="1"/>
      <c r="F103" s="12"/>
      <c r="G103" s="12"/>
      <c r="H103" s="69"/>
    </row>
    <row r="104" spans="1:8" ht="25.5" x14ac:dyDescent="0.2">
      <c r="A104" s="1"/>
      <c r="B104" s="1"/>
      <c r="C104" s="2" t="s">
        <v>10</v>
      </c>
      <c r="D104" s="1"/>
      <c r="E104" s="1"/>
      <c r="F104" s="12"/>
      <c r="G104" s="12"/>
      <c r="H104" s="69"/>
    </row>
    <row r="105" spans="1:8" x14ac:dyDescent="0.2">
      <c r="A105" s="1"/>
      <c r="B105" s="1"/>
      <c r="C105" s="2" t="s">
        <v>95</v>
      </c>
      <c r="D105" s="1"/>
      <c r="E105" s="1" t="s">
        <v>96</v>
      </c>
      <c r="F105" s="13">
        <v>0</v>
      </c>
      <c r="G105" s="14">
        <v>0</v>
      </c>
      <c r="H105" s="69"/>
    </row>
    <row r="106" spans="1:8" x14ac:dyDescent="0.2">
      <c r="A106" s="1"/>
      <c r="B106" s="1"/>
      <c r="C106" s="11"/>
      <c r="D106" s="1"/>
      <c r="E106" s="1"/>
      <c r="F106" s="12"/>
      <c r="G106" s="12"/>
      <c r="H106" s="69"/>
    </row>
    <row r="107" spans="1:8" x14ac:dyDescent="0.2">
      <c r="A107" s="1"/>
      <c r="B107" s="1"/>
      <c r="C107" s="2" t="s">
        <v>104</v>
      </c>
      <c r="D107" s="1"/>
      <c r="E107" s="1"/>
      <c r="F107" s="1"/>
      <c r="G107" s="1"/>
      <c r="H107" s="69"/>
    </row>
    <row r="108" spans="1:8" x14ac:dyDescent="0.2">
      <c r="A108" s="1"/>
      <c r="B108" s="1"/>
      <c r="C108" s="2" t="s">
        <v>95</v>
      </c>
      <c r="D108" s="1"/>
      <c r="E108" s="1" t="s">
        <v>96</v>
      </c>
      <c r="F108" s="13">
        <v>0</v>
      </c>
      <c r="G108" s="14">
        <v>0</v>
      </c>
      <c r="H108" s="69"/>
    </row>
    <row r="109" spans="1:8" x14ac:dyDescent="0.2">
      <c r="A109" s="1"/>
      <c r="B109" s="1"/>
      <c r="C109" s="11"/>
      <c r="D109" s="1"/>
      <c r="E109" s="1"/>
      <c r="F109" s="12"/>
      <c r="G109" s="12"/>
      <c r="H109" s="69"/>
    </row>
    <row r="110" spans="1:8" x14ac:dyDescent="0.2">
      <c r="A110" s="1"/>
      <c r="B110" s="1"/>
      <c r="C110" s="2" t="s">
        <v>105</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106</v>
      </c>
      <c r="D113" s="1"/>
      <c r="E113" s="1"/>
      <c r="F113" s="12"/>
      <c r="G113" s="12"/>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2" t="s">
        <v>107</v>
      </c>
      <c r="D116" s="1"/>
      <c r="E116" s="1"/>
      <c r="F116" s="9">
        <v>0</v>
      </c>
      <c r="G116" s="10">
        <v>0</v>
      </c>
      <c r="H116" s="69"/>
    </row>
    <row r="117" spans="1:8" x14ac:dyDescent="0.2">
      <c r="A117" s="1"/>
      <c r="B117" s="1"/>
      <c r="C117" s="11"/>
      <c r="D117" s="1"/>
      <c r="E117" s="1"/>
      <c r="F117" s="12"/>
      <c r="G117" s="12"/>
      <c r="H117" s="69"/>
    </row>
    <row r="118" spans="1:8" x14ac:dyDescent="0.2">
      <c r="A118" s="1"/>
      <c r="B118" s="1"/>
      <c r="C118" s="2" t="s">
        <v>108</v>
      </c>
      <c r="D118" s="1"/>
      <c r="E118" s="1"/>
      <c r="F118" s="12"/>
      <c r="G118" s="12"/>
      <c r="H118" s="69"/>
    </row>
    <row r="119" spans="1:8" x14ac:dyDescent="0.2">
      <c r="A119" s="1"/>
      <c r="B119" s="1"/>
      <c r="C119" s="2" t="s">
        <v>109</v>
      </c>
      <c r="D119" s="1"/>
      <c r="E119" s="1"/>
      <c r="F119" s="12"/>
      <c r="G119" s="12"/>
      <c r="H119" s="69"/>
    </row>
    <row r="120" spans="1:8" x14ac:dyDescent="0.2">
      <c r="A120" s="1"/>
      <c r="B120" s="1"/>
      <c r="C120" s="2" t="s">
        <v>95</v>
      </c>
      <c r="D120" s="1"/>
      <c r="E120" s="1" t="s">
        <v>96</v>
      </c>
      <c r="F120" s="13">
        <v>0</v>
      </c>
      <c r="G120" s="14">
        <v>0</v>
      </c>
      <c r="H120" s="69"/>
    </row>
    <row r="121" spans="1:8" x14ac:dyDescent="0.2">
      <c r="A121" s="1"/>
      <c r="B121" s="1"/>
      <c r="C121" s="11"/>
      <c r="D121" s="1"/>
      <c r="E121" s="1"/>
      <c r="F121" s="12"/>
      <c r="G121" s="12"/>
      <c r="H121" s="69"/>
    </row>
    <row r="122" spans="1:8" x14ac:dyDescent="0.2">
      <c r="A122" s="1"/>
      <c r="B122" s="1"/>
      <c r="C122" s="2" t="s">
        <v>110</v>
      </c>
      <c r="D122" s="1"/>
      <c r="E122" s="1"/>
      <c r="F122" s="12"/>
      <c r="G122" s="12"/>
      <c r="H122" s="69"/>
    </row>
    <row r="123" spans="1:8" x14ac:dyDescent="0.2">
      <c r="A123" s="1"/>
      <c r="B123" s="1"/>
      <c r="C123" s="2" t="s">
        <v>95</v>
      </c>
      <c r="D123" s="1"/>
      <c r="E123" s="1" t="s">
        <v>96</v>
      </c>
      <c r="F123" s="13">
        <v>0</v>
      </c>
      <c r="G123" s="14">
        <v>0</v>
      </c>
      <c r="H123" s="69"/>
    </row>
    <row r="124" spans="1:8" x14ac:dyDescent="0.2">
      <c r="A124" s="1"/>
      <c r="B124" s="1"/>
      <c r="C124" s="11"/>
      <c r="D124" s="1"/>
      <c r="E124" s="1"/>
      <c r="F124" s="12"/>
      <c r="G124" s="12"/>
      <c r="H124" s="69"/>
    </row>
    <row r="125" spans="1:8" x14ac:dyDescent="0.2">
      <c r="A125" s="1"/>
      <c r="B125" s="1"/>
      <c r="C125" s="2" t="s">
        <v>111</v>
      </c>
      <c r="D125" s="1"/>
      <c r="E125" s="1"/>
      <c r="F125" s="12"/>
      <c r="G125" s="12"/>
      <c r="H125" s="69"/>
    </row>
    <row r="126" spans="1:8" x14ac:dyDescent="0.2">
      <c r="A126" s="1"/>
      <c r="B126" s="1"/>
      <c r="C126" s="2" t="s">
        <v>95</v>
      </c>
      <c r="D126" s="1"/>
      <c r="E126" s="1" t="s">
        <v>96</v>
      </c>
      <c r="F126" s="13">
        <v>0</v>
      </c>
      <c r="G126" s="14">
        <v>0</v>
      </c>
      <c r="H126" s="69"/>
    </row>
    <row r="127" spans="1:8" x14ac:dyDescent="0.2">
      <c r="A127" s="1"/>
      <c r="B127" s="1"/>
      <c r="C127" s="11"/>
      <c r="D127" s="1"/>
      <c r="E127" s="1"/>
      <c r="F127" s="12"/>
      <c r="G127" s="12"/>
      <c r="H127" s="69"/>
    </row>
    <row r="128" spans="1:8" x14ac:dyDescent="0.2">
      <c r="A128" s="1"/>
      <c r="B128" s="1"/>
      <c r="C128" s="2" t="s">
        <v>112</v>
      </c>
      <c r="D128" s="1"/>
      <c r="E128" s="1"/>
      <c r="F128" s="12"/>
      <c r="G128" s="12"/>
      <c r="H128" s="69"/>
    </row>
    <row r="129" spans="1:8" x14ac:dyDescent="0.2">
      <c r="A129" s="3">
        <v>1</v>
      </c>
      <c r="B129" s="4"/>
      <c r="C129" s="4" t="s">
        <v>113</v>
      </c>
      <c r="D129" s="4"/>
      <c r="E129" s="8"/>
      <c r="F129" s="6">
        <v>900.56962759999999</v>
      </c>
      <c r="G129" s="7">
        <v>4.3721187000000002E-2</v>
      </c>
      <c r="H129" s="6">
        <v>3.3628721504199861</v>
      </c>
    </row>
    <row r="130" spans="1:8" x14ac:dyDescent="0.2">
      <c r="A130" s="3">
        <v>2</v>
      </c>
      <c r="B130" s="4"/>
      <c r="C130" s="4" t="s">
        <v>114</v>
      </c>
      <c r="D130" s="4"/>
      <c r="E130" s="8"/>
      <c r="F130" s="6">
        <v>347.79171280000003</v>
      </c>
      <c r="G130" s="7">
        <v>1.6884720999999998E-2</v>
      </c>
      <c r="H130" s="6">
        <v>3.4499999999999966</v>
      </c>
    </row>
    <row r="131" spans="1:8" x14ac:dyDescent="0.2">
      <c r="A131" s="1"/>
      <c r="B131" s="1"/>
      <c r="C131" s="2" t="s">
        <v>95</v>
      </c>
      <c r="D131" s="1"/>
      <c r="E131" s="1" t="s">
        <v>96</v>
      </c>
      <c r="F131" s="9">
        <v>1248.3613404</v>
      </c>
      <c r="G131" s="10">
        <v>6.0605908E-2</v>
      </c>
      <c r="H131" s="69"/>
    </row>
    <row r="132" spans="1:8" x14ac:dyDescent="0.2">
      <c r="A132" s="1"/>
      <c r="B132" s="1"/>
      <c r="C132" s="11"/>
      <c r="D132" s="1"/>
      <c r="E132" s="1"/>
      <c r="F132" s="12"/>
      <c r="G132" s="12"/>
      <c r="H132" s="69"/>
    </row>
    <row r="133" spans="1:8" x14ac:dyDescent="0.2">
      <c r="A133" s="1"/>
      <c r="B133" s="1"/>
      <c r="C133" s="2" t="s">
        <v>115</v>
      </c>
      <c r="D133" s="1"/>
      <c r="E133" s="1"/>
      <c r="F133" s="9">
        <v>1248.3613404</v>
      </c>
      <c r="G133" s="10">
        <v>6.0605908E-2</v>
      </c>
      <c r="H133" s="69"/>
    </row>
    <row r="134" spans="1:8" x14ac:dyDescent="0.2">
      <c r="A134" s="1"/>
      <c r="B134" s="1"/>
      <c r="C134" s="12"/>
      <c r="D134" s="1"/>
      <c r="E134" s="1"/>
      <c r="F134" s="1"/>
      <c r="G134" s="1"/>
      <c r="H134" s="69"/>
    </row>
    <row r="135" spans="1:8" x14ac:dyDescent="0.2">
      <c r="A135" s="1"/>
      <c r="B135" s="1"/>
      <c r="C135" s="2" t="s">
        <v>116</v>
      </c>
      <c r="D135" s="1"/>
      <c r="E135" s="1"/>
      <c r="F135" s="1"/>
      <c r="G135" s="1"/>
      <c r="H135" s="69"/>
    </row>
    <row r="136" spans="1:8" x14ac:dyDescent="0.2">
      <c r="A136" s="1"/>
      <c r="B136" s="1"/>
      <c r="C136" s="2" t="s">
        <v>117</v>
      </c>
      <c r="D136" s="1"/>
      <c r="E136" s="1"/>
      <c r="F136" s="1"/>
      <c r="G136" s="1"/>
      <c r="H136" s="69"/>
    </row>
    <row r="137" spans="1:8" x14ac:dyDescent="0.2">
      <c r="A137" s="1"/>
      <c r="B137" s="1"/>
      <c r="C137" s="2" t="s">
        <v>95</v>
      </c>
      <c r="D137" s="1"/>
      <c r="E137" s="1" t="s">
        <v>96</v>
      </c>
      <c r="F137" s="13">
        <v>0</v>
      </c>
      <c r="G137" s="14">
        <v>0</v>
      </c>
      <c r="H137" s="69"/>
    </row>
    <row r="138" spans="1:8" x14ac:dyDescent="0.2">
      <c r="A138" s="1"/>
      <c r="B138" s="1"/>
      <c r="C138" s="11"/>
      <c r="D138" s="1"/>
      <c r="E138" s="1"/>
      <c r="F138" s="12"/>
      <c r="G138" s="12"/>
      <c r="H138" s="69"/>
    </row>
    <row r="139" spans="1:8" x14ac:dyDescent="0.2">
      <c r="A139" s="1"/>
      <c r="B139" s="1"/>
      <c r="C139" s="2" t="s">
        <v>118</v>
      </c>
      <c r="D139" s="1"/>
      <c r="E139" s="1"/>
      <c r="F139" s="1"/>
      <c r="G139" s="1"/>
      <c r="H139" s="69"/>
    </row>
    <row r="140" spans="1:8" x14ac:dyDescent="0.2">
      <c r="A140" s="1"/>
      <c r="B140" s="1"/>
      <c r="C140" s="2" t="s">
        <v>119</v>
      </c>
      <c r="D140" s="1"/>
      <c r="E140" s="1"/>
      <c r="F140" s="1"/>
      <c r="G140" s="1"/>
      <c r="H140" s="69"/>
    </row>
    <row r="141" spans="1:8" x14ac:dyDescent="0.2">
      <c r="A141" s="1"/>
      <c r="B141" s="1"/>
      <c r="C141" s="2" t="s">
        <v>95</v>
      </c>
      <c r="D141" s="1"/>
      <c r="E141" s="1" t="s">
        <v>96</v>
      </c>
      <c r="F141" s="13">
        <v>0</v>
      </c>
      <c r="G141" s="14">
        <v>0</v>
      </c>
      <c r="H141" s="69"/>
    </row>
    <row r="142" spans="1:8" x14ac:dyDescent="0.2">
      <c r="A142" s="1"/>
      <c r="B142" s="1"/>
      <c r="C142" s="11"/>
      <c r="D142" s="1"/>
      <c r="E142" s="1"/>
      <c r="F142" s="12"/>
      <c r="G142" s="12"/>
      <c r="H142" s="69"/>
    </row>
    <row r="143" spans="1:8" x14ac:dyDescent="0.2">
      <c r="A143" s="1"/>
      <c r="B143" s="1"/>
      <c r="C143" s="11"/>
      <c r="D143" s="1"/>
      <c r="E143" s="1"/>
      <c r="F143" s="12"/>
      <c r="G143" s="12"/>
      <c r="H143" s="69"/>
    </row>
    <row r="144" spans="1:8" ht="25.5" x14ac:dyDescent="0.2">
      <c r="A144" s="1"/>
      <c r="B144" s="1"/>
      <c r="C144" s="2" t="s">
        <v>120</v>
      </c>
      <c r="D144" s="1"/>
      <c r="E144" s="1"/>
      <c r="F144" s="12"/>
      <c r="G144" s="12"/>
      <c r="H144" s="69"/>
    </row>
    <row r="145" spans="1:8" x14ac:dyDescent="0.2">
      <c r="A145" s="1"/>
      <c r="B145" s="1"/>
      <c r="C145" s="2" t="s">
        <v>95</v>
      </c>
      <c r="D145" s="1"/>
      <c r="E145" s="1" t="s">
        <v>96</v>
      </c>
      <c r="F145" s="13">
        <v>0</v>
      </c>
      <c r="G145" s="14">
        <v>0</v>
      </c>
      <c r="H145" s="69"/>
    </row>
    <row r="146" spans="1:8" x14ac:dyDescent="0.2">
      <c r="A146" s="1"/>
      <c r="B146" s="1"/>
      <c r="C146" s="11"/>
      <c r="D146" s="1"/>
      <c r="E146" s="1"/>
      <c r="F146" s="12"/>
      <c r="G146" s="12"/>
      <c r="H146" s="69"/>
    </row>
    <row r="147" spans="1:8" x14ac:dyDescent="0.2">
      <c r="A147" s="1"/>
      <c r="B147" s="4"/>
      <c r="C147" s="4"/>
      <c r="D147" s="2"/>
      <c r="E147" s="1"/>
      <c r="F147" s="4"/>
      <c r="G147" s="8"/>
      <c r="H147" s="69"/>
    </row>
    <row r="148" spans="1:8" x14ac:dyDescent="0.2">
      <c r="A148" s="8"/>
      <c r="B148" s="4"/>
      <c r="C148" s="4" t="s">
        <v>121</v>
      </c>
      <c r="D148" s="4"/>
      <c r="E148" s="8"/>
      <c r="F148" s="6">
        <v>-0.16519798999999999</v>
      </c>
      <c r="G148" s="7">
        <v>-8.0199999999999994E-6</v>
      </c>
      <c r="H148" s="69"/>
    </row>
    <row r="149" spans="1:8" x14ac:dyDescent="0.2">
      <c r="A149" s="11"/>
      <c r="B149" s="11"/>
      <c r="C149" s="2" t="s">
        <v>122</v>
      </c>
      <c r="D149" s="15"/>
      <c r="E149" s="15"/>
      <c r="F149" s="9">
        <v>20598.013931910002</v>
      </c>
      <c r="G149" s="10">
        <v>0.99999999699999997</v>
      </c>
      <c r="H149" s="69"/>
    </row>
    <row r="150" spans="1:8" ht="14.1" customHeight="1" x14ac:dyDescent="0.2">
      <c r="A150" s="16"/>
      <c r="B150" s="16"/>
      <c r="C150" s="16"/>
      <c r="D150" s="17"/>
      <c r="E150" s="17"/>
      <c r="F150" s="17"/>
      <c r="G150" s="17"/>
    </row>
    <row r="151" spans="1:8" ht="14.1" customHeight="1" x14ac:dyDescent="0.2">
      <c r="A151" s="18"/>
      <c r="B151" s="176" t="s">
        <v>96</v>
      </c>
      <c r="C151" s="176"/>
      <c r="D151" s="176"/>
      <c r="E151" s="176"/>
      <c r="F151" s="176"/>
      <c r="G151" s="20"/>
    </row>
    <row r="152" spans="1:8" ht="14.1" customHeight="1" x14ac:dyDescent="0.2">
      <c r="A152" s="18"/>
      <c r="B152" s="176" t="s">
        <v>96</v>
      </c>
      <c r="C152" s="176"/>
      <c r="D152" s="176"/>
      <c r="E152" s="176"/>
      <c r="F152" s="176"/>
      <c r="G152" s="20"/>
    </row>
    <row r="153" spans="1:8" ht="14.1" customHeight="1" x14ac:dyDescent="0.2">
      <c r="A153" s="18"/>
      <c r="B153" s="18"/>
      <c r="C153" s="18"/>
      <c r="D153" s="20"/>
      <c r="E153" s="20"/>
      <c r="F153" s="20"/>
      <c r="G153" s="20"/>
    </row>
    <row r="154" spans="1:8" ht="14.1" customHeight="1" x14ac:dyDescent="0.2">
      <c r="A154" s="18"/>
      <c r="B154" s="174" t="s">
        <v>124</v>
      </c>
      <c r="C154" s="175"/>
      <c r="D154" s="12" t="s">
        <v>96</v>
      </c>
      <c r="E154" s="21"/>
      <c r="F154" s="20"/>
      <c r="G154" s="20"/>
    </row>
    <row r="155" spans="1:8" ht="29.1" customHeight="1" x14ac:dyDescent="0.2">
      <c r="A155" s="18"/>
      <c r="B155" s="172" t="s">
        <v>125</v>
      </c>
      <c r="C155" s="173"/>
      <c r="D155" s="2" t="s">
        <v>126</v>
      </c>
      <c r="E155" s="21"/>
      <c r="F155" s="20"/>
      <c r="G155" s="20"/>
    </row>
    <row r="156" spans="1:8" ht="17.100000000000001" customHeight="1" x14ac:dyDescent="0.2">
      <c r="A156" s="18"/>
      <c r="B156" s="172" t="s">
        <v>127</v>
      </c>
      <c r="C156" s="173"/>
      <c r="D156" s="2" t="s">
        <v>126</v>
      </c>
      <c r="E156" s="21"/>
      <c r="F156" s="20"/>
      <c r="G156" s="20"/>
    </row>
    <row r="157" spans="1:8" ht="17.100000000000001" customHeight="1" x14ac:dyDescent="0.2">
      <c r="A157" s="18"/>
      <c r="B157" s="172" t="s">
        <v>128</v>
      </c>
      <c r="C157" s="173"/>
      <c r="D157" s="12" t="s">
        <v>96</v>
      </c>
      <c r="E157" s="21"/>
      <c r="F157" s="20"/>
      <c r="G157" s="20"/>
    </row>
    <row r="158" spans="1:8" ht="24" customHeight="1" x14ac:dyDescent="0.2">
      <c r="A158" s="22"/>
      <c r="B158" s="23" t="s">
        <v>96</v>
      </c>
      <c r="C158" s="23" t="s">
        <v>129</v>
      </c>
      <c r="D158" s="23" t="s">
        <v>130</v>
      </c>
      <c r="E158" s="22"/>
      <c r="F158" s="22"/>
      <c r="G158" s="22"/>
    </row>
    <row r="159" spans="1:8" ht="18" customHeight="1" x14ac:dyDescent="0.2">
      <c r="A159" s="22"/>
      <c r="B159" s="23" t="s">
        <v>131</v>
      </c>
      <c r="C159" s="23" t="s">
        <v>132</v>
      </c>
      <c r="D159" s="23" t="s">
        <v>133</v>
      </c>
      <c r="E159" s="22"/>
      <c r="F159" s="22"/>
      <c r="G159" s="22"/>
    </row>
    <row r="160" spans="1:8" ht="17.100000000000001" customHeight="1" x14ac:dyDescent="0.2">
      <c r="A160" s="22"/>
      <c r="B160" s="4" t="s">
        <v>134</v>
      </c>
      <c r="C160" s="24">
        <v>16.013100000000001</v>
      </c>
      <c r="D160" s="24">
        <v>16.008199999999999</v>
      </c>
      <c r="E160" s="22"/>
      <c r="F160" s="19"/>
      <c r="G160" s="25"/>
    </row>
    <row r="161" spans="1:16" ht="17.100000000000001" customHeight="1" x14ac:dyDescent="0.2">
      <c r="A161" s="22"/>
      <c r="B161" s="4" t="s">
        <v>983</v>
      </c>
      <c r="C161" s="24">
        <v>16.013000000000002</v>
      </c>
      <c r="D161" s="24">
        <v>16.007999999999999</v>
      </c>
      <c r="E161" s="22"/>
      <c r="F161" s="19"/>
      <c r="G161" s="25"/>
    </row>
    <row r="162" spans="1:16" ht="17.100000000000001" customHeight="1" x14ac:dyDescent="0.2">
      <c r="A162" s="22"/>
      <c r="B162" s="4" t="s">
        <v>135</v>
      </c>
      <c r="C162" s="24">
        <v>15.4496</v>
      </c>
      <c r="D162" s="24">
        <v>15.4366</v>
      </c>
      <c r="E162" s="22"/>
      <c r="F162" s="19"/>
      <c r="G162" s="25"/>
    </row>
    <row r="163" spans="1:16" ht="17.100000000000001" customHeight="1" x14ac:dyDescent="0.2">
      <c r="A163" s="22"/>
      <c r="B163" s="4" t="s">
        <v>984</v>
      </c>
      <c r="C163" s="24">
        <v>15.4496</v>
      </c>
      <c r="D163" s="24">
        <v>15.4366</v>
      </c>
      <c r="E163" s="22"/>
      <c r="F163" s="19"/>
      <c r="G163" s="25"/>
    </row>
    <row r="164" spans="1:16" ht="14.1" customHeight="1" x14ac:dyDescent="0.2">
      <c r="A164" s="22"/>
      <c r="B164" s="22"/>
      <c r="C164" s="22"/>
      <c r="D164" s="22"/>
      <c r="E164" s="22"/>
      <c r="F164" s="22"/>
      <c r="G164" s="22"/>
      <c r="I164" s="82"/>
      <c r="J164" s="82"/>
      <c r="K164" s="82"/>
      <c r="L164" s="82"/>
      <c r="M164" s="82"/>
      <c r="N164" s="82"/>
      <c r="O164" s="82"/>
    </row>
    <row r="165" spans="1:16" ht="17.100000000000001" customHeight="1" x14ac:dyDescent="0.2">
      <c r="A165" s="22"/>
      <c r="B165" s="172" t="s">
        <v>985</v>
      </c>
      <c r="C165" s="173"/>
      <c r="D165" s="2" t="s">
        <v>126</v>
      </c>
      <c r="E165" s="22"/>
      <c r="F165" s="22"/>
      <c r="G165" s="22"/>
    </row>
    <row r="166" spans="1:16" ht="18" customHeight="1" x14ac:dyDescent="0.2">
      <c r="A166" s="22"/>
      <c r="B166" s="26" t="s">
        <v>136</v>
      </c>
      <c r="C166" s="26" t="s">
        <v>136</v>
      </c>
      <c r="D166" s="26"/>
      <c r="E166" s="22"/>
      <c r="F166" s="22"/>
      <c r="G166" s="22"/>
      <c r="P166" s="82"/>
    </row>
    <row r="167" spans="1:16" s="82" customFormat="1" x14ac:dyDescent="0.2">
      <c r="B167" s="177" t="s">
        <v>936</v>
      </c>
      <c r="C167" s="177"/>
      <c r="D167" s="177"/>
      <c r="E167" s="177"/>
      <c r="F167" s="177"/>
      <c r="I167"/>
      <c r="J167"/>
      <c r="K167"/>
      <c r="L167"/>
      <c r="M167"/>
      <c r="N167"/>
      <c r="O167"/>
      <c r="P167"/>
    </row>
    <row r="168" spans="1:16" ht="14.1" customHeight="1" x14ac:dyDescent="0.2">
      <c r="A168" s="22"/>
      <c r="B168" s="19"/>
      <c r="C168" s="19"/>
      <c r="D168" s="22"/>
      <c r="E168" s="22"/>
      <c r="F168" s="22"/>
      <c r="G168" s="22"/>
    </row>
    <row r="169" spans="1:16" ht="29.1" customHeight="1" x14ac:dyDescent="0.2">
      <c r="A169" s="22"/>
      <c r="B169" s="172" t="s">
        <v>137</v>
      </c>
      <c r="C169" s="173"/>
      <c r="D169" s="2" t="s">
        <v>126</v>
      </c>
      <c r="E169" s="22"/>
      <c r="F169" s="22"/>
      <c r="G169" s="22"/>
    </row>
    <row r="170" spans="1:16" ht="29.1" customHeight="1" x14ac:dyDescent="0.2">
      <c r="A170" s="22"/>
      <c r="B170" s="172" t="s">
        <v>138</v>
      </c>
      <c r="C170" s="173"/>
      <c r="D170" s="2" t="s">
        <v>126</v>
      </c>
      <c r="E170" s="22"/>
      <c r="F170" s="22"/>
      <c r="G170" s="22"/>
    </row>
    <row r="171" spans="1:16" ht="17.100000000000001" customHeight="1" x14ac:dyDescent="0.2">
      <c r="A171" s="22"/>
      <c r="B171" s="172" t="s">
        <v>139</v>
      </c>
      <c r="C171" s="173"/>
      <c r="D171" s="27">
        <v>0.43100166074155566</v>
      </c>
      <c r="E171" s="22"/>
      <c r="F171" s="19"/>
      <c r="G171" s="25"/>
    </row>
    <row r="172" spans="1:16" ht="17.100000000000001" customHeight="1" x14ac:dyDescent="0.2">
      <c r="A172" s="22"/>
      <c r="B172" s="172" t="s">
        <v>140</v>
      </c>
      <c r="C172" s="173"/>
      <c r="D172" s="2" t="s">
        <v>126</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297</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25</v>
      </c>
      <c r="C7" s="4" t="s">
        <v>26</v>
      </c>
      <c r="D7" s="4" t="s">
        <v>27</v>
      </c>
      <c r="E7" s="5">
        <v>28756</v>
      </c>
      <c r="F7" s="6">
        <v>463.90616999999997</v>
      </c>
      <c r="G7" s="7">
        <v>3.3846808999999999E-2</v>
      </c>
      <c r="H7" s="69"/>
    </row>
    <row r="8" spans="1:14" x14ac:dyDescent="0.2">
      <c r="A8" s="3">
        <v>2</v>
      </c>
      <c r="B8" s="4" t="s">
        <v>145</v>
      </c>
      <c r="C8" s="4" t="s">
        <v>146</v>
      </c>
      <c r="D8" s="4" t="s">
        <v>27</v>
      </c>
      <c r="E8" s="5">
        <v>38777</v>
      </c>
      <c r="F8" s="6">
        <v>428.44707299999999</v>
      </c>
      <c r="G8" s="7">
        <v>3.1259697000000003E-2</v>
      </c>
      <c r="H8" s="69"/>
    </row>
    <row r="9" spans="1:14" x14ac:dyDescent="0.2">
      <c r="A9" s="3">
        <v>3</v>
      </c>
      <c r="B9" s="4" t="s">
        <v>142</v>
      </c>
      <c r="C9" s="4" t="s">
        <v>143</v>
      </c>
      <c r="D9" s="4" t="s">
        <v>144</v>
      </c>
      <c r="E9" s="5">
        <v>10290</v>
      </c>
      <c r="F9" s="6">
        <v>384.94889999999998</v>
      </c>
      <c r="G9" s="7">
        <v>2.8086050000000001E-2</v>
      </c>
      <c r="H9" s="69"/>
    </row>
    <row r="10" spans="1:14" x14ac:dyDescent="0.2">
      <c r="A10" s="3">
        <v>4</v>
      </c>
      <c r="B10" s="4" t="s">
        <v>79</v>
      </c>
      <c r="C10" s="4" t="s">
        <v>80</v>
      </c>
      <c r="D10" s="4" t="s">
        <v>75</v>
      </c>
      <c r="E10" s="5">
        <v>91772</v>
      </c>
      <c r="F10" s="6">
        <v>342.49310400000002</v>
      </c>
      <c r="G10" s="7">
        <v>2.4988455999999999E-2</v>
      </c>
      <c r="H10" s="69"/>
    </row>
    <row r="11" spans="1:14" x14ac:dyDescent="0.2">
      <c r="A11" s="3">
        <v>5</v>
      </c>
      <c r="B11" s="4" t="s">
        <v>165</v>
      </c>
      <c r="C11" s="4" t="s">
        <v>166</v>
      </c>
      <c r="D11" s="4" t="s">
        <v>155</v>
      </c>
      <c r="E11" s="5">
        <v>67307</v>
      </c>
      <c r="F11" s="6">
        <v>332.93407550000001</v>
      </c>
      <c r="G11" s="7">
        <v>2.4291024000000001E-2</v>
      </c>
      <c r="H11" s="69"/>
    </row>
    <row r="12" spans="1:14" ht="25.5" x14ac:dyDescent="0.2">
      <c r="A12" s="3">
        <v>6</v>
      </c>
      <c r="B12" s="4" t="s">
        <v>151</v>
      </c>
      <c r="C12" s="4" t="s">
        <v>152</v>
      </c>
      <c r="D12" s="4" t="s">
        <v>45</v>
      </c>
      <c r="E12" s="5">
        <v>223169</v>
      </c>
      <c r="F12" s="6">
        <v>332.85656349999999</v>
      </c>
      <c r="G12" s="7">
        <v>2.4285369000000001E-2</v>
      </c>
      <c r="H12" s="69"/>
    </row>
    <row r="13" spans="1:14" x14ac:dyDescent="0.2">
      <c r="A13" s="3">
        <v>7</v>
      </c>
      <c r="B13" s="4" t="s">
        <v>147</v>
      </c>
      <c r="C13" s="4" t="s">
        <v>148</v>
      </c>
      <c r="D13" s="4" t="s">
        <v>78</v>
      </c>
      <c r="E13" s="5">
        <v>273941</v>
      </c>
      <c r="F13" s="6">
        <v>332.15346249999999</v>
      </c>
      <c r="G13" s="7">
        <v>2.4234070999999999E-2</v>
      </c>
      <c r="H13" s="69"/>
    </row>
    <row r="14" spans="1:14" x14ac:dyDescent="0.2">
      <c r="A14" s="3">
        <v>8</v>
      </c>
      <c r="B14" s="4" t="s">
        <v>149</v>
      </c>
      <c r="C14" s="4" t="s">
        <v>150</v>
      </c>
      <c r="D14" s="4" t="s">
        <v>75</v>
      </c>
      <c r="E14" s="5">
        <v>54073</v>
      </c>
      <c r="F14" s="6">
        <v>325.30316800000003</v>
      </c>
      <c r="G14" s="7">
        <v>2.3734269999999998E-2</v>
      </c>
      <c r="H14" s="69"/>
    </row>
    <row r="15" spans="1:14" x14ac:dyDescent="0.2">
      <c r="A15" s="3">
        <v>9</v>
      </c>
      <c r="B15" s="4" t="s">
        <v>156</v>
      </c>
      <c r="C15" s="4" t="s">
        <v>157</v>
      </c>
      <c r="D15" s="4" t="s">
        <v>27</v>
      </c>
      <c r="E15" s="5">
        <v>38591</v>
      </c>
      <c r="F15" s="6">
        <v>299.42756900000001</v>
      </c>
      <c r="G15" s="7">
        <v>2.1846373999999998E-2</v>
      </c>
      <c r="H15" s="69"/>
    </row>
    <row r="16" spans="1:14" ht="15" x14ac:dyDescent="0.2">
      <c r="A16" s="3">
        <v>10</v>
      </c>
      <c r="B16" s="4" t="s">
        <v>153</v>
      </c>
      <c r="C16" s="4" t="s">
        <v>154</v>
      </c>
      <c r="D16" s="4" t="s">
        <v>155</v>
      </c>
      <c r="E16" s="5">
        <v>6844</v>
      </c>
      <c r="F16" s="6">
        <v>283.25947200000002</v>
      </c>
      <c r="G16" s="7">
        <v>2.0666741999999998E-2</v>
      </c>
      <c r="H16" s="69"/>
      <c r="J16" s="160" t="s">
        <v>1011</v>
      </c>
    </row>
    <row r="17" spans="1:8" x14ac:dyDescent="0.2">
      <c r="A17" s="3">
        <v>11</v>
      </c>
      <c r="B17" s="4" t="s">
        <v>268</v>
      </c>
      <c r="C17" s="4" t="s">
        <v>269</v>
      </c>
      <c r="D17" s="4" t="s">
        <v>977</v>
      </c>
      <c r="E17" s="5">
        <v>13205</v>
      </c>
      <c r="F17" s="6">
        <v>278.76415250000002</v>
      </c>
      <c r="G17" s="7">
        <v>2.0338762E-2</v>
      </c>
      <c r="H17" s="69"/>
    </row>
    <row r="18" spans="1:8" x14ac:dyDescent="0.2">
      <c r="A18" s="3">
        <v>12</v>
      </c>
      <c r="B18" s="4" t="s">
        <v>176</v>
      </c>
      <c r="C18" s="4" t="s">
        <v>177</v>
      </c>
      <c r="D18" s="4" t="s">
        <v>78</v>
      </c>
      <c r="E18" s="5">
        <v>33472</v>
      </c>
      <c r="F18" s="6">
        <v>270.92236800000001</v>
      </c>
      <c r="G18" s="7">
        <v>1.9766622000000001E-2</v>
      </c>
      <c r="H18" s="69"/>
    </row>
    <row r="19" spans="1:8" x14ac:dyDescent="0.2">
      <c r="A19" s="3">
        <v>13</v>
      </c>
      <c r="B19" s="4" t="s">
        <v>298</v>
      </c>
      <c r="C19" s="4" t="s">
        <v>299</v>
      </c>
      <c r="D19" s="4" t="s">
        <v>53</v>
      </c>
      <c r="E19" s="5">
        <v>15135</v>
      </c>
      <c r="F19" s="6">
        <v>259.83011249999998</v>
      </c>
      <c r="G19" s="7">
        <v>1.8957325000000001E-2</v>
      </c>
      <c r="H19" s="69"/>
    </row>
    <row r="20" spans="1:8" ht="25.5" x14ac:dyDescent="0.2">
      <c r="A20" s="3">
        <v>14</v>
      </c>
      <c r="B20" s="4" t="s">
        <v>37</v>
      </c>
      <c r="C20" s="4" t="s">
        <v>38</v>
      </c>
      <c r="D20" s="4" t="s">
        <v>974</v>
      </c>
      <c r="E20" s="5">
        <v>7660</v>
      </c>
      <c r="F20" s="6">
        <v>247.79716999999999</v>
      </c>
      <c r="G20" s="7">
        <v>1.8079396000000001E-2</v>
      </c>
      <c r="H20" s="69"/>
    </row>
    <row r="21" spans="1:8" x14ac:dyDescent="0.2">
      <c r="A21" s="3">
        <v>15</v>
      </c>
      <c r="B21" s="4" t="s">
        <v>196</v>
      </c>
      <c r="C21" s="4" t="s">
        <v>197</v>
      </c>
      <c r="D21" s="4" t="s">
        <v>144</v>
      </c>
      <c r="E21" s="5">
        <v>18450</v>
      </c>
      <c r="F21" s="6">
        <v>238.75222500000001</v>
      </c>
      <c r="G21" s="7">
        <v>1.7419473000000001E-2</v>
      </c>
      <c r="H21" s="69"/>
    </row>
    <row r="22" spans="1:8" x14ac:dyDescent="0.2">
      <c r="A22" s="3">
        <v>16</v>
      </c>
      <c r="B22" s="4" t="s">
        <v>158</v>
      </c>
      <c r="C22" s="4" t="s">
        <v>159</v>
      </c>
      <c r="D22" s="4" t="s">
        <v>160</v>
      </c>
      <c r="E22" s="5">
        <v>14694</v>
      </c>
      <c r="F22" s="6">
        <v>238.417497</v>
      </c>
      <c r="G22" s="7">
        <v>1.7395051000000002E-2</v>
      </c>
      <c r="H22" s="69"/>
    </row>
    <row r="23" spans="1:8" x14ac:dyDescent="0.2">
      <c r="A23" s="3">
        <v>17</v>
      </c>
      <c r="B23" s="4" t="s">
        <v>161</v>
      </c>
      <c r="C23" s="4" t="s">
        <v>162</v>
      </c>
      <c r="D23" s="4" t="s">
        <v>22</v>
      </c>
      <c r="E23" s="5">
        <v>130496</v>
      </c>
      <c r="F23" s="6">
        <v>238.350944</v>
      </c>
      <c r="G23" s="7">
        <v>1.7390195000000001E-2</v>
      </c>
      <c r="H23" s="69"/>
    </row>
    <row r="24" spans="1:8" x14ac:dyDescent="0.2">
      <c r="A24" s="3">
        <v>18</v>
      </c>
      <c r="B24" s="4" t="s">
        <v>56</v>
      </c>
      <c r="C24" s="4" t="s">
        <v>57</v>
      </c>
      <c r="D24" s="4" t="s">
        <v>53</v>
      </c>
      <c r="E24" s="5">
        <v>46942</v>
      </c>
      <c r="F24" s="6">
        <v>235.86007900000001</v>
      </c>
      <c r="G24" s="7">
        <v>1.7208461000000001E-2</v>
      </c>
      <c r="H24" s="69"/>
    </row>
    <row r="25" spans="1:8" x14ac:dyDescent="0.2">
      <c r="A25" s="3">
        <v>19</v>
      </c>
      <c r="B25" s="4" t="s">
        <v>163</v>
      </c>
      <c r="C25" s="4" t="s">
        <v>164</v>
      </c>
      <c r="D25" s="4" t="s">
        <v>975</v>
      </c>
      <c r="E25" s="5">
        <v>58726</v>
      </c>
      <c r="F25" s="6">
        <v>235.050815</v>
      </c>
      <c r="G25" s="7">
        <v>1.7149416000000001E-2</v>
      </c>
      <c r="H25" s="69"/>
    </row>
    <row r="26" spans="1:8" x14ac:dyDescent="0.2">
      <c r="A26" s="3">
        <v>20</v>
      </c>
      <c r="B26" s="4" t="s">
        <v>167</v>
      </c>
      <c r="C26" s="4" t="s">
        <v>168</v>
      </c>
      <c r="D26" s="4" t="s">
        <v>976</v>
      </c>
      <c r="E26" s="5">
        <v>22647</v>
      </c>
      <c r="F26" s="6">
        <v>229.69719749999999</v>
      </c>
      <c r="G26" s="7">
        <v>1.6758814E-2</v>
      </c>
      <c r="H26" s="69"/>
    </row>
    <row r="27" spans="1:8" x14ac:dyDescent="0.2">
      <c r="A27" s="3">
        <v>21</v>
      </c>
      <c r="B27" s="4" t="s">
        <v>169</v>
      </c>
      <c r="C27" s="4" t="s">
        <v>170</v>
      </c>
      <c r="D27" s="4" t="s">
        <v>155</v>
      </c>
      <c r="E27" s="5">
        <v>19945</v>
      </c>
      <c r="F27" s="6">
        <v>229.14810499999999</v>
      </c>
      <c r="G27" s="7">
        <v>1.6718752E-2</v>
      </c>
      <c r="H27" s="69"/>
    </row>
    <row r="28" spans="1:8" x14ac:dyDescent="0.2">
      <c r="A28" s="3">
        <v>22</v>
      </c>
      <c r="B28" s="4" t="s">
        <v>173</v>
      </c>
      <c r="C28" s="4" t="s">
        <v>174</v>
      </c>
      <c r="D28" s="4" t="s">
        <v>175</v>
      </c>
      <c r="E28" s="5">
        <v>86836</v>
      </c>
      <c r="F28" s="6">
        <v>219.73849799999999</v>
      </c>
      <c r="G28" s="7">
        <v>1.6032223000000002E-2</v>
      </c>
      <c r="H28" s="69"/>
    </row>
    <row r="29" spans="1:8" x14ac:dyDescent="0.2">
      <c r="A29" s="3">
        <v>23</v>
      </c>
      <c r="B29" s="4" t="s">
        <v>41</v>
      </c>
      <c r="C29" s="4" t="s">
        <v>42</v>
      </c>
      <c r="D29" s="4" t="s">
        <v>27</v>
      </c>
      <c r="E29" s="5">
        <v>16846</v>
      </c>
      <c r="F29" s="6">
        <v>209.218897</v>
      </c>
      <c r="G29" s="7">
        <v>1.5264708E-2</v>
      </c>
      <c r="H29" s="69"/>
    </row>
    <row r="30" spans="1:8" x14ac:dyDescent="0.2">
      <c r="A30" s="3">
        <v>24</v>
      </c>
      <c r="B30" s="4" t="s">
        <v>283</v>
      </c>
      <c r="C30" s="4" t="s">
        <v>284</v>
      </c>
      <c r="D30" s="4" t="s">
        <v>32</v>
      </c>
      <c r="E30" s="5">
        <v>51485</v>
      </c>
      <c r="F30" s="6">
        <v>199.96773999999999</v>
      </c>
      <c r="G30" s="7">
        <v>1.4589738999999999E-2</v>
      </c>
      <c r="H30" s="69"/>
    </row>
    <row r="31" spans="1:8" x14ac:dyDescent="0.2">
      <c r="A31" s="3">
        <v>25</v>
      </c>
      <c r="B31" s="4" t="s">
        <v>185</v>
      </c>
      <c r="C31" s="4" t="s">
        <v>186</v>
      </c>
      <c r="D31" s="4" t="s">
        <v>16</v>
      </c>
      <c r="E31" s="5">
        <v>63875</v>
      </c>
      <c r="F31" s="6">
        <v>188.495125</v>
      </c>
      <c r="G31" s="7">
        <v>1.3752692E-2</v>
      </c>
      <c r="H31" s="69"/>
    </row>
    <row r="32" spans="1:8" x14ac:dyDescent="0.2">
      <c r="A32" s="3">
        <v>26</v>
      </c>
      <c r="B32" s="4" t="s">
        <v>181</v>
      </c>
      <c r="C32" s="4" t="s">
        <v>182</v>
      </c>
      <c r="D32" s="4" t="s">
        <v>155</v>
      </c>
      <c r="E32" s="5">
        <v>18324</v>
      </c>
      <c r="F32" s="6">
        <v>185.52133799999999</v>
      </c>
      <c r="G32" s="7">
        <v>1.3535723E-2</v>
      </c>
      <c r="H32" s="69"/>
    </row>
    <row r="33" spans="1:8" x14ac:dyDescent="0.2">
      <c r="A33" s="3">
        <v>27</v>
      </c>
      <c r="B33" s="4" t="s">
        <v>183</v>
      </c>
      <c r="C33" s="4" t="s">
        <v>184</v>
      </c>
      <c r="D33" s="4" t="s">
        <v>75</v>
      </c>
      <c r="E33" s="5">
        <v>19380</v>
      </c>
      <c r="F33" s="6">
        <v>184.4007</v>
      </c>
      <c r="G33" s="7">
        <v>1.3453961E-2</v>
      </c>
      <c r="H33" s="69"/>
    </row>
    <row r="34" spans="1:8" x14ac:dyDescent="0.2">
      <c r="A34" s="3">
        <v>28</v>
      </c>
      <c r="B34" s="4" t="s">
        <v>187</v>
      </c>
      <c r="C34" s="4" t="s">
        <v>188</v>
      </c>
      <c r="D34" s="4" t="s">
        <v>978</v>
      </c>
      <c r="E34" s="5">
        <v>20000</v>
      </c>
      <c r="F34" s="6">
        <v>178.73</v>
      </c>
      <c r="G34" s="7">
        <v>1.3040224E-2</v>
      </c>
      <c r="H34" s="69"/>
    </row>
    <row r="35" spans="1:8" ht="25.5" x14ac:dyDescent="0.2">
      <c r="A35" s="3">
        <v>29</v>
      </c>
      <c r="B35" s="4" t="s">
        <v>218</v>
      </c>
      <c r="C35" s="4" t="s">
        <v>869</v>
      </c>
      <c r="D35" s="4" t="s">
        <v>45</v>
      </c>
      <c r="E35" s="5">
        <v>85861</v>
      </c>
      <c r="F35" s="6">
        <v>178.505019</v>
      </c>
      <c r="G35" s="7">
        <v>1.3023809000000001E-2</v>
      </c>
      <c r="H35" s="69"/>
    </row>
    <row r="36" spans="1:8" x14ac:dyDescent="0.2">
      <c r="A36" s="3">
        <v>30</v>
      </c>
      <c r="B36" s="4" t="s">
        <v>191</v>
      </c>
      <c r="C36" s="4" t="s">
        <v>192</v>
      </c>
      <c r="D36" s="4" t="s">
        <v>53</v>
      </c>
      <c r="E36" s="5">
        <v>180584</v>
      </c>
      <c r="F36" s="6">
        <v>173.72180800000001</v>
      </c>
      <c r="G36" s="7">
        <v>1.2674823999999999E-2</v>
      </c>
      <c r="H36" s="69"/>
    </row>
    <row r="37" spans="1:8" ht="25.5" x14ac:dyDescent="0.2">
      <c r="A37" s="3">
        <v>31</v>
      </c>
      <c r="B37" s="4" t="s">
        <v>189</v>
      </c>
      <c r="C37" s="4" t="s">
        <v>190</v>
      </c>
      <c r="D37" s="4" t="s">
        <v>974</v>
      </c>
      <c r="E37" s="5">
        <v>78693</v>
      </c>
      <c r="F37" s="6">
        <v>173.67545100000001</v>
      </c>
      <c r="G37" s="7">
        <v>1.2671441E-2</v>
      </c>
      <c r="H37" s="69"/>
    </row>
    <row r="38" spans="1:8" x14ac:dyDescent="0.2">
      <c r="A38" s="3">
        <v>32</v>
      </c>
      <c r="B38" s="4" t="s">
        <v>193</v>
      </c>
      <c r="C38" s="4" t="s">
        <v>194</v>
      </c>
      <c r="D38" s="4" t="s">
        <v>195</v>
      </c>
      <c r="E38" s="5">
        <v>36074</v>
      </c>
      <c r="F38" s="6">
        <v>173.47986599999999</v>
      </c>
      <c r="G38" s="7">
        <v>1.2657171E-2</v>
      </c>
      <c r="H38" s="69"/>
    </row>
    <row r="39" spans="1:8" x14ac:dyDescent="0.2">
      <c r="A39" s="3">
        <v>33</v>
      </c>
      <c r="B39" s="4" t="s">
        <v>198</v>
      </c>
      <c r="C39" s="4" t="s">
        <v>199</v>
      </c>
      <c r="D39" s="4" t="s">
        <v>78</v>
      </c>
      <c r="E39" s="5">
        <v>28818</v>
      </c>
      <c r="F39" s="6">
        <v>170.05501799999999</v>
      </c>
      <c r="G39" s="7">
        <v>1.2407293E-2</v>
      </c>
      <c r="H39" s="69"/>
    </row>
    <row r="40" spans="1:8" x14ac:dyDescent="0.2">
      <c r="A40" s="3">
        <v>34</v>
      </c>
      <c r="B40" s="4" t="s">
        <v>200</v>
      </c>
      <c r="C40" s="4" t="s">
        <v>201</v>
      </c>
      <c r="D40" s="4" t="s">
        <v>27</v>
      </c>
      <c r="E40" s="5">
        <v>8337</v>
      </c>
      <c r="F40" s="6">
        <v>168.48243299999999</v>
      </c>
      <c r="G40" s="7">
        <v>1.2292556E-2</v>
      </c>
      <c r="H40" s="69"/>
    </row>
    <row r="41" spans="1:8" x14ac:dyDescent="0.2">
      <c r="A41" s="3">
        <v>35</v>
      </c>
      <c r="B41" s="4" t="s">
        <v>202</v>
      </c>
      <c r="C41" s="4" t="s">
        <v>203</v>
      </c>
      <c r="D41" s="4" t="s">
        <v>204</v>
      </c>
      <c r="E41" s="5">
        <v>41878</v>
      </c>
      <c r="F41" s="6">
        <v>162.57039599999999</v>
      </c>
      <c r="G41" s="7">
        <v>1.1861211E-2</v>
      </c>
      <c r="H41" s="69"/>
    </row>
    <row r="42" spans="1:8" x14ac:dyDescent="0.2">
      <c r="A42" s="3">
        <v>36</v>
      </c>
      <c r="B42" s="4" t="s">
        <v>264</v>
      </c>
      <c r="C42" s="4" t="s">
        <v>265</v>
      </c>
      <c r="D42" s="4" t="s">
        <v>65</v>
      </c>
      <c r="E42" s="5">
        <v>71613</v>
      </c>
      <c r="F42" s="6">
        <v>160.23408749999999</v>
      </c>
      <c r="G42" s="7">
        <v>1.1690753E-2</v>
      </c>
      <c r="H42" s="69"/>
    </row>
    <row r="43" spans="1:8" ht="25.5" x14ac:dyDescent="0.2">
      <c r="A43" s="3">
        <v>37</v>
      </c>
      <c r="B43" s="4" t="s">
        <v>205</v>
      </c>
      <c r="C43" s="4" t="s">
        <v>206</v>
      </c>
      <c r="D43" s="4" t="s">
        <v>207</v>
      </c>
      <c r="E43" s="5">
        <v>37245</v>
      </c>
      <c r="F43" s="6">
        <v>158.99890500000001</v>
      </c>
      <c r="G43" s="7">
        <v>1.1600634E-2</v>
      </c>
      <c r="H43" s="69"/>
    </row>
    <row r="44" spans="1:8" x14ac:dyDescent="0.2">
      <c r="A44" s="3">
        <v>38</v>
      </c>
      <c r="B44" s="4" t="s">
        <v>210</v>
      </c>
      <c r="C44" s="4" t="s">
        <v>211</v>
      </c>
      <c r="D44" s="4" t="s">
        <v>53</v>
      </c>
      <c r="E44" s="5">
        <v>16637</v>
      </c>
      <c r="F44" s="6">
        <v>157.6938045</v>
      </c>
      <c r="G44" s="7">
        <v>1.1505413000000001E-2</v>
      </c>
      <c r="H44" s="69"/>
    </row>
    <row r="45" spans="1:8" x14ac:dyDescent="0.2">
      <c r="A45" s="3">
        <v>39</v>
      </c>
      <c r="B45" s="4" t="s">
        <v>208</v>
      </c>
      <c r="C45" s="4" t="s">
        <v>209</v>
      </c>
      <c r="D45" s="4" t="s">
        <v>78</v>
      </c>
      <c r="E45" s="5">
        <v>311943</v>
      </c>
      <c r="F45" s="6">
        <v>156.59538599999999</v>
      </c>
      <c r="G45" s="7">
        <v>1.1425272E-2</v>
      </c>
      <c r="H45" s="69"/>
    </row>
    <row r="46" spans="1:8" x14ac:dyDescent="0.2">
      <c r="A46" s="3">
        <v>40</v>
      </c>
      <c r="B46" s="4" t="s">
        <v>212</v>
      </c>
      <c r="C46" s="4" t="s">
        <v>213</v>
      </c>
      <c r="D46" s="4" t="s">
        <v>979</v>
      </c>
      <c r="E46" s="5">
        <v>27373</v>
      </c>
      <c r="F46" s="6">
        <v>150.140905</v>
      </c>
      <c r="G46" s="7">
        <v>1.095435E-2</v>
      </c>
      <c r="H46" s="69"/>
    </row>
    <row r="47" spans="1:8" x14ac:dyDescent="0.2">
      <c r="A47" s="3">
        <v>41</v>
      </c>
      <c r="B47" s="4" t="s">
        <v>214</v>
      </c>
      <c r="C47" s="4" t="s">
        <v>215</v>
      </c>
      <c r="D47" s="4" t="s">
        <v>979</v>
      </c>
      <c r="E47" s="5">
        <v>14676</v>
      </c>
      <c r="F47" s="6">
        <v>149.746566</v>
      </c>
      <c r="G47" s="7">
        <v>1.0925578999999999E-2</v>
      </c>
      <c r="H47" s="69"/>
    </row>
    <row r="48" spans="1:8" x14ac:dyDescent="0.2">
      <c r="A48" s="3">
        <v>42</v>
      </c>
      <c r="B48" s="4" t="s">
        <v>219</v>
      </c>
      <c r="C48" s="4" t="s">
        <v>220</v>
      </c>
      <c r="D48" s="4" t="s">
        <v>221</v>
      </c>
      <c r="E48" s="5">
        <v>67193</v>
      </c>
      <c r="F48" s="6">
        <v>141.37407200000001</v>
      </c>
      <c r="G48" s="7">
        <v>1.0314718E-2</v>
      </c>
      <c r="H48" s="69"/>
    </row>
    <row r="49" spans="1:8" ht="25.5" x14ac:dyDescent="0.2">
      <c r="A49" s="3">
        <v>43</v>
      </c>
      <c r="B49" s="4" t="s">
        <v>222</v>
      </c>
      <c r="C49" s="4" t="s">
        <v>223</v>
      </c>
      <c r="D49" s="4" t="s">
        <v>207</v>
      </c>
      <c r="E49" s="5">
        <v>29335</v>
      </c>
      <c r="F49" s="6">
        <v>136.83310750000001</v>
      </c>
      <c r="G49" s="7">
        <v>9.9834069999999997E-3</v>
      </c>
      <c r="H49" s="69"/>
    </row>
    <row r="50" spans="1:8" x14ac:dyDescent="0.2">
      <c r="A50" s="3">
        <v>44</v>
      </c>
      <c r="B50" s="4" t="s">
        <v>295</v>
      </c>
      <c r="C50" s="4" t="s">
        <v>296</v>
      </c>
      <c r="D50" s="4" t="s">
        <v>27</v>
      </c>
      <c r="E50" s="5">
        <v>11492</v>
      </c>
      <c r="F50" s="6">
        <v>134.939064</v>
      </c>
      <c r="G50" s="7">
        <v>9.8452169999999999E-3</v>
      </c>
      <c r="H50" s="69"/>
    </row>
    <row r="51" spans="1:8" x14ac:dyDescent="0.2">
      <c r="A51" s="3">
        <v>45</v>
      </c>
      <c r="B51" s="4" t="s">
        <v>227</v>
      </c>
      <c r="C51" s="4" t="s">
        <v>228</v>
      </c>
      <c r="D51" s="4" t="s">
        <v>976</v>
      </c>
      <c r="E51" s="5">
        <v>8249</v>
      </c>
      <c r="F51" s="6">
        <v>131.90563449999999</v>
      </c>
      <c r="G51" s="7">
        <v>9.6238959999999998E-3</v>
      </c>
      <c r="H51" s="69"/>
    </row>
    <row r="52" spans="1:8" x14ac:dyDescent="0.2">
      <c r="A52" s="3">
        <v>46</v>
      </c>
      <c r="B52" s="4" t="s">
        <v>225</v>
      </c>
      <c r="C52" s="4" t="s">
        <v>226</v>
      </c>
      <c r="D52" s="4" t="s">
        <v>204</v>
      </c>
      <c r="E52" s="5">
        <v>25404</v>
      </c>
      <c r="F52" s="6">
        <v>129.217446</v>
      </c>
      <c r="G52" s="7">
        <v>9.4277649999999994E-3</v>
      </c>
      <c r="H52" s="69"/>
    </row>
    <row r="53" spans="1:8" x14ac:dyDescent="0.2">
      <c r="A53" s="3">
        <v>47</v>
      </c>
      <c r="B53" s="4" t="s">
        <v>171</v>
      </c>
      <c r="C53" s="4" t="s">
        <v>172</v>
      </c>
      <c r="D53" s="4" t="s">
        <v>977</v>
      </c>
      <c r="E53" s="5">
        <v>52171</v>
      </c>
      <c r="F53" s="6">
        <v>126.59293150000001</v>
      </c>
      <c r="G53" s="7">
        <v>9.236279E-3</v>
      </c>
      <c r="H53" s="69"/>
    </row>
    <row r="54" spans="1:8" ht="25.5" x14ac:dyDescent="0.2">
      <c r="A54" s="3">
        <v>48</v>
      </c>
      <c r="B54" s="4" t="s">
        <v>231</v>
      </c>
      <c r="C54" s="4" t="s">
        <v>232</v>
      </c>
      <c r="D54" s="4" t="s">
        <v>144</v>
      </c>
      <c r="E54" s="5">
        <v>29589</v>
      </c>
      <c r="F54" s="6">
        <v>125.6792775</v>
      </c>
      <c r="G54" s="7">
        <v>9.1696179999999992E-3</v>
      </c>
      <c r="H54" s="69"/>
    </row>
    <row r="55" spans="1:8" ht="25.5" x14ac:dyDescent="0.2">
      <c r="A55" s="3">
        <v>49</v>
      </c>
      <c r="B55" s="4" t="s">
        <v>233</v>
      </c>
      <c r="C55" s="4" t="s">
        <v>234</v>
      </c>
      <c r="D55" s="4" t="s">
        <v>207</v>
      </c>
      <c r="E55" s="5">
        <v>30826</v>
      </c>
      <c r="F55" s="6">
        <v>124.490801</v>
      </c>
      <c r="G55" s="7">
        <v>9.0829069999999994E-3</v>
      </c>
      <c r="H55" s="69"/>
    </row>
    <row r="56" spans="1:8" ht="25.5" x14ac:dyDescent="0.2">
      <c r="A56" s="3">
        <v>50</v>
      </c>
      <c r="B56" s="4" t="s">
        <v>229</v>
      </c>
      <c r="C56" s="4" t="s">
        <v>230</v>
      </c>
      <c r="D56" s="4" t="s">
        <v>75</v>
      </c>
      <c r="E56" s="5">
        <v>6492</v>
      </c>
      <c r="F56" s="6">
        <v>123.253866</v>
      </c>
      <c r="G56" s="7">
        <v>8.9926590000000001E-3</v>
      </c>
      <c r="H56" s="69"/>
    </row>
    <row r="57" spans="1:8" x14ac:dyDescent="0.2">
      <c r="A57" s="3">
        <v>51</v>
      </c>
      <c r="B57" s="4" t="s">
        <v>287</v>
      </c>
      <c r="C57" s="4" t="s">
        <v>288</v>
      </c>
      <c r="D57" s="4" t="s">
        <v>334</v>
      </c>
      <c r="E57" s="5">
        <v>5016</v>
      </c>
      <c r="F57" s="6">
        <v>122.412972</v>
      </c>
      <c r="G57" s="7">
        <v>8.9313069999999994E-3</v>
      </c>
      <c r="H57" s="69"/>
    </row>
    <row r="58" spans="1:8" x14ac:dyDescent="0.2">
      <c r="A58" s="3">
        <v>52</v>
      </c>
      <c r="B58" s="4" t="s">
        <v>235</v>
      </c>
      <c r="C58" s="4" t="s">
        <v>236</v>
      </c>
      <c r="D58" s="4" t="s">
        <v>160</v>
      </c>
      <c r="E58" s="5">
        <v>32351</v>
      </c>
      <c r="F58" s="6">
        <v>121.46182949999999</v>
      </c>
      <c r="G58" s="7">
        <v>8.8619110000000001E-3</v>
      </c>
      <c r="H58" s="69"/>
    </row>
    <row r="59" spans="1:8" x14ac:dyDescent="0.2">
      <c r="A59" s="3">
        <v>53</v>
      </c>
      <c r="B59" s="4" t="s">
        <v>247</v>
      </c>
      <c r="C59" s="4" t="s">
        <v>248</v>
      </c>
      <c r="D59" s="4" t="s">
        <v>75</v>
      </c>
      <c r="E59" s="5">
        <v>48497</v>
      </c>
      <c r="F59" s="6">
        <v>121.0727605</v>
      </c>
      <c r="G59" s="7">
        <v>8.8335250000000001E-3</v>
      </c>
      <c r="H59" s="69"/>
    </row>
    <row r="60" spans="1:8" x14ac:dyDescent="0.2">
      <c r="A60" s="3">
        <v>54</v>
      </c>
      <c r="B60" s="4" t="s">
        <v>285</v>
      </c>
      <c r="C60" s="4" t="s">
        <v>286</v>
      </c>
      <c r="D60" s="4" t="s">
        <v>160</v>
      </c>
      <c r="E60" s="5">
        <v>17673</v>
      </c>
      <c r="F60" s="6">
        <v>119.6903925</v>
      </c>
      <c r="G60" s="7">
        <v>8.7326669999999995E-3</v>
      </c>
      <c r="H60" s="69"/>
    </row>
    <row r="61" spans="1:8" ht="25.5" x14ac:dyDescent="0.2">
      <c r="A61" s="3">
        <v>55</v>
      </c>
      <c r="B61" s="4" t="s">
        <v>239</v>
      </c>
      <c r="C61" s="4" t="s">
        <v>240</v>
      </c>
      <c r="D61" s="4" t="s">
        <v>980</v>
      </c>
      <c r="E61" s="5">
        <v>118261</v>
      </c>
      <c r="F61" s="6">
        <v>118.379261</v>
      </c>
      <c r="G61" s="7">
        <v>8.6370059999999992E-3</v>
      </c>
      <c r="H61" s="69"/>
    </row>
    <row r="62" spans="1:8" x14ac:dyDescent="0.2">
      <c r="A62" s="3">
        <v>56</v>
      </c>
      <c r="B62" s="4" t="s">
        <v>237</v>
      </c>
      <c r="C62" s="4" t="s">
        <v>238</v>
      </c>
      <c r="D62" s="4" t="s">
        <v>204</v>
      </c>
      <c r="E62" s="5">
        <v>7157</v>
      </c>
      <c r="F62" s="6">
        <v>117.28175899999999</v>
      </c>
      <c r="G62" s="7">
        <v>8.5569319999999997E-3</v>
      </c>
      <c r="H62" s="69"/>
    </row>
    <row r="63" spans="1:8" x14ac:dyDescent="0.2">
      <c r="A63" s="3">
        <v>57</v>
      </c>
      <c r="B63" s="4" t="s">
        <v>241</v>
      </c>
      <c r="C63" s="4" t="s">
        <v>242</v>
      </c>
      <c r="D63" s="4" t="s">
        <v>155</v>
      </c>
      <c r="E63" s="5">
        <v>9462</v>
      </c>
      <c r="F63" s="6">
        <v>114.069141</v>
      </c>
      <c r="G63" s="7">
        <v>8.3225369999999996E-3</v>
      </c>
      <c r="H63" s="69"/>
    </row>
    <row r="64" spans="1:8" x14ac:dyDescent="0.2">
      <c r="A64" s="3">
        <v>58</v>
      </c>
      <c r="B64" s="4" t="s">
        <v>73</v>
      </c>
      <c r="C64" s="4" t="s">
        <v>74</v>
      </c>
      <c r="D64" s="4" t="s">
        <v>75</v>
      </c>
      <c r="E64" s="5">
        <v>3600</v>
      </c>
      <c r="F64" s="6">
        <v>109.06019999999999</v>
      </c>
      <c r="G64" s="7">
        <v>7.9570830000000002E-3</v>
      </c>
      <c r="H64" s="69"/>
    </row>
    <row r="65" spans="1:8" x14ac:dyDescent="0.2">
      <c r="A65" s="3">
        <v>59</v>
      </c>
      <c r="B65" s="4" t="s">
        <v>243</v>
      </c>
      <c r="C65" s="4" t="s">
        <v>244</v>
      </c>
      <c r="D65" s="4" t="s">
        <v>204</v>
      </c>
      <c r="E65" s="5">
        <v>21563</v>
      </c>
      <c r="F65" s="6">
        <v>104.9363395</v>
      </c>
      <c r="G65" s="7">
        <v>7.6562039999999998E-3</v>
      </c>
      <c r="H65" s="69"/>
    </row>
    <row r="66" spans="1:8" x14ac:dyDescent="0.2">
      <c r="A66" s="3">
        <v>60</v>
      </c>
      <c r="B66" s="4" t="s">
        <v>245</v>
      </c>
      <c r="C66" s="4" t="s">
        <v>246</v>
      </c>
      <c r="D66" s="4" t="s">
        <v>32</v>
      </c>
      <c r="E66" s="5">
        <v>90749</v>
      </c>
      <c r="F66" s="6">
        <v>100.640641</v>
      </c>
      <c r="G66" s="7">
        <v>7.3427880000000003E-3</v>
      </c>
      <c r="H66" s="69"/>
    </row>
    <row r="67" spans="1:8" x14ac:dyDescent="0.2">
      <c r="A67" s="3">
        <v>61</v>
      </c>
      <c r="B67" s="4" t="s">
        <v>249</v>
      </c>
      <c r="C67" s="4" t="s">
        <v>250</v>
      </c>
      <c r="D67" s="4" t="s">
        <v>334</v>
      </c>
      <c r="E67" s="5">
        <v>10857</v>
      </c>
      <c r="F67" s="6">
        <v>99.786687000000001</v>
      </c>
      <c r="G67" s="7">
        <v>7.2804829999999999E-3</v>
      </c>
      <c r="H67" s="69"/>
    </row>
    <row r="68" spans="1:8" x14ac:dyDescent="0.2">
      <c r="A68" s="3">
        <v>62</v>
      </c>
      <c r="B68" s="4" t="s">
        <v>280</v>
      </c>
      <c r="C68" s="4" t="s">
        <v>281</v>
      </c>
      <c r="D68" s="4" t="s">
        <v>175</v>
      </c>
      <c r="E68" s="5">
        <v>13957</v>
      </c>
      <c r="F68" s="6">
        <v>97.343096500000001</v>
      </c>
      <c r="G68" s="7">
        <v>7.1021970000000002E-3</v>
      </c>
      <c r="H68" s="69"/>
    </row>
    <row r="69" spans="1:8" x14ac:dyDescent="0.2">
      <c r="A69" s="3">
        <v>63</v>
      </c>
      <c r="B69" s="4" t="s">
        <v>251</v>
      </c>
      <c r="C69" s="4" t="s">
        <v>252</v>
      </c>
      <c r="D69" s="4" t="s">
        <v>160</v>
      </c>
      <c r="E69" s="5">
        <v>14660</v>
      </c>
      <c r="F69" s="6">
        <v>85.247900000000001</v>
      </c>
      <c r="G69" s="7">
        <v>6.2197260000000001E-3</v>
      </c>
      <c r="H69" s="69"/>
    </row>
    <row r="70" spans="1:8" x14ac:dyDescent="0.2">
      <c r="A70" s="3">
        <v>64</v>
      </c>
      <c r="B70" s="4" t="s">
        <v>253</v>
      </c>
      <c r="C70" s="4" t="s">
        <v>254</v>
      </c>
      <c r="D70" s="4" t="s">
        <v>65</v>
      </c>
      <c r="E70" s="5">
        <v>9967</v>
      </c>
      <c r="F70" s="6">
        <v>85.217849999999999</v>
      </c>
      <c r="G70" s="7">
        <v>6.2175340000000003E-3</v>
      </c>
      <c r="H70" s="69"/>
    </row>
    <row r="71" spans="1:8" x14ac:dyDescent="0.2">
      <c r="A71" s="3">
        <v>65</v>
      </c>
      <c r="B71" s="4" t="s">
        <v>260</v>
      </c>
      <c r="C71" s="4" t="s">
        <v>261</v>
      </c>
      <c r="D71" s="4" t="s">
        <v>204</v>
      </c>
      <c r="E71" s="5">
        <v>1484</v>
      </c>
      <c r="F71" s="6">
        <v>79.018547999999996</v>
      </c>
      <c r="G71" s="7">
        <v>5.7652299999999997E-3</v>
      </c>
      <c r="H71" s="69"/>
    </row>
    <row r="72" spans="1:8" x14ac:dyDescent="0.2">
      <c r="A72" s="3">
        <v>66</v>
      </c>
      <c r="B72" s="4" t="s">
        <v>255</v>
      </c>
      <c r="C72" s="4" t="s">
        <v>256</v>
      </c>
      <c r="D72" s="4" t="s">
        <v>257</v>
      </c>
      <c r="E72" s="5">
        <v>35518</v>
      </c>
      <c r="F72" s="6">
        <v>78.992031999999995</v>
      </c>
      <c r="G72" s="7">
        <v>5.7632949999999999E-3</v>
      </c>
      <c r="H72" s="69"/>
    </row>
    <row r="73" spans="1:8" x14ac:dyDescent="0.2">
      <c r="A73" s="3">
        <v>67</v>
      </c>
      <c r="B73" s="4" t="s">
        <v>262</v>
      </c>
      <c r="C73" s="4" t="s">
        <v>263</v>
      </c>
      <c r="D73" s="4" t="s">
        <v>22</v>
      </c>
      <c r="E73" s="5">
        <v>86786</v>
      </c>
      <c r="F73" s="6">
        <v>71.207913000000005</v>
      </c>
      <c r="G73" s="7">
        <v>5.1953620000000002E-3</v>
      </c>
      <c r="H73" s="69"/>
    </row>
    <row r="74" spans="1:8" ht="25.5" x14ac:dyDescent="0.2">
      <c r="A74" s="3">
        <v>68</v>
      </c>
      <c r="B74" s="4" t="s">
        <v>266</v>
      </c>
      <c r="C74" s="4" t="s">
        <v>267</v>
      </c>
      <c r="D74" s="4" t="s">
        <v>981</v>
      </c>
      <c r="E74" s="5">
        <v>5775</v>
      </c>
      <c r="F74" s="6">
        <v>70.200900000000004</v>
      </c>
      <c r="G74" s="7">
        <v>5.1218899999999996E-3</v>
      </c>
      <c r="H74" s="69"/>
    </row>
    <row r="75" spans="1:8" x14ac:dyDescent="0.2">
      <c r="A75" s="3">
        <v>69</v>
      </c>
      <c r="B75" s="4" t="s">
        <v>289</v>
      </c>
      <c r="C75" s="4" t="s">
        <v>290</v>
      </c>
      <c r="D75" s="4" t="s">
        <v>27</v>
      </c>
      <c r="E75" s="5">
        <v>20344</v>
      </c>
      <c r="F75" s="6">
        <v>68.935643999999996</v>
      </c>
      <c r="G75" s="7">
        <v>5.0295770000000004E-3</v>
      </c>
      <c r="H75" s="69"/>
    </row>
    <row r="76" spans="1:8" x14ac:dyDescent="0.2">
      <c r="A76" s="3">
        <v>70</v>
      </c>
      <c r="B76" s="4" t="s">
        <v>270</v>
      </c>
      <c r="C76" s="4" t="s">
        <v>271</v>
      </c>
      <c r="D76" s="4" t="s">
        <v>144</v>
      </c>
      <c r="E76" s="5">
        <v>11640</v>
      </c>
      <c r="F76" s="6">
        <v>66.650639999999996</v>
      </c>
      <c r="G76" s="7">
        <v>4.8628619999999999E-3</v>
      </c>
      <c r="H76" s="69"/>
    </row>
    <row r="77" spans="1:8" x14ac:dyDescent="0.2">
      <c r="A77" s="3">
        <v>71</v>
      </c>
      <c r="B77" s="4" t="s">
        <v>258</v>
      </c>
      <c r="C77" s="4" t="s">
        <v>259</v>
      </c>
      <c r="D77" s="4" t="s">
        <v>979</v>
      </c>
      <c r="E77" s="5">
        <v>50412</v>
      </c>
      <c r="F77" s="6">
        <v>65.056685999999999</v>
      </c>
      <c r="G77" s="7">
        <v>4.7465659999999998E-3</v>
      </c>
      <c r="H77" s="69"/>
    </row>
    <row r="78" spans="1:8" x14ac:dyDescent="0.2">
      <c r="A78" s="3">
        <v>72</v>
      </c>
      <c r="B78" s="4" t="s">
        <v>272</v>
      </c>
      <c r="C78" s="4" t="s">
        <v>273</v>
      </c>
      <c r="D78" s="4" t="s">
        <v>75</v>
      </c>
      <c r="E78" s="5">
        <v>48706</v>
      </c>
      <c r="F78" s="6">
        <v>61.174736000000003</v>
      </c>
      <c r="G78" s="7">
        <v>4.4633370000000004E-3</v>
      </c>
      <c r="H78" s="69"/>
    </row>
    <row r="79" spans="1:8" x14ac:dyDescent="0.2">
      <c r="A79" s="3">
        <v>73</v>
      </c>
      <c r="B79" s="4" t="s">
        <v>274</v>
      </c>
      <c r="C79" s="4" t="s">
        <v>275</v>
      </c>
      <c r="D79" s="4" t="s">
        <v>155</v>
      </c>
      <c r="E79" s="5">
        <v>14056</v>
      </c>
      <c r="F79" s="6">
        <v>53.504164000000003</v>
      </c>
      <c r="G79" s="7">
        <v>3.9036890000000001E-3</v>
      </c>
      <c r="H79" s="69"/>
    </row>
    <row r="80" spans="1:8" x14ac:dyDescent="0.2">
      <c r="A80" s="3">
        <v>74</v>
      </c>
      <c r="B80" s="4" t="s">
        <v>276</v>
      </c>
      <c r="C80" s="4" t="s">
        <v>277</v>
      </c>
      <c r="D80" s="4" t="s">
        <v>204</v>
      </c>
      <c r="E80" s="5">
        <v>17716</v>
      </c>
      <c r="F80" s="6">
        <v>50.180570000000003</v>
      </c>
      <c r="G80" s="7">
        <v>3.6611980000000001E-3</v>
      </c>
      <c r="H80" s="69"/>
    </row>
    <row r="81" spans="1:8" x14ac:dyDescent="0.2">
      <c r="A81" s="3">
        <v>75</v>
      </c>
      <c r="B81" s="4" t="s">
        <v>51</v>
      </c>
      <c r="C81" s="4" t="s">
        <v>52</v>
      </c>
      <c r="D81" s="4" t="s">
        <v>53</v>
      </c>
      <c r="E81" s="5">
        <v>27635</v>
      </c>
      <c r="F81" s="6">
        <v>46.813690000000001</v>
      </c>
      <c r="G81" s="7">
        <v>3.4155489999999999E-3</v>
      </c>
      <c r="H81" s="69"/>
    </row>
    <row r="82" spans="1:8" ht="25.5" x14ac:dyDescent="0.2">
      <c r="A82" s="3">
        <v>76</v>
      </c>
      <c r="B82" s="4" t="s">
        <v>291</v>
      </c>
      <c r="C82" s="4" t="s">
        <v>292</v>
      </c>
      <c r="D82" s="4" t="s">
        <v>45</v>
      </c>
      <c r="E82" s="5">
        <v>7764</v>
      </c>
      <c r="F82" s="6">
        <v>42.771875999999999</v>
      </c>
      <c r="G82" s="7">
        <v>3.1206559999999999E-3</v>
      </c>
      <c r="H82" s="69"/>
    </row>
    <row r="83" spans="1:8" x14ac:dyDescent="0.2">
      <c r="A83" s="3">
        <v>77</v>
      </c>
      <c r="B83" s="4" t="s">
        <v>278</v>
      </c>
      <c r="C83" s="4" t="s">
        <v>279</v>
      </c>
      <c r="D83" s="4" t="s">
        <v>144</v>
      </c>
      <c r="E83" s="5">
        <v>3966</v>
      </c>
      <c r="F83" s="6">
        <v>39.997109999999999</v>
      </c>
      <c r="G83" s="7">
        <v>2.9182079999999998E-3</v>
      </c>
      <c r="H83" s="69"/>
    </row>
    <row r="84" spans="1:8" x14ac:dyDescent="0.2">
      <c r="A84" s="1"/>
      <c r="B84" s="1"/>
      <c r="C84" s="2" t="s">
        <v>95</v>
      </c>
      <c r="D84" s="1"/>
      <c r="E84" s="1" t="s">
        <v>96</v>
      </c>
      <c r="F84" s="9">
        <v>13213.683704499999</v>
      </c>
      <c r="G84" s="10">
        <v>0.96407648999999995</v>
      </c>
      <c r="H84" s="69"/>
    </row>
    <row r="85" spans="1:8" x14ac:dyDescent="0.2">
      <c r="A85" s="1"/>
      <c r="B85" s="1"/>
      <c r="C85" s="11"/>
      <c r="D85" s="1"/>
      <c r="E85" s="1"/>
      <c r="F85" s="12"/>
      <c r="G85" s="12"/>
      <c r="H85" s="69"/>
    </row>
    <row r="86" spans="1:8" x14ac:dyDescent="0.2">
      <c r="A86" s="1"/>
      <c r="B86" s="1"/>
      <c r="C86" s="2" t="s">
        <v>97</v>
      </c>
      <c r="D86" s="1"/>
      <c r="E86" s="1"/>
      <c r="F86" s="1"/>
      <c r="G86" s="1"/>
      <c r="H86" s="69"/>
    </row>
    <row r="87" spans="1:8" x14ac:dyDescent="0.2">
      <c r="A87" s="1"/>
      <c r="B87" s="1"/>
      <c r="C87" s="2" t="s">
        <v>95</v>
      </c>
      <c r="D87" s="1"/>
      <c r="E87" s="1" t="s">
        <v>96</v>
      </c>
      <c r="F87" s="13">
        <v>0</v>
      </c>
      <c r="G87" s="14">
        <v>0</v>
      </c>
      <c r="H87" s="69"/>
    </row>
    <row r="88" spans="1:8" x14ac:dyDescent="0.2">
      <c r="A88" s="1"/>
      <c r="B88" s="1"/>
      <c r="C88" s="11"/>
      <c r="D88" s="1"/>
      <c r="E88" s="1"/>
      <c r="F88" s="12"/>
      <c r="G88" s="12"/>
      <c r="H88" s="69"/>
    </row>
    <row r="89" spans="1:8" x14ac:dyDescent="0.2">
      <c r="A89" s="1"/>
      <c r="B89" s="1"/>
      <c r="C89" s="2" t="s">
        <v>98</v>
      </c>
      <c r="D89" s="1"/>
      <c r="E89" s="1"/>
      <c r="F89" s="1"/>
      <c r="G89" s="1"/>
      <c r="H89" s="69"/>
    </row>
    <row r="90" spans="1:8" x14ac:dyDescent="0.2">
      <c r="A90" s="1"/>
      <c r="B90" s="1"/>
      <c r="C90" s="2" t="s">
        <v>95</v>
      </c>
      <c r="D90" s="1"/>
      <c r="E90" s="1" t="s">
        <v>96</v>
      </c>
      <c r="F90" s="13">
        <v>0</v>
      </c>
      <c r="G90" s="14">
        <v>0</v>
      </c>
      <c r="H90" s="69"/>
    </row>
    <row r="91" spans="1:8" x14ac:dyDescent="0.2">
      <c r="A91" s="1"/>
      <c r="B91" s="1"/>
      <c r="C91" s="11"/>
      <c r="D91" s="1"/>
      <c r="E91" s="1"/>
      <c r="F91" s="12"/>
      <c r="G91" s="12"/>
      <c r="H91" s="69"/>
    </row>
    <row r="92" spans="1:8" x14ac:dyDescent="0.2">
      <c r="A92" s="1"/>
      <c r="B92" s="1"/>
      <c r="C92" s="2" t="s">
        <v>99</v>
      </c>
      <c r="D92" s="1"/>
      <c r="E92" s="1"/>
      <c r="F92" s="1"/>
      <c r="G92" s="1"/>
      <c r="H92" s="69"/>
    </row>
    <row r="93" spans="1:8" x14ac:dyDescent="0.2">
      <c r="A93" s="1"/>
      <c r="B93" s="1"/>
      <c r="C93" s="2" t="s">
        <v>95</v>
      </c>
      <c r="D93" s="1"/>
      <c r="E93" s="1" t="s">
        <v>96</v>
      </c>
      <c r="F93" s="13">
        <v>0</v>
      </c>
      <c r="G93" s="14">
        <v>0</v>
      </c>
      <c r="H93" s="69"/>
    </row>
    <row r="94" spans="1:8" x14ac:dyDescent="0.2">
      <c r="A94" s="1"/>
      <c r="B94" s="1"/>
      <c r="C94" s="11"/>
      <c r="D94" s="1"/>
      <c r="E94" s="1"/>
      <c r="F94" s="12"/>
      <c r="G94" s="12"/>
      <c r="H94" s="69"/>
    </row>
    <row r="95" spans="1:8" x14ac:dyDescent="0.2">
      <c r="A95" s="1"/>
      <c r="B95" s="1"/>
      <c r="C95" s="2" t="s">
        <v>100</v>
      </c>
      <c r="D95" s="1"/>
      <c r="E95" s="1"/>
      <c r="F95" s="12"/>
      <c r="G95" s="12"/>
      <c r="H95" s="69"/>
    </row>
    <row r="96" spans="1:8" x14ac:dyDescent="0.2">
      <c r="A96" s="1"/>
      <c r="B96" s="1"/>
      <c r="C96" s="2" t="s">
        <v>95</v>
      </c>
      <c r="D96" s="1"/>
      <c r="E96" s="1" t="s">
        <v>96</v>
      </c>
      <c r="F96" s="13">
        <v>0</v>
      </c>
      <c r="G96" s="14">
        <v>0</v>
      </c>
      <c r="H96" s="69"/>
    </row>
    <row r="97" spans="1:8" x14ac:dyDescent="0.2">
      <c r="A97" s="1"/>
      <c r="B97" s="1"/>
      <c r="C97" s="11"/>
      <c r="D97" s="1"/>
      <c r="E97" s="1"/>
      <c r="F97" s="12"/>
      <c r="G97" s="12"/>
      <c r="H97" s="69"/>
    </row>
    <row r="98" spans="1:8" x14ac:dyDescent="0.2">
      <c r="A98" s="1"/>
      <c r="B98" s="1"/>
      <c r="C98" s="2" t="s">
        <v>101</v>
      </c>
      <c r="D98" s="1"/>
      <c r="E98" s="1"/>
      <c r="F98" s="12"/>
      <c r="G98" s="12"/>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102</v>
      </c>
      <c r="D101" s="1"/>
      <c r="E101" s="1"/>
      <c r="F101" s="9">
        <v>13213.683704499999</v>
      </c>
      <c r="G101" s="10">
        <v>0.96407648999999995</v>
      </c>
      <c r="H101" s="69"/>
    </row>
    <row r="102" spans="1:8" x14ac:dyDescent="0.2">
      <c r="A102" s="1"/>
      <c r="B102" s="1"/>
      <c r="C102" s="11"/>
      <c r="D102" s="1"/>
      <c r="E102" s="1"/>
      <c r="F102" s="12"/>
      <c r="G102" s="12"/>
      <c r="H102" s="69"/>
    </row>
    <row r="103" spans="1:8" x14ac:dyDescent="0.2">
      <c r="A103" s="1"/>
      <c r="B103" s="1"/>
      <c r="C103" s="2" t="s">
        <v>103</v>
      </c>
      <c r="D103" s="1"/>
      <c r="E103" s="1"/>
      <c r="F103" s="12"/>
      <c r="G103" s="12"/>
      <c r="H103" s="69"/>
    </row>
    <row r="104" spans="1:8" ht="25.5" x14ac:dyDescent="0.2">
      <c r="A104" s="1"/>
      <c r="B104" s="1"/>
      <c r="C104" s="2" t="s">
        <v>10</v>
      </c>
      <c r="D104" s="1"/>
      <c r="E104" s="1"/>
      <c r="F104" s="12"/>
      <c r="G104" s="12"/>
      <c r="H104" s="69"/>
    </row>
    <row r="105" spans="1:8" x14ac:dyDescent="0.2">
      <c r="A105" s="1"/>
      <c r="B105" s="1"/>
      <c r="C105" s="2" t="s">
        <v>95</v>
      </c>
      <c r="D105" s="1"/>
      <c r="E105" s="1" t="s">
        <v>96</v>
      </c>
      <c r="F105" s="13">
        <v>0</v>
      </c>
      <c r="G105" s="14">
        <v>0</v>
      </c>
      <c r="H105" s="69"/>
    </row>
    <row r="106" spans="1:8" x14ac:dyDescent="0.2">
      <c r="A106" s="1"/>
      <c r="B106" s="1"/>
      <c r="C106" s="11"/>
      <c r="D106" s="1"/>
      <c r="E106" s="1"/>
      <c r="F106" s="12"/>
      <c r="G106" s="12"/>
      <c r="H106" s="69"/>
    </row>
    <row r="107" spans="1:8" x14ac:dyDescent="0.2">
      <c r="A107" s="1"/>
      <c r="B107" s="1"/>
      <c r="C107" s="2" t="s">
        <v>104</v>
      </c>
      <c r="D107" s="1"/>
      <c r="E107" s="1"/>
      <c r="F107" s="1"/>
      <c r="G107" s="1"/>
      <c r="H107" s="69"/>
    </row>
    <row r="108" spans="1:8" x14ac:dyDescent="0.2">
      <c r="A108" s="1"/>
      <c r="B108" s="1"/>
      <c r="C108" s="2" t="s">
        <v>95</v>
      </c>
      <c r="D108" s="1"/>
      <c r="E108" s="1" t="s">
        <v>96</v>
      </c>
      <c r="F108" s="13">
        <v>0</v>
      </c>
      <c r="G108" s="14">
        <v>0</v>
      </c>
      <c r="H108" s="69"/>
    </row>
    <row r="109" spans="1:8" x14ac:dyDescent="0.2">
      <c r="A109" s="1"/>
      <c r="B109" s="1"/>
      <c r="C109" s="11"/>
      <c r="D109" s="1"/>
      <c r="E109" s="1"/>
      <c r="F109" s="12"/>
      <c r="G109" s="12"/>
      <c r="H109" s="69"/>
    </row>
    <row r="110" spans="1:8" x14ac:dyDescent="0.2">
      <c r="A110" s="1"/>
      <c r="B110" s="1"/>
      <c r="C110" s="2" t="s">
        <v>105</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106</v>
      </c>
      <c r="D113" s="1"/>
      <c r="E113" s="1"/>
      <c r="F113" s="12"/>
      <c r="G113" s="12"/>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2" t="s">
        <v>107</v>
      </c>
      <c r="D116" s="1"/>
      <c r="E116" s="1"/>
      <c r="F116" s="9">
        <v>0</v>
      </c>
      <c r="G116" s="10">
        <v>0</v>
      </c>
      <c r="H116" s="69"/>
    </row>
    <row r="117" spans="1:8" x14ac:dyDescent="0.2">
      <c r="A117" s="1"/>
      <c r="B117" s="1"/>
      <c r="C117" s="11"/>
      <c r="D117" s="1"/>
      <c r="E117" s="1"/>
      <c r="F117" s="12"/>
      <c r="G117" s="12"/>
      <c r="H117" s="69"/>
    </row>
    <row r="118" spans="1:8" x14ac:dyDescent="0.2">
      <c r="A118" s="1"/>
      <c r="B118" s="1"/>
      <c r="C118" s="2" t="s">
        <v>108</v>
      </c>
      <c r="D118" s="1"/>
      <c r="E118" s="1"/>
      <c r="F118" s="12"/>
      <c r="G118" s="12"/>
      <c r="H118" s="69"/>
    </row>
    <row r="119" spans="1:8" x14ac:dyDescent="0.2">
      <c r="A119" s="1"/>
      <c r="B119" s="1"/>
      <c r="C119" s="2" t="s">
        <v>109</v>
      </c>
      <c r="D119" s="1"/>
      <c r="E119" s="1"/>
      <c r="F119" s="12"/>
      <c r="G119" s="12"/>
      <c r="H119" s="69"/>
    </row>
    <row r="120" spans="1:8" x14ac:dyDescent="0.2">
      <c r="A120" s="1"/>
      <c r="B120" s="1"/>
      <c r="C120" s="2" t="s">
        <v>95</v>
      </c>
      <c r="D120" s="1"/>
      <c r="E120" s="1" t="s">
        <v>96</v>
      </c>
      <c r="F120" s="13">
        <v>0</v>
      </c>
      <c r="G120" s="14">
        <v>0</v>
      </c>
      <c r="H120" s="69"/>
    </row>
    <row r="121" spans="1:8" x14ac:dyDescent="0.2">
      <c r="A121" s="1"/>
      <c r="B121" s="1"/>
      <c r="C121" s="11"/>
      <c r="D121" s="1"/>
      <c r="E121" s="1"/>
      <c r="F121" s="12"/>
      <c r="G121" s="12"/>
      <c r="H121" s="69"/>
    </row>
    <row r="122" spans="1:8" x14ac:dyDescent="0.2">
      <c r="A122" s="1"/>
      <c r="B122" s="1"/>
      <c r="C122" s="2" t="s">
        <v>110</v>
      </c>
      <c r="D122" s="1"/>
      <c r="E122" s="1"/>
      <c r="F122" s="12"/>
      <c r="G122" s="12"/>
      <c r="H122" s="69"/>
    </row>
    <row r="123" spans="1:8" x14ac:dyDescent="0.2">
      <c r="A123" s="1"/>
      <c r="B123" s="1"/>
      <c r="C123" s="2" t="s">
        <v>95</v>
      </c>
      <c r="D123" s="1"/>
      <c r="E123" s="1" t="s">
        <v>96</v>
      </c>
      <c r="F123" s="13">
        <v>0</v>
      </c>
      <c r="G123" s="14">
        <v>0</v>
      </c>
      <c r="H123" s="69"/>
    </row>
    <row r="124" spans="1:8" x14ac:dyDescent="0.2">
      <c r="A124" s="1"/>
      <c r="B124" s="1"/>
      <c r="C124" s="11"/>
      <c r="D124" s="1"/>
      <c r="E124" s="1"/>
      <c r="F124" s="12"/>
      <c r="G124" s="12"/>
      <c r="H124" s="69"/>
    </row>
    <row r="125" spans="1:8" x14ac:dyDescent="0.2">
      <c r="A125" s="1"/>
      <c r="B125" s="1"/>
      <c r="C125" s="2" t="s">
        <v>111</v>
      </c>
      <c r="D125" s="1"/>
      <c r="E125" s="1"/>
      <c r="F125" s="12"/>
      <c r="G125" s="12"/>
      <c r="H125" s="69"/>
    </row>
    <row r="126" spans="1:8" x14ac:dyDescent="0.2">
      <c r="A126" s="1"/>
      <c r="B126" s="1"/>
      <c r="C126" s="2" t="s">
        <v>95</v>
      </c>
      <c r="D126" s="1"/>
      <c r="E126" s="1" t="s">
        <v>96</v>
      </c>
      <c r="F126" s="13">
        <v>0</v>
      </c>
      <c r="G126" s="14">
        <v>0</v>
      </c>
      <c r="H126" s="69"/>
    </row>
    <row r="127" spans="1:8" x14ac:dyDescent="0.2">
      <c r="A127" s="1"/>
      <c r="B127" s="1"/>
      <c r="C127" s="11"/>
      <c r="D127" s="1"/>
      <c r="E127" s="1"/>
      <c r="F127" s="12"/>
      <c r="G127" s="12"/>
      <c r="H127" s="69"/>
    </row>
    <row r="128" spans="1:8" x14ac:dyDescent="0.2">
      <c r="A128" s="1"/>
      <c r="B128" s="1"/>
      <c r="C128" s="2" t="s">
        <v>112</v>
      </c>
      <c r="D128" s="1"/>
      <c r="E128" s="1"/>
      <c r="F128" s="12"/>
      <c r="G128" s="12"/>
      <c r="H128" s="69"/>
    </row>
    <row r="129" spans="1:8" x14ac:dyDescent="0.2">
      <c r="A129" s="3">
        <v>1</v>
      </c>
      <c r="B129" s="4"/>
      <c r="C129" s="4" t="s">
        <v>113</v>
      </c>
      <c r="D129" s="4"/>
      <c r="E129" s="8"/>
      <c r="F129" s="6">
        <v>337.51000420000003</v>
      </c>
      <c r="G129" s="7">
        <v>2.4624885999999999E-2</v>
      </c>
      <c r="H129" s="6">
        <v>3.3628721504199861</v>
      </c>
    </row>
    <row r="130" spans="1:8" x14ac:dyDescent="0.2">
      <c r="A130" s="3">
        <v>2</v>
      </c>
      <c r="B130" s="4"/>
      <c r="C130" s="4" t="s">
        <v>114</v>
      </c>
      <c r="D130" s="4"/>
      <c r="E130" s="8"/>
      <c r="F130" s="6">
        <v>130.34321879999999</v>
      </c>
      <c r="G130" s="7">
        <v>9.5099020000000006E-3</v>
      </c>
      <c r="H130" s="6">
        <v>3.4499999999999966</v>
      </c>
    </row>
    <row r="131" spans="1:8" x14ac:dyDescent="0.2">
      <c r="A131" s="1"/>
      <c r="B131" s="1"/>
      <c r="C131" s="2" t="s">
        <v>95</v>
      </c>
      <c r="D131" s="1"/>
      <c r="E131" s="1" t="s">
        <v>96</v>
      </c>
      <c r="F131" s="9">
        <v>467.85322300000001</v>
      </c>
      <c r="G131" s="10">
        <v>3.4134787999999999E-2</v>
      </c>
      <c r="H131" s="69"/>
    </row>
    <row r="132" spans="1:8" x14ac:dyDescent="0.2">
      <c r="A132" s="1"/>
      <c r="B132" s="1"/>
      <c r="C132" s="11"/>
      <c r="D132" s="1"/>
      <c r="E132" s="1"/>
      <c r="F132" s="12"/>
      <c r="G132" s="12"/>
      <c r="H132" s="69"/>
    </row>
    <row r="133" spans="1:8" x14ac:dyDescent="0.2">
      <c r="A133" s="1"/>
      <c r="B133" s="1"/>
      <c r="C133" s="2" t="s">
        <v>115</v>
      </c>
      <c r="D133" s="1"/>
      <c r="E133" s="1"/>
      <c r="F133" s="9">
        <v>467.85322300000001</v>
      </c>
      <c r="G133" s="10">
        <v>3.4134787999999999E-2</v>
      </c>
      <c r="H133" s="69"/>
    </row>
    <row r="134" spans="1:8" x14ac:dyDescent="0.2">
      <c r="A134" s="1"/>
      <c r="B134" s="1"/>
      <c r="C134" s="12"/>
      <c r="D134" s="1"/>
      <c r="E134" s="1"/>
      <c r="F134" s="1"/>
      <c r="G134" s="1"/>
      <c r="H134" s="69"/>
    </row>
    <row r="135" spans="1:8" x14ac:dyDescent="0.2">
      <c r="A135" s="1"/>
      <c r="B135" s="1"/>
      <c r="C135" s="2" t="s">
        <v>116</v>
      </c>
      <c r="D135" s="1"/>
      <c r="E135" s="1"/>
      <c r="F135" s="1"/>
      <c r="G135" s="1"/>
      <c r="H135" s="69"/>
    </row>
    <row r="136" spans="1:8" x14ac:dyDescent="0.2">
      <c r="A136" s="1"/>
      <c r="B136" s="1"/>
      <c r="C136" s="2" t="s">
        <v>117</v>
      </c>
      <c r="D136" s="1"/>
      <c r="E136" s="1"/>
      <c r="F136" s="1"/>
      <c r="G136" s="1"/>
      <c r="H136" s="69"/>
    </row>
    <row r="137" spans="1:8" x14ac:dyDescent="0.2">
      <c r="A137" s="1"/>
      <c r="B137" s="1"/>
      <c r="C137" s="2" t="s">
        <v>95</v>
      </c>
      <c r="D137" s="1"/>
      <c r="E137" s="1" t="s">
        <v>96</v>
      </c>
      <c r="F137" s="13">
        <v>0</v>
      </c>
      <c r="G137" s="14">
        <v>0</v>
      </c>
      <c r="H137" s="69"/>
    </row>
    <row r="138" spans="1:8" x14ac:dyDescent="0.2">
      <c r="A138" s="1"/>
      <c r="B138" s="1"/>
      <c r="C138" s="11"/>
      <c r="D138" s="1"/>
      <c r="E138" s="1"/>
      <c r="F138" s="12"/>
      <c r="G138" s="12"/>
      <c r="H138" s="69"/>
    </row>
    <row r="139" spans="1:8" x14ac:dyDescent="0.2">
      <c r="A139" s="1"/>
      <c r="B139" s="1"/>
      <c r="C139" s="2" t="s">
        <v>118</v>
      </c>
      <c r="D139" s="1"/>
      <c r="E139" s="1"/>
      <c r="F139" s="1"/>
      <c r="G139" s="1"/>
      <c r="H139" s="69"/>
    </row>
    <row r="140" spans="1:8" x14ac:dyDescent="0.2">
      <c r="A140" s="1"/>
      <c r="B140" s="1"/>
      <c r="C140" s="2" t="s">
        <v>119</v>
      </c>
      <c r="D140" s="1"/>
      <c r="E140" s="1"/>
      <c r="F140" s="1"/>
      <c r="G140" s="1"/>
      <c r="H140" s="69"/>
    </row>
    <row r="141" spans="1:8" x14ac:dyDescent="0.2">
      <c r="A141" s="1"/>
      <c r="B141" s="1"/>
      <c r="C141" s="2" t="s">
        <v>95</v>
      </c>
      <c r="D141" s="1"/>
      <c r="E141" s="1" t="s">
        <v>96</v>
      </c>
      <c r="F141" s="13">
        <v>0</v>
      </c>
      <c r="G141" s="14">
        <v>0</v>
      </c>
      <c r="H141" s="69"/>
    </row>
    <row r="142" spans="1:8" x14ac:dyDescent="0.2">
      <c r="A142" s="1"/>
      <c r="B142" s="1"/>
      <c r="C142" s="11"/>
      <c r="D142" s="1"/>
      <c r="E142" s="1"/>
      <c r="F142" s="12"/>
      <c r="G142" s="12"/>
      <c r="H142" s="69"/>
    </row>
    <row r="143" spans="1:8" x14ac:dyDescent="0.2">
      <c r="A143" s="1"/>
      <c r="B143" s="1"/>
      <c r="C143" s="11"/>
      <c r="D143" s="1"/>
      <c r="E143" s="1"/>
      <c r="F143" s="12"/>
      <c r="G143" s="12"/>
      <c r="H143" s="69"/>
    </row>
    <row r="144" spans="1:8" ht="25.5" x14ac:dyDescent="0.2">
      <c r="A144" s="1"/>
      <c r="B144" s="1"/>
      <c r="C144" s="2" t="s">
        <v>120</v>
      </c>
      <c r="D144" s="1"/>
      <c r="E144" s="1"/>
      <c r="F144" s="12"/>
      <c r="G144" s="12"/>
      <c r="H144" s="69"/>
    </row>
    <row r="145" spans="1:8" x14ac:dyDescent="0.2">
      <c r="A145" s="1"/>
      <c r="B145" s="1"/>
      <c r="C145" s="2" t="s">
        <v>95</v>
      </c>
      <c r="D145" s="1"/>
      <c r="E145" s="1" t="s">
        <v>96</v>
      </c>
      <c r="F145" s="13">
        <v>0</v>
      </c>
      <c r="G145" s="14">
        <v>0</v>
      </c>
      <c r="H145" s="69"/>
    </row>
    <row r="146" spans="1:8" x14ac:dyDescent="0.2">
      <c r="A146" s="1"/>
      <c r="B146" s="1"/>
      <c r="C146" s="11"/>
      <c r="D146" s="1"/>
      <c r="E146" s="1"/>
      <c r="F146" s="12"/>
      <c r="G146" s="12"/>
      <c r="H146" s="69"/>
    </row>
    <row r="147" spans="1:8" x14ac:dyDescent="0.2">
      <c r="A147" s="1"/>
      <c r="B147" s="4"/>
      <c r="C147" s="4"/>
      <c r="D147" s="2"/>
      <c r="E147" s="1"/>
      <c r="F147" s="4"/>
      <c r="G147" s="8"/>
      <c r="H147" s="69"/>
    </row>
    <row r="148" spans="1:8" x14ac:dyDescent="0.2">
      <c r="A148" s="8"/>
      <c r="B148" s="4"/>
      <c r="C148" s="4" t="s">
        <v>121</v>
      </c>
      <c r="D148" s="4"/>
      <c r="E148" s="8"/>
      <c r="F148" s="6">
        <v>24.5163449</v>
      </c>
      <c r="G148" s="7">
        <v>1.788724E-3</v>
      </c>
      <c r="H148" s="69"/>
    </row>
    <row r="149" spans="1:8" x14ac:dyDescent="0.2">
      <c r="A149" s="11"/>
      <c r="B149" s="11"/>
      <c r="C149" s="2" t="s">
        <v>122</v>
      </c>
      <c r="D149" s="15"/>
      <c r="E149" s="15"/>
      <c r="F149" s="9">
        <v>13706.0532724</v>
      </c>
      <c r="G149" s="10">
        <v>1.0000000019999999</v>
      </c>
      <c r="H149" s="69"/>
    </row>
    <row r="150" spans="1:8" ht="14.1" customHeight="1" x14ac:dyDescent="0.2">
      <c r="A150" s="16"/>
      <c r="B150" s="16"/>
      <c r="C150" s="16"/>
      <c r="D150" s="17"/>
      <c r="E150" s="17"/>
      <c r="F150" s="17"/>
      <c r="G150" s="17"/>
    </row>
    <row r="151" spans="1:8" ht="14.1" customHeight="1" x14ac:dyDescent="0.2">
      <c r="A151" s="18"/>
      <c r="B151" s="176" t="s">
        <v>96</v>
      </c>
      <c r="C151" s="176"/>
      <c r="D151" s="176"/>
      <c r="E151" s="176"/>
      <c r="F151" s="176"/>
      <c r="G151" s="20"/>
    </row>
    <row r="152" spans="1:8" ht="14.1" customHeight="1" x14ac:dyDescent="0.2">
      <c r="A152" s="18"/>
      <c r="B152" s="176" t="s">
        <v>96</v>
      </c>
      <c r="C152" s="176"/>
      <c r="D152" s="176"/>
      <c r="E152" s="176"/>
      <c r="F152" s="176"/>
      <c r="G152" s="20"/>
    </row>
    <row r="153" spans="1:8" ht="14.1" customHeight="1" x14ac:dyDescent="0.2">
      <c r="A153" s="18"/>
      <c r="B153" s="18"/>
      <c r="C153" s="18"/>
      <c r="D153" s="20"/>
      <c r="E153" s="20"/>
      <c r="F153" s="20"/>
      <c r="G153" s="20"/>
    </row>
    <row r="154" spans="1:8" ht="14.1" customHeight="1" x14ac:dyDescent="0.2">
      <c r="A154" s="18"/>
      <c r="B154" s="174" t="s">
        <v>124</v>
      </c>
      <c r="C154" s="175"/>
      <c r="D154" s="12" t="s">
        <v>96</v>
      </c>
      <c r="E154" s="21"/>
      <c r="F154" s="20"/>
      <c r="G154" s="20"/>
    </row>
    <row r="155" spans="1:8" ht="29.1" customHeight="1" x14ac:dyDescent="0.2">
      <c r="A155" s="18"/>
      <c r="B155" s="172" t="s">
        <v>125</v>
      </c>
      <c r="C155" s="173"/>
      <c r="D155" s="2" t="s">
        <v>126</v>
      </c>
      <c r="E155" s="21"/>
      <c r="F155" s="20"/>
      <c r="G155" s="20"/>
    </row>
    <row r="156" spans="1:8" ht="17.100000000000001" customHeight="1" x14ac:dyDescent="0.2">
      <c r="A156" s="18"/>
      <c r="B156" s="172" t="s">
        <v>127</v>
      </c>
      <c r="C156" s="173"/>
      <c r="D156" s="2" t="s">
        <v>126</v>
      </c>
      <c r="E156" s="21"/>
      <c r="F156" s="20"/>
      <c r="G156" s="20"/>
    </row>
    <row r="157" spans="1:8" ht="17.100000000000001" customHeight="1" x14ac:dyDescent="0.2">
      <c r="A157" s="18"/>
      <c r="B157" s="172" t="s">
        <v>128</v>
      </c>
      <c r="C157" s="173"/>
      <c r="D157" s="12" t="s">
        <v>96</v>
      </c>
      <c r="E157" s="21"/>
      <c r="F157" s="20"/>
      <c r="G157" s="20"/>
    </row>
    <row r="158" spans="1:8" ht="24" customHeight="1" x14ac:dyDescent="0.2">
      <c r="A158" s="22"/>
      <c r="B158" s="23" t="s">
        <v>96</v>
      </c>
      <c r="C158" s="23" t="s">
        <v>129</v>
      </c>
      <c r="D158" s="23" t="s">
        <v>130</v>
      </c>
      <c r="E158" s="22"/>
      <c r="F158" s="22"/>
      <c r="G158" s="22"/>
    </row>
    <row r="159" spans="1:8" ht="18" customHeight="1" x14ac:dyDescent="0.2">
      <c r="A159" s="22"/>
      <c r="B159" s="23" t="s">
        <v>131</v>
      </c>
      <c r="C159" s="23" t="s">
        <v>132</v>
      </c>
      <c r="D159" s="23" t="s">
        <v>133</v>
      </c>
      <c r="E159" s="22"/>
      <c r="F159" s="22"/>
      <c r="G159" s="22"/>
    </row>
    <row r="160" spans="1:8" ht="17.100000000000001" customHeight="1" x14ac:dyDescent="0.2">
      <c r="A160" s="22"/>
      <c r="B160" s="4" t="s">
        <v>134</v>
      </c>
      <c r="C160" s="24">
        <v>15.510400000000001</v>
      </c>
      <c r="D160" s="24">
        <v>15.4536</v>
      </c>
      <c r="E160" s="22"/>
      <c r="F160" s="19"/>
      <c r="G160" s="25"/>
    </row>
    <row r="161" spans="1:16" ht="17.100000000000001" customHeight="1" x14ac:dyDescent="0.2">
      <c r="A161" s="22"/>
      <c r="B161" s="4" t="s">
        <v>983</v>
      </c>
      <c r="C161" s="24">
        <v>15.510400000000001</v>
      </c>
      <c r="D161" s="24">
        <v>15.4536</v>
      </c>
      <c r="E161" s="22"/>
      <c r="F161" s="19"/>
      <c r="G161" s="25"/>
    </row>
    <row r="162" spans="1:16" ht="17.100000000000001" customHeight="1" x14ac:dyDescent="0.2">
      <c r="A162" s="22"/>
      <c r="B162" s="4" t="s">
        <v>135</v>
      </c>
      <c r="C162" s="24">
        <v>15.136699999999999</v>
      </c>
      <c r="D162" s="24">
        <v>15.074</v>
      </c>
      <c r="E162" s="22"/>
      <c r="F162" s="19"/>
      <c r="G162" s="25"/>
    </row>
    <row r="163" spans="1:16" ht="17.100000000000001" customHeight="1" x14ac:dyDescent="0.2">
      <c r="A163" s="22"/>
      <c r="B163" s="4" t="s">
        <v>984</v>
      </c>
      <c r="C163" s="24">
        <v>15.136699999999999</v>
      </c>
      <c r="D163" s="24">
        <v>15.074</v>
      </c>
      <c r="E163" s="22"/>
      <c r="F163" s="19"/>
      <c r="G163" s="25"/>
    </row>
    <row r="164" spans="1:16" ht="14.1" customHeight="1" x14ac:dyDescent="0.2">
      <c r="A164" s="22"/>
      <c r="B164" s="22"/>
      <c r="C164" s="22"/>
      <c r="D164" s="22"/>
      <c r="E164" s="22"/>
      <c r="F164" s="22"/>
      <c r="G164" s="22"/>
    </row>
    <row r="165" spans="1:16" ht="17.100000000000001" customHeight="1" x14ac:dyDescent="0.2">
      <c r="A165" s="22"/>
      <c r="B165" s="172" t="s">
        <v>985</v>
      </c>
      <c r="C165" s="173"/>
      <c r="D165" s="2" t="s">
        <v>126</v>
      </c>
      <c r="E165" s="22"/>
      <c r="F165" s="22"/>
      <c r="G165" s="22"/>
      <c r="I165" s="82"/>
      <c r="J165" s="82"/>
      <c r="K165" s="82"/>
      <c r="L165" s="82"/>
      <c r="M165" s="82"/>
      <c r="N165" s="82"/>
      <c r="O165" s="82"/>
    </row>
    <row r="166" spans="1:16" ht="18" customHeight="1" x14ac:dyDescent="0.2">
      <c r="A166" s="22"/>
      <c r="B166" s="26" t="s">
        <v>136</v>
      </c>
      <c r="C166" s="26" t="s">
        <v>136</v>
      </c>
      <c r="D166" s="26"/>
      <c r="E166" s="22"/>
      <c r="F166" s="22"/>
      <c r="G166" s="22"/>
    </row>
    <row r="167" spans="1:16" s="82" customFormat="1" x14ac:dyDescent="0.2">
      <c r="B167" s="177" t="s">
        <v>936</v>
      </c>
      <c r="C167" s="177"/>
      <c r="D167" s="177"/>
      <c r="E167" s="177"/>
      <c r="F167" s="177"/>
      <c r="I167"/>
      <c r="J167"/>
      <c r="K167"/>
      <c r="L167"/>
      <c r="M167"/>
      <c r="N167"/>
      <c r="O167"/>
      <c r="P167" s="70"/>
    </row>
    <row r="168" spans="1:16" ht="14.1" customHeight="1" x14ac:dyDescent="0.2">
      <c r="A168" s="22"/>
      <c r="B168" s="19"/>
      <c r="C168" s="19"/>
      <c r="D168" s="22"/>
      <c r="E168" s="22"/>
      <c r="F168" s="22"/>
      <c r="G168" s="22"/>
    </row>
    <row r="169" spans="1:16" ht="29.1" customHeight="1" x14ac:dyDescent="0.2">
      <c r="A169" s="22"/>
      <c r="B169" s="172" t="s">
        <v>137</v>
      </c>
      <c r="C169" s="173"/>
      <c r="D169" s="2" t="s">
        <v>126</v>
      </c>
      <c r="E169" s="22"/>
      <c r="F169" s="22"/>
      <c r="G169" s="22"/>
    </row>
    <row r="170" spans="1:16" ht="29.1" customHeight="1" x14ac:dyDescent="0.2">
      <c r="A170" s="22"/>
      <c r="B170" s="172" t="s">
        <v>138</v>
      </c>
      <c r="C170" s="173"/>
      <c r="D170" s="2" t="s">
        <v>126</v>
      </c>
      <c r="E170" s="22"/>
      <c r="F170" s="22"/>
      <c r="G170" s="22"/>
    </row>
    <row r="171" spans="1:16" ht="17.100000000000001" customHeight="1" x14ac:dyDescent="0.2">
      <c r="A171" s="22"/>
      <c r="B171" s="172" t="s">
        <v>139</v>
      </c>
      <c r="C171" s="173"/>
      <c r="D171" s="27">
        <v>0.45252779071955052</v>
      </c>
      <c r="E171" s="22"/>
      <c r="F171" s="19"/>
      <c r="G171" s="25"/>
    </row>
    <row r="172" spans="1:16" ht="17.100000000000001" customHeight="1" x14ac:dyDescent="0.2">
      <c r="A172" s="22"/>
      <c r="B172" s="172" t="s">
        <v>140</v>
      </c>
      <c r="C172" s="173"/>
      <c r="D172" s="2" t="s">
        <v>126</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7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300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25</v>
      </c>
      <c r="C7" s="4" t="s">
        <v>26</v>
      </c>
      <c r="D7" s="4" t="s">
        <v>27</v>
      </c>
      <c r="E7" s="5">
        <v>24264</v>
      </c>
      <c r="F7" s="6">
        <v>391.43898000000002</v>
      </c>
      <c r="G7" s="7">
        <v>3.3921924999999999E-2</v>
      </c>
      <c r="H7" s="69"/>
    </row>
    <row r="8" spans="1:14" x14ac:dyDescent="0.2">
      <c r="A8" s="3">
        <v>2</v>
      </c>
      <c r="B8" s="4" t="s">
        <v>145</v>
      </c>
      <c r="C8" s="4" t="s">
        <v>146</v>
      </c>
      <c r="D8" s="4" t="s">
        <v>27</v>
      </c>
      <c r="E8" s="5">
        <v>32056</v>
      </c>
      <c r="F8" s="6">
        <v>354.18674399999998</v>
      </c>
      <c r="G8" s="7">
        <v>3.0693663E-2</v>
      </c>
      <c r="H8" s="69"/>
    </row>
    <row r="9" spans="1:14" x14ac:dyDescent="0.2">
      <c r="A9" s="3">
        <v>3</v>
      </c>
      <c r="B9" s="4" t="s">
        <v>142</v>
      </c>
      <c r="C9" s="4" t="s">
        <v>143</v>
      </c>
      <c r="D9" s="4" t="s">
        <v>144</v>
      </c>
      <c r="E9" s="5">
        <v>8708</v>
      </c>
      <c r="F9" s="6">
        <v>325.76627999999999</v>
      </c>
      <c r="G9" s="7">
        <v>2.8230759000000001E-2</v>
      </c>
      <c r="H9" s="69"/>
    </row>
    <row r="10" spans="1:14" x14ac:dyDescent="0.2">
      <c r="A10" s="3">
        <v>4</v>
      </c>
      <c r="B10" s="4" t="s">
        <v>79</v>
      </c>
      <c r="C10" s="4" t="s">
        <v>80</v>
      </c>
      <c r="D10" s="4" t="s">
        <v>75</v>
      </c>
      <c r="E10" s="5">
        <v>77521</v>
      </c>
      <c r="F10" s="6">
        <v>289.30837200000002</v>
      </c>
      <c r="G10" s="7">
        <v>2.5071333000000001E-2</v>
      </c>
      <c r="H10" s="69"/>
    </row>
    <row r="11" spans="1:14" x14ac:dyDescent="0.2">
      <c r="A11" s="3">
        <v>5</v>
      </c>
      <c r="B11" s="4" t="s">
        <v>165</v>
      </c>
      <c r="C11" s="4" t="s">
        <v>166</v>
      </c>
      <c r="D11" s="4" t="s">
        <v>155</v>
      </c>
      <c r="E11" s="5">
        <v>56969</v>
      </c>
      <c r="F11" s="6">
        <v>281.79715850000002</v>
      </c>
      <c r="G11" s="7">
        <v>2.4420415000000001E-2</v>
      </c>
      <c r="H11" s="69"/>
    </row>
    <row r="12" spans="1:14" ht="25.5" x14ac:dyDescent="0.2">
      <c r="A12" s="3">
        <v>6</v>
      </c>
      <c r="B12" s="4" t="s">
        <v>151</v>
      </c>
      <c r="C12" s="4" t="s">
        <v>152</v>
      </c>
      <c r="D12" s="4" t="s">
        <v>45</v>
      </c>
      <c r="E12" s="5">
        <v>188288</v>
      </c>
      <c r="F12" s="6">
        <v>280.83155199999999</v>
      </c>
      <c r="G12" s="7">
        <v>2.4336736000000001E-2</v>
      </c>
      <c r="H12" s="69"/>
    </row>
    <row r="13" spans="1:14" x14ac:dyDescent="0.2">
      <c r="A13" s="3">
        <v>7</v>
      </c>
      <c r="B13" s="4" t="s">
        <v>147</v>
      </c>
      <c r="C13" s="4" t="s">
        <v>148</v>
      </c>
      <c r="D13" s="4" t="s">
        <v>78</v>
      </c>
      <c r="E13" s="5">
        <v>230364</v>
      </c>
      <c r="F13" s="6">
        <v>279.31635</v>
      </c>
      <c r="G13" s="7">
        <v>2.4205429000000001E-2</v>
      </c>
      <c r="H13" s="69"/>
    </row>
    <row r="14" spans="1:14" x14ac:dyDescent="0.2">
      <c r="A14" s="3">
        <v>8</v>
      </c>
      <c r="B14" s="4" t="s">
        <v>149</v>
      </c>
      <c r="C14" s="4" t="s">
        <v>150</v>
      </c>
      <c r="D14" s="4" t="s">
        <v>75</v>
      </c>
      <c r="E14" s="5">
        <v>45362</v>
      </c>
      <c r="F14" s="6">
        <v>272.89779199999998</v>
      </c>
      <c r="G14" s="7">
        <v>2.3649199999999999E-2</v>
      </c>
      <c r="H14" s="69"/>
    </row>
    <row r="15" spans="1:14" x14ac:dyDescent="0.2">
      <c r="A15" s="3">
        <v>9</v>
      </c>
      <c r="B15" s="4" t="s">
        <v>156</v>
      </c>
      <c r="C15" s="4" t="s">
        <v>157</v>
      </c>
      <c r="D15" s="4" t="s">
        <v>27</v>
      </c>
      <c r="E15" s="5">
        <v>32433</v>
      </c>
      <c r="F15" s="6">
        <v>251.64764700000001</v>
      </c>
      <c r="G15" s="7">
        <v>2.1807672E-2</v>
      </c>
      <c r="H15" s="69"/>
    </row>
    <row r="16" spans="1:14" ht="15" x14ac:dyDescent="0.2">
      <c r="A16" s="3">
        <v>10</v>
      </c>
      <c r="B16" s="4" t="s">
        <v>153</v>
      </c>
      <c r="C16" s="4" t="s">
        <v>154</v>
      </c>
      <c r="D16" s="4" t="s">
        <v>155</v>
      </c>
      <c r="E16" s="5">
        <v>5738</v>
      </c>
      <c r="F16" s="6">
        <v>237.48434399999999</v>
      </c>
      <c r="G16" s="7">
        <v>2.0580286E-2</v>
      </c>
      <c r="H16" s="69"/>
      <c r="J16" s="160" t="s">
        <v>1011</v>
      </c>
    </row>
    <row r="17" spans="1:8" x14ac:dyDescent="0.2">
      <c r="A17" s="3">
        <v>11</v>
      </c>
      <c r="B17" s="4" t="s">
        <v>176</v>
      </c>
      <c r="C17" s="4" t="s">
        <v>177</v>
      </c>
      <c r="D17" s="4" t="s">
        <v>78</v>
      </c>
      <c r="E17" s="5">
        <v>28306</v>
      </c>
      <c r="F17" s="6">
        <v>229.10876400000001</v>
      </c>
      <c r="G17" s="7">
        <v>1.9854462E-2</v>
      </c>
      <c r="H17" s="69"/>
    </row>
    <row r="18" spans="1:8" x14ac:dyDescent="0.2">
      <c r="A18" s="3">
        <v>12</v>
      </c>
      <c r="B18" s="4" t="s">
        <v>298</v>
      </c>
      <c r="C18" s="4" t="s">
        <v>299</v>
      </c>
      <c r="D18" s="4" t="s">
        <v>53</v>
      </c>
      <c r="E18" s="5">
        <v>12753</v>
      </c>
      <c r="F18" s="6">
        <v>218.9371275</v>
      </c>
      <c r="G18" s="7">
        <v>1.8972993E-2</v>
      </c>
      <c r="H18" s="69"/>
    </row>
    <row r="19" spans="1:8" ht="25.5" x14ac:dyDescent="0.2">
      <c r="A19" s="3">
        <v>13</v>
      </c>
      <c r="B19" s="4" t="s">
        <v>37</v>
      </c>
      <c r="C19" s="4" t="s">
        <v>38</v>
      </c>
      <c r="D19" s="4" t="s">
        <v>974</v>
      </c>
      <c r="E19" s="5">
        <v>6481</v>
      </c>
      <c r="F19" s="6">
        <v>209.65710949999999</v>
      </c>
      <c r="G19" s="7">
        <v>1.8168791E-2</v>
      </c>
      <c r="H19" s="69"/>
    </row>
    <row r="20" spans="1:8" x14ac:dyDescent="0.2">
      <c r="A20" s="3">
        <v>14</v>
      </c>
      <c r="B20" s="4" t="s">
        <v>161</v>
      </c>
      <c r="C20" s="4" t="s">
        <v>162</v>
      </c>
      <c r="D20" s="4" t="s">
        <v>22</v>
      </c>
      <c r="E20" s="5">
        <v>110000</v>
      </c>
      <c r="F20" s="6">
        <v>200.91499999999999</v>
      </c>
      <c r="G20" s="7">
        <v>1.7411203E-2</v>
      </c>
      <c r="H20" s="69"/>
    </row>
    <row r="21" spans="1:8" x14ac:dyDescent="0.2">
      <c r="A21" s="3">
        <v>15</v>
      </c>
      <c r="B21" s="4" t="s">
        <v>158</v>
      </c>
      <c r="C21" s="4" t="s">
        <v>159</v>
      </c>
      <c r="D21" s="4" t="s">
        <v>160</v>
      </c>
      <c r="E21" s="5">
        <v>12373</v>
      </c>
      <c r="F21" s="6">
        <v>200.75811150000001</v>
      </c>
      <c r="G21" s="7">
        <v>1.7397606999999999E-2</v>
      </c>
      <c r="H21" s="69"/>
    </row>
    <row r="22" spans="1:8" x14ac:dyDescent="0.2">
      <c r="A22" s="3">
        <v>16</v>
      </c>
      <c r="B22" s="4" t="s">
        <v>163</v>
      </c>
      <c r="C22" s="4" t="s">
        <v>164</v>
      </c>
      <c r="D22" s="4" t="s">
        <v>975</v>
      </c>
      <c r="E22" s="5">
        <v>49783</v>
      </c>
      <c r="F22" s="6">
        <v>199.25645750000001</v>
      </c>
      <c r="G22" s="7">
        <v>1.7267475000000001E-2</v>
      </c>
      <c r="H22" s="69"/>
    </row>
    <row r="23" spans="1:8" x14ac:dyDescent="0.2">
      <c r="A23" s="3">
        <v>17</v>
      </c>
      <c r="B23" s="4" t="s">
        <v>56</v>
      </c>
      <c r="C23" s="4" t="s">
        <v>57</v>
      </c>
      <c r="D23" s="4" t="s">
        <v>53</v>
      </c>
      <c r="E23" s="5">
        <v>39179</v>
      </c>
      <c r="F23" s="6">
        <v>196.85488549999999</v>
      </c>
      <c r="G23" s="7">
        <v>1.7059356000000001E-2</v>
      </c>
      <c r="H23" s="69"/>
    </row>
    <row r="24" spans="1:8" x14ac:dyDescent="0.2">
      <c r="A24" s="3">
        <v>18</v>
      </c>
      <c r="B24" s="4" t="s">
        <v>167</v>
      </c>
      <c r="C24" s="4" t="s">
        <v>168</v>
      </c>
      <c r="D24" s="4" t="s">
        <v>976</v>
      </c>
      <c r="E24" s="5">
        <v>19044</v>
      </c>
      <c r="F24" s="6">
        <v>193.15377000000001</v>
      </c>
      <c r="G24" s="7">
        <v>1.6738619E-2</v>
      </c>
      <c r="H24" s="69"/>
    </row>
    <row r="25" spans="1:8" x14ac:dyDescent="0.2">
      <c r="A25" s="3">
        <v>19</v>
      </c>
      <c r="B25" s="4" t="s">
        <v>268</v>
      </c>
      <c r="C25" s="4" t="s">
        <v>269</v>
      </c>
      <c r="D25" s="4" t="s">
        <v>977</v>
      </c>
      <c r="E25" s="5">
        <v>9122</v>
      </c>
      <c r="F25" s="6">
        <v>192.56998100000001</v>
      </c>
      <c r="G25" s="7">
        <v>1.6688028000000001E-2</v>
      </c>
      <c r="H25" s="69"/>
    </row>
    <row r="26" spans="1:8" x14ac:dyDescent="0.2">
      <c r="A26" s="3">
        <v>20</v>
      </c>
      <c r="B26" s="4" t="s">
        <v>169</v>
      </c>
      <c r="C26" s="4" t="s">
        <v>170</v>
      </c>
      <c r="D26" s="4" t="s">
        <v>155</v>
      </c>
      <c r="E26" s="5">
        <v>16740</v>
      </c>
      <c r="F26" s="6">
        <v>192.32586000000001</v>
      </c>
      <c r="G26" s="7">
        <v>1.6666871999999999E-2</v>
      </c>
      <c r="H26" s="69"/>
    </row>
    <row r="27" spans="1:8" x14ac:dyDescent="0.2">
      <c r="A27" s="3">
        <v>21</v>
      </c>
      <c r="B27" s="4" t="s">
        <v>173</v>
      </c>
      <c r="C27" s="4" t="s">
        <v>174</v>
      </c>
      <c r="D27" s="4" t="s">
        <v>175</v>
      </c>
      <c r="E27" s="5">
        <v>72801</v>
      </c>
      <c r="F27" s="6">
        <v>184.22293049999999</v>
      </c>
      <c r="G27" s="7">
        <v>1.5964676000000001E-2</v>
      </c>
      <c r="H27" s="69"/>
    </row>
    <row r="28" spans="1:8" x14ac:dyDescent="0.2">
      <c r="A28" s="3">
        <v>22</v>
      </c>
      <c r="B28" s="4" t="s">
        <v>41</v>
      </c>
      <c r="C28" s="4" t="s">
        <v>42</v>
      </c>
      <c r="D28" s="4" t="s">
        <v>27</v>
      </c>
      <c r="E28" s="5">
        <v>14186</v>
      </c>
      <c r="F28" s="6">
        <v>176.18302700000001</v>
      </c>
      <c r="G28" s="7">
        <v>1.5267942E-2</v>
      </c>
      <c r="H28" s="69"/>
    </row>
    <row r="29" spans="1:8" x14ac:dyDescent="0.2">
      <c r="A29" s="3">
        <v>23</v>
      </c>
      <c r="B29" s="4" t="s">
        <v>301</v>
      </c>
      <c r="C29" s="4" t="s">
        <v>302</v>
      </c>
      <c r="D29" s="4" t="s">
        <v>27</v>
      </c>
      <c r="E29" s="5">
        <v>23981</v>
      </c>
      <c r="F29" s="6">
        <v>162.447294</v>
      </c>
      <c r="G29" s="7">
        <v>1.4077609E-2</v>
      </c>
      <c r="H29" s="69"/>
    </row>
    <row r="30" spans="1:8" x14ac:dyDescent="0.2">
      <c r="A30" s="3">
        <v>24</v>
      </c>
      <c r="B30" s="4" t="s">
        <v>185</v>
      </c>
      <c r="C30" s="4" t="s">
        <v>186</v>
      </c>
      <c r="D30" s="4" t="s">
        <v>16</v>
      </c>
      <c r="E30" s="5">
        <v>53872</v>
      </c>
      <c r="F30" s="6">
        <v>158.97627199999999</v>
      </c>
      <c r="G30" s="7">
        <v>1.3776811999999999E-2</v>
      </c>
      <c r="H30" s="69"/>
    </row>
    <row r="31" spans="1:8" x14ac:dyDescent="0.2">
      <c r="A31" s="3">
        <v>25</v>
      </c>
      <c r="B31" s="4" t="s">
        <v>196</v>
      </c>
      <c r="C31" s="4" t="s">
        <v>197</v>
      </c>
      <c r="D31" s="4" t="s">
        <v>144</v>
      </c>
      <c r="E31" s="5">
        <v>12112</v>
      </c>
      <c r="F31" s="6">
        <v>156.73533599999999</v>
      </c>
      <c r="G31" s="7">
        <v>1.3582614E-2</v>
      </c>
      <c r="H31" s="69"/>
    </row>
    <row r="32" spans="1:8" x14ac:dyDescent="0.2">
      <c r="A32" s="3">
        <v>26</v>
      </c>
      <c r="B32" s="4" t="s">
        <v>283</v>
      </c>
      <c r="C32" s="4" t="s">
        <v>284</v>
      </c>
      <c r="D32" s="4" t="s">
        <v>32</v>
      </c>
      <c r="E32" s="5">
        <v>40089</v>
      </c>
      <c r="F32" s="6">
        <v>155.70567600000001</v>
      </c>
      <c r="G32" s="7">
        <v>1.3493384000000001E-2</v>
      </c>
      <c r="H32" s="69"/>
    </row>
    <row r="33" spans="1:8" x14ac:dyDescent="0.2">
      <c r="A33" s="3">
        <v>27</v>
      </c>
      <c r="B33" s="4" t="s">
        <v>181</v>
      </c>
      <c r="C33" s="4" t="s">
        <v>182</v>
      </c>
      <c r="D33" s="4" t="s">
        <v>155</v>
      </c>
      <c r="E33" s="5">
        <v>15313</v>
      </c>
      <c r="F33" s="6">
        <v>155.03646850000001</v>
      </c>
      <c r="G33" s="7">
        <v>1.343539E-2</v>
      </c>
      <c r="H33" s="69"/>
    </row>
    <row r="34" spans="1:8" x14ac:dyDescent="0.2">
      <c r="A34" s="3">
        <v>28</v>
      </c>
      <c r="B34" s="4" t="s">
        <v>183</v>
      </c>
      <c r="C34" s="4" t="s">
        <v>184</v>
      </c>
      <c r="D34" s="4" t="s">
        <v>75</v>
      </c>
      <c r="E34" s="5">
        <v>16226</v>
      </c>
      <c r="F34" s="6">
        <v>154.39039</v>
      </c>
      <c r="G34" s="7">
        <v>1.3379402E-2</v>
      </c>
      <c r="H34" s="69"/>
    </row>
    <row r="35" spans="1:8" ht="25.5" x14ac:dyDescent="0.2">
      <c r="A35" s="3">
        <v>29</v>
      </c>
      <c r="B35" s="4" t="s">
        <v>218</v>
      </c>
      <c r="C35" s="4" t="s">
        <v>869</v>
      </c>
      <c r="D35" s="4" t="s">
        <v>45</v>
      </c>
      <c r="E35" s="5">
        <v>72461</v>
      </c>
      <c r="F35" s="6">
        <v>150.64641900000001</v>
      </c>
      <c r="G35" s="7">
        <v>1.3054951E-2</v>
      </c>
      <c r="H35" s="69"/>
    </row>
    <row r="36" spans="1:8" x14ac:dyDescent="0.2">
      <c r="A36" s="3">
        <v>30</v>
      </c>
      <c r="B36" s="4" t="s">
        <v>191</v>
      </c>
      <c r="C36" s="4" t="s">
        <v>192</v>
      </c>
      <c r="D36" s="4" t="s">
        <v>53</v>
      </c>
      <c r="E36" s="5">
        <v>152329</v>
      </c>
      <c r="F36" s="6">
        <v>146.54049800000001</v>
      </c>
      <c r="G36" s="7">
        <v>1.2699133E-2</v>
      </c>
      <c r="H36" s="69"/>
    </row>
    <row r="37" spans="1:8" x14ac:dyDescent="0.2">
      <c r="A37" s="3">
        <v>31</v>
      </c>
      <c r="B37" s="4" t="s">
        <v>193</v>
      </c>
      <c r="C37" s="4" t="s">
        <v>194</v>
      </c>
      <c r="D37" s="4" t="s">
        <v>195</v>
      </c>
      <c r="E37" s="5">
        <v>30419</v>
      </c>
      <c r="F37" s="6">
        <v>146.28497100000001</v>
      </c>
      <c r="G37" s="7">
        <v>1.2676990000000001E-2</v>
      </c>
      <c r="H37" s="69"/>
    </row>
    <row r="38" spans="1:8" ht="25.5" x14ac:dyDescent="0.2">
      <c r="A38" s="3">
        <v>32</v>
      </c>
      <c r="B38" s="4" t="s">
        <v>189</v>
      </c>
      <c r="C38" s="4" t="s">
        <v>190</v>
      </c>
      <c r="D38" s="4" t="s">
        <v>974</v>
      </c>
      <c r="E38" s="5">
        <v>66035</v>
      </c>
      <c r="F38" s="6">
        <v>145.73924500000001</v>
      </c>
      <c r="G38" s="7">
        <v>1.2629697E-2</v>
      </c>
      <c r="H38" s="69"/>
    </row>
    <row r="39" spans="1:8" x14ac:dyDescent="0.2">
      <c r="A39" s="3">
        <v>33</v>
      </c>
      <c r="B39" s="4" t="s">
        <v>198</v>
      </c>
      <c r="C39" s="4" t="s">
        <v>199</v>
      </c>
      <c r="D39" s="4" t="s">
        <v>78</v>
      </c>
      <c r="E39" s="5">
        <v>24381</v>
      </c>
      <c r="F39" s="6">
        <v>143.87228099999999</v>
      </c>
      <c r="G39" s="7">
        <v>1.2467907E-2</v>
      </c>
      <c r="H39" s="69"/>
    </row>
    <row r="40" spans="1:8" x14ac:dyDescent="0.2">
      <c r="A40" s="3">
        <v>34</v>
      </c>
      <c r="B40" s="4" t="s">
        <v>187</v>
      </c>
      <c r="C40" s="4" t="s">
        <v>188</v>
      </c>
      <c r="D40" s="4" t="s">
        <v>978</v>
      </c>
      <c r="E40" s="5">
        <v>16000</v>
      </c>
      <c r="F40" s="6">
        <v>142.98400000000001</v>
      </c>
      <c r="G40" s="7">
        <v>1.2390929E-2</v>
      </c>
      <c r="H40" s="69"/>
    </row>
    <row r="41" spans="1:8" x14ac:dyDescent="0.2">
      <c r="A41" s="3">
        <v>35</v>
      </c>
      <c r="B41" s="4" t="s">
        <v>200</v>
      </c>
      <c r="C41" s="4" t="s">
        <v>201</v>
      </c>
      <c r="D41" s="4" t="s">
        <v>27</v>
      </c>
      <c r="E41" s="5">
        <v>7016</v>
      </c>
      <c r="F41" s="6">
        <v>141.78634400000001</v>
      </c>
      <c r="G41" s="7">
        <v>1.2287141E-2</v>
      </c>
      <c r="H41" s="69"/>
    </row>
    <row r="42" spans="1:8" x14ac:dyDescent="0.2">
      <c r="A42" s="3">
        <v>36</v>
      </c>
      <c r="B42" s="4" t="s">
        <v>202</v>
      </c>
      <c r="C42" s="4" t="s">
        <v>203</v>
      </c>
      <c r="D42" s="4" t="s">
        <v>204</v>
      </c>
      <c r="E42" s="5">
        <v>35139</v>
      </c>
      <c r="F42" s="6">
        <v>136.40959799999999</v>
      </c>
      <c r="G42" s="7">
        <v>1.1821194E-2</v>
      </c>
      <c r="H42" s="69"/>
    </row>
    <row r="43" spans="1:8" ht="25.5" x14ac:dyDescent="0.2">
      <c r="A43" s="3">
        <v>37</v>
      </c>
      <c r="B43" s="4" t="s">
        <v>205</v>
      </c>
      <c r="C43" s="4" t="s">
        <v>206</v>
      </c>
      <c r="D43" s="4" t="s">
        <v>207</v>
      </c>
      <c r="E43" s="5">
        <v>31242</v>
      </c>
      <c r="F43" s="6">
        <v>133.37209799999999</v>
      </c>
      <c r="G43" s="7">
        <v>1.1557965999999999E-2</v>
      </c>
      <c r="H43" s="69"/>
    </row>
    <row r="44" spans="1:8" x14ac:dyDescent="0.2">
      <c r="A44" s="3">
        <v>38</v>
      </c>
      <c r="B44" s="4" t="s">
        <v>208</v>
      </c>
      <c r="C44" s="4" t="s">
        <v>209</v>
      </c>
      <c r="D44" s="4" t="s">
        <v>78</v>
      </c>
      <c r="E44" s="5">
        <v>264030</v>
      </c>
      <c r="F44" s="6">
        <v>132.54306</v>
      </c>
      <c r="G44" s="7">
        <v>1.1486122E-2</v>
      </c>
      <c r="H44" s="69"/>
    </row>
    <row r="45" spans="1:8" x14ac:dyDescent="0.2">
      <c r="A45" s="3">
        <v>39</v>
      </c>
      <c r="B45" s="4" t="s">
        <v>210</v>
      </c>
      <c r="C45" s="4" t="s">
        <v>211</v>
      </c>
      <c r="D45" s="4" t="s">
        <v>53</v>
      </c>
      <c r="E45" s="5">
        <v>13938</v>
      </c>
      <c r="F45" s="6">
        <v>132.111333</v>
      </c>
      <c r="G45" s="7">
        <v>1.1448709E-2</v>
      </c>
      <c r="H45" s="69"/>
    </row>
    <row r="46" spans="1:8" x14ac:dyDescent="0.2">
      <c r="A46" s="3">
        <v>40</v>
      </c>
      <c r="B46" s="4" t="s">
        <v>219</v>
      </c>
      <c r="C46" s="4" t="s">
        <v>220</v>
      </c>
      <c r="D46" s="4" t="s">
        <v>221</v>
      </c>
      <c r="E46" s="5">
        <v>61316</v>
      </c>
      <c r="F46" s="6">
        <v>129.00886399999999</v>
      </c>
      <c r="G46" s="7">
        <v>1.117985E-2</v>
      </c>
      <c r="H46" s="69"/>
    </row>
    <row r="47" spans="1:8" x14ac:dyDescent="0.2">
      <c r="A47" s="3">
        <v>41</v>
      </c>
      <c r="B47" s="4" t="s">
        <v>212</v>
      </c>
      <c r="C47" s="4" t="s">
        <v>213</v>
      </c>
      <c r="D47" s="4" t="s">
        <v>979</v>
      </c>
      <c r="E47" s="5">
        <v>23112</v>
      </c>
      <c r="F47" s="6">
        <v>126.76931999999999</v>
      </c>
      <c r="G47" s="7">
        <v>1.0985772E-2</v>
      </c>
      <c r="H47" s="69"/>
    </row>
    <row r="48" spans="1:8" x14ac:dyDescent="0.2">
      <c r="A48" s="3">
        <v>42</v>
      </c>
      <c r="B48" s="4" t="s">
        <v>214</v>
      </c>
      <c r="C48" s="4" t="s">
        <v>215</v>
      </c>
      <c r="D48" s="4" t="s">
        <v>979</v>
      </c>
      <c r="E48" s="5">
        <v>12396</v>
      </c>
      <c r="F48" s="6">
        <v>126.482586</v>
      </c>
      <c r="G48" s="7">
        <v>1.0960924E-2</v>
      </c>
      <c r="H48" s="69"/>
    </row>
    <row r="49" spans="1:8" ht="25.5" x14ac:dyDescent="0.2">
      <c r="A49" s="3">
        <v>43</v>
      </c>
      <c r="B49" s="4" t="s">
        <v>222</v>
      </c>
      <c r="C49" s="4" t="s">
        <v>223</v>
      </c>
      <c r="D49" s="4" t="s">
        <v>207</v>
      </c>
      <c r="E49" s="5">
        <v>24808</v>
      </c>
      <c r="F49" s="6">
        <v>115.716916</v>
      </c>
      <c r="G49" s="7">
        <v>1.0027975999999999E-2</v>
      </c>
      <c r="H49" s="69"/>
    </row>
    <row r="50" spans="1:8" x14ac:dyDescent="0.2">
      <c r="A50" s="3">
        <v>44</v>
      </c>
      <c r="B50" s="4" t="s">
        <v>295</v>
      </c>
      <c r="C50" s="4" t="s">
        <v>296</v>
      </c>
      <c r="D50" s="4" t="s">
        <v>27</v>
      </c>
      <c r="E50" s="5">
        <v>9688</v>
      </c>
      <c r="F50" s="6">
        <v>113.756496</v>
      </c>
      <c r="G50" s="7">
        <v>9.8580869999999998E-3</v>
      </c>
      <c r="H50" s="69"/>
    </row>
    <row r="51" spans="1:8" x14ac:dyDescent="0.2">
      <c r="A51" s="3">
        <v>45</v>
      </c>
      <c r="B51" s="4" t="s">
        <v>227</v>
      </c>
      <c r="C51" s="4" t="s">
        <v>228</v>
      </c>
      <c r="D51" s="4" t="s">
        <v>976</v>
      </c>
      <c r="E51" s="5">
        <v>6955</v>
      </c>
      <c r="F51" s="6">
        <v>111.2139275</v>
      </c>
      <c r="G51" s="7">
        <v>9.6377489999999993E-3</v>
      </c>
      <c r="H51" s="69"/>
    </row>
    <row r="52" spans="1:8" x14ac:dyDescent="0.2">
      <c r="A52" s="3">
        <v>46</v>
      </c>
      <c r="B52" s="4" t="s">
        <v>171</v>
      </c>
      <c r="C52" s="4" t="s">
        <v>172</v>
      </c>
      <c r="D52" s="4" t="s">
        <v>977</v>
      </c>
      <c r="E52" s="5">
        <v>45236</v>
      </c>
      <c r="F52" s="6">
        <v>109.765154</v>
      </c>
      <c r="G52" s="7">
        <v>9.5121990000000007E-3</v>
      </c>
      <c r="H52" s="69"/>
    </row>
    <row r="53" spans="1:8" x14ac:dyDescent="0.2">
      <c r="A53" s="3">
        <v>47</v>
      </c>
      <c r="B53" s="4" t="s">
        <v>225</v>
      </c>
      <c r="C53" s="4" t="s">
        <v>226</v>
      </c>
      <c r="D53" s="4" t="s">
        <v>204</v>
      </c>
      <c r="E53" s="5">
        <v>21308</v>
      </c>
      <c r="F53" s="6">
        <v>108.38314200000001</v>
      </c>
      <c r="G53" s="7">
        <v>9.3924339999999999E-3</v>
      </c>
      <c r="H53" s="69"/>
    </row>
    <row r="54" spans="1:8" ht="25.5" x14ac:dyDescent="0.2">
      <c r="A54" s="3">
        <v>48</v>
      </c>
      <c r="B54" s="4" t="s">
        <v>231</v>
      </c>
      <c r="C54" s="4" t="s">
        <v>232</v>
      </c>
      <c r="D54" s="4" t="s">
        <v>144</v>
      </c>
      <c r="E54" s="5">
        <v>24937</v>
      </c>
      <c r="F54" s="6">
        <v>105.91990749999999</v>
      </c>
      <c r="G54" s="7">
        <v>9.1789709999999993E-3</v>
      </c>
      <c r="H54" s="69"/>
    </row>
    <row r="55" spans="1:8" ht="25.5" x14ac:dyDescent="0.2">
      <c r="A55" s="3">
        <v>49</v>
      </c>
      <c r="B55" s="4" t="s">
        <v>233</v>
      </c>
      <c r="C55" s="4" t="s">
        <v>234</v>
      </c>
      <c r="D55" s="4" t="s">
        <v>207</v>
      </c>
      <c r="E55" s="5">
        <v>25988</v>
      </c>
      <c r="F55" s="6">
        <v>104.952538</v>
      </c>
      <c r="G55" s="7">
        <v>9.0951399999999998E-3</v>
      </c>
      <c r="H55" s="69"/>
    </row>
    <row r="56" spans="1:8" x14ac:dyDescent="0.2">
      <c r="A56" s="3">
        <v>50</v>
      </c>
      <c r="B56" s="4" t="s">
        <v>287</v>
      </c>
      <c r="C56" s="4" t="s">
        <v>288</v>
      </c>
      <c r="D56" s="4" t="s">
        <v>334</v>
      </c>
      <c r="E56" s="5">
        <v>4224</v>
      </c>
      <c r="F56" s="6">
        <v>103.084608</v>
      </c>
      <c r="G56" s="7">
        <v>8.9332660000000005E-3</v>
      </c>
      <c r="H56" s="69"/>
    </row>
    <row r="57" spans="1:8" x14ac:dyDescent="0.2">
      <c r="A57" s="3">
        <v>51</v>
      </c>
      <c r="B57" s="4" t="s">
        <v>235</v>
      </c>
      <c r="C57" s="4" t="s">
        <v>236</v>
      </c>
      <c r="D57" s="4" t="s">
        <v>160</v>
      </c>
      <c r="E57" s="5">
        <v>27074</v>
      </c>
      <c r="F57" s="6">
        <v>101.649333</v>
      </c>
      <c r="G57" s="7">
        <v>8.8088850000000007E-3</v>
      </c>
      <c r="H57" s="69"/>
    </row>
    <row r="58" spans="1:8" x14ac:dyDescent="0.2">
      <c r="A58" s="3">
        <v>52</v>
      </c>
      <c r="B58" s="4" t="s">
        <v>247</v>
      </c>
      <c r="C58" s="4" t="s">
        <v>248</v>
      </c>
      <c r="D58" s="4" t="s">
        <v>75</v>
      </c>
      <c r="E58" s="5">
        <v>40563</v>
      </c>
      <c r="F58" s="6">
        <v>101.2655295</v>
      </c>
      <c r="G58" s="7">
        <v>8.7756250000000004E-3</v>
      </c>
      <c r="H58" s="69"/>
    </row>
    <row r="59" spans="1:8" ht="25.5" x14ac:dyDescent="0.2">
      <c r="A59" s="3">
        <v>53</v>
      </c>
      <c r="B59" s="4" t="s">
        <v>239</v>
      </c>
      <c r="C59" s="4" t="s">
        <v>240</v>
      </c>
      <c r="D59" s="4" t="s">
        <v>980</v>
      </c>
      <c r="E59" s="5">
        <v>100256</v>
      </c>
      <c r="F59" s="6">
        <v>100.356256</v>
      </c>
      <c r="G59" s="7">
        <v>8.6968280000000002E-3</v>
      </c>
      <c r="H59" s="69"/>
    </row>
    <row r="60" spans="1:8" x14ac:dyDescent="0.2">
      <c r="A60" s="3">
        <v>54</v>
      </c>
      <c r="B60" s="4" t="s">
        <v>237</v>
      </c>
      <c r="C60" s="4" t="s">
        <v>238</v>
      </c>
      <c r="D60" s="4" t="s">
        <v>204</v>
      </c>
      <c r="E60" s="5">
        <v>5980</v>
      </c>
      <c r="F60" s="6">
        <v>97.994259999999997</v>
      </c>
      <c r="G60" s="7">
        <v>8.4921379999999998E-3</v>
      </c>
      <c r="H60" s="69"/>
    </row>
    <row r="61" spans="1:8" x14ac:dyDescent="0.2">
      <c r="A61" s="3">
        <v>55</v>
      </c>
      <c r="B61" s="4" t="s">
        <v>264</v>
      </c>
      <c r="C61" s="4" t="s">
        <v>265</v>
      </c>
      <c r="D61" s="4" t="s">
        <v>65</v>
      </c>
      <c r="E61" s="5">
        <v>42614</v>
      </c>
      <c r="F61" s="6">
        <v>95.348825000000005</v>
      </c>
      <c r="G61" s="7">
        <v>8.2628860000000005E-3</v>
      </c>
      <c r="H61" s="69"/>
    </row>
    <row r="62" spans="1:8" x14ac:dyDescent="0.2">
      <c r="A62" s="3">
        <v>56</v>
      </c>
      <c r="B62" s="4" t="s">
        <v>303</v>
      </c>
      <c r="C62" s="4" t="s">
        <v>304</v>
      </c>
      <c r="D62" s="4" t="s">
        <v>979</v>
      </c>
      <c r="E62" s="5">
        <v>270455</v>
      </c>
      <c r="F62" s="6">
        <v>93.983112500000004</v>
      </c>
      <c r="G62" s="7">
        <v>8.1445340000000001E-3</v>
      </c>
      <c r="H62" s="69"/>
    </row>
    <row r="63" spans="1:8" x14ac:dyDescent="0.2">
      <c r="A63" s="3">
        <v>57</v>
      </c>
      <c r="B63" s="4" t="s">
        <v>73</v>
      </c>
      <c r="C63" s="4" t="s">
        <v>74</v>
      </c>
      <c r="D63" s="4" t="s">
        <v>75</v>
      </c>
      <c r="E63" s="5">
        <v>3000</v>
      </c>
      <c r="F63" s="6">
        <v>90.883499999999998</v>
      </c>
      <c r="G63" s="7">
        <v>7.875923E-3</v>
      </c>
      <c r="H63" s="69"/>
    </row>
    <row r="64" spans="1:8" x14ac:dyDescent="0.2">
      <c r="A64" s="3">
        <v>58</v>
      </c>
      <c r="B64" s="4" t="s">
        <v>241</v>
      </c>
      <c r="C64" s="4" t="s">
        <v>242</v>
      </c>
      <c r="D64" s="4" t="s">
        <v>155</v>
      </c>
      <c r="E64" s="5">
        <v>7480</v>
      </c>
      <c r="F64" s="6">
        <v>90.175139999999999</v>
      </c>
      <c r="G64" s="7">
        <v>7.8145369999999999E-3</v>
      </c>
      <c r="H64" s="69"/>
    </row>
    <row r="65" spans="1:8" x14ac:dyDescent="0.2">
      <c r="A65" s="3">
        <v>59</v>
      </c>
      <c r="B65" s="4" t="s">
        <v>243</v>
      </c>
      <c r="C65" s="4" t="s">
        <v>244</v>
      </c>
      <c r="D65" s="4" t="s">
        <v>204</v>
      </c>
      <c r="E65" s="5">
        <v>18233</v>
      </c>
      <c r="F65" s="6">
        <v>88.730894500000005</v>
      </c>
      <c r="G65" s="7">
        <v>7.6893789999999997E-3</v>
      </c>
      <c r="H65" s="69"/>
    </row>
    <row r="66" spans="1:8" x14ac:dyDescent="0.2">
      <c r="A66" s="3">
        <v>60</v>
      </c>
      <c r="B66" s="4" t="s">
        <v>285</v>
      </c>
      <c r="C66" s="4" t="s">
        <v>286</v>
      </c>
      <c r="D66" s="4" t="s">
        <v>160</v>
      </c>
      <c r="E66" s="5">
        <v>13025</v>
      </c>
      <c r="F66" s="6">
        <v>88.211812499999994</v>
      </c>
      <c r="G66" s="7">
        <v>7.6443960000000004E-3</v>
      </c>
      <c r="H66" s="69"/>
    </row>
    <row r="67" spans="1:8" ht="25.5" x14ac:dyDescent="0.2">
      <c r="A67" s="3">
        <v>61</v>
      </c>
      <c r="B67" s="4" t="s">
        <v>229</v>
      </c>
      <c r="C67" s="4" t="s">
        <v>230</v>
      </c>
      <c r="D67" s="4" t="s">
        <v>75</v>
      </c>
      <c r="E67" s="5">
        <v>4600</v>
      </c>
      <c r="F67" s="6">
        <v>87.333299999999994</v>
      </c>
      <c r="G67" s="7">
        <v>7.5682639999999999E-3</v>
      </c>
      <c r="H67" s="69"/>
    </row>
    <row r="68" spans="1:8" x14ac:dyDescent="0.2">
      <c r="A68" s="3">
        <v>62</v>
      </c>
      <c r="B68" s="4" t="s">
        <v>245</v>
      </c>
      <c r="C68" s="4" t="s">
        <v>246</v>
      </c>
      <c r="D68" s="4" t="s">
        <v>32</v>
      </c>
      <c r="E68" s="5">
        <v>76703</v>
      </c>
      <c r="F68" s="6">
        <v>85.063626999999997</v>
      </c>
      <c r="G68" s="7">
        <v>7.3715760000000003E-3</v>
      </c>
      <c r="H68" s="69"/>
    </row>
    <row r="69" spans="1:8" x14ac:dyDescent="0.2">
      <c r="A69" s="3">
        <v>63</v>
      </c>
      <c r="B69" s="4" t="s">
        <v>249</v>
      </c>
      <c r="C69" s="4" t="s">
        <v>250</v>
      </c>
      <c r="D69" s="4" t="s">
        <v>334</v>
      </c>
      <c r="E69" s="5">
        <v>9171</v>
      </c>
      <c r="F69" s="6">
        <v>84.290661</v>
      </c>
      <c r="G69" s="7">
        <v>7.304591E-3</v>
      </c>
      <c r="H69" s="69"/>
    </row>
    <row r="70" spans="1:8" x14ac:dyDescent="0.2">
      <c r="A70" s="3">
        <v>64</v>
      </c>
      <c r="B70" s="4" t="s">
        <v>280</v>
      </c>
      <c r="C70" s="4" t="s">
        <v>281</v>
      </c>
      <c r="D70" s="4" t="s">
        <v>175</v>
      </c>
      <c r="E70" s="5">
        <v>11772</v>
      </c>
      <c r="F70" s="6">
        <v>82.103814</v>
      </c>
      <c r="G70" s="7">
        <v>7.1150789999999998E-3</v>
      </c>
      <c r="H70" s="69"/>
    </row>
    <row r="71" spans="1:8" x14ac:dyDescent="0.2">
      <c r="A71" s="3">
        <v>65</v>
      </c>
      <c r="B71" s="4" t="s">
        <v>253</v>
      </c>
      <c r="C71" s="4" t="s">
        <v>254</v>
      </c>
      <c r="D71" s="4" t="s">
        <v>65</v>
      </c>
      <c r="E71" s="5">
        <v>8427</v>
      </c>
      <c r="F71" s="6">
        <v>72.050849999999997</v>
      </c>
      <c r="G71" s="7">
        <v>6.2438939999999998E-3</v>
      </c>
      <c r="H71" s="69"/>
    </row>
    <row r="72" spans="1:8" x14ac:dyDescent="0.2">
      <c r="A72" s="3">
        <v>66</v>
      </c>
      <c r="B72" s="4" t="s">
        <v>251</v>
      </c>
      <c r="C72" s="4" t="s">
        <v>252</v>
      </c>
      <c r="D72" s="4" t="s">
        <v>160</v>
      </c>
      <c r="E72" s="5">
        <v>12261</v>
      </c>
      <c r="F72" s="6">
        <v>71.297714999999997</v>
      </c>
      <c r="G72" s="7">
        <v>6.1786280000000002E-3</v>
      </c>
      <c r="H72" s="69"/>
    </row>
    <row r="73" spans="1:8" x14ac:dyDescent="0.2">
      <c r="A73" s="3">
        <v>67</v>
      </c>
      <c r="B73" s="4" t="s">
        <v>260</v>
      </c>
      <c r="C73" s="4" t="s">
        <v>261</v>
      </c>
      <c r="D73" s="4" t="s">
        <v>204</v>
      </c>
      <c r="E73" s="5">
        <v>1256</v>
      </c>
      <c r="F73" s="6">
        <v>66.878231999999997</v>
      </c>
      <c r="G73" s="7">
        <v>5.7956370000000002E-3</v>
      </c>
      <c r="H73" s="69"/>
    </row>
    <row r="74" spans="1:8" x14ac:dyDescent="0.2">
      <c r="A74" s="3">
        <v>68</v>
      </c>
      <c r="B74" s="4" t="s">
        <v>255</v>
      </c>
      <c r="C74" s="4" t="s">
        <v>256</v>
      </c>
      <c r="D74" s="4" t="s">
        <v>257</v>
      </c>
      <c r="E74" s="5">
        <v>29657</v>
      </c>
      <c r="F74" s="6">
        <v>65.957167999999996</v>
      </c>
      <c r="G74" s="7">
        <v>5.7158180000000001E-3</v>
      </c>
      <c r="H74" s="69"/>
    </row>
    <row r="75" spans="1:8" x14ac:dyDescent="0.2">
      <c r="A75" s="3">
        <v>69</v>
      </c>
      <c r="B75" s="4" t="s">
        <v>262</v>
      </c>
      <c r="C75" s="4" t="s">
        <v>263</v>
      </c>
      <c r="D75" s="4" t="s">
        <v>22</v>
      </c>
      <c r="E75" s="5">
        <v>71994</v>
      </c>
      <c r="F75" s="6">
        <v>59.071077000000002</v>
      </c>
      <c r="G75" s="7">
        <v>5.119073E-3</v>
      </c>
      <c r="H75" s="69"/>
    </row>
    <row r="76" spans="1:8" x14ac:dyDescent="0.2">
      <c r="A76" s="3">
        <v>70</v>
      </c>
      <c r="B76" s="4" t="s">
        <v>270</v>
      </c>
      <c r="C76" s="4" t="s">
        <v>271</v>
      </c>
      <c r="D76" s="4" t="s">
        <v>144</v>
      </c>
      <c r="E76" s="5">
        <v>9829</v>
      </c>
      <c r="F76" s="6">
        <v>56.280853999999998</v>
      </c>
      <c r="G76" s="7">
        <v>4.8772729999999997E-3</v>
      </c>
      <c r="H76" s="69"/>
    </row>
    <row r="77" spans="1:8" x14ac:dyDescent="0.2">
      <c r="A77" s="3">
        <v>71</v>
      </c>
      <c r="B77" s="4" t="s">
        <v>258</v>
      </c>
      <c r="C77" s="4" t="s">
        <v>259</v>
      </c>
      <c r="D77" s="4" t="s">
        <v>979</v>
      </c>
      <c r="E77" s="5">
        <v>42305</v>
      </c>
      <c r="F77" s="6">
        <v>54.594602500000001</v>
      </c>
      <c r="G77" s="7">
        <v>4.7311439999999996E-3</v>
      </c>
      <c r="H77" s="69"/>
    </row>
    <row r="78" spans="1:8" x14ac:dyDescent="0.2">
      <c r="A78" s="3">
        <v>72</v>
      </c>
      <c r="B78" s="4" t="s">
        <v>272</v>
      </c>
      <c r="C78" s="4" t="s">
        <v>273</v>
      </c>
      <c r="D78" s="4" t="s">
        <v>75</v>
      </c>
      <c r="E78" s="5">
        <v>41400</v>
      </c>
      <c r="F78" s="6">
        <v>51.998399999999997</v>
      </c>
      <c r="G78" s="7">
        <v>4.5061579999999997E-3</v>
      </c>
      <c r="H78" s="69"/>
    </row>
    <row r="79" spans="1:8" x14ac:dyDescent="0.2">
      <c r="A79" s="3">
        <v>73</v>
      </c>
      <c r="B79" s="4" t="s">
        <v>274</v>
      </c>
      <c r="C79" s="4" t="s">
        <v>275</v>
      </c>
      <c r="D79" s="4" t="s">
        <v>155</v>
      </c>
      <c r="E79" s="5">
        <v>11841</v>
      </c>
      <c r="F79" s="6">
        <v>45.0727665</v>
      </c>
      <c r="G79" s="7">
        <v>3.9059860000000002E-3</v>
      </c>
      <c r="H79" s="69"/>
    </row>
    <row r="80" spans="1:8" x14ac:dyDescent="0.2">
      <c r="A80" s="3">
        <v>74</v>
      </c>
      <c r="B80" s="4" t="s">
        <v>276</v>
      </c>
      <c r="C80" s="4" t="s">
        <v>277</v>
      </c>
      <c r="D80" t="s">
        <v>204</v>
      </c>
      <c r="E80" s="5">
        <v>14986</v>
      </c>
      <c r="F80" s="6">
        <v>42.447845000000001</v>
      </c>
      <c r="G80" s="7">
        <v>3.6785110000000002E-3</v>
      </c>
      <c r="H80" s="69"/>
    </row>
    <row r="81" spans="1:8" x14ac:dyDescent="0.2">
      <c r="A81" s="3">
        <v>75</v>
      </c>
      <c r="B81" s="4" t="s">
        <v>51</v>
      </c>
      <c r="C81" s="4" t="s">
        <v>52</v>
      </c>
      <c r="D81" s="4" t="s">
        <v>53</v>
      </c>
      <c r="E81" s="5">
        <v>24117</v>
      </c>
      <c r="F81" s="6">
        <v>40.854197999999997</v>
      </c>
      <c r="G81" s="7">
        <v>3.5404059999999998E-3</v>
      </c>
      <c r="H81" s="69"/>
    </row>
    <row r="82" spans="1:8" ht="25.5" x14ac:dyDescent="0.2">
      <c r="A82" s="3">
        <v>76</v>
      </c>
      <c r="B82" s="4" t="s">
        <v>291</v>
      </c>
      <c r="C82" s="4" t="s">
        <v>292</v>
      </c>
      <c r="D82" s="4" t="s">
        <v>45</v>
      </c>
      <c r="E82" s="5">
        <v>6556</v>
      </c>
      <c r="F82" s="6">
        <v>36.117004000000001</v>
      </c>
      <c r="G82" s="7">
        <v>3.129883E-3</v>
      </c>
      <c r="H82" s="69"/>
    </row>
    <row r="83" spans="1:8" x14ac:dyDescent="0.2">
      <c r="A83" s="3">
        <v>77</v>
      </c>
      <c r="B83" s="4" t="s">
        <v>278</v>
      </c>
      <c r="C83" s="4" t="s">
        <v>279</v>
      </c>
      <c r="D83" t="s">
        <v>144</v>
      </c>
      <c r="E83" s="5">
        <v>3329</v>
      </c>
      <c r="F83" s="6">
        <v>33.572965000000003</v>
      </c>
      <c r="G83" s="7">
        <v>2.909418E-3</v>
      </c>
      <c r="H83" s="69"/>
    </row>
    <row r="84" spans="1:8" x14ac:dyDescent="0.2">
      <c r="A84" s="3">
        <v>78</v>
      </c>
      <c r="B84" s="4" t="s">
        <v>289</v>
      </c>
      <c r="C84" s="4" t="s">
        <v>290</v>
      </c>
      <c r="D84" s="4" t="s">
        <v>27</v>
      </c>
      <c r="E84" s="5">
        <v>34</v>
      </c>
      <c r="F84" s="6">
        <v>0.11520900000000001</v>
      </c>
      <c r="G84" s="8" t="s">
        <v>94</v>
      </c>
      <c r="H84" s="69"/>
    </row>
    <row r="85" spans="1:8" x14ac:dyDescent="0.2">
      <c r="A85" s="1"/>
      <c r="B85" s="1"/>
      <c r="C85" s="2" t="s">
        <v>95</v>
      </c>
      <c r="D85" s="1"/>
      <c r="E85" s="1" t="s">
        <v>96</v>
      </c>
      <c r="F85" s="9">
        <v>11092.951937</v>
      </c>
      <c r="G85" s="10">
        <v>0.96131021400000005</v>
      </c>
      <c r="H85" s="69"/>
    </row>
    <row r="86" spans="1:8" x14ac:dyDescent="0.2">
      <c r="A86" s="1"/>
      <c r="B86" s="1"/>
      <c r="C86" s="11"/>
      <c r="D86" s="1"/>
      <c r="E86" s="1"/>
      <c r="F86" s="12"/>
      <c r="G86" s="12"/>
      <c r="H86" s="69"/>
    </row>
    <row r="87" spans="1:8" x14ac:dyDescent="0.2">
      <c r="A87" s="1"/>
      <c r="B87" s="1"/>
      <c r="C87" s="2" t="s">
        <v>97</v>
      </c>
      <c r="D87" s="1"/>
      <c r="E87" s="1"/>
      <c r="F87" s="1"/>
      <c r="G87" s="1"/>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98</v>
      </c>
      <c r="D90" s="1"/>
      <c r="E90" s="1"/>
      <c r="F90" s="1"/>
      <c r="G90" s="1"/>
      <c r="H90" s="69"/>
    </row>
    <row r="91" spans="1:8" x14ac:dyDescent="0.2">
      <c r="A91" s="1"/>
      <c r="B91" s="1"/>
      <c r="C91" s="2" t="s">
        <v>95</v>
      </c>
      <c r="D91" s="1"/>
      <c r="E91" s="1" t="s">
        <v>96</v>
      </c>
      <c r="F91" s="13">
        <v>0</v>
      </c>
      <c r="G91" s="14">
        <v>0</v>
      </c>
      <c r="H91" s="69"/>
    </row>
    <row r="92" spans="1:8" x14ac:dyDescent="0.2">
      <c r="A92" s="1"/>
      <c r="B92" s="1"/>
      <c r="C92" s="11"/>
      <c r="D92" s="1"/>
      <c r="E92" s="1"/>
      <c r="F92" s="12"/>
      <c r="G92" s="12"/>
      <c r="H92" s="69"/>
    </row>
    <row r="93" spans="1:8" x14ac:dyDescent="0.2">
      <c r="A93" s="1"/>
      <c r="B93" s="1"/>
      <c r="C93" s="2" t="s">
        <v>99</v>
      </c>
      <c r="D93" s="1"/>
      <c r="E93" s="1"/>
      <c r="F93" s="1"/>
      <c r="G93" s="1"/>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101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102</v>
      </c>
      <c r="D102" s="1"/>
      <c r="E102" s="1"/>
      <c r="F102" s="9">
        <v>11092.951937</v>
      </c>
      <c r="G102" s="10">
        <v>0.96131021400000005</v>
      </c>
      <c r="H102" s="69"/>
    </row>
    <row r="103" spans="1:8" x14ac:dyDescent="0.2">
      <c r="A103" s="1"/>
      <c r="B103" s="1"/>
      <c r="C103" s="11"/>
      <c r="D103" s="1"/>
      <c r="E103" s="1"/>
      <c r="F103" s="12"/>
      <c r="G103" s="12"/>
      <c r="H103" s="69"/>
    </row>
    <row r="104" spans="1:8" x14ac:dyDescent="0.2">
      <c r="A104" s="1"/>
      <c r="B104" s="1"/>
      <c r="C104" s="2" t="s">
        <v>103</v>
      </c>
      <c r="D104" s="1"/>
      <c r="E104" s="1"/>
      <c r="F104" s="12"/>
      <c r="G104" s="12"/>
      <c r="H104" s="69"/>
    </row>
    <row r="105" spans="1:8" ht="25.5" x14ac:dyDescent="0.2">
      <c r="A105" s="1"/>
      <c r="B105" s="1"/>
      <c r="C105" s="2" t="s">
        <v>10</v>
      </c>
      <c r="D105" s="1"/>
      <c r="E105" s="1"/>
      <c r="F105" s="12"/>
      <c r="G105" s="12"/>
      <c r="H105" s="69"/>
    </row>
    <row r="106" spans="1:8" x14ac:dyDescent="0.2">
      <c r="A106" s="1"/>
      <c r="B106" s="1"/>
      <c r="C106" s="2" t="s">
        <v>95</v>
      </c>
      <c r="D106" s="1"/>
      <c r="E106" s="1" t="s">
        <v>96</v>
      </c>
      <c r="F106" s="13">
        <v>0</v>
      </c>
      <c r="G106" s="14">
        <v>0</v>
      </c>
      <c r="H106" s="69"/>
    </row>
    <row r="107" spans="1:8" x14ac:dyDescent="0.2">
      <c r="A107" s="1"/>
      <c r="B107" s="1"/>
      <c r="C107" s="11"/>
      <c r="D107" s="1"/>
      <c r="E107" s="1"/>
      <c r="F107" s="12"/>
      <c r="G107" s="12"/>
      <c r="H107" s="69"/>
    </row>
    <row r="108" spans="1:8" x14ac:dyDescent="0.2">
      <c r="A108" s="1"/>
      <c r="B108" s="1"/>
      <c r="C108" s="2" t="s">
        <v>104</v>
      </c>
      <c r="D108" s="1"/>
      <c r="E108" s="1"/>
      <c r="F108" s="1"/>
      <c r="G108" s="1"/>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105</v>
      </c>
      <c r="D111" s="1"/>
      <c r="E111" s="1"/>
      <c r="F111" s="1"/>
      <c r="G111" s="1"/>
      <c r="H111" s="69"/>
    </row>
    <row r="112" spans="1:8" x14ac:dyDescent="0.2">
      <c r="A112" s="1"/>
      <c r="B112" s="1"/>
      <c r="C112" s="2" t="s">
        <v>95</v>
      </c>
      <c r="D112" s="1"/>
      <c r="E112" s="1" t="s">
        <v>96</v>
      </c>
      <c r="F112" s="13">
        <v>0</v>
      </c>
      <c r="G112" s="14">
        <v>0</v>
      </c>
      <c r="H112" s="69"/>
    </row>
    <row r="113" spans="1:8" x14ac:dyDescent="0.2">
      <c r="A113" s="1"/>
      <c r="B113" s="1"/>
      <c r="C113" s="11"/>
      <c r="D113" s="1"/>
      <c r="E113" s="1"/>
      <c r="F113" s="12"/>
      <c r="G113" s="12"/>
      <c r="H113" s="69"/>
    </row>
    <row r="114" spans="1:8" x14ac:dyDescent="0.2">
      <c r="A114" s="1"/>
      <c r="B114" s="1"/>
      <c r="C114" s="2" t="s">
        <v>106</v>
      </c>
      <c r="D114" s="1"/>
      <c r="E114" s="1"/>
      <c r="F114" s="12"/>
      <c r="G114" s="12"/>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2" t="s">
        <v>107</v>
      </c>
      <c r="D117" s="1"/>
      <c r="E117" s="1"/>
      <c r="F117" s="9">
        <v>0</v>
      </c>
      <c r="G117" s="10">
        <v>0</v>
      </c>
      <c r="H117" s="69"/>
    </row>
    <row r="118" spans="1:8" x14ac:dyDescent="0.2">
      <c r="A118" s="1"/>
      <c r="B118" s="1"/>
      <c r="C118" s="11"/>
      <c r="D118" s="1"/>
      <c r="E118" s="1"/>
      <c r="F118" s="12"/>
      <c r="G118" s="12"/>
      <c r="H118" s="69"/>
    </row>
    <row r="119" spans="1:8" x14ac:dyDescent="0.2">
      <c r="A119" s="1"/>
      <c r="B119" s="1"/>
      <c r="C119" s="2" t="s">
        <v>108</v>
      </c>
      <c r="D119" s="1"/>
      <c r="E119" s="1"/>
      <c r="F119" s="12"/>
      <c r="G119" s="12"/>
      <c r="H119" s="69"/>
    </row>
    <row r="120" spans="1:8" x14ac:dyDescent="0.2">
      <c r="A120" s="1"/>
      <c r="B120" s="1"/>
      <c r="C120" s="2" t="s">
        <v>109</v>
      </c>
      <c r="D120" s="1"/>
      <c r="E120" s="1"/>
      <c r="F120" s="12"/>
      <c r="G120" s="12"/>
      <c r="H120" s="69"/>
    </row>
    <row r="121" spans="1:8" x14ac:dyDescent="0.2">
      <c r="A121" s="1"/>
      <c r="B121" s="1"/>
      <c r="C121" s="2" t="s">
        <v>95</v>
      </c>
      <c r="D121" s="1"/>
      <c r="E121" s="1" t="s">
        <v>96</v>
      </c>
      <c r="F121" s="13">
        <v>0</v>
      </c>
      <c r="G121" s="14">
        <v>0</v>
      </c>
      <c r="H121" s="69"/>
    </row>
    <row r="122" spans="1:8" x14ac:dyDescent="0.2">
      <c r="A122" s="1"/>
      <c r="B122" s="1"/>
      <c r="C122" s="11"/>
      <c r="D122" s="1"/>
      <c r="E122" s="1"/>
      <c r="F122" s="12"/>
      <c r="G122" s="12"/>
      <c r="H122" s="69"/>
    </row>
    <row r="123" spans="1:8" x14ac:dyDescent="0.2">
      <c r="A123" s="1"/>
      <c r="B123" s="1"/>
      <c r="C123" s="2" t="s">
        <v>110</v>
      </c>
      <c r="D123" s="1"/>
      <c r="E123" s="1"/>
      <c r="F123" s="12"/>
      <c r="G123" s="12"/>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111</v>
      </c>
      <c r="D126" s="1"/>
      <c r="E126" s="1"/>
      <c r="F126" s="12"/>
      <c r="G126" s="12"/>
      <c r="H126" s="69"/>
    </row>
    <row r="127" spans="1:8" x14ac:dyDescent="0.2">
      <c r="A127" s="1"/>
      <c r="B127" s="1"/>
      <c r="C127" s="2" t="s">
        <v>95</v>
      </c>
      <c r="D127" s="1"/>
      <c r="E127" s="1" t="s">
        <v>96</v>
      </c>
      <c r="F127" s="13">
        <v>0</v>
      </c>
      <c r="G127" s="14">
        <v>0</v>
      </c>
      <c r="H127" s="69"/>
    </row>
    <row r="128" spans="1:8" x14ac:dyDescent="0.2">
      <c r="A128" s="1"/>
      <c r="B128" s="1"/>
      <c r="C128" s="11"/>
      <c r="D128" s="1"/>
      <c r="E128" s="1"/>
      <c r="F128" s="12"/>
      <c r="G128" s="12"/>
      <c r="H128" s="69"/>
    </row>
    <row r="129" spans="1:8" x14ac:dyDescent="0.2">
      <c r="A129" s="1"/>
      <c r="B129" s="1"/>
      <c r="C129" s="2" t="s">
        <v>112</v>
      </c>
      <c r="D129" s="1"/>
      <c r="E129" s="1"/>
      <c r="F129" s="12"/>
      <c r="G129" s="12"/>
      <c r="H129" s="69"/>
    </row>
    <row r="130" spans="1:8" x14ac:dyDescent="0.2">
      <c r="A130" s="3">
        <v>1</v>
      </c>
      <c r="B130" s="4"/>
      <c r="C130" s="4" t="s">
        <v>113</v>
      </c>
      <c r="D130" s="4"/>
      <c r="E130" s="8"/>
      <c r="F130" s="6">
        <v>307.24409259999999</v>
      </c>
      <c r="G130" s="7">
        <v>2.6625633999999999E-2</v>
      </c>
      <c r="H130" s="6">
        <v>3.3628721504199861</v>
      </c>
    </row>
    <row r="131" spans="1:8" x14ac:dyDescent="0.2">
      <c r="A131" s="3">
        <v>2</v>
      </c>
      <c r="B131" s="4"/>
      <c r="C131" s="4" t="s">
        <v>114</v>
      </c>
      <c r="D131" s="4"/>
      <c r="E131" s="8"/>
      <c r="F131" s="6">
        <v>118.654917</v>
      </c>
      <c r="G131" s="7">
        <v>1.0282582E-2</v>
      </c>
      <c r="H131" s="6">
        <v>3.4499999999999966</v>
      </c>
    </row>
    <row r="132" spans="1:8" x14ac:dyDescent="0.2">
      <c r="A132" s="1"/>
      <c r="B132" s="1"/>
      <c r="C132" s="2" t="s">
        <v>95</v>
      </c>
      <c r="D132" s="1"/>
      <c r="E132" s="1" t="s">
        <v>96</v>
      </c>
      <c r="F132" s="9">
        <v>425.8990096</v>
      </c>
      <c r="G132" s="10">
        <v>3.6908216000000001E-2</v>
      </c>
      <c r="H132" s="69"/>
    </row>
    <row r="133" spans="1:8" x14ac:dyDescent="0.2">
      <c r="A133" s="1"/>
      <c r="B133" s="1"/>
      <c r="C133" s="11"/>
      <c r="D133" s="1"/>
      <c r="E133" s="1"/>
      <c r="F133" s="12"/>
      <c r="G133" s="12"/>
      <c r="H133" s="69"/>
    </row>
    <row r="134" spans="1:8" x14ac:dyDescent="0.2">
      <c r="A134" s="1"/>
      <c r="B134" s="1"/>
      <c r="C134" s="2" t="s">
        <v>115</v>
      </c>
      <c r="D134" s="1"/>
      <c r="E134" s="1"/>
      <c r="F134" s="9">
        <v>425.8990096</v>
      </c>
      <c r="G134" s="10">
        <v>3.6908216000000001E-2</v>
      </c>
      <c r="H134" s="69"/>
    </row>
    <row r="135" spans="1:8" x14ac:dyDescent="0.2">
      <c r="A135" s="1"/>
      <c r="B135" s="1"/>
      <c r="C135" s="12"/>
      <c r="D135" s="1"/>
      <c r="E135" s="1"/>
      <c r="F135" s="1"/>
      <c r="G135" s="1"/>
      <c r="H135" s="69"/>
    </row>
    <row r="136" spans="1:8" x14ac:dyDescent="0.2">
      <c r="A136" s="1"/>
      <c r="B136" s="1"/>
      <c r="C136" s="2" t="s">
        <v>116</v>
      </c>
      <c r="D136" s="1"/>
      <c r="E136" s="1"/>
      <c r="F136" s="1"/>
      <c r="G136" s="1"/>
      <c r="H136" s="69"/>
    </row>
    <row r="137" spans="1:8" x14ac:dyDescent="0.2">
      <c r="A137" s="1"/>
      <c r="B137" s="1"/>
      <c r="C137" s="2" t="s">
        <v>117</v>
      </c>
      <c r="D137" s="1"/>
      <c r="E137" s="1"/>
      <c r="F137" s="1"/>
      <c r="G137" s="1"/>
      <c r="H137" s="69"/>
    </row>
    <row r="138" spans="1:8" x14ac:dyDescent="0.2">
      <c r="A138" s="1"/>
      <c r="B138" s="1"/>
      <c r="C138" s="2" t="s">
        <v>95</v>
      </c>
      <c r="D138" s="1"/>
      <c r="E138" s="1" t="s">
        <v>96</v>
      </c>
      <c r="F138" s="13">
        <v>0</v>
      </c>
      <c r="G138" s="14">
        <v>0</v>
      </c>
      <c r="H138" s="69"/>
    </row>
    <row r="139" spans="1:8" x14ac:dyDescent="0.2">
      <c r="A139" s="1"/>
      <c r="B139" s="1"/>
      <c r="C139" s="11"/>
      <c r="D139" s="1"/>
      <c r="E139" s="1"/>
      <c r="F139" s="12"/>
      <c r="G139" s="12"/>
      <c r="H139" s="69"/>
    </row>
    <row r="140" spans="1:8" x14ac:dyDescent="0.2">
      <c r="A140" s="1"/>
      <c r="B140" s="1"/>
      <c r="C140" s="2" t="s">
        <v>118</v>
      </c>
      <c r="D140" s="1"/>
      <c r="E140" s="1"/>
      <c r="F140" s="1"/>
      <c r="G140" s="1"/>
      <c r="H140" s="69"/>
    </row>
    <row r="141" spans="1:8" x14ac:dyDescent="0.2">
      <c r="A141" s="1"/>
      <c r="B141" s="1"/>
      <c r="C141" s="2" t="s">
        <v>119</v>
      </c>
      <c r="D141" s="1"/>
      <c r="E141" s="1"/>
      <c r="F141" s="1"/>
      <c r="G141" s="1"/>
      <c r="H141" s="69"/>
    </row>
    <row r="142" spans="1:8" x14ac:dyDescent="0.2">
      <c r="A142" s="1"/>
      <c r="B142" s="1"/>
      <c r="C142" s="2" t="s">
        <v>95</v>
      </c>
      <c r="D142" s="1"/>
      <c r="E142" s="1" t="s">
        <v>96</v>
      </c>
      <c r="F142" s="13">
        <v>0</v>
      </c>
      <c r="G142" s="14">
        <v>0</v>
      </c>
      <c r="H142" s="69"/>
    </row>
    <row r="143" spans="1:8" x14ac:dyDescent="0.2">
      <c r="A143" s="1"/>
      <c r="B143" s="1"/>
      <c r="C143" s="11"/>
      <c r="D143" s="1"/>
      <c r="E143" s="1"/>
      <c r="F143" s="12"/>
      <c r="G143" s="12"/>
      <c r="H143" s="69"/>
    </row>
    <row r="144" spans="1:8" x14ac:dyDescent="0.2">
      <c r="A144" s="1"/>
      <c r="B144" s="1"/>
      <c r="C144" s="11"/>
      <c r="D144" s="1"/>
      <c r="E144" s="1"/>
      <c r="F144" s="12"/>
      <c r="G144" s="12"/>
      <c r="H144" s="69"/>
    </row>
    <row r="145" spans="1:8" ht="25.5" x14ac:dyDescent="0.2">
      <c r="A145" s="1"/>
      <c r="B145" s="1"/>
      <c r="C145" s="2" t="s">
        <v>120</v>
      </c>
      <c r="D145" s="1"/>
      <c r="E145" s="1"/>
      <c r="F145" s="12"/>
      <c r="G145" s="12"/>
      <c r="H145" s="69"/>
    </row>
    <row r="146" spans="1:8" x14ac:dyDescent="0.2">
      <c r="A146" s="1"/>
      <c r="B146" s="1"/>
      <c r="C146" s="2" t="s">
        <v>95</v>
      </c>
      <c r="D146" s="1"/>
      <c r="E146" s="1" t="s">
        <v>96</v>
      </c>
      <c r="F146" s="13">
        <v>0</v>
      </c>
      <c r="G146" s="14">
        <v>0</v>
      </c>
      <c r="H146" s="69"/>
    </row>
    <row r="147" spans="1:8" x14ac:dyDescent="0.2">
      <c r="A147" s="1"/>
      <c r="B147" s="1"/>
      <c r="C147" s="11"/>
      <c r="D147" s="1"/>
      <c r="E147" s="1"/>
      <c r="F147" s="12"/>
      <c r="G147" s="12"/>
      <c r="H147" s="69"/>
    </row>
    <row r="148" spans="1:8" x14ac:dyDescent="0.2">
      <c r="A148" s="1"/>
      <c r="B148" s="4"/>
      <c r="C148" s="4"/>
      <c r="D148" s="2"/>
      <c r="E148" s="1"/>
      <c r="F148" s="4"/>
      <c r="G148" s="8"/>
      <c r="H148" s="69"/>
    </row>
    <row r="149" spans="1:8" x14ac:dyDescent="0.2">
      <c r="A149" s="8"/>
      <c r="B149" s="4"/>
      <c r="C149" s="4" t="s">
        <v>121</v>
      </c>
      <c r="D149" s="4"/>
      <c r="E149" s="8"/>
      <c r="F149" s="6">
        <v>20.55829761</v>
      </c>
      <c r="G149" s="7">
        <v>1.7815730000000001E-3</v>
      </c>
      <c r="H149" s="69"/>
    </row>
    <row r="150" spans="1:8" x14ac:dyDescent="0.2">
      <c r="A150" s="11"/>
      <c r="B150" s="11"/>
      <c r="C150" s="2" t="s">
        <v>122</v>
      </c>
      <c r="D150" s="15"/>
      <c r="E150" s="15"/>
      <c r="F150" s="9">
        <v>11539.409244210001</v>
      </c>
      <c r="G150" s="10">
        <v>1.000000003</v>
      </c>
      <c r="H150" s="69"/>
    </row>
    <row r="151" spans="1:8" ht="14.1" customHeight="1" x14ac:dyDescent="0.2">
      <c r="A151" s="16"/>
      <c r="B151" s="16"/>
      <c r="C151" s="16"/>
      <c r="D151" s="17"/>
      <c r="E151" s="17"/>
      <c r="F151" s="17"/>
      <c r="G151" s="17"/>
    </row>
    <row r="152" spans="1:8" ht="14.1" customHeight="1" x14ac:dyDescent="0.2">
      <c r="A152" s="18"/>
      <c r="B152" s="176" t="s">
        <v>96</v>
      </c>
      <c r="C152" s="176"/>
      <c r="D152" s="176"/>
      <c r="E152" s="176"/>
      <c r="F152" s="176"/>
      <c r="G152" s="20"/>
    </row>
    <row r="153" spans="1:8" ht="17.100000000000001" customHeight="1" x14ac:dyDescent="0.2">
      <c r="A153" s="18"/>
      <c r="B153" s="176" t="s">
        <v>123</v>
      </c>
      <c r="C153" s="176"/>
      <c r="D153" s="176"/>
      <c r="E153" s="176"/>
      <c r="F153" s="176"/>
      <c r="G153" s="20"/>
    </row>
    <row r="154" spans="1:8" ht="14.1" customHeight="1" x14ac:dyDescent="0.2">
      <c r="A154" s="18"/>
      <c r="B154" s="18"/>
      <c r="C154" s="18"/>
      <c r="D154" s="20"/>
      <c r="E154" s="20"/>
      <c r="F154" s="20"/>
      <c r="G154" s="20"/>
    </row>
    <row r="155" spans="1:8" ht="14.1" customHeight="1" x14ac:dyDescent="0.2">
      <c r="A155" s="18"/>
      <c r="B155" s="174" t="s">
        <v>124</v>
      </c>
      <c r="C155" s="175"/>
      <c r="D155" s="12" t="s">
        <v>96</v>
      </c>
      <c r="E155" s="21"/>
      <c r="F155" s="20"/>
      <c r="G155" s="20"/>
    </row>
    <row r="156" spans="1:8" ht="29.1" customHeight="1" x14ac:dyDescent="0.2">
      <c r="A156" s="18"/>
      <c r="B156" s="172" t="s">
        <v>125</v>
      </c>
      <c r="C156" s="173"/>
      <c r="D156" s="2" t="s">
        <v>126</v>
      </c>
      <c r="E156" s="21"/>
      <c r="F156" s="20"/>
      <c r="G156" s="20"/>
    </row>
    <row r="157" spans="1:8" ht="17.100000000000001" customHeight="1" x14ac:dyDescent="0.2">
      <c r="A157" s="18"/>
      <c r="B157" s="172" t="s">
        <v>127</v>
      </c>
      <c r="C157" s="173"/>
      <c r="D157" s="2" t="s">
        <v>126</v>
      </c>
      <c r="E157" s="21"/>
      <c r="F157" s="20"/>
      <c r="G157" s="20"/>
    </row>
    <row r="158" spans="1:8" ht="17.100000000000001" customHeight="1" x14ac:dyDescent="0.2">
      <c r="A158" s="18"/>
      <c r="B158" s="172" t="s">
        <v>128</v>
      </c>
      <c r="C158" s="173"/>
      <c r="D158" s="12" t="s">
        <v>96</v>
      </c>
      <c r="E158" s="21"/>
      <c r="F158" s="20"/>
      <c r="G158" s="20"/>
    </row>
    <row r="159" spans="1:8" ht="24" customHeight="1" x14ac:dyDescent="0.2">
      <c r="A159" s="22"/>
      <c r="B159" s="23" t="s">
        <v>96</v>
      </c>
      <c r="C159" s="23" t="s">
        <v>129</v>
      </c>
      <c r="D159" s="23" t="s">
        <v>130</v>
      </c>
      <c r="E159" s="22"/>
      <c r="F159" s="22"/>
      <c r="G159" s="22"/>
    </row>
    <row r="160" spans="1:8" ht="18" customHeight="1" x14ac:dyDescent="0.2">
      <c r="A160" s="22"/>
      <c r="B160" s="23" t="s">
        <v>131</v>
      </c>
      <c r="C160" s="23" t="s">
        <v>132</v>
      </c>
      <c r="D160" s="23" t="s">
        <v>133</v>
      </c>
      <c r="E160" s="22"/>
      <c r="F160" s="22"/>
      <c r="G160" s="22"/>
    </row>
    <row r="161" spans="1:16" ht="17.100000000000001" customHeight="1" x14ac:dyDescent="0.2">
      <c r="A161" s="22"/>
      <c r="B161" s="4" t="s">
        <v>134</v>
      </c>
      <c r="C161" s="24">
        <v>14.887</v>
      </c>
      <c r="D161" s="24">
        <v>14.814299999999999</v>
      </c>
      <c r="E161" s="22"/>
      <c r="F161" s="19"/>
      <c r="G161" s="25"/>
    </row>
    <row r="162" spans="1:16" ht="17.100000000000001" customHeight="1" x14ac:dyDescent="0.2">
      <c r="A162" s="22"/>
      <c r="B162" s="4" t="s">
        <v>983</v>
      </c>
      <c r="C162" s="24">
        <v>14.887</v>
      </c>
      <c r="D162" s="24">
        <v>14.814299999999999</v>
      </c>
      <c r="E162" s="22"/>
      <c r="F162" s="19"/>
      <c r="G162" s="25"/>
    </row>
    <row r="163" spans="1:16" ht="17.100000000000001" customHeight="1" x14ac:dyDescent="0.2">
      <c r="A163" s="22"/>
      <c r="B163" s="4" t="s">
        <v>135</v>
      </c>
      <c r="C163" s="24">
        <v>14.337300000000001</v>
      </c>
      <c r="D163" s="24">
        <v>14.260999999999999</v>
      </c>
      <c r="E163" s="22"/>
      <c r="F163" s="19"/>
      <c r="G163" s="25"/>
    </row>
    <row r="164" spans="1:16" ht="17.100000000000001" customHeight="1" x14ac:dyDescent="0.2">
      <c r="A164" s="22"/>
      <c r="B164" s="4" t="s">
        <v>984</v>
      </c>
      <c r="C164" s="24">
        <v>14.337300000000001</v>
      </c>
      <c r="D164" s="24">
        <v>14.260999999999999</v>
      </c>
      <c r="E164" s="22"/>
      <c r="F164" s="19"/>
      <c r="G164" s="25"/>
    </row>
    <row r="165" spans="1:16" ht="14.1" customHeight="1" x14ac:dyDescent="0.2">
      <c r="A165" s="22"/>
      <c r="B165" s="22"/>
      <c r="C165" s="22"/>
      <c r="D165" s="22"/>
      <c r="E165" s="22"/>
      <c r="F165" s="22"/>
      <c r="G165" s="22"/>
    </row>
    <row r="166" spans="1:16" ht="17.100000000000001" customHeight="1" x14ac:dyDescent="0.2">
      <c r="A166" s="22"/>
      <c r="B166" s="172" t="s">
        <v>985</v>
      </c>
      <c r="C166" s="173"/>
      <c r="D166" s="2" t="s">
        <v>126</v>
      </c>
      <c r="E166" s="22"/>
      <c r="F166" s="22"/>
      <c r="G166" s="22"/>
      <c r="I166" s="82"/>
      <c r="J166" s="82"/>
      <c r="K166" s="82"/>
      <c r="L166" s="82"/>
      <c r="M166" s="82"/>
      <c r="N166" s="82"/>
      <c r="O166" s="82"/>
    </row>
    <row r="167" spans="1:16" ht="18" customHeight="1" x14ac:dyDescent="0.2">
      <c r="A167" s="22"/>
      <c r="B167" s="26" t="s">
        <v>136</v>
      </c>
      <c r="C167" s="26" t="s">
        <v>136</v>
      </c>
      <c r="D167" s="26"/>
      <c r="E167" s="22"/>
      <c r="F167" s="22"/>
      <c r="G167" s="22"/>
    </row>
    <row r="168" spans="1:16" s="82" customFormat="1" x14ac:dyDescent="0.2">
      <c r="B168" s="177" t="s">
        <v>936</v>
      </c>
      <c r="C168" s="177"/>
      <c r="D168" s="177"/>
      <c r="E168" s="177"/>
      <c r="F168" s="177"/>
      <c r="I168"/>
      <c r="J168"/>
      <c r="K168"/>
      <c r="L168"/>
      <c r="M168"/>
      <c r="N168"/>
      <c r="O168"/>
      <c r="P168" s="70"/>
    </row>
    <row r="169" spans="1:16" ht="14.1" customHeight="1" x14ac:dyDescent="0.2">
      <c r="A169" s="22"/>
      <c r="B169" s="19"/>
      <c r="C169" s="19"/>
      <c r="D169" s="22"/>
      <c r="E169" s="22"/>
      <c r="F169" s="22"/>
      <c r="G169" s="22"/>
    </row>
    <row r="170" spans="1:16" ht="29.1" customHeight="1" x14ac:dyDescent="0.2">
      <c r="A170" s="22"/>
      <c r="B170" s="172" t="s">
        <v>137</v>
      </c>
      <c r="C170" s="173"/>
      <c r="D170" s="2" t="s">
        <v>126</v>
      </c>
      <c r="E170" s="22"/>
      <c r="F170" s="22"/>
      <c r="G170" s="22"/>
    </row>
    <row r="171" spans="1:16" ht="29.1" customHeight="1" x14ac:dyDescent="0.2">
      <c r="A171" s="22"/>
      <c r="B171" s="172" t="s">
        <v>138</v>
      </c>
      <c r="C171" s="173"/>
      <c r="D171" s="2" t="s">
        <v>126</v>
      </c>
      <c r="E171" s="22"/>
      <c r="F171" s="22"/>
      <c r="G171" s="22"/>
    </row>
    <row r="172" spans="1:16" ht="17.100000000000001" customHeight="1" x14ac:dyDescent="0.2">
      <c r="A172" s="22"/>
      <c r="B172" s="172" t="s">
        <v>139</v>
      </c>
      <c r="C172" s="173"/>
      <c r="D172" s="27">
        <v>0.45276858863734892</v>
      </c>
      <c r="E172" s="22"/>
      <c r="F172" s="19"/>
      <c r="G172" s="25"/>
    </row>
    <row r="173" spans="1:16" ht="17.100000000000001" customHeight="1" x14ac:dyDescent="0.2">
      <c r="A173" s="22"/>
      <c r="B173" s="172" t="s">
        <v>140</v>
      </c>
      <c r="C173" s="173"/>
      <c r="D173" s="2" t="s">
        <v>126</v>
      </c>
      <c r="E173" s="22"/>
      <c r="F173" s="22"/>
      <c r="G173" s="22"/>
    </row>
  </sheetData>
  <mergeCells count="16">
    <mergeCell ref="B173:C173"/>
    <mergeCell ref="B156:C156"/>
    <mergeCell ref="B157:C157"/>
    <mergeCell ref="B158:C158"/>
    <mergeCell ref="B166:C166"/>
    <mergeCell ref="B170:C170"/>
    <mergeCell ref="B171:C171"/>
    <mergeCell ref="B168:F168"/>
    <mergeCell ref="A1:H1"/>
    <mergeCell ref="A2:H2"/>
    <mergeCell ref="A3:H3"/>
    <mergeCell ref="J2:N2"/>
    <mergeCell ref="B172:C172"/>
    <mergeCell ref="B155:C155"/>
    <mergeCell ref="B152:F152"/>
    <mergeCell ref="B153:F153"/>
  </mergeCell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6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305</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306</v>
      </c>
      <c r="C7" s="4" t="s">
        <v>307</v>
      </c>
      <c r="D7" s="4" t="s">
        <v>155</v>
      </c>
      <c r="E7" s="5">
        <v>603064</v>
      </c>
      <c r="F7" s="6">
        <v>26103.926771999999</v>
      </c>
      <c r="G7" s="7">
        <v>3.8644850000000001E-2</v>
      </c>
      <c r="H7" s="69"/>
    </row>
    <row r="8" spans="1:14" x14ac:dyDescent="0.2">
      <c r="A8" s="3">
        <v>2</v>
      </c>
      <c r="B8" s="4" t="s">
        <v>308</v>
      </c>
      <c r="C8" s="4" t="s">
        <v>309</v>
      </c>
      <c r="D8" s="4" t="s">
        <v>175</v>
      </c>
      <c r="E8" s="5">
        <v>420000</v>
      </c>
      <c r="F8" s="6">
        <v>23888.55</v>
      </c>
      <c r="G8" s="7">
        <v>3.5365156000000002E-2</v>
      </c>
      <c r="H8" s="69"/>
    </row>
    <row r="9" spans="1:14" x14ac:dyDescent="0.2">
      <c r="A9" s="3">
        <v>3</v>
      </c>
      <c r="B9" s="4" t="s">
        <v>25</v>
      </c>
      <c r="C9" s="4" t="s">
        <v>26</v>
      </c>
      <c r="D9" s="4" t="s">
        <v>27</v>
      </c>
      <c r="E9" s="5">
        <v>1161748</v>
      </c>
      <c r="F9" s="6">
        <v>18741.89961</v>
      </c>
      <c r="G9" s="7">
        <v>2.7745936999999998E-2</v>
      </c>
      <c r="H9" s="69"/>
    </row>
    <row r="10" spans="1:14" x14ac:dyDescent="0.2">
      <c r="A10" s="3">
        <v>4</v>
      </c>
      <c r="B10" s="4" t="s">
        <v>310</v>
      </c>
      <c r="C10" s="4" t="s">
        <v>311</v>
      </c>
      <c r="D10" s="4" t="s">
        <v>982</v>
      </c>
      <c r="E10" s="5">
        <v>1983436</v>
      </c>
      <c r="F10" s="6">
        <v>18649.256990000002</v>
      </c>
      <c r="G10" s="7">
        <v>2.7608786999999999E-2</v>
      </c>
      <c r="H10" s="69"/>
    </row>
    <row r="11" spans="1:14" x14ac:dyDescent="0.2">
      <c r="A11" s="3">
        <v>5</v>
      </c>
      <c r="B11" s="4" t="s">
        <v>90</v>
      </c>
      <c r="C11" s="4" t="s">
        <v>91</v>
      </c>
      <c r="D11" s="4" t="s">
        <v>27</v>
      </c>
      <c r="E11" s="5">
        <v>237000</v>
      </c>
      <c r="F11" s="6">
        <v>18471.306</v>
      </c>
      <c r="G11" s="7">
        <v>2.7345344000000001E-2</v>
      </c>
      <c r="H11" s="69"/>
    </row>
    <row r="12" spans="1:14" ht="25.5" x14ac:dyDescent="0.2">
      <c r="A12" s="3">
        <v>6</v>
      </c>
      <c r="B12" s="4" t="s">
        <v>312</v>
      </c>
      <c r="C12" s="4" t="s">
        <v>313</v>
      </c>
      <c r="D12" s="4" t="s">
        <v>78</v>
      </c>
      <c r="E12" s="5">
        <v>3220000</v>
      </c>
      <c r="F12" s="6">
        <v>17726.099999999999</v>
      </c>
      <c r="G12" s="7">
        <v>2.6242123999999999E-2</v>
      </c>
      <c r="H12" s="69"/>
    </row>
    <row r="13" spans="1:14" x14ac:dyDescent="0.2">
      <c r="A13" s="3">
        <v>7</v>
      </c>
      <c r="B13" s="4" t="s">
        <v>314</v>
      </c>
      <c r="C13" s="4" t="s">
        <v>315</v>
      </c>
      <c r="D13" s="4" t="s">
        <v>75</v>
      </c>
      <c r="E13" s="5">
        <v>1386681</v>
      </c>
      <c r="F13" s="6">
        <v>16654.038809999998</v>
      </c>
      <c r="G13" s="7">
        <v>2.465502E-2</v>
      </c>
      <c r="H13" s="69"/>
    </row>
    <row r="14" spans="1:14" ht="25.5" x14ac:dyDescent="0.2">
      <c r="A14" s="3">
        <v>8</v>
      </c>
      <c r="B14" s="4" t="s">
        <v>28</v>
      </c>
      <c r="C14" s="4" t="s">
        <v>29</v>
      </c>
      <c r="D14" s="4" t="s">
        <v>974</v>
      </c>
      <c r="E14" s="5">
        <v>1698863</v>
      </c>
      <c r="F14" s="6">
        <v>15987.150261500001</v>
      </c>
      <c r="G14" s="7">
        <v>2.3667743000000002E-2</v>
      </c>
      <c r="H14" s="69"/>
    </row>
    <row r="15" spans="1:14" ht="15" x14ac:dyDescent="0.2">
      <c r="A15" s="3">
        <v>9</v>
      </c>
      <c r="B15" s="4" t="s">
        <v>316</v>
      </c>
      <c r="C15" s="4" t="s">
        <v>317</v>
      </c>
      <c r="D15" s="4" t="s">
        <v>221</v>
      </c>
      <c r="E15" s="5">
        <v>41292</v>
      </c>
      <c r="F15" s="6">
        <v>15852.370428</v>
      </c>
      <c r="G15" s="7">
        <v>2.3468211999999999E-2</v>
      </c>
      <c r="H15" s="69"/>
      <c r="J15" s="160" t="s">
        <v>1012</v>
      </c>
    </row>
    <row r="16" spans="1:14" x14ac:dyDescent="0.2">
      <c r="A16" s="3">
        <v>10</v>
      </c>
      <c r="B16" s="4" t="s">
        <v>142</v>
      </c>
      <c r="C16" s="4" t="s">
        <v>143</v>
      </c>
      <c r="D16" s="4" t="s">
        <v>144</v>
      </c>
      <c r="E16" s="5">
        <v>421643</v>
      </c>
      <c r="F16" s="6">
        <v>15773.664629999999</v>
      </c>
      <c r="G16" s="7">
        <v>2.3351693999999999E-2</v>
      </c>
      <c r="H16" s="69"/>
    </row>
    <row r="17" spans="1:8" x14ac:dyDescent="0.2">
      <c r="A17" s="3">
        <v>11</v>
      </c>
      <c r="B17" s="4" t="s">
        <v>318</v>
      </c>
      <c r="C17" s="4" t="s">
        <v>319</v>
      </c>
      <c r="D17" s="4" t="s">
        <v>155</v>
      </c>
      <c r="E17" s="5">
        <v>285419</v>
      </c>
      <c r="F17" s="6">
        <v>15068.410685999999</v>
      </c>
      <c r="G17" s="7">
        <v>2.230762E-2</v>
      </c>
      <c r="H17" s="69"/>
    </row>
    <row r="18" spans="1:8" x14ac:dyDescent="0.2">
      <c r="A18" s="3">
        <v>12</v>
      </c>
      <c r="B18" s="4" t="s">
        <v>320</v>
      </c>
      <c r="C18" s="4" t="s">
        <v>321</v>
      </c>
      <c r="D18" s="4" t="s">
        <v>144</v>
      </c>
      <c r="E18" s="5">
        <v>729974</v>
      </c>
      <c r="F18" s="6">
        <v>14642.183478999999</v>
      </c>
      <c r="G18" s="7">
        <v>2.1676622999999999E-2</v>
      </c>
      <c r="H18" s="69"/>
    </row>
    <row r="19" spans="1:8" ht="25.5" x14ac:dyDescent="0.2">
      <c r="A19" s="3">
        <v>13</v>
      </c>
      <c r="B19" s="4" t="s">
        <v>322</v>
      </c>
      <c r="C19" s="4" t="s">
        <v>323</v>
      </c>
      <c r="D19" s="4" t="s">
        <v>207</v>
      </c>
      <c r="E19" s="5">
        <v>1593553</v>
      </c>
      <c r="F19" s="6">
        <v>14205.7282185</v>
      </c>
      <c r="G19" s="7">
        <v>2.1030485000000002E-2</v>
      </c>
      <c r="H19" s="69"/>
    </row>
    <row r="20" spans="1:8" x14ac:dyDescent="0.2">
      <c r="A20" s="3">
        <v>14</v>
      </c>
      <c r="B20" s="4" t="s">
        <v>324</v>
      </c>
      <c r="C20" s="4" t="s">
        <v>325</v>
      </c>
      <c r="D20" s="4" t="s">
        <v>979</v>
      </c>
      <c r="E20" s="5">
        <v>383062</v>
      </c>
      <c r="F20" s="6">
        <v>13985.59362</v>
      </c>
      <c r="G20" s="7">
        <v>2.0704593E-2</v>
      </c>
      <c r="H20" s="69"/>
    </row>
    <row r="21" spans="1:8" x14ac:dyDescent="0.2">
      <c r="A21" s="3">
        <v>15</v>
      </c>
      <c r="B21" s="4" t="s">
        <v>326</v>
      </c>
      <c r="C21" s="4" t="s">
        <v>327</v>
      </c>
      <c r="D21" s="4" t="s">
        <v>22</v>
      </c>
      <c r="E21" s="5">
        <v>2099754</v>
      </c>
      <c r="F21" s="6">
        <v>13767.037101</v>
      </c>
      <c r="G21" s="7">
        <v>2.0381037000000001E-2</v>
      </c>
      <c r="H21" s="69"/>
    </row>
    <row r="22" spans="1:8" x14ac:dyDescent="0.2">
      <c r="A22" s="3">
        <v>16</v>
      </c>
      <c r="B22" s="4" t="s">
        <v>328</v>
      </c>
      <c r="C22" s="4" t="s">
        <v>329</v>
      </c>
      <c r="D22" s="4" t="s">
        <v>27</v>
      </c>
      <c r="E22" s="5">
        <v>1550652</v>
      </c>
      <c r="F22" s="6">
        <v>13622.47782</v>
      </c>
      <c r="G22" s="7">
        <v>2.0167028E-2</v>
      </c>
      <c r="H22" s="69"/>
    </row>
    <row r="23" spans="1:8" x14ac:dyDescent="0.2">
      <c r="A23" s="3">
        <v>17</v>
      </c>
      <c r="B23" s="4" t="s">
        <v>330</v>
      </c>
      <c r="C23" s="4" t="s">
        <v>331</v>
      </c>
      <c r="D23" s="4" t="s">
        <v>22</v>
      </c>
      <c r="E23" s="5">
        <v>15565539</v>
      </c>
      <c r="F23" s="6">
        <v>13510.887852</v>
      </c>
      <c r="G23" s="7">
        <v>2.0001827E-2</v>
      </c>
      <c r="H23" s="69"/>
    </row>
    <row r="24" spans="1:8" x14ac:dyDescent="0.2">
      <c r="A24" s="3">
        <v>18</v>
      </c>
      <c r="B24" s="4" t="s">
        <v>332</v>
      </c>
      <c r="C24" s="4" t="s">
        <v>333</v>
      </c>
      <c r="D24" s="4" t="s">
        <v>334</v>
      </c>
      <c r="E24" s="5">
        <v>1300000</v>
      </c>
      <c r="F24" s="6">
        <v>13187.2</v>
      </c>
      <c r="G24" s="7">
        <v>1.9522633000000001E-2</v>
      </c>
      <c r="H24" s="69"/>
    </row>
    <row r="25" spans="1:8" x14ac:dyDescent="0.2">
      <c r="A25" s="3">
        <v>19</v>
      </c>
      <c r="B25" s="4" t="s">
        <v>335</v>
      </c>
      <c r="C25" s="4" t="s">
        <v>336</v>
      </c>
      <c r="D25" s="4" t="s">
        <v>977</v>
      </c>
      <c r="E25" s="5">
        <v>6215536</v>
      </c>
      <c r="F25" s="6">
        <v>12664.1546</v>
      </c>
      <c r="G25" s="7">
        <v>1.8748304E-2</v>
      </c>
      <c r="H25" s="69"/>
    </row>
    <row r="26" spans="1:8" x14ac:dyDescent="0.2">
      <c r="A26" s="3">
        <v>20</v>
      </c>
      <c r="B26" s="4" t="s">
        <v>187</v>
      </c>
      <c r="C26" s="4" t="s">
        <v>188</v>
      </c>
      <c r="D26" s="4" t="s">
        <v>978</v>
      </c>
      <c r="E26" s="5">
        <v>1410000</v>
      </c>
      <c r="F26" s="6">
        <v>12600.465</v>
      </c>
      <c r="G26" s="7">
        <v>1.8654016999999998E-2</v>
      </c>
      <c r="H26" s="69"/>
    </row>
    <row r="27" spans="1:8" x14ac:dyDescent="0.2">
      <c r="A27" s="3">
        <v>21</v>
      </c>
      <c r="B27" s="4" t="s">
        <v>337</v>
      </c>
      <c r="C27" s="4" t="s">
        <v>338</v>
      </c>
      <c r="D27" s="4" t="s">
        <v>78</v>
      </c>
      <c r="E27" s="5">
        <v>887988</v>
      </c>
      <c r="F27" s="6">
        <v>12491.327196</v>
      </c>
      <c r="G27" s="7">
        <v>1.8492446999999999E-2</v>
      </c>
      <c r="H27" s="69"/>
    </row>
    <row r="28" spans="1:8" ht="25.5" x14ac:dyDescent="0.2">
      <c r="A28" s="3">
        <v>22</v>
      </c>
      <c r="B28" s="4" t="s">
        <v>339</v>
      </c>
      <c r="C28" s="4" t="s">
        <v>340</v>
      </c>
      <c r="D28" s="4" t="s">
        <v>75</v>
      </c>
      <c r="E28" s="5">
        <v>2769006</v>
      </c>
      <c r="F28" s="6">
        <v>12412.069395</v>
      </c>
      <c r="G28" s="7">
        <v>1.8375111999999999E-2</v>
      </c>
      <c r="H28" s="69"/>
    </row>
    <row r="29" spans="1:8" x14ac:dyDescent="0.2">
      <c r="A29" s="3">
        <v>23</v>
      </c>
      <c r="B29" s="4" t="s">
        <v>341</v>
      </c>
      <c r="C29" s="4" t="s">
        <v>342</v>
      </c>
      <c r="D29" s="4" t="s">
        <v>204</v>
      </c>
      <c r="E29" s="5">
        <v>587800</v>
      </c>
      <c r="F29" s="6">
        <v>12344.9756</v>
      </c>
      <c r="G29" s="7">
        <v>1.8275784E-2</v>
      </c>
      <c r="H29" s="69"/>
    </row>
    <row r="30" spans="1:8" x14ac:dyDescent="0.2">
      <c r="A30" s="3">
        <v>24</v>
      </c>
      <c r="B30" s="4" t="s">
        <v>343</v>
      </c>
      <c r="C30" s="4" t="s">
        <v>344</v>
      </c>
      <c r="D30" s="4" t="s">
        <v>204</v>
      </c>
      <c r="E30" s="5">
        <v>1454822</v>
      </c>
      <c r="F30" s="6">
        <v>12185.589072000001</v>
      </c>
      <c r="G30" s="7">
        <v>1.8039824999999999E-2</v>
      </c>
      <c r="H30" s="69"/>
    </row>
    <row r="31" spans="1:8" x14ac:dyDescent="0.2">
      <c r="A31" s="3">
        <v>25</v>
      </c>
      <c r="B31" s="4" t="s">
        <v>345</v>
      </c>
      <c r="C31" s="4" t="s">
        <v>346</v>
      </c>
      <c r="D31" s="4" t="s">
        <v>22</v>
      </c>
      <c r="E31" s="5">
        <v>1084567</v>
      </c>
      <c r="F31" s="6">
        <v>11887.938887</v>
      </c>
      <c r="G31" s="7">
        <v>1.7599177000000001E-2</v>
      </c>
      <c r="H31" s="69"/>
    </row>
    <row r="32" spans="1:8" x14ac:dyDescent="0.2">
      <c r="A32" s="3">
        <v>26</v>
      </c>
      <c r="B32" s="4" t="s">
        <v>347</v>
      </c>
      <c r="C32" s="4" t="s">
        <v>348</v>
      </c>
      <c r="D32" s="4" t="s">
        <v>204</v>
      </c>
      <c r="E32" s="5">
        <v>329843</v>
      </c>
      <c r="F32" s="6">
        <v>11826.0260005</v>
      </c>
      <c r="G32" s="7">
        <v>1.7507518999999999E-2</v>
      </c>
      <c r="H32" s="69"/>
    </row>
    <row r="33" spans="1:8" x14ac:dyDescent="0.2">
      <c r="A33" s="3">
        <v>27</v>
      </c>
      <c r="B33" s="4" t="s">
        <v>349</v>
      </c>
      <c r="C33" s="4" t="s">
        <v>350</v>
      </c>
      <c r="D33" s="4" t="s">
        <v>160</v>
      </c>
      <c r="E33" s="5">
        <v>257480</v>
      </c>
      <c r="F33" s="6">
        <v>11515.793</v>
      </c>
      <c r="G33" s="7">
        <v>1.7048243000000001E-2</v>
      </c>
      <c r="H33" s="69"/>
    </row>
    <row r="34" spans="1:8" x14ac:dyDescent="0.2">
      <c r="A34" s="3">
        <v>28</v>
      </c>
      <c r="B34" s="4" t="s">
        <v>351</v>
      </c>
      <c r="C34" s="4" t="s">
        <v>352</v>
      </c>
      <c r="D34" s="4" t="s">
        <v>22</v>
      </c>
      <c r="E34" s="5">
        <v>13175360</v>
      </c>
      <c r="F34" s="6">
        <v>11297.8712</v>
      </c>
      <c r="G34" s="7">
        <v>1.6725627E-2</v>
      </c>
      <c r="H34" s="69"/>
    </row>
    <row r="35" spans="1:8" x14ac:dyDescent="0.2">
      <c r="A35" s="3">
        <v>29</v>
      </c>
      <c r="B35" s="4" t="s">
        <v>353</v>
      </c>
      <c r="C35" s="4" t="s">
        <v>354</v>
      </c>
      <c r="D35" s="4" t="s">
        <v>27</v>
      </c>
      <c r="E35" s="5">
        <v>1613112</v>
      </c>
      <c r="F35" s="6">
        <v>11189.351387999999</v>
      </c>
      <c r="G35" s="7">
        <v>1.6564972000000001E-2</v>
      </c>
      <c r="H35" s="69"/>
    </row>
    <row r="36" spans="1:8" x14ac:dyDescent="0.2">
      <c r="A36" s="3">
        <v>30</v>
      </c>
      <c r="B36" s="4" t="s">
        <v>355</v>
      </c>
      <c r="C36" s="4" t="s">
        <v>356</v>
      </c>
      <c r="D36" s="4" t="s">
        <v>65</v>
      </c>
      <c r="E36" s="5">
        <v>3252755</v>
      </c>
      <c r="F36" s="6">
        <v>11174.839802500001</v>
      </c>
      <c r="G36" s="7">
        <v>1.6543489000000001E-2</v>
      </c>
      <c r="H36" s="69"/>
    </row>
    <row r="37" spans="1:8" x14ac:dyDescent="0.2">
      <c r="A37" s="3">
        <v>31</v>
      </c>
      <c r="B37" s="4" t="s">
        <v>357</v>
      </c>
      <c r="C37" s="4" t="s">
        <v>358</v>
      </c>
      <c r="D37" s="4" t="s">
        <v>976</v>
      </c>
      <c r="E37" s="5">
        <v>1444067</v>
      </c>
      <c r="F37" s="6">
        <v>10570.57044</v>
      </c>
      <c r="G37" s="7">
        <v>1.5648914E-2</v>
      </c>
      <c r="H37" s="69"/>
    </row>
    <row r="38" spans="1:8" x14ac:dyDescent="0.2">
      <c r="A38" s="3">
        <v>32</v>
      </c>
      <c r="B38" s="4" t="s">
        <v>84</v>
      </c>
      <c r="C38" s="4" t="s">
        <v>85</v>
      </c>
      <c r="D38" s="4" t="s">
        <v>70</v>
      </c>
      <c r="E38" s="5">
        <v>2155766</v>
      </c>
      <c r="F38" s="6">
        <v>10439.296855000001</v>
      </c>
      <c r="G38" s="7">
        <v>1.5454574E-2</v>
      </c>
      <c r="H38" s="69"/>
    </row>
    <row r="39" spans="1:8" x14ac:dyDescent="0.2">
      <c r="A39" s="3">
        <v>33</v>
      </c>
      <c r="B39" s="4" t="s">
        <v>359</v>
      </c>
      <c r="C39" s="4" t="s">
        <v>360</v>
      </c>
      <c r="D39" s="4" t="s">
        <v>160</v>
      </c>
      <c r="E39" s="5">
        <v>13981</v>
      </c>
      <c r="F39" s="6">
        <v>10434.132148000001</v>
      </c>
      <c r="G39" s="7">
        <v>1.5446928E-2</v>
      </c>
      <c r="H39" s="69"/>
    </row>
    <row r="40" spans="1:8" ht="25.5" x14ac:dyDescent="0.2">
      <c r="A40" s="3">
        <v>34</v>
      </c>
      <c r="B40" s="4" t="s">
        <v>361</v>
      </c>
      <c r="C40" s="4" t="s">
        <v>362</v>
      </c>
      <c r="D40" s="4" t="s">
        <v>207</v>
      </c>
      <c r="E40" s="5">
        <v>1936767</v>
      </c>
      <c r="F40" s="6">
        <v>10207.7304735</v>
      </c>
      <c r="G40" s="7">
        <v>1.5111757999999999E-2</v>
      </c>
      <c r="H40" s="69"/>
    </row>
    <row r="41" spans="1:8" x14ac:dyDescent="0.2">
      <c r="A41" s="3">
        <v>35</v>
      </c>
      <c r="B41" s="4" t="s">
        <v>363</v>
      </c>
      <c r="C41" s="4" t="s">
        <v>364</v>
      </c>
      <c r="D41" s="4" t="s">
        <v>48</v>
      </c>
      <c r="E41" s="5">
        <v>1629770</v>
      </c>
      <c r="F41" s="6">
        <v>10104.574000000001</v>
      </c>
      <c r="G41" s="7">
        <v>1.4959043E-2</v>
      </c>
      <c r="H41" s="69"/>
    </row>
    <row r="42" spans="1:8" x14ac:dyDescent="0.2">
      <c r="A42" s="3">
        <v>36</v>
      </c>
      <c r="B42" s="4" t="s">
        <v>365</v>
      </c>
      <c r="C42" s="4" t="s">
        <v>366</v>
      </c>
      <c r="D42" s="4" t="s">
        <v>367</v>
      </c>
      <c r="E42" s="5">
        <v>347137</v>
      </c>
      <c r="F42" s="6">
        <v>9961.0962149999996</v>
      </c>
      <c r="G42" s="7">
        <v>1.4746634999999999E-2</v>
      </c>
      <c r="H42" s="69"/>
    </row>
    <row r="43" spans="1:8" x14ac:dyDescent="0.2">
      <c r="A43" s="3">
        <v>37</v>
      </c>
      <c r="B43" s="4" t="s">
        <v>81</v>
      </c>
      <c r="C43" s="4" t="s">
        <v>82</v>
      </c>
      <c r="D43" s="4" t="s">
        <v>83</v>
      </c>
      <c r="E43" s="5">
        <v>7942374</v>
      </c>
      <c r="F43" s="6">
        <v>9507.0216779999992</v>
      </c>
      <c r="G43" s="7">
        <v>1.4074412E-2</v>
      </c>
      <c r="H43" s="69"/>
    </row>
    <row r="44" spans="1:8" x14ac:dyDescent="0.2">
      <c r="A44" s="3">
        <v>38</v>
      </c>
      <c r="B44" s="4" t="s">
        <v>368</v>
      </c>
      <c r="C44" s="4" t="s">
        <v>369</v>
      </c>
      <c r="D44" s="4" t="s">
        <v>144</v>
      </c>
      <c r="E44" s="5">
        <v>980640</v>
      </c>
      <c r="F44" s="6">
        <v>9191.5387200000005</v>
      </c>
      <c r="G44" s="7">
        <v>1.3607364E-2</v>
      </c>
      <c r="H44" s="69"/>
    </row>
    <row r="45" spans="1:8" x14ac:dyDescent="0.2">
      <c r="A45" s="3">
        <v>39</v>
      </c>
      <c r="B45" s="4" t="s">
        <v>370</v>
      </c>
      <c r="C45" s="4" t="s">
        <v>371</v>
      </c>
      <c r="D45" s="4" t="s">
        <v>75</v>
      </c>
      <c r="E45" s="5">
        <v>179314</v>
      </c>
      <c r="F45" s="6">
        <v>9146.269198</v>
      </c>
      <c r="G45" s="7">
        <v>1.3540346E-2</v>
      </c>
      <c r="H45" s="69"/>
    </row>
    <row r="46" spans="1:8" x14ac:dyDescent="0.2">
      <c r="A46" s="3">
        <v>40</v>
      </c>
      <c r="B46" s="4" t="s">
        <v>372</v>
      </c>
      <c r="C46" s="4" t="s">
        <v>373</v>
      </c>
      <c r="D46" s="4" t="s">
        <v>22</v>
      </c>
      <c r="E46" s="5">
        <v>6263179</v>
      </c>
      <c r="F46" s="6">
        <v>9062.8200130000005</v>
      </c>
      <c r="G46" s="7">
        <v>1.3416806E-2</v>
      </c>
      <c r="H46" s="69"/>
    </row>
    <row r="47" spans="1:8" x14ac:dyDescent="0.2">
      <c r="A47" s="3">
        <v>41</v>
      </c>
      <c r="B47" s="4" t="s">
        <v>374</v>
      </c>
      <c r="C47" s="4" t="s">
        <v>375</v>
      </c>
      <c r="D47" s="4" t="s">
        <v>75</v>
      </c>
      <c r="E47" s="5">
        <v>11543670</v>
      </c>
      <c r="F47" s="6">
        <v>7740.0307350000003</v>
      </c>
      <c r="G47" s="7">
        <v>1.1458519E-2</v>
      </c>
      <c r="H47" s="69"/>
    </row>
    <row r="48" spans="1:8" ht="25.5" x14ac:dyDescent="0.2">
      <c r="A48" s="3">
        <v>42</v>
      </c>
      <c r="B48" s="4" t="s">
        <v>43</v>
      </c>
      <c r="C48" s="4" t="s">
        <v>44</v>
      </c>
      <c r="D48" s="4" t="s">
        <v>45</v>
      </c>
      <c r="E48" s="5">
        <v>19119</v>
      </c>
      <c r="F48" s="6">
        <v>7436.2490145000002</v>
      </c>
      <c r="G48" s="7">
        <v>1.1008792999999999E-2</v>
      </c>
      <c r="H48" s="69"/>
    </row>
    <row r="49" spans="1:8" x14ac:dyDescent="0.2">
      <c r="A49" s="3">
        <v>43</v>
      </c>
      <c r="B49" s="4" t="s">
        <v>376</v>
      </c>
      <c r="C49" s="4" t="s">
        <v>377</v>
      </c>
      <c r="D49" s="4" t="s">
        <v>155</v>
      </c>
      <c r="E49" s="5">
        <v>255832</v>
      </c>
      <c r="F49" s="6">
        <v>7406.7201480000003</v>
      </c>
      <c r="G49" s="7">
        <v>1.0965078E-2</v>
      </c>
      <c r="H49" s="69"/>
    </row>
    <row r="50" spans="1:8" x14ac:dyDescent="0.2">
      <c r="A50" s="3">
        <v>44</v>
      </c>
      <c r="B50" s="4" t="s">
        <v>378</v>
      </c>
      <c r="C50" s="4" t="s">
        <v>379</v>
      </c>
      <c r="D50" s="4" t="s">
        <v>224</v>
      </c>
      <c r="E50" s="5">
        <v>1000000</v>
      </c>
      <c r="F50" s="6">
        <v>7402</v>
      </c>
      <c r="G50" s="7">
        <v>1.095809E-2</v>
      </c>
      <c r="H50" s="69"/>
    </row>
    <row r="51" spans="1:8" x14ac:dyDescent="0.2">
      <c r="A51" s="3">
        <v>45</v>
      </c>
      <c r="B51" s="4" t="s">
        <v>380</v>
      </c>
      <c r="C51" s="4" t="s">
        <v>381</v>
      </c>
      <c r="D51" s="4" t="s">
        <v>155</v>
      </c>
      <c r="E51" s="5">
        <v>642447</v>
      </c>
      <c r="F51" s="6">
        <v>7315.2227654999997</v>
      </c>
      <c r="G51" s="7">
        <v>1.0829623E-2</v>
      </c>
      <c r="H51" s="69"/>
    </row>
    <row r="52" spans="1:8" x14ac:dyDescent="0.2">
      <c r="A52" s="3">
        <v>46</v>
      </c>
      <c r="B52" s="4" t="s">
        <v>86</v>
      </c>
      <c r="C52" s="4" t="s">
        <v>87</v>
      </c>
      <c r="D52" s="4" t="s">
        <v>70</v>
      </c>
      <c r="E52" s="5">
        <v>2219005</v>
      </c>
      <c r="F52" s="6">
        <v>6952.1426650000003</v>
      </c>
      <c r="G52" s="7">
        <v>1.0292111E-2</v>
      </c>
      <c r="H52" s="69"/>
    </row>
    <row r="53" spans="1:8" x14ac:dyDescent="0.2">
      <c r="A53" s="3">
        <v>47</v>
      </c>
      <c r="B53" s="4" t="s">
        <v>382</v>
      </c>
      <c r="C53" s="4" t="s">
        <v>383</v>
      </c>
      <c r="D53" s="4" t="s">
        <v>78</v>
      </c>
      <c r="E53" s="5">
        <v>1534714</v>
      </c>
      <c r="F53" s="6">
        <v>5710.6707939999997</v>
      </c>
      <c r="G53" s="7">
        <v>8.4542079999999995E-3</v>
      </c>
      <c r="H53" s="69"/>
    </row>
    <row r="54" spans="1:8" x14ac:dyDescent="0.2">
      <c r="A54" s="3">
        <v>48</v>
      </c>
      <c r="B54" s="4" t="s">
        <v>384</v>
      </c>
      <c r="C54" s="4" t="s">
        <v>385</v>
      </c>
      <c r="D54" s="4" t="s">
        <v>982</v>
      </c>
      <c r="E54" s="5">
        <v>33061</v>
      </c>
      <c r="F54" s="6">
        <v>5698.8402834999997</v>
      </c>
      <c r="G54" s="7">
        <v>8.4366939999999998E-3</v>
      </c>
      <c r="H54" s="69"/>
    </row>
    <row r="55" spans="1:8" x14ac:dyDescent="0.2">
      <c r="A55" s="3">
        <v>49</v>
      </c>
      <c r="B55" s="4" t="s">
        <v>386</v>
      </c>
      <c r="C55" s="4" t="s">
        <v>387</v>
      </c>
      <c r="D55" s="4" t="s">
        <v>75</v>
      </c>
      <c r="E55" s="5">
        <v>276811</v>
      </c>
      <c r="F55" s="6">
        <v>5651.9269979999999</v>
      </c>
      <c r="G55" s="7">
        <v>8.3672420000000004E-3</v>
      </c>
      <c r="H55" s="69"/>
    </row>
    <row r="56" spans="1:8" x14ac:dyDescent="0.2">
      <c r="A56" s="3">
        <v>50</v>
      </c>
      <c r="B56" s="4" t="s">
        <v>388</v>
      </c>
      <c r="C56" s="4" t="s">
        <v>389</v>
      </c>
      <c r="D56" s="4" t="s">
        <v>979</v>
      </c>
      <c r="E56" s="5">
        <v>2622598</v>
      </c>
      <c r="F56" s="6">
        <v>5439.2682519999998</v>
      </c>
      <c r="G56" s="7">
        <v>8.0524169999999992E-3</v>
      </c>
      <c r="H56" s="69"/>
    </row>
    <row r="57" spans="1:8" x14ac:dyDescent="0.2">
      <c r="A57" s="3">
        <v>51</v>
      </c>
      <c r="B57" s="4" t="s">
        <v>390</v>
      </c>
      <c r="C57" s="4" t="s">
        <v>391</v>
      </c>
      <c r="D57" s="4" t="s">
        <v>78</v>
      </c>
      <c r="E57" s="5">
        <v>191427</v>
      </c>
      <c r="F57" s="6">
        <v>5390.6800334999998</v>
      </c>
      <c r="G57" s="7">
        <v>7.9804860000000002E-3</v>
      </c>
      <c r="H57" s="69"/>
    </row>
    <row r="58" spans="1:8" x14ac:dyDescent="0.2">
      <c r="A58" s="3">
        <v>52</v>
      </c>
      <c r="B58" s="4" t="s">
        <v>392</v>
      </c>
      <c r="C58" s="4" t="s">
        <v>393</v>
      </c>
      <c r="D58" s="4" t="s">
        <v>53</v>
      </c>
      <c r="E58" s="5">
        <v>268507</v>
      </c>
      <c r="F58" s="6">
        <v>5361.2792689999997</v>
      </c>
      <c r="G58" s="7">
        <v>7.9369599999999998E-3</v>
      </c>
      <c r="H58" s="69"/>
    </row>
    <row r="59" spans="1:8" x14ac:dyDescent="0.2">
      <c r="A59" s="3">
        <v>53</v>
      </c>
      <c r="B59" s="4" t="s">
        <v>225</v>
      </c>
      <c r="C59" s="4" t="s">
        <v>226</v>
      </c>
      <c r="D59" s="4" t="s">
        <v>204</v>
      </c>
      <c r="E59" s="5">
        <v>1039389</v>
      </c>
      <c r="F59" s="6">
        <v>5286.8521485000001</v>
      </c>
      <c r="G59" s="7">
        <v>7.826777E-3</v>
      </c>
      <c r="H59" s="69"/>
    </row>
    <row r="60" spans="1:8" x14ac:dyDescent="0.2">
      <c r="A60" s="3">
        <v>54</v>
      </c>
      <c r="B60" s="4" t="s">
        <v>394</v>
      </c>
      <c r="C60" s="4" t="s">
        <v>395</v>
      </c>
      <c r="D60" s="4" t="s">
        <v>975</v>
      </c>
      <c r="E60" s="5">
        <v>1513182</v>
      </c>
      <c r="F60" s="6">
        <v>4907.2492259999999</v>
      </c>
      <c r="G60" s="7">
        <v>7.2648039999999997E-3</v>
      </c>
      <c r="H60" s="69"/>
    </row>
    <row r="61" spans="1:8" ht="25.5" x14ac:dyDescent="0.2">
      <c r="A61" s="3">
        <v>55</v>
      </c>
      <c r="B61" s="4" t="s">
        <v>396</v>
      </c>
      <c r="C61" s="4" t="s">
        <v>397</v>
      </c>
      <c r="D61" s="4" t="s">
        <v>974</v>
      </c>
      <c r="E61" s="5">
        <v>250213</v>
      </c>
      <c r="F61" s="6">
        <v>4687.4903420000001</v>
      </c>
      <c r="G61" s="7">
        <v>6.9394679999999999E-3</v>
      </c>
      <c r="H61" s="69"/>
    </row>
    <row r="62" spans="1:8" x14ac:dyDescent="0.2">
      <c r="A62" s="3">
        <v>56</v>
      </c>
      <c r="B62" s="4" t="s">
        <v>398</v>
      </c>
      <c r="C62" s="4" t="s">
        <v>399</v>
      </c>
      <c r="D62" s="4" t="s">
        <v>160</v>
      </c>
      <c r="E62" s="5">
        <v>513728</v>
      </c>
      <c r="F62" s="6">
        <v>4656.4305919999997</v>
      </c>
      <c r="G62" s="7">
        <v>6.8934859999999999E-3</v>
      </c>
      <c r="H62" s="69"/>
    </row>
    <row r="63" spans="1:8" x14ac:dyDescent="0.2">
      <c r="A63" s="3">
        <v>57</v>
      </c>
      <c r="B63" s="4" t="s">
        <v>158</v>
      </c>
      <c r="C63" s="4" t="s">
        <v>159</v>
      </c>
      <c r="D63" s="4" t="s">
        <v>160</v>
      </c>
      <c r="E63" s="5">
        <v>278514</v>
      </c>
      <c r="F63" s="6">
        <v>4519.0289069999999</v>
      </c>
      <c r="G63" s="7">
        <v>6.6900739999999998E-3</v>
      </c>
      <c r="H63" s="69"/>
    </row>
    <row r="64" spans="1:8" x14ac:dyDescent="0.2">
      <c r="A64" s="3">
        <v>58</v>
      </c>
      <c r="B64" s="4" t="s">
        <v>185</v>
      </c>
      <c r="C64" s="4" t="s">
        <v>186</v>
      </c>
      <c r="D64" s="4" t="s">
        <v>16</v>
      </c>
      <c r="E64" s="5">
        <v>1396449</v>
      </c>
      <c r="F64" s="6">
        <v>4120.9209989999999</v>
      </c>
      <c r="G64" s="7">
        <v>6.100706E-3</v>
      </c>
      <c r="H64" s="69"/>
    </row>
    <row r="65" spans="1:8" x14ac:dyDescent="0.2">
      <c r="A65" s="3">
        <v>59</v>
      </c>
      <c r="B65" s="4" t="s">
        <v>400</v>
      </c>
      <c r="C65" s="4" t="s">
        <v>401</v>
      </c>
      <c r="D65" s="4" t="s">
        <v>334</v>
      </c>
      <c r="E65" s="5">
        <v>2450810</v>
      </c>
      <c r="F65" s="6">
        <v>3738.7106549999999</v>
      </c>
      <c r="G65" s="7">
        <v>5.534873E-3</v>
      </c>
      <c r="H65" s="69"/>
    </row>
    <row r="66" spans="1:8" x14ac:dyDescent="0.2">
      <c r="A66" s="3">
        <v>60</v>
      </c>
      <c r="B66" s="4" t="s">
        <v>402</v>
      </c>
      <c r="C66" s="4" t="s">
        <v>403</v>
      </c>
      <c r="D66" s="4" t="s">
        <v>75</v>
      </c>
      <c r="E66" s="5">
        <v>162060</v>
      </c>
      <c r="F66" s="6">
        <v>3043.8109199999999</v>
      </c>
      <c r="G66" s="7">
        <v>4.5061270000000004E-3</v>
      </c>
      <c r="H66" s="69"/>
    </row>
    <row r="67" spans="1:8" x14ac:dyDescent="0.2">
      <c r="A67" s="3">
        <v>61</v>
      </c>
      <c r="B67" s="4" t="s">
        <v>30</v>
      </c>
      <c r="C67" s="4" t="s">
        <v>31</v>
      </c>
      <c r="D67" s="4" t="s">
        <v>32</v>
      </c>
      <c r="E67" s="5">
        <v>1300000</v>
      </c>
      <c r="F67" s="6">
        <v>2818.4</v>
      </c>
      <c r="G67" s="7">
        <v>4.1724240000000001E-3</v>
      </c>
      <c r="H67" s="69"/>
    </row>
    <row r="68" spans="1:8" ht="25.5" x14ac:dyDescent="0.2">
      <c r="A68" s="3">
        <v>62</v>
      </c>
      <c r="B68" s="4" t="s">
        <v>404</v>
      </c>
      <c r="C68" s="4" t="s">
        <v>405</v>
      </c>
      <c r="D68" s="4" t="s">
        <v>207</v>
      </c>
      <c r="E68" s="5">
        <v>340866</v>
      </c>
      <c r="F68" s="6">
        <v>2653.9826760000001</v>
      </c>
      <c r="G68" s="7">
        <v>3.9290169999999999E-3</v>
      </c>
      <c r="H68" s="69"/>
    </row>
    <row r="69" spans="1:8" x14ac:dyDescent="0.2">
      <c r="A69" s="3">
        <v>63</v>
      </c>
      <c r="B69" s="4" t="s">
        <v>406</v>
      </c>
      <c r="C69" s="4" t="s">
        <v>407</v>
      </c>
      <c r="D69" s="4" t="s">
        <v>27</v>
      </c>
      <c r="E69" s="5">
        <v>51876</v>
      </c>
      <c r="F69" s="6">
        <v>1140.0788520000001</v>
      </c>
      <c r="G69" s="7">
        <v>1.687799E-3</v>
      </c>
      <c r="H69" s="69"/>
    </row>
    <row r="70" spans="1:8" x14ac:dyDescent="0.2">
      <c r="A70" s="3">
        <v>64</v>
      </c>
      <c r="B70" s="4" t="s">
        <v>35</v>
      </c>
      <c r="C70" s="4" t="s">
        <v>36</v>
      </c>
      <c r="D70" s="4" t="s">
        <v>27</v>
      </c>
      <c r="E70" s="5">
        <v>6329</v>
      </c>
      <c r="F70" s="6">
        <v>145.94357550000001</v>
      </c>
      <c r="G70" s="7">
        <v>2.1605800000000001E-4</v>
      </c>
      <c r="H70" s="69"/>
    </row>
    <row r="71" spans="1:8" x14ac:dyDescent="0.2">
      <c r="A71" s="1"/>
      <c r="B71" s="1"/>
      <c r="C71" s="2" t="s">
        <v>95</v>
      </c>
      <c r="D71" s="1"/>
      <c r="E71" s="1" t="s">
        <v>96</v>
      </c>
      <c r="F71" s="9">
        <v>661277.16301050002</v>
      </c>
      <c r="G71" s="10">
        <v>0.97896984300000001</v>
      </c>
      <c r="H71" s="69"/>
    </row>
    <row r="72" spans="1:8" x14ac:dyDescent="0.2">
      <c r="A72" s="1"/>
      <c r="B72" s="1"/>
      <c r="C72" s="11"/>
      <c r="D72" s="1"/>
      <c r="E72" s="1"/>
      <c r="F72" s="12"/>
      <c r="G72" s="12"/>
      <c r="H72" s="69"/>
    </row>
    <row r="73" spans="1:8" x14ac:dyDescent="0.2">
      <c r="A73" s="1"/>
      <c r="B73" s="1"/>
      <c r="C73" s="2" t="s">
        <v>97</v>
      </c>
      <c r="D73" s="1"/>
      <c r="E73" s="1"/>
      <c r="F73" s="1"/>
      <c r="G73" s="1"/>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98</v>
      </c>
      <c r="D76" s="1"/>
      <c r="E76" s="1"/>
      <c r="F76" s="1"/>
      <c r="G76" s="1"/>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99</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100</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101</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102</v>
      </c>
      <c r="D88" s="1"/>
      <c r="E88" s="1"/>
      <c r="F88" s="9">
        <v>661277.16301050002</v>
      </c>
      <c r="G88" s="10">
        <v>0.97896984300000001</v>
      </c>
      <c r="H88" s="69"/>
    </row>
    <row r="89" spans="1:8" x14ac:dyDescent="0.2">
      <c r="A89" s="1"/>
      <c r="B89" s="1"/>
      <c r="C89" s="11"/>
      <c r="D89" s="1"/>
      <c r="E89" s="1"/>
      <c r="F89" s="12"/>
      <c r="G89" s="12"/>
      <c r="H89" s="69"/>
    </row>
    <row r="90" spans="1:8" x14ac:dyDescent="0.2">
      <c r="A90" s="1"/>
      <c r="B90" s="1"/>
      <c r="C90" s="2" t="s">
        <v>103</v>
      </c>
      <c r="D90" s="1"/>
      <c r="E90" s="1"/>
      <c r="F90" s="12"/>
      <c r="G90" s="12"/>
      <c r="H90" s="69"/>
    </row>
    <row r="91" spans="1:8" ht="25.5" x14ac:dyDescent="0.2">
      <c r="A91" s="1"/>
      <c r="B91" s="1"/>
      <c r="C91" s="2" t="s">
        <v>10</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104</v>
      </c>
      <c r="D94" s="1"/>
      <c r="E94" s="1"/>
      <c r="F94" s="1"/>
      <c r="G94" s="1"/>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105</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106</v>
      </c>
      <c r="D100" s="1"/>
      <c r="E100" s="1"/>
      <c r="F100" s="12"/>
      <c r="G100" s="12"/>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107</v>
      </c>
      <c r="D103" s="1"/>
      <c r="E103" s="1"/>
      <c r="F103" s="9">
        <v>0</v>
      </c>
      <c r="G103" s="10">
        <v>0</v>
      </c>
      <c r="H103" s="69"/>
    </row>
    <row r="104" spans="1:8" x14ac:dyDescent="0.2">
      <c r="A104" s="1"/>
      <c r="B104" s="1"/>
      <c r="C104" s="11"/>
      <c r="D104" s="1"/>
      <c r="E104" s="1"/>
      <c r="F104" s="12"/>
      <c r="G104" s="12"/>
      <c r="H104" s="69"/>
    </row>
    <row r="105" spans="1:8" x14ac:dyDescent="0.2">
      <c r="A105" s="1"/>
      <c r="B105" s="1"/>
      <c r="C105" s="2" t="s">
        <v>108</v>
      </c>
      <c r="D105" s="1"/>
      <c r="E105" s="1"/>
      <c r="F105" s="12"/>
      <c r="G105" s="12"/>
      <c r="H105" s="69"/>
    </row>
    <row r="106" spans="1:8" x14ac:dyDescent="0.2">
      <c r="A106" s="1"/>
      <c r="B106" s="1"/>
      <c r="C106" s="2" t="s">
        <v>109</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110</v>
      </c>
      <c r="D109" s="1"/>
      <c r="E109" s="1"/>
      <c r="F109" s="12"/>
      <c r="G109" s="12"/>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111</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112</v>
      </c>
      <c r="D115" s="1"/>
      <c r="E115" s="1"/>
      <c r="F115" s="12"/>
      <c r="G115" s="12"/>
      <c r="H115" s="69"/>
    </row>
    <row r="116" spans="1:8" x14ac:dyDescent="0.2">
      <c r="A116" s="3">
        <v>1</v>
      </c>
      <c r="B116" s="4"/>
      <c r="C116" s="4" t="s">
        <v>113</v>
      </c>
      <c r="D116" s="4"/>
      <c r="E116" s="8"/>
      <c r="F116" s="6">
        <v>6989.0111795000003</v>
      </c>
      <c r="G116" s="7">
        <v>1.0346691999999999E-2</v>
      </c>
      <c r="H116" s="6">
        <v>3.3628721504199861</v>
      </c>
    </row>
    <row r="117" spans="1:8" x14ac:dyDescent="0.2">
      <c r="A117" s="3">
        <v>2</v>
      </c>
      <c r="B117" s="4"/>
      <c r="C117" s="4" t="s">
        <v>114</v>
      </c>
      <c r="D117" s="4"/>
      <c r="E117" s="8"/>
      <c r="F117" s="6">
        <v>2699.0921840000001</v>
      </c>
      <c r="G117" s="7">
        <v>3.9957980000000001E-3</v>
      </c>
      <c r="H117" s="6">
        <v>3.4499999999999966</v>
      </c>
    </row>
    <row r="118" spans="1:8" x14ac:dyDescent="0.2">
      <c r="A118" s="1"/>
      <c r="B118" s="1"/>
      <c r="C118" s="2" t="s">
        <v>95</v>
      </c>
      <c r="D118" s="1"/>
      <c r="E118" s="1" t="s">
        <v>96</v>
      </c>
      <c r="F118" s="9">
        <v>9688.1033635000003</v>
      </c>
      <c r="G118" s="10">
        <v>1.4342489999999999E-2</v>
      </c>
      <c r="H118" s="69"/>
    </row>
    <row r="119" spans="1:8" x14ac:dyDescent="0.2">
      <c r="A119" s="1"/>
      <c r="B119" s="1"/>
      <c r="C119" s="11"/>
      <c r="D119" s="1"/>
      <c r="E119" s="1"/>
      <c r="F119" s="12"/>
      <c r="G119" s="12"/>
      <c r="H119" s="69"/>
    </row>
    <row r="120" spans="1:8" x14ac:dyDescent="0.2">
      <c r="A120" s="1"/>
      <c r="B120" s="1"/>
      <c r="C120" s="2" t="s">
        <v>115</v>
      </c>
      <c r="D120" s="1"/>
      <c r="E120" s="1"/>
      <c r="F120" s="9">
        <v>9688.1033635000003</v>
      </c>
      <c r="G120" s="10">
        <v>1.4342489999999999E-2</v>
      </c>
      <c r="H120" s="69"/>
    </row>
    <row r="121" spans="1:8" x14ac:dyDescent="0.2">
      <c r="A121" s="1"/>
      <c r="B121" s="1"/>
      <c r="C121" s="12"/>
      <c r="D121" s="1"/>
      <c r="E121" s="1"/>
      <c r="F121" s="1"/>
      <c r="G121" s="1"/>
      <c r="H121" s="69"/>
    </row>
    <row r="122" spans="1:8" x14ac:dyDescent="0.2">
      <c r="A122" s="1"/>
      <c r="B122" s="1"/>
      <c r="C122" s="2" t="s">
        <v>116</v>
      </c>
      <c r="D122" s="1"/>
      <c r="E122" s="1"/>
      <c r="F122" s="1"/>
      <c r="G122" s="1"/>
      <c r="H122" s="69"/>
    </row>
    <row r="123" spans="1:8" x14ac:dyDescent="0.2">
      <c r="A123" s="1"/>
      <c r="B123" s="1"/>
      <c r="C123" s="2" t="s">
        <v>117</v>
      </c>
      <c r="D123" s="1"/>
      <c r="E123" s="1"/>
      <c r="F123" s="1"/>
      <c r="G123" s="1"/>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118</v>
      </c>
      <c r="D126" s="1"/>
      <c r="E126" s="1"/>
      <c r="F126" s="1"/>
      <c r="G126" s="1"/>
      <c r="H126" s="69"/>
    </row>
    <row r="127" spans="1:8" x14ac:dyDescent="0.2">
      <c r="A127" s="1"/>
      <c r="B127" s="1"/>
      <c r="C127" s="2" t="s">
        <v>119</v>
      </c>
      <c r="D127" s="1"/>
      <c r="E127" s="1"/>
      <c r="F127" s="1"/>
      <c r="G127" s="1"/>
      <c r="H127" s="69"/>
    </row>
    <row r="128" spans="1:8" x14ac:dyDescent="0.2">
      <c r="A128" s="1"/>
      <c r="B128" s="1"/>
      <c r="C128" s="2" t="s">
        <v>95</v>
      </c>
      <c r="D128" s="1"/>
      <c r="E128" s="1" t="s">
        <v>96</v>
      </c>
      <c r="F128" s="13">
        <v>0</v>
      </c>
      <c r="G128" s="14">
        <v>0</v>
      </c>
      <c r="H128" s="69"/>
    </row>
    <row r="129" spans="1:8" x14ac:dyDescent="0.2">
      <c r="A129" s="1"/>
      <c r="B129" s="1"/>
      <c r="C129" s="11"/>
      <c r="D129" s="1"/>
      <c r="E129" s="1"/>
      <c r="F129" s="12"/>
      <c r="G129" s="12"/>
      <c r="H129" s="69"/>
    </row>
    <row r="130" spans="1:8" x14ac:dyDescent="0.2">
      <c r="A130" s="1"/>
      <c r="B130" s="1"/>
      <c r="C130" s="11"/>
      <c r="D130" s="1"/>
      <c r="E130" s="1"/>
      <c r="F130" s="12"/>
      <c r="G130" s="12"/>
      <c r="H130" s="69"/>
    </row>
    <row r="131" spans="1:8" ht="25.5" x14ac:dyDescent="0.2">
      <c r="A131" s="1"/>
      <c r="B131" s="1"/>
      <c r="C131" s="2" t="s">
        <v>120</v>
      </c>
      <c r="D131" s="1"/>
      <c r="E131" s="1"/>
      <c r="F131" s="12"/>
      <c r="G131" s="12"/>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4"/>
      <c r="C134" s="4"/>
      <c r="D134" s="2"/>
      <c r="E134" s="1"/>
      <c r="F134" s="4"/>
      <c r="G134" s="8"/>
      <c r="H134" s="69"/>
    </row>
    <row r="135" spans="1:8" x14ac:dyDescent="0.2">
      <c r="A135" s="8"/>
      <c r="B135" s="4"/>
      <c r="C135" s="4" t="s">
        <v>121</v>
      </c>
      <c r="D135" s="4"/>
      <c r="E135" s="8"/>
      <c r="F135" s="6">
        <v>4517.4045157800001</v>
      </c>
      <c r="G135" s="7">
        <v>6.6876690000000003E-3</v>
      </c>
      <c r="H135" s="69"/>
    </row>
    <row r="136" spans="1:8" x14ac:dyDescent="0.2">
      <c r="A136" s="11"/>
      <c r="B136" s="11"/>
      <c r="C136" s="2" t="s">
        <v>122</v>
      </c>
      <c r="D136" s="15"/>
      <c r="E136" s="15"/>
      <c r="F136" s="9">
        <v>675482.67088978004</v>
      </c>
      <c r="G136" s="10">
        <v>1.0000000019999999</v>
      </c>
      <c r="H136" s="69"/>
    </row>
    <row r="137" spans="1:8" ht="14.1" customHeight="1" x14ac:dyDescent="0.2">
      <c r="A137" s="16"/>
      <c r="B137" s="16"/>
      <c r="C137" s="16"/>
      <c r="D137" s="17"/>
      <c r="E137" s="17"/>
      <c r="F137" s="17"/>
      <c r="G137" s="17"/>
    </row>
    <row r="138" spans="1:8" ht="14.1" customHeight="1" x14ac:dyDescent="0.2">
      <c r="A138" s="18"/>
      <c r="B138" s="176" t="s">
        <v>96</v>
      </c>
      <c r="C138" s="176"/>
      <c r="D138" s="176"/>
      <c r="E138" s="176"/>
      <c r="F138" s="176"/>
      <c r="G138" s="20"/>
    </row>
    <row r="139" spans="1:8" ht="14.1" customHeight="1" x14ac:dyDescent="0.2">
      <c r="A139" s="18"/>
      <c r="B139" s="176" t="s">
        <v>96</v>
      </c>
      <c r="C139" s="176"/>
      <c r="D139" s="176"/>
      <c r="E139" s="176"/>
      <c r="F139" s="176"/>
      <c r="G139" s="20"/>
    </row>
    <row r="140" spans="1:8" ht="14.1" customHeight="1" x14ac:dyDescent="0.2">
      <c r="A140" s="18"/>
      <c r="B140" s="18"/>
      <c r="C140" s="18"/>
      <c r="D140" s="20"/>
      <c r="E140" s="20"/>
      <c r="F140" s="20"/>
      <c r="G140" s="20"/>
    </row>
    <row r="141" spans="1:8" ht="14.1" customHeight="1" x14ac:dyDescent="0.2">
      <c r="A141" s="18"/>
      <c r="B141" s="174" t="s">
        <v>124</v>
      </c>
      <c r="C141" s="175"/>
      <c r="D141" s="12" t="s">
        <v>96</v>
      </c>
      <c r="E141" s="21"/>
      <c r="F141" s="20"/>
      <c r="G141" s="20"/>
    </row>
    <row r="142" spans="1:8" ht="29.1" customHeight="1" x14ac:dyDescent="0.2">
      <c r="A142" s="18"/>
      <c r="B142" s="172" t="s">
        <v>125</v>
      </c>
      <c r="C142" s="173"/>
      <c r="D142" s="2" t="s">
        <v>126</v>
      </c>
      <c r="E142" s="21"/>
      <c r="F142" s="20"/>
      <c r="G142" s="20"/>
    </row>
    <row r="143" spans="1:8" ht="17.100000000000001" customHeight="1" x14ac:dyDescent="0.2">
      <c r="A143" s="18"/>
      <c r="B143" s="172" t="s">
        <v>127</v>
      </c>
      <c r="C143" s="173"/>
      <c r="D143" s="2" t="s">
        <v>126</v>
      </c>
      <c r="E143" s="21"/>
      <c r="F143" s="20"/>
      <c r="G143" s="20"/>
    </row>
    <row r="144" spans="1:8" ht="17.100000000000001" customHeight="1" x14ac:dyDescent="0.2">
      <c r="A144" s="18"/>
      <c r="B144" s="172" t="s">
        <v>128</v>
      </c>
      <c r="C144" s="173"/>
      <c r="D144" s="12" t="s">
        <v>96</v>
      </c>
      <c r="E144" s="21"/>
      <c r="F144" s="20"/>
      <c r="G144" s="20"/>
    </row>
    <row r="145" spans="1:16" ht="24" customHeight="1" x14ac:dyDescent="0.2">
      <c r="A145" s="22"/>
      <c r="B145" s="23" t="s">
        <v>96</v>
      </c>
      <c r="C145" s="23" t="s">
        <v>129</v>
      </c>
      <c r="D145" s="23" t="s">
        <v>130</v>
      </c>
      <c r="E145" s="22"/>
      <c r="F145" s="22"/>
      <c r="G145" s="22"/>
    </row>
    <row r="146" spans="1:16" ht="18" customHeight="1" x14ac:dyDescent="0.2">
      <c r="A146" s="22"/>
      <c r="B146" s="23" t="s">
        <v>131</v>
      </c>
      <c r="C146" s="23" t="s">
        <v>132</v>
      </c>
      <c r="D146" s="23" t="s">
        <v>133</v>
      </c>
      <c r="E146" s="22"/>
      <c r="F146" s="22"/>
      <c r="G146" s="22"/>
    </row>
    <row r="147" spans="1:16" ht="17.100000000000001" customHeight="1" x14ac:dyDescent="0.2">
      <c r="A147" s="22"/>
      <c r="B147" s="4" t="s">
        <v>134</v>
      </c>
      <c r="C147" s="24">
        <v>747.53150000000005</v>
      </c>
      <c r="D147" s="24">
        <v>733.48770000000002</v>
      </c>
      <c r="E147" s="22"/>
      <c r="F147" s="19"/>
      <c r="G147" s="25"/>
    </row>
    <row r="148" spans="1:16" ht="17.100000000000001" customHeight="1" x14ac:dyDescent="0.2">
      <c r="A148" s="22"/>
      <c r="B148" s="4" t="s">
        <v>983</v>
      </c>
      <c r="C148" s="24">
        <v>46.898600000000002</v>
      </c>
      <c r="D148" s="24">
        <v>46.017600000000002</v>
      </c>
      <c r="E148" s="22"/>
      <c r="F148" s="19"/>
      <c r="G148" s="25"/>
    </row>
    <row r="149" spans="1:16" ht="29.1" customHeight="1" x14ac:dyDescent="0.2">
      <c r="A149" s="22"/>
      <c r="B149" s="4" t="s">
        <v>408</v>
      </c>
      <c r="C149" s="24">
        <v>762.99950000000001</v>
      </c>
      <c r="D149" s="24">
        <v>748.66499999999996</v>
      </c>
      <c r="E149" s="22"/>
      <c r="F149" s="19"/>
      <c r="G149" s="25"/>
    </row>
    <row r="150" spans="1:16" ht="29.1" customHeight="1" x14ac:dyDescent="0.2">
      <c r="A150" s="22"/>
      <c r="B150" s="4" t="s">
        <v>986</v>
      </c>
      <c r="C150" s="24">
        <v>40.419800000000002</v>
      </c>
      <c r="D150" s="24">
        <v>39.660600000000002</v>
      </c>
      <c r="E150" s="22"/>
      <c r="F150" s="19"/>
      <c r="G150" s="25"/>
    </row>
    <row r="151" spans="1:16" ht="17.100000000000001" customHeight="1" x14ac:dyDescent="0.2">
      <c r="A151" s="22"/>
      <c r="B151" s="4" t="s">
        <v>135</v>
      </c>
      <c r="C151" s="24">
        <v>706.82569999999998</v>
      </c>
      <c r="D151" s="24">
        <v>693.12289999999996</v>
      </c>
      <c r="E151" s="22"/>
      <c r="F151" s="19"/>
      <c r="G151" s="25"/>
    </row>
    <row r="152" spans="1:16" ht="17.100000000000001" customHeight="1" x14ac:dyDescent="0.2">
      <c r="A152" s="22"/>
      <c r="B152" s="4" t="s">
        <v>984</v>
      </c>
      <c r="C152" s="24">
        <v>43.725200000000001</v>
      </c>
      <c r="D152" s="24">
        <v>42.877499999999998</v>
      </c>
      <c r="E152" s="22"/>
      <c r="F152" s="19"/>
      <c r="G152" s="25"/>
    </row>
    <row r="153" spans="1:16" ht="14.1" customHeight="1" x14ac:dyDescent="0.2">
      <c r="A153" s="22"/>
      <c r="B153" s="22"/>
      <c r="C153" s="22"/>
      <c r="D153" s="22"/>
      <c r="E153" s="22"/>
      <c r="F153" s="22"/>
      <c r="G153" s="22"/>
    </row>
    <row r="154" spans="1:16" ht="17.100000000000001" customHeight="1" x14ac:dyDescent="0.2">
      <c r="A154" s="22"/>
      <c r="B154" s="172" t="s">
        <v>985</v>
      </c>
      <c r="C154" s="173"/>
      <c r="D154" s="2" t="s">
        <v>126</v>
      </c>
      <c r="E154" s="22"/>
      <c r="F154" s="22"/>
      <c r="G154" s="22"/>
      <c r="I154" s="82"/>
      <c r="J154" s="82"/>
      <c r="K154" s="82"/>
      <c r="L154" s="82"/>
      <c r="M154" s="82"/>
      <c r="N154" s="82"/>
      <c r="O154" s="82"/>
    </row>
    <row r="155" spans="1:16" ht="18" customHeight="1" x14ac:dyDescent="0.2">
      <c r="A155" s="22"/>
      <c r="B155" s="26" t="s">
        <v>136</v>
      </c>
      <c r="C155" s="26" t="s">
        <v>136</v>
      </c>
      <c r="D155" s="26"/>
      <c r="E155" s="22"/>
      <c r="F155" s="22"/>
      <c r="G155" s="22"/>
    </row>
    <row r="156" spans="1:16" s="82" customFormat="1" x14ac:dyDescent="0.2">
      <c r="B156" s="177" t="s">
        <v>936</v>
      </c>
      <c r="C156" s="177"/>
      <c r="D156" s="177"/>
      <c r="E156" s="177"/>
      <c r="F156" s="177"/>
      <c r="I156"/>
      <c r="J156"/>
      <c r="K156"/>
      <c r="L156"/>
      <c r="M156"/>
      <c r="N156"/>
      <c r="O156"/>
      <c r="P156" s="70"/>
    </row>
    <row r="157" spans="1:16" ht="14.1" customHeight="1" x14ac:dyDescent="0.2">
      <c r="A157" s="22"/>
      <c r="B157" s="19"/>
      <c r="C157" s="19"/>
      <c r="D157" s="22"/>
      <c r="E157" s="22"/>
      <c r="F157" s="22"/>
      <c r="G157" s="22"/>
    </row>
    <row r="158" spans="1:16" ht="29.1" customHeight="1" x14ac:dyDescent="0.2">
      <c r="A158" s="22"/>
      <c r="B158" s="172" t="s">
        <v>137</v>
      </c>
      <c r="C158" s="173"/>
      <c r="D158" s="2" t="s">
        <v>126</v>
      </c>
      <c r="E158" s="22"/>
      <c r="F158" s="22"/>
      <c r="G158" s="22"/>
    </row>
    <row r="159" spans="1:16" ht="29.1" customHeight="1" x14ac:dyDescent="0.2">
      <c r="A159" s="22"/>
      <c r="B159" s="172" t="s">
        <v>138</v>
      </c>
      <c r="C159" s="173"/>
      <c r="D159" s="2" t="s">
        <v>126</v>
      </c>
      <c r="E159" s="22"/>
      <c r="F159" s="22"/>
      <c r="G159" s="22"/>
    </row>
    <row r="160" spans="1:16" ht="17.100000000000001" customHeight="1" x14ac:dyDescent="0.2">
      <c r="A160" s="22"/>
      <c r="B160" s="172" t="s">
        <v>139</v>
      </c>
      <c r="C160" s="173"/>
      <c r="D160" s="27">
        <v>0.3444885045656747</v>
      </c>
      <c r="E160" s="22"/>
      <c r="F160" s="19"/>
      <c r="G160" s="25"/>
    </row>
    <row r="161" spans="1:7" ht="17.100000000000001" customHeight="1" x14ac:dyDescent="0.2">
      <c r="A161" s="22"/>
      <c r="B161" s="172" t="s">
        <v>140</v>
      </c>
      <c r="C161" s="173"/>
      <c r="D161" s="2" t="s">
        <v>126</v>
      </c>
      <c r="E161" s="22"/>
      <c r="F161" s="22"/>
      <c r="G161" s="22"/>
    </row>
  </sheetData>
  <mergeCells count="16">
    <mergeCell ref="B161:C161"/>
    <mergeCell ref="B142:C142"/>
    <mergeCell ref="B143:C143"/>
    <mergeCell ref="B144:C144"/>
    <mergeCell ref="B154:C154"/>
    <mergeCell ref="B158:C158"/>
    <mergeCell ref="B159:C159"/>
    <mergeCell ref="B156:F156"/>
    <mergeCell ref="A1:H1"/>
    <mergeCell ref="A2:H2"/>
    <mergeCell ref="A3:H3"/>
    <mergeCell ref="J2:N2"/>
    <mergeCell ref="B160:C160"/>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46"/>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409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v>
      </c>
      <c r="C7" s="4" t="s">
        <v>15</v>
      </c>
      <c r="D7" s="4" t="s">
        <v>16</v>
      </c>
      <c r="E7" s="5">
        <v>43007</v>
      </c>
      <c r="F7" s="6">
        <v>1034.490378</v>
      </c>
      <c r="G7" s="7">
        <v>7.3552515999999998E-2</v>
      </c>
      <c r="H7" s="69"/>
    </row>
    <row r="8" spans="1:14" x14ac:dyDescent="0.2">
      <c r="A8" s="3">
        <v>2</v>
      </c>
      <c r="B8" s="4" t="s">
        <v>20</v>
      </c>
      <c r="C8" s="4" t="s">
        <v>21</v>
      </c>
      <c r="D8" s="4" t="s">
        <v>22</v>
      </c>
      <c r="E8" s="5">
        <v>133360</v>
      </c>
      <c r="F8" s="6">
        <v>952.65715999999998</v>
      </c>
      <c r="G8" s="7">
        <v>6.7734154000000005E-2</v>
      </c>
      <c r="H8" s="69"/>
    </row>
    <row r="9" spans="1:14" x14ac:dyDescent="0.2">
      <c r="A9" s="3">
        <v>3</v>
      </c>
      <c r="B9" s="4" t="s">
        <v>410</v>
      </c>
      <c r="C9" s="4" t="s">
        <v>411</v>
      </c>
      <c r="D9" s="4" t="s">
        <v>22</v>
      </c>
      <c r="E9" s="5">
        <v>56172</v>
      </c>
      <c r="F9" s="6">
        <v>838.956906</v>
      </c>
      <c r="G9" s="7">
        <v>5.9650039000000002E-2</v>
      </c>
      <c r="H9" s="69"/>
    </row>
    <row r="10" spans="1:14" x14ac:dyDescent="0.2">
      <c r="A10" s="3">
        <v>4</v>
      </c>
      <c r="B10" s="4" t="s">
        <v>412</v>
      </c>
      <c r="C10" s="4" t="s">
        <v>413</v>
      </c>
      <c r="D10" s="4" t="s">
        <v>155</v>
      </c>
      <c r="E10" s="5">
        <v>41823</v>
      </c>
      <c r="F10" s="6">
        <v>716.28160949999995</v>
      </c>
      <c r="G10" s="7">
        <v>5.0927794999999998E-2</v>
      </c>
      <c r="H10" s="69"/>
    </row>
    <row r="11" spans="1:14" ht="25.5" x14ac:dyDescent="0.2">
      <c r="A11" s="3">
        <v>5</v>
      </c>
      <c r="B11" s="4" t="s">
        <v>414</v>
      </c>
      <c r="C11" s="4" t="s">
        <v>415</v>
      </c>
      <c r="D11" s="4" t="s">
        <v>78</v>
      </c>
      <c r="E11" s="5">
        <v>21645</v>
      </c>
      <c r="F11" s="6">
        <v>578.59249499999999</v>
      </c>
      <c r="G11" s="7">
        <v>4.1138066000000001E-2</v>
      </c>
      <c r="H11" s="69"/>
    </row>
    <row r="12" spans="1:14" x14ac:dyDescent="0.2">
      <c r="A12" s="3">
        <v>6</v>
      </c>
      <c r="B12" s="4" t="s">
        <v>25</v>
      </c>
      <c r="C12" s="4" t="s">
        <v>26</v>
      </c>
      <c r="D12" s="4" t="s">
        <v>27</v>
      </c>
      <c r="E12" s="5">
        <v>31150</v>
      </c>
      <c r="F12" s="6">
        <v>502.52737500000001</v>
      </c>
      <c r="G12" s="7">
        <v>3.5729818000000003E-2</v>
      </c>
      <c r="H12" s="69"/>
    </row>
    <row r="13" spans="1:14" x14ac:dyDescent="0.2">
      <c r="A13" s="3">
        <v>7</v>
      </c>
      <c r="B13" s="4" t="s">
        <v>416</v>
      </c>
      <c r="C13" s="4" t="s">
        <v>417</v>
      </c>
      <c r="D13" s="4" t="s">
        <v>22</v>
      </c>
      <c r="E13" s="5">
        <v>108901</v>
      </c>
      <c r="F13" s="6">
        <v>501.54355550000002</v>
      </c>
      <c r="G13" s="7">
        <v>3.5659867999999997E-2</v>
      </c>
      <c r="H13" s="69"/>
    </row>
    <row r="14" spans="1:14" x14ac:dyDescent="0.2">
      <c r="A14" s="3">
        <v>8</v>
      </c>
      <c r="B14" s="4" t="s">
        <v>326</v>
      </c>
      <c r="C14" s="4" t="s">
        <v>327</v>
      </c>
      <c r="D14" s="4" t="s">
        <v>22</v>
      </c>
      <c r="E14" s="5">
        <v>66020</v>
      </c>
      <c r="F14" s="6">
        <v>432.86013000000003</v>
      </c>
      <c r="G14" s="7">
        <v>3.0776459999999999E-2</v>
      </c>
      <c r="H14" s="69"/>
    </row>
    <row r="15" spans="1:14" ht="25.5" x14ac:dyDescent="0.2">
      <c r="A15" s="3">
        <v>9</v>
      </c>
      <c r="B15" s="4" t="s">
        <v>322</v>
      </c>
      <c r="C15" s="4" t="s">
        <v>323</v>
      </c>
      <c r="D15" s="4" t="s">
        <v>207</v>
      </c>
      <c r="E15" s="5">
        <v>46412</v>
      </c>
      <c r="F15" s="6">
        <v>413.73977400000001</v>
      </c>
      <c r="G15" s="7">
        <v>2.9416998E-2</v>
      </c>
      <c r="H15" s="69"/>
      <c r="J15" s="160" t="s">
        <v>1013</v>
      </c>
    </row>
    <row r="16" spans="1:14" x14ac:dyDescent="0.2">
      <c r="A16" s="3">
        <v>10</v>
      </c>
      <c r="B16" s="4" t="s">
        <v>11</v>
      </c>
      <c r="C16" s="4" t="s">
        <v>12</v>
      </c>
      <c r="D16" s="4" t="s">
        <v>13</v>
      </c>
      <c r="E16" s="5">
        <v>23069</v>
      </c>
      <c r="F16" s="6">
        <v>407.11017750000002</v>
      </c>
      <c r="G16" s="7">
        <v>2.8945631999999999E-2</v>
      </c>
      <c r="H16" s="69"/>
    </row>
    <row r="17" spans="1:8" x14ac:dyDescent="0.2">
      <c r="A17" s="3">
        <v>11</v>
      </c>
      <c r="B17" s="4" t="s">
        <v>142</v>
      </c>
      <c r="C17" s="4" t="s">
        <v>143</v>
      </c>
      <c r="D17" s="4" t="s">
        <v>144</v>
      </c>
      <c r="E17" s="5">
        <v>10484</v>
      </c>
      <c r="F17" s="6">
        <v>392.20643999999999</v>
      </c>
      <c r="G17" s="7">
        <v>2.7885973000000001E-2</v>
      </c>
      <c r="H17" s="69"/>
    </row>
    <row r="18" spans="1:8" x14ac:dyDescent="0.2">
      <c r="A18" s="3">
        <v>12</v>
      </c>
      <c r="B18" s="4" t="s">
        <v>357</v>
      </c>
      <c r="C18" s="4" t="s">
        <v>358</v>
      </c>
      <c r="D18" s="4" t="s">
        <v>976</v>
      </c>
      <c r="E18" s="5">
        <v>50010</v>
      </c>
      <c r="F18" s="6">
        <v>366.07319999999999</v>
      </c>
      <c r="G18" s="7">
        <v>2.6027893E-2</v>
      </c>
      <c r="H18" s="69"/>
    </row>
    <row r="19" spans="1:8" x14ac:dyDescent="0.2">
      <c r="A19" s="3">
        <v>13</v>
      </c>
      <c r="B19" s="4" t="s">
        <v>324</v>
      </c>
      <c r="C19" s="4" t="s">
        <v>325</v>
      </c>
      <c r="D19" s="4" t="s">
        <v>979</v>
      </c>
      <c r="E19" s="5">
        <v>9189</v>
      </c>
      <c r="F19" s="6">
        <v>335.49038999999999</v>
      </c>
      <c r="G19" s="7">
        <v>2.3853447999999999E-2</v>
      </c>
      <c r="H19" s="69"/>
    </row>
    <row r="20" spans="1:8" x14ac:dyDescent="0.2">
      <c r="A20" s="3">
        <v>14</v>
      </c>
      <c r="B20" s="4" t="s">
        <v>418</v>
      </c>
      <c r="C20" s="4" t="s">
        <v>419</v>
      </c>
      <c r="D20" s="4" t="s">
        <v>982</v>
      </c>
      <c r="E20" s="5">
        <v>28532</v>
      </c>
      <c r="F20" s="6">
        <v>331.12812600000001</v>
      </c>
      <c r="G20" s="7">
        <v>2.3543290000000001E-2</v>
      </c>
      <c r="H20" s="69"/>
    </row>
    <row r="21" spans="1:8" x14ac:dyDescent="0.2">
      <c r="A21" s="3">
        <v>15</v>
      </c>
      <c r="B21" s="4" t="s">
        <v>17</v>
      </c>
      <c r="C21" s="4" t="s">
        <v>18</v>
      </c>
      <c r="D21" s="4" t="s">
        <v>19</v>
      </c>
      <c r="E21" s="5">
        <v>45416</v>
      </c>
      <c r="F21" s="6">
        <v>330.74202000000002</v>
      </c>
      <c r="G21" s="7">
        <v>2.3515838000000001E-2</v>
      </c>
      <c r="H21" s="69"/>
    </row>
    <row r="22" spans="1:8" x14ac:dyDescent="0.2">
      <c r="A22" s="3">
        <v>16</v>
      </c>
      <c r="B22" s="4" t="s">
        <v>270</v>
      </c>
      <c r="C22" s="4" t="s">
        <v>271</v>
      </c>
      <c r="D22" s="4" t="s">
        <v>144</v>
      </c>
      <c r="E22" s="5">
        <v>57572</v>
      </c>
      <c r="F22" s="6">
        <v>329.65727199999998</v>
      </c>
      <c r="G22" s="7">
        <v>2.3438712E-2</v>
      </c>
      <c r="H22" s="69"/>
    </row>
    <row r="23" spans="1:8" x14ac:dyDescent="0.2">
      <c r="A23" s="3">
        <v>17</v>
      </c>
      <c r="B23" s="4" t="s">
        <v>420</v>
      </c>
      <c r="C23" s="4" t="s">
        <v>421</v>
      </c>
      <c r="D23" s="4" t="s">
        <v>155</v>
      </c>
      <c r="E23" s="5">
        <v>8898</v>
      </c>
      <c r="F23" s="6">
        <v>314.02376700000002</v>
      </c>
      <c r="G23" s="7">
        <v>2.2327165999999999E-2</v>
      </c>
      <c r="H23" s="69"/>
    </row>
    <row r="24" spans="1:8" x14ac:dyDescent="0.2">
      <c r="A24" s="3">
        <v>18</v>
      </c>
      <c r="B24" s="4" t="s">
        <v>187</v>
      </c>
      <c r="C24" s="4" t="s">
        <v>188</v>
      </c>
      <c r="D24" s="4" t="s">
        <v>978</v>
      </c>
      <c r="E24" s="5">
        <v>32477</v>
      </c>
      <c r="F24" s="6">
        <v>290.23071049999999</v>
      </c>
      <c r="G24" s="7">
        <v>2.0635474000000001E-2</v>
      </c>
      <c r="H24" s="69"/>
    </row>
    <row r="25" spans="1:8" ht="25.5" x14ac:dyDescent="0.2">
      <c r="A25" s="3">
        <v>19</v>
      </c>
      <c r="B25" s="4" t="s">
        <v>339</v>
      </c>
      <c r="C25" s="4" t="s">
        <v>340</v>
      </c>
      <c r="D25" s="4" t="s">
        <v>75</v>
      </c>
      <c r="E25" s="5">
        <v>62892</v>
      </c>
      <c r="F25" s="6">
        <v>281.91338999999999</v>
      </c>
      <c r="G25" s="7">
        <v>2.004411E-2</v>
      </c>
      <c r="H25" s="69"/>
    </row>
    <row r="26" spans="1:8" ht="25.5" x14ac:dyDescent="0.2">
      <c r="A26" s="3">
        <v>20</v>
      </c>
      <c r="B26" s="4" t="s">
        <v>23</v>
      </c>
      <c r="C26" s="4" t="s">
        <v>24</v>
      </c>
      <c r="D26" s="4" t="s">
        <v>974</v>
      </c>
      <c r="E26" s="5">
        <v>3567</v>
      </c>
      <c r="F26" s="6">
        <v>265.16186249999998</v>
      </c>
      <c r="G26" s="7">
        <v>1.8853071999999998E-2</v>
      </c>
      <c r="H26" s="69"/>
    </row>
    <row r="27" spans="1:8" x14ac:dyDescent="0.2">
      <c r="A27" s="3">
        <v>21</v>
      </c>
      <c r="B27" s="4" t="s">
        <v>158</v>
      </c>
      <c r="C27" s="4" t="s">
        <v>159</v>
      </c>
      <c r="D27" s="4" t="s">
        <v>160</v>
      </c>
      <c r="E27" s="5">
        <v>16000</v>
      </c>
      <c r="F27" s="6">
        <v>259.608</v>
      </c>
      <c r="G27" s="7">
        <v>1.8458191999999998E-2</v>
      </c>
      <c r="H27" s="69"/>
    </row>
    <row r="28" spans="1:8" x14ac:dyDescent="0.2">
      <c r="A28" s="3">
        <v>22</v>
      </c>
      <c r="B28" s="4" t="s">
        <v>422</v>
      </c>
      <c r="C28" s="4" t="s">
        <v>423</v>
      </c>
      <c r="D28" s="4" t="s">
        <v>155</v>
      </c>
      <c r="E28" s="5">
        <v>39000</v>
      </c>
      <c r="F28" s="6">
        <v>248.5275</v>
      </c>
      <c r="G28" s="7">
        <v>1.7670365E-2</v>
      </c>
      <c r="H28" s="69"/>
    </row>
    <row r="29" spans="1:8" x14ac:dyDescent="0.2">
      <c r="A29" s="3">
        <v>23</v>
      </c>
      <c r="B29" s="4" t="s">
        <v>424</v>
      </c>
      <c r="C29" s="4" t="s">
        <v>425</v>
      </c>
      <c r="D29" s="4" t="s">
        <v>204</v>
      </c>
      <c r="E29" s="5">
        <v>30197</v>
      </c>
      <c r="F29" s="6">
        <v>227.564592</v>
      </c>
      <c r="G29" s="7">
        <v>1.6179896999999999E-2</v>
      </c>
      <c r="H29" s="69"/>
    </row>
    <row r="30" spans="1:8" ht="25.5" x14ac:dyDescent="0.2">
      <c r="A30" s="3">
        <v>24</v>
      </c>
      <c r="B30" s="4" t="s">
        <v>426</v>
      </c>
      <c r="C30" s="4" t="s">
        <v>427</v>
      </c>
      <c r="D30" s="4" t="s">
        <v>207</v>
      </c>
      <c r="E30" s="5">
        <v>9430</v>
      </c>
      <c r="F30" s="6">
        <v>218.54496499999999</v>
      </c>
      <c r="G30" s="7">
        <v>1.55386E-2</v>
      </c>
      <c r="H30" s="69"/>
    </row>
    <row r="31" spans="1:8" x14ac:dyDescent="0.2">
      <c r="A31" s="3">
        <v>25</v>
      </c>
      <c r="B31" s="4" t="s">
        <v>380</v>
      </c>
      <c r="C31" s="4" t="s">
        <v>381</v>
      </c>
      <c r="D31" s="4" t="s">
        <v>155</v>
      </c>
      <c r="E31" s="5">
        <v>18271</v>
      </c>
      <c r="F31" s="6">
        <v>208.04274150000001</v>
      </c>
      <c r="G31" s="7">
        <v>1.4791889000000001E-2</v>
      </c>
      <c r="H31" s="69"/>
    </row>
    <row r="32" spans="1:8" x14ac:dyDescent="0.2">
      <c r="A32" s="3">
        <v>26</v>
      </c>
      <c r="B32" s="4" t="s">
        <v>428</v>
      </c>
      <c r="C32" s="4" t="s">
        <v>429</v>
      </c>
      <c r="D32" s="4" t="s">
        <v>155</v>
      </c>
      <c r="E32" s="5">
        <v>11437</v>
      </c>
      <c r="F32" s="6">
        <v>176.2956365</v>
      </c>
      <c r="G32" s="7">
        <v>1.2534662E-2</v>
      </c>
      <c r="H32" s="69"/>
    </row>
    <row r="33" spans="1:8" x14ac:dyDescent="0.2">
      <c r="A33" s="3">
        <v>27</v>
      </c>
      <c r="B33" s="4" t="s">
        <v>332</v>
      </c>
      <c r="C33" s="4" t="s">
        <v>333</v>
      </c>
      <c r="D33" s="4" t="s">
        <v>334</v>
      </c>
      <c r="E33" s="5">
        <v>16918</v>
      </c>
      <c r="F33" s="6">
        <v>171.61619200000001</v>
      </c>
      <c r="G33" s="7">
        <v>1.2201953E-2</v>
      </c>
      <c r="H33" s="69"/>
    </row>
    <row r="34" spans="1:8" x14ac:dyDescent="0.2">
      <c r="A34" s="3">
        <v>28</v>
      </c>
      <c r="B34" s="4" t="s">
        <v>316</v>
      </c>
      <c r="C34" s="4" t="s">
        <v>317</v>
      </c>
      <c r="D34" s="4" t="s">
        <v>221</v>
      </c>
      <c r="E34" s="5">
        <v>443</v>
      </c>
      <c r="F34" s="6">
        <v>170.071687</v>
      </c>
      <c r="G34" s="7">
        <v>1.2092138000000001E-2</v>
      </c>
      <c r="H34" s="69"/>
    </row>
    <row r="35" spans="1:8" x14ac:dyDescent="0.2">
      <c r="A35" s="3">
        <v>29</v>
      </c>
      <c r="B35" s="4" t="s">
        <v>430</v>
      </c>
      <c r="C35" s="4" t="s">
        <v>431</v>
      </c>
      <c r="D35" s="4" t="s">
        <v>432</v>
      </c>
      <c r="E35" s="5">
        <v>37242</v>
      </c>
      <c r="F35" s="6">
        <v>153.71635499999999</v>
      </c>
      <c r="G35" s="7">
        <v>1.092927E-2</v>
      </c>
      <c r="H35" s="69"/>
    </row>
    <row r="36" spans="1:8" x14ac:dyDescent="0.2">
      <c r="A36" s="3">
        <v>30</v>
      </c>
      <c r="B36" s="4" t="s">
        <v>363</v>
      </c>
      <c r="C36" s="4" t="s">
        <v>364</v>
      </c>
      <c r="D36" s="4" t="s">
        <v>48</v>
      </c>
      <c r="E36" s="5">
        <v>24502</v>
      </c>
      <c r="F36" s="6">
        <v>151.91239999999999</v>
      </c>
      <c r="G36" s="7">
        <v>1.0801008000000001E-2</v>
      </c>
      <c r="H36" s="69"/>
    </row>
    <row r="37" spans="1:8" x14ac:dyDescent="0.2">
      <c r="A37" s="3">
        <v>31</v>
      </c>
      <c r="B37" s="4" t="s">
        <v>328</v>
      </c>
      <c r="C37" s="4" t="s">
        <v>329</v>
      </c>
      <c r="D37" s="4" t="s">
        <v>27</v>
      </c>
      <c r="E37" s="5">
        <v>17143</v>
      </c>
      <c r="F37" s="6">
        <v>150.60125500000001</v>
      </c>
      <c r="G37" s="7">
        <v>1.0707786E-2</v>
      </c>
      <c r="H37" s="69"/>
    </row>
    <row r="38" spans="1:8" x14ac:dyDescent="0.2">
      <c r="A38" s="3">
        <v>32</v>
      </c>
      <c r="B38" s="4" t="s">
        <v>347</v>
      </c>
      <c r="C38" s="4" t="s">
        <v>348</v>
      </c>
      <c r="D38" s="4" t="s">
        <v>204</v>
      </c>
      <c r="E38" s="5">
        <v>4108</v>
      </c>
      <c r="F38" s="6">
        <v>147.28617800000001</v>
      </c>
      <c r="G38" s="7">
        <v>1.0472083E-2</v>
      </c>
      <c r="H38" s="69"/>
    </row>
    <row r="39" spans="1:8" x14ac:dyDescent="0.2">
      <c r="A39" s="3">
        <v>33</v>
      </c>
      <c r="B39" s="4" t="s">
        <v>433</v>
      </c>
      <c r="C39" s="4" t="s">
        <v>434</v>
      </c>
      <c r="D39" s="4" t="s">
        <v>160</v>
      </c>
      <c r="E39" s="5">
        <v>19492</v>
      </c>
      <c r="F39" s="6">
        <v>145.85863599999999</v>
      </c>
      <c r="G39" s="7">
        <v>1.0370584E-2</v>
      </c>
      <c r="H39" s="69"/>
    </row>
    <row r="40" spans="1:8" x14ac:dyDescent="0.2">
      <c r="A40" s="3">
        <v>34</v>
      </c>
      <c r="B40" s="4" t="s">
        <v>435</v>
      </c>
      <c r="C40" s="4" t="s">
        <v>436</v>
      </c>
      <c r="D40" s="4" t="s">
        <v>83</v>
      </c>
      <c r="E40" s="5">
        <v>17387</v>
      </c>
      <c r="F40" s="6">
        <v>145.26838499999999</v>
      </c>
      <c r="G40" s="7">
        <v>1.0328617E-2</v>
      </c>
      <c r="H40" s="69"/>
    </row>
    <row r="41" spans="1:8" x14ac:dyDescent="0.2">
      <c r="A41" s="3">
        <v>35</v>
      </c>
      <c r="B41" s="4" t="s">
        <v>39</v>
      </c>
      <c r="C41" s="4" t="s">
        <v>40</v>
      </c>
      <c r="D41" s="4" t="s">
        <v>16</v>
      </c>
      <c r="E41" s="5">
        <v>37123</v>
      </c>
      <c r="F41" s="6">
        <v>137.35509999999999</v>
      </c>
      <c r="G41" s="7">
        <v>9.765981E-3</v>
      </c>
      <c r="H41" s="69"/>
    </row>
    <row r="42" spans="1:8" x14ac:dyDescent="0.2">
      <c r="A42" s="3">
        <v>36</v>
      </c>
      <c r="B42" s="4" t="s">
        <v>351</v>
      </c>
      <c r="C42" s="4" t="s">
        <v>352</v>
      </c>
      <c r="D42" s="4" t="s">
        <v>22</v>
      </c>
      <c r="E42" s="5">
        <v>160000</v>
      </c>
      <c r="F42" s="6">
        <v>137.19999999999999</v>
      </c>
      <c r="G42" s="7">
        <v>9.7549530000000002E-3</v>
      </c>
      <c r="H42" s="69"/>
    </row>
    <row r="43" spans="1:8" x14ac:dyDescent="0.2">
      <c r="A43" s="3">
        <v>37</v>
      </c>
      <c r="B43" s="4" t="s">
        <v>359</v>
      </c>
      <c r="C43" s="4" t="s">
        <v>360</v>
      </c>
      <c r="D43" s="4" t="s">
        <v>160</v>
      </c>
      <c r="E43" s="5">
        <v>175</v>
      </c>
      <c r="F43" s="6">
        <v>130.60390000000001</v>
      </c>
      <c r="G43" s="7">
        <v>9.2859689999999998E-3</v>
      </c>
      <c r="H43" s="69"/>
    </row>
    <row r="44" spans="1:8" x14ac:dyDescent="0.2">
      <c r="A44" s="3">
        <v>38</v>
      </c>
      <c r="B44" s="4" t="s">
        <v>90</v>
      </c>
      <c r="C44" s="4" t="s">
        <v>91</v>
      </c>
      <c r="D44" s="4" t="s">
        <v>27</v>
      </c>
      <c r="E44" s="5">
        <v>1626</v>
      </c>
      <c r="F44" s="6">
        <v>126.727188</v>
      </c>
      <c r="G44" s="7">
        <v>9.0103340000000001E-3</v>
      </c>
      <c r="H44" s="69"/>
    </row>
    <row r="45" spans="1:8" x14ac:dyDescent="0.2">
      <c r="A45" s="3">
        <v>39</v>
      </c>
      <c r="B45" s="4" t="s">
        <v>355</v>
      </c>
      <c r="C45" s="4" t="s">
        <v>356</v>
      </c>
      <c r="D45" s="4" t="s">
        <v>65</v>
      </c>
      <c r="E45" s="5">
        <v>35316</v>
      </c>
      <c r="F45" s="6">
        <v>121.328118</v>
      </c>
      <c r="G45" s="7">
        <v>8.626458E-3</v>
      </c>
      <c r="H45" s="69"/>
    </row>
    <row r="46" spans="1:8" ht="25.5" x14ac:dyDescent="0.2">
      <c r="A46" s="3">
        <v>40</v>
      </c>
      <c r="B46" s="4" t="s">
        <v>437</v>
      </c>
      <c r="C46" s="4" t="s">
        <v>438</v>
      </c>
      <c r="D46" s="4" t="s">
        <v>207</v>
      </c>
      <c r="E46" s="5">
        <v>53592</v>
      </c>
      <c r="F46" s="6">
        <v>118.518708</v>
      </c>
      <c r="G46" s="7">
        <v>8.4267089999999992E-3</v>
      </c>
      <c r="H46" s="69"/>
    </row>
    <row r="47" spans="1:8" x14ac:dyDescent="0.2">
      <c r="A47" s="3">
        <v>41</v>
      </c>
      <c r="B47" s="4" t="s">
        <v>378</v>
      </c>
      <c r="C47" s="4" t="s">
        <v>379</v>
      </c>
      <c r="D47" s="4" t="s">
        <v>224</v>
      </c>
      <c r="E47" s="5">
        <v>16000</v>
      </c>
      <c r="F47" s="6">
        <v>118.432</v>
      </c>
      <c r="G47" s="7">
        <v>8.4205440000000003E-3</v>
      </c>
      <c r="H47" s="69"/>
    </row>
    <row r="48" spans="1:8" x14ac:dyDescent="0.2">
      <c r="A48" s="3">
        <v>42</v>
      </c>
      <c r="B48" s="4" t="s">
        <v>439</v>
      </c>
      <c r="C48" s="4" t="s">
        <v>440</v>
      </c>
      <c r="D48" s="4" t="s">
        <v>204</v>
      </c>
      <c r="E48" s="5">
        <v>2183</v>
      </c>
      <c r="F48" s="6">
        <v>106.504204</v>
      </c>
      <c r="G48" s="7">
        <v>7.5724750000000004E-3</v>
      </c>
      <c r="H48" s="69"/>
    </row>
    <row r="49" spans="1:8" x14ac:dyDescent="0.2">
      <c r="A49" s="3">
        <v>43</v>
      </c>
      <c r="B49" s="4" t="s">
        <v>185</v>
      </c>
      <c r="C49" s="4" t="s">
        <v>186</v>
      </c>
      <c r="D49" s="4" t="s">
        <v>16</v>
      </c>
      <c r="E49" s="5">
        <v>35000</v>
      </c>
      <c r="F49" s="6">
        <v>103.285</v>
      </c>
      <c r="G49" s="7">
        <v>7.3435879999999999E-3</v>
      </c>
      <c r="H49" s="69"/>
    </row>
    <row r="50" spans="1:8" x14ac:dyDescent="0.2">
      <c r="A50" s="3">
        <v>44</v>
      </c>
      <c r="B50" s="4" t="s">
        <v>337</v>
      </c>
      <c r="C50" s="4" t="s">
        <v>338</v>
      </c>
      <c r="D50" s="4" t="s">
        <v>78</v>
      </c>
      <c r="E50" s="5">
        <v>7100</v>
      </c>
      <c r="F50" s="6">
        <v>99.875699999999995</v>
      </c>
      <c r="G50" s="7">
        <v>7.1011859999999998E-3</v>
      </c>
      <c r="H50" s="69"/>
    </row>
    <row r="51" spans="1:8" x14ac:dyDescent="0.2">
      <c r="A51" s="3">
        <v>45</v>
      </c>
      <c r="B51" s="4" t="s">
        <v>310</v>
      </c>
      <c r="C51" s="4" t="s">
        <v>311</v>
      </c>
      <c r="D51" s="4" t="s">
        <v>982</v>
      </c>
      <c r="E51" s="5">
        <v>10058</v>
      </c>
      <c r="F51" s="6">
        <v>94.570345000000003</v>
      </c>
      <c r="G51" s="7">
        <v>6.7239739999999997E-3</v>
      </c>
      <c r="H51" s="69"/>
    </row>
    <row r="52" spans="1:8" x14ac:dyDescent="0.2">
      <c r="A52" s="3">
        <v>46</v>
      </c>
      <c r="B52" s="4" t="s">
        <v>441</v>
      </c>
      <c r="C52" s="4" t="s">
        <v>442</v>
      </c>
      <c r="D52" s="4" t="s">
        <v>22</v>
      </c>
      <c r="E52" s="5">
        <v>4709</v>
      </c>
      <c r="F52" s="6">
        <v>92.385870999999995</v>
      </c>
      <c r="G52" s="7">
        <v>6.5686579999999998E-3</v>
      </c>
      <c r="H52" s="69"/>
    </row>
    <row r="53" spans="1:8" x14ac:dyDescent="0.2">
      <c r="A53" s="3">
        <v>47</v>
      </c>
      <c r="B53" s="4" t="s">
        <v>443</v>
      </c>
      <c r="C53" s="4" t="s">
        <v>444</v>
      </c>
      <c r="D53" s="4" t="s">
        <v>65</v>
      </c>
      <c r="E53" s="5">
        <v>7773</v>
      </c>
      <c r="F53" s="6">
        <v>83.264375999999999</v>
      </c>
      <c r="G53" s="7">
        <v>5.9201169999999999E-3</v>
      </c>
      <c r="H53" s="69"/>
    </row>
    <row r="54" spans="1:8" ht="25.5" x14ac:dyDescent="0.2">
      <c r="A54" s="3">
        <v>48</v>
      </c>
      <c r="B54" s="4" t="s">
        <v>218</v>
      </c>
      <c r="C54" s="4" t="s">
        <v>869</v>
      </c>
      <c r="D54" s="4" t="s">
        <v>45</v>
      </c>
      <c r="E54" s="5">
        <v>36162</v>
      </c>
      <c r="F54" s="6">
        <v>75.180797999999996</v>
      </c>
      <c r="G54" s="7">
        <v>5.3453729999999996E-3</v>
      </c>
      <c r="H54" s="69"/>
    </row>
    <row r="55" spans="1:8" x14ac:dyDescent="0.2">
      <c r="A55" s="3">
        <v>49</v>
      </c>
      <c r="B55" s="4" t="s">
        <v>374</v>
      </c>
      <c r="C55" s="4" t="s">
        <v>375</v>
      </c>
      <c r="D55" s="4" t="s">
        <v>75</v>
      </c>
      <c r="E55" s="5">
        <v>100655</v>
      </c>
      <c r="F55" s="6">
        <v>67.489177499999997</v>
      </c>
      <c r="G55" s="7">
        <v>4.7984969999999997E-3</v>
      </c>
      <c r="H55" s="69"/>
    </row>
    <row r="56" spans="1:8" x14ac:dyDescent="0.2">
      <c r="A56" s="3">
        <v>50</v>
      </c>
      <c r="B56" s="4" t="s">
        <v>251</v>
      </c>
      <c r="C56" s="4" t="s">
        <v>252</v>
      </c>
      <c r="D56" s="4" t="s">
        <v>160</v>
      </c>
      <c r="E56" s="5">
        <v>10437</v>
      </c>
      <c r="F56" s="6">
        <v>60.691155000000002</v>
      </c>
      <c r="G56" s="7">
        <v>4.3151559999999997E-3</v>
      </c>
      <c r="H56" s="69"/>
    </row>
    <row r="57" spans="1:8" ht="25.5" x14ac:dyDescent="0.2">
      <c r="A57" s="3">
        <v>51</v>
      </c>
      <c r="B57" s="4" t="s">
        <v>445</v>
      </c>
      <c r="C57" s="4" t="s">
        <v>930</v>
      </c>
      <c r="D57" s="4" t="s">
        <v>19</v>
      </c>
      <c r="E57" s="5">
        <v>3244</v>
      </c>
      <c r="F57" s="6">
        <v>12.677552</v>
      </c>
      <c r="G57" s="7">
        <v>9.0137699999999997E-4</v>
      </c>
      <c r="H57" s="69"/>
    </row>
    <row r="58" spans="1:8" x14ac:dyDescent="0.2">
      <c r="A58" s="1"/>
      <c r="B58" s="1"/>
      <c r="C58" s="2" t="s">
        <v>95</v>
      </c>
      <c r="D58" s="1"/>
      <c r="E58" s="1" t="s">
        <v>96</v>
      </c>
      <c r="F58" s="9">
        <v>13876.390453999998</v>
      </c>
      <c r="G58" s="10">
        <v>0.98661471499999975</v>
      </c>
      <c r="H58" s="69"/>
    </row>
    <row r="59" spans="1:8" x14ac:dyDescent="0.2">
      <c r="A59" s="1"/>
      <c r="B59" s="1"/>
      <c r="C59" s="11"/>
      <c r="D59" s="4"/>
      <c r="E59" s="1"/>
      <c r="F59" s="12"/>
      <c r="G59" s="12"/>
      <c r="H59" s="69"/>
    </row>
    <row r="60" spans="1:8" x14ac:dyDescent="0.2">
      <c r="A60" s="1"/>
      <c r="B60" s="1"/>
      <c r="C60" s="2" t="s">
        <v>97</v>
      </c>
      <c r="D60" s="4"/>
      <c r="E60" s="1"/>
      <c r="F60" s="1"/>
      <c r="G60" s="1"/>
      <c r="H60" s="69"/>
    </row>
    <row r="61" spans="1:8" x14ac:dyDescent="0.2">
      <c r="A61" s="1"/>
      <c r="B61" s="1"/>
      <c r="C61" s="2" t="s">
        <v>95</v>
      </c>
      <c r="D61" s="4"/>
      <c r="E61" s="1" t="s">
        <v>96</v>
      </c>
      <c r="F61" s="13">
        <v>0</v>
      </c>
      <c r="G61" s="14">
        <v>0</v>
      </c>
      <c r="H61" s="69"/>
    </row>
    <row r="62" spans="1:8" x14ac:dyDescent="0.2">
      <c r="A62" s="1"/>
      <c r="B62" s="1"/>
      <c r="C62" s="11"/>
      <c r="D62" s="1"/>
      <c r="E62" s="1"/>
      <c r="F62" s="12"/>
      <c r="G62" s="12"/>
      <c r="H62" s="69"/>
    </row>
    <row r="63" spans="1:8" x14ac:dyDescent="0.2">
      <c r="A63" s="1"/>
      <c r="B63" s="1"/>
      <c r="C63" s="2" t="s">
        <v>98</v>
      </c>
      <c r="D63" s="1"/>
      <c r="E63" s="1"/>
      <c r="F63" s="1"/>
      <c r="G63" s="1"/>
      <c r="H63" s="69"/>
    </row>
    <row r="64" spans="1:8" x14ac:dyDescent="0.2">
      <c r="A64" s="1"/>
      <c r="B64" s="1"/>
      <c r="C64" s="2" t="s">
        <v>95</v>
      </c>
      <c r="D64" s="1"/>
      <c r="E64" s="1" t="s">
        <v>96</v>
      </c>
      <c r="F64" s="13">
        <v>0</v>
      </c>
      <c r="G64" s="14">
        <v>0</v>
      </c>
      <c r="H64" s="69"/>
    </row>
    <row r="65" spans="1:8" x14ac:dyDescent="0.2">
      <c r="A65" s="1"/>
      <c r="B65" s="1"/>
      <c r="C65" s="11"/>
      <c r="D65" s="4"/>
      <c r="E65" s="1"/>
      <c r="F65" s="12"/>
      <c r="G65" s="12"/>
      <c r="H65" s="69"/>
    </row>
    <row r="66" spans="1:8" x14ac:dyDescent="0.2">
      <c r="A66" s="1"/>
      <c r="B66" s="1"/>
      <c r="C66" s="2" t="s">
        <v>99</v>
      </c>
      <c r="D66" s="1"/>
      <c r="E66" s="1"/>
      <c r="F66" s="1"/>
      <c r="G66" s="1"/>
      <c r="H66" s="69"/>
    </row>
    <row r="67" spans="1:8" x14ac:dyDescent="0.2">
      <c r="A67" s="1"/>
      <c r="B67" s="1"/>
      <c r="C67" s="2" t="s">
        <v>95</v>
      </c>
      <c r="D67" s="1"/>
      <c r="E67" s="1" t="s">
        <v>96</v>
      </c>
      <c r="F67" s="9">
        <v>0</v>
      </c>
      <c r="G67" s="10">
        <v>0</v>
      </c>
      <c r="H67" s="69"/>
    </row>
    <row r="68" spans="1:8" x14ac:dyDescent="0.2">
      <c r="A68" s="1"/>
      <c r="B68" s="1"/>
      <c r="C68" s="11"/>
      <c r="D68" s="1"/>
      <c r="E68" s="1"/>
      <c r="F68" s="12"/>
      <c r="G68" s="12"/>
      <c r="H68" s="69"/>
    </row>
    <row r="69" spans="1:8" x14ac:dyDescent="0.2">
      <c r="A69" s="1"/>
      <c r="B69" s="1"/>
      <c r="C69" s="2" t="s">
        <v>100</v>
      </c>
      <c r="D69" s="1"/>
      <c r="E69" s="1"/>
      <c r="F69" s="12"/>
      <c r="G69" s="12"/>
      <c r="H69" s="69"/>
    </row>
    <row r="70" spans="1:8" x14ac:dyDescent="0.2">
      <c r="A70" s="1"/>
      <c r="B70" s="1"/>
      <c r="C70" s="2" t="s">
        <v>95</v>
      </c>
      <c r="D70" s="1"/>
      <c r="E70" s="1" t="s">
        <v>96</v>
      </c>
      <c r="F70" s="13">
        <v>0</v>
      </c>
      <c r="G70" s="14">
        <v>0</v>
      </c>
      <c r="H70" s="69"/>
    </row>
    <row r="71" spans="1:8" x14ac:dyDescent="0.2">
      <c r="A71" s="1"/>
      <c r="B71" s="1"/>
      <c r="C71" s="11"/>
      <c r="D71" s="1"/>
      <c r="E71" s="1"/>
      <c r="F71" s="12"/>
      <c r="G71" s="12"/>
      <c r="H71" s="69"/>
    </row>
    <row r="72" spans="1:8" x14ac:dyDescent="0.2">
      <c r="A72" s="1"/>
      <c r="B72" s="1"/>
      <c r="C72" s="2" t="s">
        <v>101</v>
      </c>
      <c r="D72" s="1"/>
      <c r="E72" s="1"/>
      <c r="F72" s="12"/>
      <c r="G72" s="12"/>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102</v>
      </c>
      <c r="D75" s="1"/>
      <c r="E75" s="1"/>
      <c r="F75" s="9">
        <v>13876.390454</v>
      </c>
      <c r="G75" s="10">
        <v>0.98661471499999998</v>
      </c>
      <c r="H75" s="69"/>
    </row>
    <row r="76" spans="1:8" x14ac:dyDescent="0.2">
      <c r="A76" s="1"/>
      <c r="B76" s="1"/>
      <c r="C76" s="11"/>
      <c r="D76" s="1"/>
      <c r="E76" s="1"/>
      <c r="F76" s="12"/>
      <c r="G76" s="12"/>
      <c r="H76" s="69"/>
    </row>
    <row r="77" spans="1:8" x14ac:dyDescent="0.2">
      <c r="A77" s="1"/>
      <c r="B77" s="1"/>
      <c r="C77" s="2" t="s">
        <v>103</v>
      </c>
      <c r="D77" s="1"/>
      <c r="E77" s="1"/>
      <c r="F77" s="12"/>
      <c r="G77" s="12"/>
      <c r="H77" s="69"/>
    </row>
    <row r="78" spans="1:8" ht="25.5" x14ac:dyDescent="0.2">
      <c r="A78" s="1"/>
      <c r="B78" s="1"/>
      <c r="C78" s="2" t="s">
        <v>10</v>
      </c>
      <c r="D78" s="1"/>
      <c r="E78" s="1"/>
      <c r="F78" s="12"/>
      <c r="G78" s="12"/>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104</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105</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106</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107</v>
      </c>
      <c r="D90" s="1"/>
      <c r="E90" s="1"/>
      <c r="F90" s="9">
        <v>0</v>
      </c>
      <c r="G90" s="10">
        <v>0</v>
      </c>
      <c r="H90" s="69"/>
    </row>
    <row r="91" spans="1:8" x14ac:dyDescent="0.2">
      <c r="A91" s="1"/>
      <c r="B91" s="1"/>
      <c r="C91" s="11"/>
      <c r="D91" s="1"/>
      <c r="E91" s="1"/>
      <c r="F91" s="12"/>
      <c r="G91" s="12"/>
      <c r="H91" s="69"/>
    </row>
    <row r="92" spans="1:8" x14ac:dyDescent="0.2">
      <c r="A92" s="1"/>
      <c r="B92" s="1"/>
      <c r="C92" s="2" t="s">
        <v>108</v>
      </c>
      <c r="D92" s="1"/>
      <c r="E92" s="1"/>
      <c r="F92" s="12"/>
      <c r="G92" s="12"/>
      <c r="H92" s="69"/>
    </row>
    <row r="93" spans="1:8" x14ac:dyDescent="0.2">
      <c r="A93" s="1"/>
      <c r="B93" s="1"/>
      <c r="C93" s="2" t="s">
        <v>109</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110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112</v>
      </c>
      <c r="D102" s="1"/>
      <c r="E102" s="1"/>
      <c r="F102" s="12"/>
      <c r="G102" s="12"/>
      <c r="H102" s="69"/>
    </row>
    <row r="103" spans="1:8" x14ac:dyDescent="0.2">
      <c r="A103" s="3">
        <v>1</v>
      </c>
      <c r="B103" s="4"/>
      <c r="C103" s="4" t="s">
        <v>113</v>
      </c>
      <c r="D103" s="4"/>
      <c r="E103" s="8"/>
      <c r="F103" s="6">
        <v>143.21270530000001</v>
      </c>
      <c r="G103" s="7">
        <v>1.0182458E-2</v>
      </c>
      <c r="H103" s="6">
        <v>3.3628721504199861</v>
      </c>
    </row>
    <row r="104" spans="1:8" x14ac:dyDescent="0.2">
      <c r="A104" s="3">
        <v>2</v>
      </c>
      <c r="B104" s="4"/>
      <c r="C104" s="4" t="s">
        <v>114</v>
      </c>
      <c r="D104" s="4"/>
      <c r="E104" s="8"/>
      <c r="F104" s="6">
        <v>55.307474800000001</v>
      </c>
      <c r="G104" s="7">
        <v>3.9323750000000001E-3</v>
      </c>
      <c r="H104" s="6">
        <v>3.4499999999999966</v>
      </c>
    </row>
    <row r="105" spans="1:8" x14ac:dyDescent="0.2">
      <c r="A105" s="1"/>
      <c r="B105" s="1"/>
      <c r="C105" s="2" t="s">
        <v>95</v>
      </c>
      <c r="D105" s="1"/>
      <c r="E105" s="1" t="s">
        <v>96</v>
      </c>
      <c r="F105" s="9">
        <v>198.5201801</v>
      </c>
      <c r="G105" s="10">
        <v>1.4114833E-2</v>
      </c>
      <c r="H105" s="69"/>
    </row>
    <row r="106" spans="1:8" x14ac:dyDescent="0.2">
      <c r="A106" s="1"/>
      <c r="B106" s="1"/>
      <c r="C106" s="11"/>
      <c r="D106" s="1"/>
      <c r="E106" s="1"/>
      <c r="F106" s="12"/>
      <c r="G106" s="12"/>
      <c r="H106" s="69"/>
    </row>
    <row r="107" spans="1:8" x14ac:dyDescent="0.2">
      <c r="A107" s="1"/>
      <c r="B107" s="1"/>
      <c r="C107" s="2" t="s">
        <v>115</v>
      </c>
      <c r="D107" s="1"/>
      <c r="E107" s="1"/>
      <c r="F107" s="9">
        <v>198.5201801</v>
      </c>
      <c r="G107" s="10">
        <v>1.4114833E-2</v>
      </c>
      <c r="H107" s="69"/>
    </row>
    <row r="108" spans="1:8" x14ac:dyDescent="0.2">
      <c r="A108" s="1"/>
      <c r="B108" s="1"/>
      <c r="C108" s="12"/>
      <c r="D108" s="1"/>
      <c r="E108" s="1"/>
      <c r="F108" s="1"/>
      <c r="G108" s="1"/>
      <c r="H108" s="69"/>
    </row>
    <row r="109" spans="1:8" x14ac:dyDescent="0.2">
      <c r="A109" s="1"/>
      <c r="B109" s="1"/>
      <c r="C109" s="2" t="s">
        <v>116</v>
      </c>
      <c r="D109" s="1"/>
      <c r="E109" s="1"/>
      <c r="F109" s="1"/>
      <c r="G109" s="1"/>
      <c r="H109" s="69"/>
    </row>
    <row r="110" spans="1:8" x14ac:dyDescent="0.2">
      <c r="A110" s="1"/>
      <c r="B110" s="1"/>
      <c r="C110" s="2" t="s">
        <v>117</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118</v>
      </c>
      <c r="D113" s="1"/>
      <c r="E113" s="1"/>
      <c r="F113" s="1"/>
      <c r="G113" s="1"/>
      <c r="H113" s="69"/>
    </row>
    <row r="114" spans="1:8" x14ac:dyDescent="0.2">
      <c r="A114" s="1"/>
      <c r="B114" s="1"/>
      <c r="C114" s="2" t="s">
        <v>119</v>
      </c>
      <c r="D114" s="1"/>
      <c r="E114" s="1"/>
      <c r="F114" s="1"/>
      <c r="G114" s="1"/>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11"/>
      <c r="D117" s="1"/>
      <c r="E117" s="1"/>
      <c r="F117" s="12"/>
      <c r="G117" s="12"/>
      <c r="H117" s="69"/>
    </row>
    <row r="118" spans="1:8" ht="25.5" x14ac:dyDescent="0.2">
      <c r="A118" s="1"/>
      <c r="B118" s="1"/>
      <c r="C118" s="2" t="s">
        <v>120</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4"/>
      <c r="C121" s="4"/>
      <c r="D121" s="2"/>
      <c r="E121" s="1"/>
      <c r="F121" s="4"/>
      <c r="G121" s="8"/>
      <c r="H121" s="69"/>
    </row>
    <row r="122" spans="1:8" x14ac:dyDescent="0.2">
      <c r="A122" s="8"/>
      <c r="B122" s="4"/>
      <c r="C122" s="4" t="s">
        <v>121</v>
      </c>
      <c r="D122" s="4"/>
      <c r="E122" s="8"/>
      <c r="F122" s="6">
        <v>-10.26080662</v>
      </c>
      <c r="G122" s="7">
        <v>-7.2954599999999997E-4</v>
      </c>
      <c r="H122" s="69"/>
    </row>
    <row r="123" spans="1:8" x14ac:dyDescent="0.2">
      <c r="A123" s="11"/>
      <c r="B123" s="11"/>
      <c r="C123" s="2" t="s">
        <v>122</v>
      </c>
      <c r="D123" s="15"/>
      <c r="E123" s="15"/>
      <c r="F123" s="9">
        <v>14064.64982748</v>
      </c>
      <c r="G123" s="10">
        <v>1.0000000019999999</v>
      </c>
      <c r="H123" s="69"/>
    </row>
    <row r="124" spans="1:8" ht="14.1" customHeight="1" x14ac:dyDescent="0.2">
      <c r="A124" s="16"/>
      <c r="B124" s="16"/>
      <c r="C124" s="16"/>
      <c r="D124" s="17"/>
      <c r="E124" s="17"/>
      <c r="F124" s="17"/>
      <c r="G124" s="17"/>
    </row>
    <row r="125" spans="1:8" ht="14.1" customHeight="1" x14ac:dyDescent="0.2">
      <c r="A125" s="18"/>
      <c r="B125" s="176" t="s">
        <v>96</v>
      </c>
      <c r="C125" s="176"/>
      <c r="D125" s="176"/>
      <c r="E125" s="176"/>
      <c r="F125" s="176"/>
      <c r="G125" s="20"/>
    </row>
    <row r="126" spans="1:8" ht="14.1" customHeight="1" x14ac:dyDescent="0.2">
      <c r="A126" s="18"/>
      <c r="B126" s="176" t="s">
        <v>96</v>
      </c>
      <c r="C126" s="176"/>
      <c r="D126" s="176"/>
      <c r="E126" s="176"/>
      <c r="F126" s="176"/>
      <c r="G126" s="20"/>
    </row>
    <row r="127" spans="1:8" ht="14.1" customHeight="1" x14ac:dyDescent="0.2">
      <c r="A127" s="18"/>
      <c r="B127" s="18"/>
      <c r="C127" s="18"/>
      <c r="D127" s="20"/>
      <c r="E127" s="20"/>
      <c r="F127" s="20"/>
      <c r="G127" s="20"/>
    </row>
    <row r="128" spans="1:8" ht="14.1" customHeight="1" x14ac:dyDescent="0.2">
      <c r="A128" s="18"/>
      <c r="B128" s="174" t="s">
        <v>124</v>
      </c>
      <c r="C128" s="175"/>
      <c r="D128" s="12" t="s">
        <v>96</v>
      </c>
      <c r="E128" s="21"/>
      <c r="F128" s="20"/>
      <c r="G128" s="20"/>
    </row>
    <row r="129" spans="1:16" ht="29.1" customHeight="1" x14ac:dyDescent="0.2">
      <c r="A129" s="18"/>
      <c r="B129" s="172" t="s">
        <v>125</v>
      </c>
      <c r="C129" s="173"/>
      <c r="D129" s="2" t="s">
        <v>126</v>
      </c>
      <c r="E129" s="21"/>
      <c r="F129" s="20"/>
      <c r="G129" s="20"/>
    </row>
    <row r="130" spans="1:16" ht="17.100000000000001" customHeight="1" x14ac:dyDescent="0.2">
      <c r="A130" s="18"/>
      <c r="B130" s="172" t="s">
        <v>127</v>
      </c>
      <c r="C130" s="173"/>
      <c r="D130" s="2" t="s">
        <v>126</v>
      </c>
      <c r="E130" s="21"/>
      <c r="F130" s="20"/>
      <c r="G130" s="20"/>
    </row>
    <row r="131" spans="1:16" ht="17.100000000000001" customHeight="1" x14ac:dyDescent="0.2">
      <c r="A131" s="18"/>
      <c r="B131" s="172" t="s">
        <v>128</v>
      </c>
      <c r="C131" s="173"/>
      <c r="D131" s="12" t="s">
        <v>96</v>
      </c>
      <c r="E131" s="21"/>
      <c r="F131" s="20"/>
      <c r="G131" s="20"/>
    </row>
    <row r="132" spans="1:16" ht="24" customHeight="1" x14ac:dyDescent="0.2">
      <c r="A132" s="22"/>
      <c r="B132" s="23" t="s">
        <v>96</v>
      </c>
      <c r="C132" s="23" t="s">
        <v>129</v>
      </c>
      <c r="D132" s="23" t="s">
        <v>130</v>
      </c>
      <c r="E132" s="22"/>
      <c r="F132" s="22"/>
      <c r="G132" s="22"/>
    </row>
    <row r="133" spans="1:16" ht="18" customHeight="1" x14ac:dyDescent="0.2">
      <c r="A133" s="22"/>
      <c r="B133" s="23" t="s">
        <v>131</v>
      </c>
      <c r="C133" s="23" t="s">
        <v>132</v>
      </c>
      <c r="D133" s="23" t="s">
        <v>133</v>
      </c>
      <c r="E133" s="22"/>
      <c r="F133" s="22"/>
      <c r="G133" s="22"/>
    </row>
    <row r="134" spans="1:16" ht="17.100000000000001" customHeight="1" x14ac:dyDescent="0.2">
      <c r="A134" s="22"/>
      <c r="B134" s="4" t="s">
        <v>134</v>
      </c>
      <c r="C134" s="24">
        <v>17.4436</v>
      </c>
      <c r="D134" s="24">
        <v>16.918099999999999</v>
      </c>
      <c r="E134" s="22"/>
      <c r="F134" s="19"/>
      <c r="G134" s="25"/>
    </row>
    <row r="135" spans="1:16" ht="17.100000000000001" customHeight="1" x14ac:dyDescent="0.2">
      <c r="A135" s="22"/>
      <c r="B135" s="4" t="s">
        <v>983</v>
      </c>
      <c r="C135" s="24">
        <v>16.5914</v>
      </c>
      <c r="D135" s="24">
        <v>16.0915</v>
      </c>
      <c r="E135" s="22"/>
      <c r="F135" s="19"/>
      <c r="G135" s="25"/>
    </row>
    <row r="136" spans="1:16" ht="17.100000000000001" customHeight="1" x14ac:dyDescent="0.2">
      <c r="A136" s="22"/>
      <c r="B136" s="4" t="s">
        <v>135</v>
      </c>
      <c r="C136" s="24">
        <v>17.108799999999999</v>
      </c>
      <c r="D136" s="24">
        <v>16.585599999999999</v>
      </c>
      <c r="E136" s="22"/>
      <c r="F136" s="19"/>
      <c r="G136" s="25"/>
    </row>
    <row r="137" spans="1:16" ht="17.100000000000001" customHeight="1" x14ac:dyDescent="0.2">
      <c r="A137" s="22"/>
      <c r="B137" s="4" t="s">
        <v>984</v>
      </c>
      <c r="C137" s="24">
        <v>16.459700000000002</v>
      </c>
      <c r="D137" s="24">
        <v>15.9564</v>
      </c>
      <c r="E137" s="22"/>
      <c r="F137" s="19"/>
      <c r="G137" s="25"/>
    </row>
    <row r="138" spans="1:16" ht="14.1" customHeight="1" x14ac:dyDescent="0.2">
      <c r="A138" s="22"/>
      <c r="B138" s="22"/>
      <c r="C138" s="22"/>
      <c r="D138" s="22"/>
      <c r="E138" s="22"/>
      <c r="F138" s="22"/>
      <c r="G138" s="22"/>
    </row>
    <row r="139" spans="1:16" ht="17.100000000000001" customHeight="1" x14ac:dyDescent="0.2">
      <c r="A139" s="22"/>
      <c r="B139" s="172" t="s">
        <v>985</v>
      </c>
      <c r="C139" s="173"/>
      <c r="D139" s="2" t="s">
        <v>126</v>
      </c>
      <c r="E139" s="22"/>
      <c r="F139" s="22"/>
      <c r="G139" s="22"/>
    </row>
    <row r="140" spans="1:16" ht="18" customHeight="1" x14ac:dyDescent="0.2">
      <c r="A140" s="22"/>
      <c r="B140" s="26" t="s">
        <v>136</v>
      </c>
      <c r="C140" s="26" t="s">
        <v>136</v>
      </c>
      <c r="D140" s="26"/>
      <c r="E140" s="22"/>
      <c r="F140" s="22"/>
      <c r="G140" s="22"/>
      <c r="I140" s="82"/>
      <c r="J140" s="82"/>
      <c r="K140" s="82"/>
      <c r="L140" s="82"/>
      <c r="M140" s="82"/>
      <c r="N140" s="82"/>
      <c r="O140" s="82"/>
    </row>
    <row r="141" spans="1:16" s="82" customFormat="1" x14ac:dyDescent="0.2">
      <c r="B141" s="177" t="s">
        <v>936</v>
      </c>
      <c r="C141" s="177"/>
      <c r="D141" s="177"/>
      <c r="E141" s="177"/>
      <c r="F141" s="177"/>
      <c r="I141"/>
      <c r="J141"/>
      <c r="K141"/>
      <c r="L141"/>
      <c r="M141"/>
      <c r="N141"/>
      <c r="O141"/>
      <c r="P141" s="70"/>
    </row>
    <row r="142" spans="1:16" ht="14.1" customHeight="1" x14ac:dyDescent="0.2">
      <c r="A142" s="22"/>
      <c r="B142" s="19"/>
      <c r="C142" s="19"/>
      <c r="D142" s="22"/>
      <c r="E142" s="22"/>
      <c r="F142" s="22"/>
      <c r="G142" s="22"/>
    </row>
    <row r="143" spans="1:16" ht="29.1" customHeight="1" x14ac:dyDescent="0.2">
      <c r="A143" s="22"/>
      <c r="B143" s="172" t="s">
        <v>137</v>
      </c>
      <c r="C143" s="173"/>
      <c r="D143" s="2" t="s">
        <v>126</v>
      </c>
      <c r="E143" s="22"/>
      <c r="F143" s="22"/>
      <c r="G143" s="22"/>
    </row>
    <row r="144" spans="1:16" ht="29.1" customHeight="1" x14ac:dyDescent="0.2">
      <c r="A144" s="22"/>
      <c r="B144" s="172" t="s">
        <v>138</v>
      </c>
      <c r="C144" s="173"/>
      <c r="D144" s="2" t="s">
        <v>126</v>
      </c>
      <c r="E144" s="22"/>
      <c r="F144" s="22"/>
      <c r="G144" s="22"/>
    </row>
    <row r="145" spans="1:7" ht="17.100000000000001" customHeight="1" x14ac:dyDescent="0.2">
      <c r="A145" s="22"/>
      <c r="B145" s="172" t="s">
        <v>139</v>
      </c>
      <c r="C145" s="173"/>
      <c r="D145" s="27">
        <v>0.36731895387342545</v>
      </c>
      <c r="E145" s="22"/>
      <c r="F145" s="19"/>
      <c r="G145" s="25"/>
    </row>
    <row r="146" spans="1:7" ht="17.100000000000001" customHeight="1" x14ac:dyDescent="0.2">
      <c r="A146" s="22"/>
      <c r="B146" s="172" t="s">
        <v>140</v>
      </c>
      <c r="C146" s="173"/>
      <c r="D146" s="2" t="s">
        <v>126</v>
      </c>
      <c r="E146" s="22"/>
      <c r="F146" s="22"/>
      <c r="G146" s="22"/>
    </row>
  </sheetData>
  <mergeCells count="16">
    <mergeCell ref="B146:C146"/>
    <mergeCell ref="B129:C129"/>
    <mergeCell ref="B130:C130"/>
    <mergeCell ref="B131:C131"/>
    <mergeCell ref="B139:C139"/>
    <mergeCell ref="B143:C143"/>
    <mergeCell ref="B144:C144"/>
    <mergeCell ref="B141:F141"/>
    <mergeCell ref="A1:H1"/>
    <mergeCell ref="A2:H2"/>
    <mergeCell ref="A3:H3"/>
    <mergeCell ref="J2:N2"/>
    <mergeCell ref="B145:C145"/>
    <mergeCell ref="B128:C128"/>
    <mergeCell ref="B125:F125"/>
    <mergeCell ref="B126:F126"/>
  </mergeCell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46"/>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446</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v>
      </c>
      <c r="C7" s="4" t="s">
        <v>15</v>
      </c>
      <c r="D7" s="4" t="s">
        <v>16</v>
      </c>
      <c r="E7" s="5">
        <v>25335</v>
      </c>
      <c r="F7" s="6">
        <v>609.40809000000002</v>
      </c>
      <c r="G7" s="7">
        <v>7.3666408000000003E-2</v>
      </c>
      <c r="H7" s="69"/>
    </row>
    <row r="8" spans="1:14" x14ac:dyDescent="0.2">
      <c r="A8" s="3">
        <v>2</v>
      </c>
      <c r="B8" s="4" t="s">
        <v>20</v>
      </c>
      <c r="C8" s="4" t="s">
        <v>21</v>
      </c>
      <c r="D8" s="4" t="s">
        <v>22</v>
      </c>
      <c r="E8" s="5">
        <v>78331</v>
      </c>
      <c r="F8" s="6">
        <v>559.55749849999995</v>
      </c>
      <c r="G8" s="7">
        <v>6.7640373000000004E-2</v>
      </c>
      <c r="H8" s="69"/>
    </row>
    <row r="9" spans="1:14" x14ac:dyDescent="0.2">
      <c r="A9" s="3">
        <v>3</v>
      </c>
      <c r="B9" s="4" t="s">
        <v>410</v>
      </c>
      <c r="C9" s="4" t="s">
        <v>411</v>
      </c>
      <c r="D9" s="4" t="s">
        <v>22</v>
      </c>
      <c r="E9" s="5">
        <v>33012</v>
      </c>
      <c r="F9" s="6">
        <v>493.050726</v>
      </c>
      <c r="G9" s="7">
        <v>5.9600908000000001E-2</v>
      </c>
      <c r="H9" s="69"/>
    </row>
    <row r="10" spans="1:14" x14ac:dyDescent="0.2">
      <c r="A10" s="3">
        <v>4</v>
      </c>
      <c r="B10" s="4" t="s">
        <v>412</v>
      </c>
      <c r="C10" s="4" t="s">
        <v>413</v>
      </c>
      <c r="D10" s="4" t="s">
        <v>155</v>
      </c>
      <c r="E10" s="5">
        <v>24647</v>
      </c>
      <c r="F10" s="6">
        <v>422.11684550000001</v>
      </c>
      <c r="G10" s="7">
        <v>5.1026285999999997E-2</v>
      </c>
      <c r="H10" s="69"/>
    </row>
    <row r="11" spans="1:14" ht="25.5" x14ac:dyDescent="0.2">
      <c r="A11" s="3">
        <v>5</v>
      </c>
      <c r="B11" s="4" t="s">
        <v>414</v>
      </c>
      <c r="C11" s="4" t="s">
        <v>415</v>
      </c>
      <c r="D11" s="4" t="s">
        <v>78</v>
      </c>
      <c r="E11" s="5">
        <v>12776</v>
      </c>
      <c r="F11" s="6">
        <v>341.51525600000002</v>
      </c>
      <c r="G11" s="7">
        <v>4.1283013E-2</v>
      </c>
      <c r="H11" s="69"/>
    </row>
    <row r="12" spans="1:14" x14ac:dyDescent="0.2">
      <c r="A12" s="3">
        <v>6</v>
      </c>
      <c r="B12" s="4" t="s">
        <v>25</v>
      </c>
      <c r="C12" s="4" t="s">
        <v>26</v>
      </c>
      <c r="D12" s="4" t="s">
        <v>27</v>
      </c>
      <c r="E12" s="5">
        <v>18316</v>
      </c>
      <c r="F12" s="6">
        <v>295.48286999999999</v>
      </c>
      <c r="G12" s="7">
        <v>3.5718530999999998E-2</v>
      </c>
      <c r="H12" s="69"/>
    </row>
    <row r="13" spans="1:14" x14ac:dyDescent="0.2">
      <c r="A13" s="3">
        <v>7</v>
      </c>
      <c r="B13" s="4" t="s">
        <v>416</v>
      </c>
      <c r="C13" s="4" t="s">
        <v>417</v>
      </c>
      <c r="D13" s="4" t="s">
        <v>22</v>
      </c>
      <c r="E13" s="5">
        <v>64105</v>
      </c>
      <c r="F13" s="6">
        <v>295.23557749999998</v>
      </c>
      <c r="G13" s="7">
        <v>3.5688637000000002E-2</v>
      </c>
      <c r="H13" s="69"/>
    </row>
    <row r="14" spans="1:14" x14ac:dyDescent="0.2">
      <c r="A14" s="3">
        <v>8</v>
      </c>
      <c r="B14" s="4" t="s">
        <v>326</v>
      </c>
      <c r="C14" s="4" t="s">
        <v>327</v>
      </c>
      <c r="D14" s="4" t="s">
        <v>22</v>
      </c>
      <c r="E14" s="5">
        <v>38735</v>
      </c>
      <c r="F14" s="6">
        <v>253.9660275</v>
      </c>
      <c r="G14" s="7">
        <v>3.0699896000000001E-2</v>
      </c>
      <c r="H14" s="69"/>
    </row>
    <row r="15" spans="1:14" ht="25.5" x14ac:dyDescent="0.2">
      <c r="A15" s="3">
        <v>9</v>
      </c>
      <c r="B15" s="4" t="s">
        <v>322</v>
      </c>
      <c r="C15" s="4" t="s">
        <v>323</v>
      </c>
      <c r="D15" s="4" t="s">
        <v>207</v>
      </c>
      <c r="E15" s="5">
        <v>27323</v>
      </c>
      <c r="F15" s="6">
        <v>243.57088350000001</v>
      </c>
      <c r="G15" s="7">
        <v>2.9443311E-2</v>
      </c>
      <c r="H15" s="69"/>
      <c r="J15" s="160" t="s">
        <v>1013</v>
      </c>
    </row>
    <row r="16" spans="1:14" x14ac:dyDescent="0.2">
      <c r="A16" s="3">
        <v>10</v>
      </c>
      <c r="B16" s="4" t="s">
        <v>11</v>
      </c>
      <c r="C16" s="4" t="s">
        <v>12</v>
      </c>
      <c r="D16" s="4" t="s">
        <v>13</v>
      </c>
      <c r="E16" s="5">
        <v>13567</v>
      </c>
      <c r="F16" s="6">
        <v>239.4236325</v>
      </c>
      <c r="G16" s="7">
        <v>2.8941983000000001E-2</v>
      </c>
      <c r="H16" s="69"/>
    </row>
    <row r="17" spans="1:8" x14ac:dyDescent="0.2">
      <c r="A17" s="3">
        <v>11</v>
      </c>
      <c r="B17" s="4" t="s">
        <v>142</v>
      </c>
      <c r="C17" s="4" t="s">
        <v>143</v>
      </c>
      <c r="D17" s="4" t="s">
        <v>144</v>
      </c>
      <c r="E17" s="5">
        <v>6166</v>
      </c>
      <c r="F17" s="6">
        <v>230.67006000000001</v>
      </c>
      <c r="G17" s="7">
        <v>2.7883834999999999E-2</v>
      </c>
      <c r="H17" s="69"/>
    </row>
    <row r="18" spans="1:8" x14ac:dyDescent="0.2">
      <c r="A18" s="3">
        <v>12</v>
      </c>
      <c r="B18" s="4" t="s">
        <v>357</v>
      </c>
      <c r="C18" s="4" t="s">
        <v>358</v>
      </c>
      <c r="D18" s="4" t="s">
        <v>976</v>
      </c>
      <c r="E18" s="5">
        <v>29796</v>
      </c>
      <c r="F18" s="6">
        <v>218.10672</v>
      </c>
      <c r="G18" s="7">
        <v>2.6365155000000001E-2</v>
      </c>
      <c r="H18" s="69"/>
    </row>
    <row r="19" spans="1:8" x14ac:dyDescent="0.2">
      <c r="A19" s="3">
        <v>13</v>
      </c>
      <c r="B19" s="4" t="s">
        <v>324</v>
      </c>
      <c r="C19" s="4" t="s">
        <v>325</v>
      </c>
      <c r="D19" s="4" t="s">
        <v>979</v>
      </c>
      <c r="E19" s="5">
        <v>5403</v>
      </c>
      <c r="F19" s="6">
        <v>197.26353</v>
      </c>
      <c r="G19" s="7">
        <v>2.384559E-2</v>
      </c>
      <c r="H19" s="69"/>
    </row>
    <row r="20" spans="1:8" x14ac:dyDescent="0.2">
      <c r="A20" s="3">
        <v>14</v>
      </c>
      <c r="B20" s="4" t="s">
        <v>418</v>
      </c>
      <c r="C20" s="4" t="s">
        <v>419</v>
      </c>
      <c r="D20" s="4" t="s">
        <v>982</v>
      </c>
      <c r="E20" s="5">
        <v>16803</v>
      </c>
      <c r="F20" s="6">
        <v>195.0072165</v>
      </c>
      <c r="G20" s="7">
        <v>2.3572843E-2</v>
      </c>
      <c r="H20" s="69"/>
    </row>
    <row r="21" spans="1:8" x14ac:dyDescent="0.2">
      <c r="A21" s="3">
        <v>15</v>
      </c>
      <c r="B21" s="4" t="s">
        <v>17</v>
      </c>
      <c r="C21" s="4" t="s">
        <v>18</v>
      </c>
      <c r="D21" s="4" t="s">
        <v>19</v>
      </c>
      <c r="E21" s="5">
        <v>26720</v>
      </c>
      <c r="F21" s="6">
        <v>194.58840000000001</v>
      </c>
      <c r="G21" s="7">
        <v>2.3522214999999999E-2</v>
      </c>
      <c r="H21" s="69"/>
    </row>
    <row r="22" spans="1:8" x14ac:dyDescent="0.2">
      <c r="A22" s="3">
        <v>16</v>
      </c>
      <c r="B22" s="4" t="s">
        <v>270</v>
      </c>
      <c r="C22" s="4" t="s">
        <v>271</v>
      </c>
      <c r="D22" s="4" t="s">
        <v>144</v>
      </c>
      <c r="E22" s="5">
        <v>33781</v>
      </c>
      <c r="F22" s="6">
        <v>193.43000599999999</v>
      </c>
      <c r="G22" s="7">
        <v>2.3382186999999999E-2</v>
      </c>
      <c r="H22" s="69"/>
    </row>
    <row r="23" spans="1:8" x14ac:dyDescent="0.2">
      <c r="A23" s="3">
        <v>17</v>
      </c>
      <c r="B23" s="4" t="s">
        <v>420</v>
      </c>
      <c r="C23" s="4" t="s">
        <v>421</v>
      </c>
      <c r="D23" s="4" t="s">
        <v>155</v>
      </c>
      <c r="E23" s="5">
        <v>5240</v>
      </c>
      <c r="F23" s="6">
        <v>184.92746</v>
      </c>
      <c r="G23" s="7">
        <v>2.2354382999999999E-2</v>
      </c>
      <c r="H23" s="69"/>
    </row>
    <row r="24" spans="1:8" x14ac:dyDescent="0.2">
      <c r="A24" s="3">
        <v>18</v>
      </c>
      <c r="B24" s="4" t="s">
        <v>187</v>
      </c>
      <c r="C24" s="4" t="s">
        <v>188</v>
      </c>
      <c r="D24" s="4" t="s">
        <v>978</v>
      </c>
      <c r="E24" s="5">
        <v>19626</v>
      </c>
      <c r="F24" s="6">
        <v>175.38774900000001</v>
      </c>
      <c r="G24" s="7">
        <v>2.1201204000000001E-2</v>
      </c>
      <c r="H24" s="69"/>
    </row>
    <row r="25" spans="1:8" ht="25.5" x14ac:dyDescent="0.2">
      <c r="A25" s="3">
        <v>19</v>
      </c>
      <c r="B25" s="4" t="s">
        <v>339</v>
      </c>
      <c r="C25" s="4" t="s">
        <v>340</v>
      </c>
      <c r="D25" s="4" t="s">
        <v>75</v>
      </c>
      <c r="E25" s="5">
        <v>37015</v>
      </c>
      <c r="F25" s="6">
        <v>165.9197375</v>
      </c>
      <c r="G25" s="7">
        <v>2.0056693E-2</v>
      </c>
      <c r="H25" s="69"/>
    </row>
    <row r="26" spans="1:8" ht="25.5" x14ac:dyDescent="0.2">
      <c r="A26" s="3">
        <v>20</v>
      </c>
      <c r="B26" s="4" t="s">
        <v>23</v>
      </c>
      <c r="C26" s="4" t="s">
        <v>24</v>
      </c>
      <c r="D26" s="4" t="s">
        <v>974</v>
      </c>
      <c r="E26" s="5">
        <v>2097</v>
      </c>
      <c r="F26" s="6">
        <v>155.8857375</v>
      </c>
      <c r="G26" s="7">
        <v>1.8843763999999999E-2</v>
      </c>
      <c r="H26" s="69"/>
    </row>
    <row r="27" spans="1:8" x14ac:dyDescent="0.2">
      <c r="A27" s="3">
        <v>21</v>
      </c>
      <c r="B27" s="4" t="s">
        <v>158</v>
      </c>
      <c r="C27" s="4" t="s">
        <v>159</v>
      </c>
      <c r="D27" s="4" t="s">
        <v>160</v>
      </c>
      <c r="E27" s="5">
        <v>9500</v>
      </c>
      <c r="F27" s="6">
        <v>154.14224999999999</v>
      </c>
      <c r="G27" s="7">
        <v>1.8633008E-2</v>
      </c>
      <c r="H27" s="69"/>
    </row>
    <row r="28" spans="1:8" x14ac:dyDescent="0.2">
      <c r="A28" s="3">
        <v>22</v>
      </c>
      <c r="B28" s="4" t="s">
        <v>422</v>
      </c>
      <c r="C28" s="4" t="s">
        <v>423</v>
      </c>
      <c r="D28" s="4" t="s">
        <v>155</v>
      </c>
      <c r="E28" s="5">
        <v>23000</v>
      </c>
      <c r="F28" s="6">
        <v>146.5675</v>
      </c>
      <c r="G28" s="7">
        <v>1.7717357999999999E-2</v>
      </c>
      <c r="H28" s="69"/>
    </row>
    <row r="29" spans="1:8" x14ac:dyDescent="0.2">
      <c r="A29" s="3">
        <v>23</v>
      </c>
      <c r="B29" s="4" t="s">
        <v>424</v>
      </c>
      <c r="C29" s="4" t="s">
        <v>425</v>
      </c>
      <c r="D29" s="4" t="s">
        <v>204</v>
      </c>
      <c r="E29" s="5">
        <v>17804</v>
      </c>
      <c r="F29" s="6">
        <v>134.17094399999999</v>
      </c>
      <c r="G29" s="7">
        <v>1.6218838999999999E-2</v>
      </c>
      <c r="H29" s="69"/>
    </row>
    <row r="30" spans="1:8" ht="25.5" x14ac:dyDescent="0.2">
      <c r="A30" s="3">
        <v>24</v>
      </c>
      <c r="B30" s="4" t="s">
        <v>426</v>
      </c>
      <c r="C30" s="4" t="s">
        <v>427</v>
      </c>
      <c r="D30" s="4" t="s">
        <v>207</v>
      </c>
      <c r="E30" s="5">
        <v>5513</v>
      </c>
      <c r="F30" s="6">
        <v>127.7665315</v>
      </c>
      <c r="G30" s="7">
        <v>1.5444661E-2</v>
      </c>
      <c r="H30" s="69"/>
    </row>
    <row r="31" spans="1:8" x14ac:dyDescent="0.2">
      <c r="A31" s="3">
        <v>25</v>
      </c>
      <c r="B31" s="4" t="s">
        <v>380</v>
      </c>
      <c r="C31" s="4" t="s">
        <v>381</v>
      </c>
      <c r="D31" s="4" t="s">
        <v>155</v>
      </c>
      <c r="E31" s="5">
        <v>10771</v>
      </c>
      <c r="F31" s="6">
        <v>122.6439915</v>
      </c>
      <c r="G31" s="7">
        <v>1.4825438999999999E-2</v>
      </c>
      <c r="H31" s="69"/>
    </row>
    <row r="32" spans="1:8" x14ac:dyDescent="0.2">
      <c r="A32" s="3">
        <v>26</v>
      </c>
      <c r="B32" s="4" t="s">
        <v>428</v>
      </c>
      <c r="C32" s="4" t="s">
        <v>429</v>
      </c>
      <c r="D32" s="4" t="s">
        <v>155</v>
      </c>
      <c r="E32" s="5">
        <v>6698</v>
      </c>
      <c r="F32" s="6">
        <v>103.24632099999999</v>
      </c>
      <c r="G32" s="7">
        <v>1.2480611000000001E-2</v>
      </c>
      <c r="H32" s="69"/>
    </row>
    <row r="33" spans="1:8" x14ac:dyDescent="0.2">
      <c r="A33" s="3">
        <v>27</v>
      </c>
      <c r="B33" s="4" t="s">
        <v>332</v>
      </c>
      <c r="C33" s="4" t="s">
        <v>333</v>
      </c>
      <c r="D33" s="4" t="s">
        <v>334</v>
      </c>
      <c r="E33" s="5">
        <v>9959</v>
      </c>
      <c r="F33" s="6">
        <v>101.024096</v>
      </c>
      <c r="G33" s="7">
        <v>1.2211985E-2</v>
      </c>
      <c r="H33" s="69"/>
    </row>
    <row r="34" spans="1:8" x14ac:dyDescent="0.2">
      <c r="A34" s="3">
        <v>28</v>
      </c>
      <c r="B34" s="4" t="s">
        <v>316</v>
      </c>
      <c r="C34" s="4" t="s">
        <v>317</v>
      </c>
      <c r="D34" s="4" t="s">
        <v>221</v>
      </c>
      <c r="E34" s="5">
        <v>260</v>
      </c>
      <c r="F34" s="6">
        <v>99.816339999999997</v>
      </c>
      <c r="G34" s="7">
        <v>1.2065988999999999E-2</v>
      </c>
      <c r="H34" s="69"/>
    </row>
    <row r="35" spans="1:8" x14ac:dyDescent="0.2">
      <c r="A35" s="3">
        <v>29</v>
      </c>
      <c r="B35" s="4" t="s">
        <v>433</v>
      </c>
      <c r="C35" s="4" t="s">
        <v>434</v>
      </c>
      <c r="D35" s="4" t="s">
        <v>160</v>
      </c>
      <c r="E35" s="5">
        <v>12994</v>
      </c>
      <c r="F35" s="6">
        <v>97.234101999999993</v>
      </c>
      <c r="G35" s="7">
        <v>1.1753843E-2</v>
      </c>
      <c r="H35" s="69"/>
    </row>
    <row r="36" spans="1:8" x14ac:dyDescent="0.2">
      <c r="A36" s="3">
        <v>30</v>
      </c>
      <c r="B36" s="4" t="s">
        <v>430</v>
      </c>
      <c r="C36" s="4" t="s">
        <v>431</v>
      </c>
      <c r="D36" s="4" t="s">
        <v>432</v>
      </c>
      <c r="E36" s="5">
        <v>22227</v>
      </c>
      <c r="F36" s="6">
        <v>91.741942499999993</v>
      </c>
      <c r="G36" s="7">
        <v>1.108994E-2</v>
      </c>
      <c r="H36" s="69"/>
    </row>
    <row r="37" spans="1:8" x14ac:dyDescent="0.2">
      <c r="A37" s="3">
        <v>31</v>
      </c>
      <c r="B37" s="4" t="s">
        <v>363</v>
      </c>
      <c r="C37" s="4" t="s">
        <v>364</v>
      </c>
      <c r="D37" s="4" t="s">
        <v>48</v>
      </c>
      <c r="E37" s="5">
        <v>14383</v>
      </c>
      <c r="F37" s="6">
        <v>89.174599999999998</v>
      </c>
      <c r="G37" s="7">
        <v>1.0779594999999999E-2</v>
      </c>
      <c r="H37" s="69"/>
    </row>
    <row r="38" spans="1:8" x14ac:dyDescent="0.2">
      <c r="A38" s="3">
        <v>32</v>
      </c>
      <c r="B38" s="4" t="s">
        <v>328</v>
      </c>
      <c r="C38" s="4" t="s">
        <v>329</v>
      </c>
      <c r="D38" s="4" t="s">
        <v>27</v>
      </c>
      <c r="E38" s="5">
        <v>10088</v>
      </c>
      <c r="F38" s="6">
        <v>88.623080000000002</v>
      </c>
      <c r="G38" s="7">
        <v>1.0712925999999999E-2</v>
      </c>
      <c r="H38" s="69"/>
    </row>
    <row r="39" spans="1:8" x14ac:dyDescent="0.2">
      <c r="A39" s="3">
        <v>33</v>
      </c>
      <c r="B39" s="4" t="s">
        <v>347</v>
      </c>
      <c r="C39" s="4" t="s">
        <v>348</v>
      </c>
      <c r="D39" s="4" t="s">
        <v>204</v>
      </c>
      <c r="E39" s="5">
        <v>2422</v>
      </c>
      <c r="F39" s="6">
        <v>86.837176999999997</v>
      </c>
      <c r="G39" s="7">
        <v>1.0497042999999999E-2</v>
      </c>
      <c r="H39" s="69"/>
    </row>
    <row r="40" spans="1:8" x14ac:dyDescent="0.2">
      <c r="A40" s="3">
        <v>34</v>
      </c>
      <c r="B40" s="4" t="s">
        <v>435</v>
      </c>
      <c r="C40" s="4" t="s">
        <v>436</v>
      </c>
      <c r="D40" s="4" t="s">
        <v>83</v>
      </c>
      <c r="E40" s="5">
        <v>10176</v>
      </c>
      <c r="F40" s="6">
        <v>85.020480000000006</v>
      </c>
      <c r="G40" s="7">
        <v>1.0277437E-2</v>
      </c>
      <c r="H40" s="69"/>
    </row>
    <row r="41" spans="1:8" x14ac:dyDescent="0.2">
      <c r="A41" s="3">
        <v>35</v>
      </c>
      <c r="B41" s="4" t="s">
        <v>351</v>
      </c>
      <c r="C41" s="4" t="s">
        <v>352</v>
      </c>
      <c r="D41" s="4" t="s">
        <v>22</v>
      </c>
      <c r="E41" s="5">
        <v>96000</v>
      </c>
      <c r="F41" s="6">
        <v>82.32</v>
      </c>
      <c r="G41" s="7">
        <v>9.9509980000000008E-3</v>
      </c>
      <c r="H41" s="69"/>
    </row>
    <row r="42" spans="1:8" x14ac:dyDescent="0.2">
      <c r="A42" s="3">
        <v>36</v>
      </c>
      <c r="B42" s="4" t="s">
        <v>39</v>
      </c>
      <c r="C42" s="4" t="s">
        <v>40</v>
      </c>
      <c r="D42" s="4" t="s">
        <v>16</v>
      </c>
      <c r="E42" s="5">
        <v>21882</v>
      </c>
      <c r="F42" s="6">
        <v>80.963399999999993</v>
      </c>
      <c r="G42" s="7">
        <v>9.7870100000000005E-3</v>
      </c>
      <c r="H42" s="69"/>
    </row>
    <row r="43" spans="1:8" x14ac:dyDescent="0.2">
      <c r="A43" s="3">
        <v>37</v>
      </c>
      <c r="B43" s="4" t="s">
        <v>359</v>
      </c>
      <c r="C43" s="4" t="s">
        <v>360</v>
      </c>
      <c r="D43" s="4" t="s">
        <v>160</v>
      </c>
      <c r="E43" s="5">
        <v>104</v>
      </c>
      <c r="F43" s="6">
        <v>77.616032000000004</v>
      </c>
      <c r="G43" s="7">
        <v>9.3823729999999994E-3</v>
      </c>
      <c r="H43" s="69"/>
    </row>
    <row r="44" spans="1:8" x14ac:dyDescent="0.2">
      <c r="A44" s="3">
        <v>38</v>
      </c>
      <c r="B44" s="4" t="s">
        <v>90</v>
      </c>
      <c r="C44" s="4" t="s">
        <v>91</v>
      </c>
      <c r="D44" s="4" t="s">
        <v>27</v>
      </c>
      <c r="E44" s="5">
        <v>956</v>
      </c>
      <c r="F44" s="6">
        <v>74.508728000000005</v>
      </c>
      <c r="G44" s="7">
        <v>9.0067570000000007E-3</v>
      </c>
      <c r="H44" s="69"/>
    </row>
    <row r="45" spans="1:8" x14ac:dyDescent="0.2">
      <c r="A45" s="3">
        <v>39</v>
      </c>
      <c r="B45" s="4" t="s">
        <v>355</v>
      </c>
      <c r="C45" s="4" t="s">
        <v>356</v>
      </c>
      <c r="D45" s="4" t="s">
        <v>65</v>
      </c>
      <c r="E45" s="5">
        <v>20478</v>
      </c>
      <c r="F45" s="6">
        <v>70.352169000000004</v>
      </c>
      <c r="G45" s="7">
        <v>8.5043040000000007E-3</v>
      </c>
      <c r="H45" s="69"/>
    </row>
    <row r="46" spans="1:8" x14ac:dyDescent="0.2">
      <c r="A46" s="3">
        <v>40</v>
      </c>
      <c r="B46" s="4" t="s">
        <v>378</v>
      </c>
      <c r="C46" s="4" t="s">
        <v>379</v>
      </c>
      <c r="D46" s="4" t="s">
        <v>224</v>
      </c>
      <c r="E46" s="5">
        <v>9400</v>
      </c>
      <c r="F46" s="6">
        <v>69.578800000000001</v>
      </c>
      <c r="G46" s="7">
        <v>8.4108180000000005E-3</v>
      </c>
      <c r="H46" s="69"/>
    </row>
    <row r="47" spans="1:8" ht="25.5" x14ac:dyDescent="0.2">
      <c r="A47" s="3">
        <v>41</v>
      </c>
      <c r="B47" s="4" t="s">
        <v>437</v>
      </c>
      <c r="C47" s="4" t="s">
        <v>438</v>
      </c>
      <c r="D47" s="4" t="s">
        <v>207</v>
      </c>
      <c r="E47" s="5">
        <v>31300</v>
      </c>
      <c r="F47" s="6">
        <v>69.219949999999997</v>
      </c>
      <c r="G47" s="7">
        <v>8.3674390000000008E-3</v>
      </c>
      <c r="H47" s="69"/>
    </row>
    <row r="48" spans="1:8" x14ac:dyDescent="0.2">
      <c r="A48" s="3">
        <v>42</v>
      </c>
      <c r="B48" s="4" t="s">
        <v>439</v>
      </c>
      <c r="C48" s="4" t="s">
        <v>440</v>
      </c>
      <c r="D48" s="4" t="s">
        <v>204</v>
      </c>
      <c r="E48" s="5">
        <v>1291</v>
      </c>
      <c r="F48" s="6">
        <v>62.985308000000003</v>
      </c>
      <c r="G48" s="7">
        <v>7.6137840000000002E-3</v>
      </c>
      <c r="H48" s="69"/>
    </row>
    <row r="49" spans="1:8" x14ac:dyDescent="0.2">
      <c r="A49" s="3">
        <v>43</v>
      </c>
      <c r="B49" s="4" t="s">
        <v>185</v>
      </c>
      <c r="C49" s="4" t="s">
        <v>186</v>
      </c>
      <c r="D49" s="4" t="s">
        <v>16</v>
      </c>
      <c r="E49" s="5">
        <v>21000</v>
      </c>
      <c r="F49" s="6">
        <v>61.970999999999997</v>
      </c>
      <c r="G49" s="7">
        <v>7.4911719999999999E-3</v>
      </c>
      <c r="H49" s="69"/>
    </row>
    <row r="50" spans="1:8" x14ac:dyDescent="0.2">
      <c r="A50" s="3">
        <v>44</v>
      </c>
      <c r="B50" s="4" t="s">
        <v>337</v>
      </c>
      <c r="C50" s="4" t="s">
        <v>338</v>
      </c>
      <c r="D50" s="4" t="s">
        <v>78</v>
      </c>
      <c r="E50" s="5">
        <v>4150</v>
      </c>
      <c r="F50" s="6">
        <v>58.378050000000002</v>
      </c>
      <c r="G50" s="7">
        <v>7.0568499999999999E-3</v>
      </c>
      <c r="H50" s="69"/>
    </row>
    <row r="51" spans="1:8" x14ac:dyDescent="0.2">
      <c r="A51" s="3">
        <v>45</v>
      </c>
      <c r="B51" s="4" t="s">
        <v>310</v>
      </c>
      <c r="C51" s="4" t="s">
        <v>311</v>
      </c>
      <c r="D51" s="4" t="s">
        <v>982</v>
      </c>
      <c r="E51" s="5">
        <v>5927</v>
      </c>
      <c r="F51" s="6">
        <v>55.728617499999999</v>
      </c>
      <c r="G51" s="7">
        <v>6.7365810000000002E-3</v>
      </c>
      <c r="H51" s="69"/>
    </row>
    <row r="52" spans="1:8" x14ac:dyDescent="0.2">
      <c r="A52" s="3">
        <v>46</v>
      </c>
      <c r="B52" s="4" t="s">
        <v>441</v>
      </c>
      <c r="C52" s="4" t="s">
        <v>442</v>
      </c>
      <c r="D52" s="4" t="s">
        <v>22</v>
      </c>
      <c r="E52" s="5">
        <v>2804</v>
      </c>
      <c r="F52" s="6">
        <v>55.011676000000001</v>
      </c>
      <c r="G52" s="7">
        <v>6.6499159999999996E-3</v>
      </c>
      <c r="H52" s="69"/>
    </row>
    <row r="53" spans="1:8" x14ac:dyDescent="0.2">
      <c r="A53" s="3">
        <v>47</v>
      </c>
      <c r="B53" s="4" t="s">
        <v>443</v>
      </c>
      <c r="C53" s="4" t="s">
        <v>444</v>
      </c>
      <c r="D53" s="4" t="s">
        <v>65</v>
      </c>
      <c r="E53" s="5">
        <v>4575</v>
      </c>
      <c r="F53" s="6">
        <v>49.007399999999997</v>
      </c>
      <c r="G53" s="7">
        <v>5.924108E-3</v>
      </c>
      <c r="H53" s="69"/>
    </row>
    <row r="54" spans="1:8" ht="25.5" x14ac:dyDescent="0.2">
      <c r="A54" s="3">
        <v>48</v>
      </c>
      <c r="B54" s="4" t="s">
        <v>218</v>
      </c>
      <c r="C54" s="4" t="s">
        <v>869</v>
      </c>
      <c r="D54" s="4" t="s">
        <v>45</v>
      </c>
      <c r="E54" s="5">
        <v>21287</v>
      </c>
      <c r="F54" s="6">
        <v>44.255673000000002</v>
      </c>
      <c r="G54" s="7">
        <v>5.3497099999999997E-3</v>
      </c>
      <c r="H54" s="69"/>
    </row>
    <row r="55" spans="1:8" x14ac:dyDescent="0.2">
      <c r="A55" s="3">
        <v>49</v>
      </c>
      <c r="B55" s="4" t="s">
        <v>374</v>
      </c>
      <c r="C55" s="4" t="s">
        <v>375</v>
      </c>
      <c r="D55" s="4" t="s">
        <v>75</v>
      </c>
      <c r="E55" s="5">
        <v>59307</v>
      </c>
      <c r="F55" s="6">
        <v>39.7653435</v>
      </c>
      <c r="G55" s="7">
        <v>4.8069100000000002E-3</v>
      </c>
      <c r="H55" s="69"/>
    </row>
    <row r="56" spans="1:8" x14ac:dyDescent="0.2">
      <c r="A56" s="3">
        <v>50</v>
      </c>
      <c r="B56" s="4" t="s">
        <v>251</v>
      </c>
      <c r="C56" s="4" t="s">
        <v>252</v>
      </c>
      <c r="D56" s="4" t="s">
        <v>160</v>
      </c>
      <c r="E56" s="5">
        <v>5905</v>
      </c>
      <c r="F56" s="6">
        <v>34.337575000000001</v>
      </c>
      <c r="G56" s="7">
        <v>4.150791E-3</v>
      </c>
      <c r="H56" s="69"/>
    </row>
    <row r="57" spans="1:8" ht="25.5" x14ac:dyDescent="0.2">
      <c r="A57" s="3">
        <v>51</v>
      </c>
      <c r="B57" s="4" t="s">
        <v>445</v>
      </c>
      <c r="C57" s="4" t="s">
        <v>930</v>
      </c>
      <c r="D57" s="4" t="s">
        <v>19</v>
      </c>
      <c r="E57" s="5">
        <v>1908</v>
      </c>
      <c r="F57" s="6">
        <v>7.4564640000000004</v>
      </c>
      <c r="G57" s="7">
        <v>9.0135200000000001E-4</v>
      </c>
      <c r="H57" s="69"/>
    </row>
    <row r="58" spans="1:8" x14ac:dyDescent="0.2">
      <c r="A58" s="1"/>
      <c r="B58" s="1"/>
      <c r="C58" s="2" t="s">
        <v>95</v>
      </c>
      <c r="D58" s="1"/>
      <c r="E58" s="1" t="s">
        <v>96</v>
      </c>
      <c r="F58" s="9">
        <v>8185.9795650000005</v>
      </c>
      <c r="G58" s="10">
        <v>0.98953676199999963</v>
      </c>
      <c r="H58" s="69"/>
    </row>
    <row r="59" spans="1:8" x14ac:dyDescent="0.2">
      <c r="A59" s="1"/>
      <c r="B59" s="1"/>
      <c r="C59" s="11"/>
      <c r="D59" s="1"/>
      <c r="E59" s="1"/>
      <c r="F59" s="12"/>
      <c r="G59" s="12"/>
      <c r="H59" s="69"/>
    </row>
    <row r="60" spans="1:8" x14ac:dyDescent="0.2">
      <c r="A60" s="1"/>
      <c r="B60" s="1"/>
      <c r="C60" s="2" t="s">
        <v>97</v>
      </c>
      <c r="D60" s="1"/>
      <c r="E60" s="1"/>
      <c r="F60" s="1"/>
      <c r="G60" s="1"/>
      <c r="H60" s="69"/>
    </row>
    <row r="61" spans="1:8" x14ac:dyDescent="0.2">
      <c r="A61" s="1"/>
      <c r="B61" s="1"/>
      <c r="C61" s="2" t="s">
        <v>95</v>
      </c>
      <c r="D61" s="1"/>
      <c r="E61" s="1" t="s">
        <v>96</v>
      </c>
      <c r="F61" s="13">
        <v>0</v>
      </c>
      <c r="G61" s="14">
        <v>0</v>
      </c>
      <c r="H61" s="69"/>
    </row>
    <row r="62" spans="1:8" x14ac:dyDescent="0.2">
      <c r="A62" s="1"/>
      <c r="B62" s="1"/>
      <c r="C62" s="11"/>
      <c r="D62" s="1"/>
      <c r="E62" s="1"/>
      <c r="F62" s="12"/>
      <c r="G62" s="12"/>
      <c r="H62" s="69"/>
    </row>
    <row r="63" spans="1:8" x14ac:dyDescent="0.2">
      <c r="A63" s="1"/>
      <c r="B63" s="1"/>
      <c r="C63" s="2" t="s">
        <v>98</v>
      </c>
      <c r="D63" s="1"/>
      <c r="E63" s="1"/>
      <c r="F63" s="1"/>
      <c r="G63" s="1"/>
      <c r="H63" s="69"/>
    </row>
    <row r="64" spans="1:8" x14ac:dyDescent="0.2">
      <c r="A64" s="1"/>
      <c r="B64" s="1"/>
      <c r="C64" s="2" t="s">
        <v>95</v>
      </c>
      <c r="D64" s="1"/>
      <c r="E64" s="1" t="s">
        <v>96</v>
      </c>
      <c r="F64" s="13">
        <v>0</v>
      </c>
      <c r="G64" s="14">
        <v>0</v>
      </c>
      <c r="H64" s="69"/>
    </row>
    <row r="65" spans="1:8" x14ac:dyDescent="0.2">
      <c r="A65" s="1"/>
      <c r="B65" s="1"/>
      <c r="C65" s="11"/>
      <c r="D65" s="1"/>
      <c r="E65" s="1"/>
      <c r="F65" s="12"/>
      <c r="G65" s="12"/>
      <c r="H65" s="69"/>
    </row>
    <row r="66" spans="1:8" x14ac:dyDescent="0.2">
      <c r="A66" s="1"/>
      <c r="B66" s="1"/>
      <c r="C66" s="2" t="s">
        <v>99</v>
      </c>
      <c r="D66" s="1"/>
      <c r="E66" s="1"/>
      <c r="F66" s="1"/>
      <c r="G66" s="1"/>
      <c r="H66" s="69"/>
    </row>
    <row r="67" spans="1:8" x14ac:dyDescent="0.2">
      <c r="A67" s="1"/>
      <c r="B67" s="1"/>
      <c r="C67" s="2" t="s">
        <v>95</v>
      </c>
      <c r="D67" s="1"/>
      <c r="E67" s="1" t="s">
        <v>96</v>
      </c>
      <c r="F67" s="9">
        <v>0</v>
      </c>
      <c r="G67" s="10">
        <v>0</v>
      </c>
      <c r="H67" s="69"/>
    </row>
    <row r="68" spans="1:8" x14ac:dyDescent="0.2">
      <c r="A68" s="1"/>
      <c r="B68" s="1"/>
      <c r="C68" s="11"/>
      <c r="D68" s="1"/>
      <c r="E68" s="1"/>
      <c r="F68" s="12"/>
      <c r="G68" s="12"/>
      <c r="H68" s="69"/>
    </row>
    <row r="69" spans="1:8" x14ac:dyDescent="0.2">
      <c r="A69" s="1"/>
      <c r="B69" s="1"/>
      <c r="C69" s="2" t="s">
        <v>100</v>
      </c>
      <c r="D69" s="1"/>
      <c r="E69" s="1"/>
      <c r="F69" s="12"/>
      <c r="G69" s="12"/>
      <c r="H69" s="69"/>
    </row>
    <row r="70" spans="1:8" x14ac:dyDescent="0.2">
      <c r="A70" s="1"/>
      <c r="B70" s="1"/>
      <c r="C70" s="2" t="s">
        <v>95</v>
      </c>
      <c r="D70" s="1"/>
      <c r="E70" s="1" t="s">
        <v>96</v>
      </c>
      <c r="F70" s="13">
        <v>0</v>
      </c>
      <c r="G70" s="14">
        <v>0</v>
      </c>
      <c r="H70" s="69"/>
    </row>
    <row r="71" spans="1:8" x14ac:dyDescent="0.2">
      <c r="A71" s="1"/>
      <c r="B71" s="1"/>
      <c r="C71" s="11"/>
      <c r="D71" s="1"/>
      <c r="E71" s="1"/>
      <c r="F71" s="12"/>
      <c r="G71" s="12"/>
      <c r="H71" s="69"/>
    </row>
    <row r="72" spans="1:8" x14ac:dyDescent="0.2">
      <c r="A72" s="1"/>
      <c r="B72" s="1"/>
      <c r="C72" s="2" t="s">
        <v>101</v>
      </c>
      <c r="D72" s="1"/>
      <c r="E72" s="1"/>
      <c r="F72" s="12"/>
      <c r="G72" s="12"/>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102</v>
      </c>
      <c r="D75" s="1"/>
      <c r="E75" s="1"/>
      <c r="F75" s="9">
        <v>8185.9795649999996</v>
      </c>
      <c r="G75" s="10">
        <v>0.98953676199999996</v>
      </c>
      <c r="H75" s="69"/>
    </row>
    <row r="76" spans="1:8" x14ac:dyDescent="0.2">
      <c r="A76" s="1"/>
      <c r="B76" s="1"/>
      <c r="C76" s="11"/>
      <c r="D76" s="1"/>
      <c r="E76" s="1"/>
      <c r="F76" s="12"/>
      <c r="G76" s="12"/>
      <c r="H76" s="69"/>
    </row>
    <row r="77" spans="1:8" x14ac:dyDescent="0.2">
      <c r="A77" s="1"/>
      <c r="B77" s="1"/>
      <c r="C77" s="2" t="s">
        <v>103</v>
      </c>
      <c r="D77" s="1"/>
      <c r="E77" s="1"/>
      <c r="F77" s="12"/>
      <c r="G77" s="12"/>
      <c r="H77" s="69"/>
    </row>
    <row r="78" spans="1:8" ht="25.5" x14ac:dyDescent="0.2">
      <c r="A78" s="1"/>
      <c r="B78" s="1"/>
      <c r="C78" s="2" t="s">
        <v>10</v>
      </c>
      <c r="D78" s="1"/>
      <c r="E78" s="1"/>
      <c r="F78" s="12"/>
      <c r="G78" s="12"/>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104</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105</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106</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107</v>
      </c>
      <c r="D90" s="1"/>
      <c r="E90" s="1"/>
      <c r="F90" s="9">
        <v>0</v>
      </c>
      <c r="G90" s="10">
        <v>0</v>
      </c>
      <c r="H90" s="69"/>
    </row>
    <row r="91" spans="1:8" x14ac:dyDescent="0.2">
      <c r="A91" s="1"/>
      <c r="B91" s="1"/>
      <c r="C91" s="11"/>
      <c r="D91" s="1"/>
      <c r="E91" s="1"/>
      <c r="F91" s="12"/>
      <c r="G91" s="12"/>
      <c r="H91" s="69"/>
    </row>
    <row r="92" spans="1:8" x14ac:dyDescent="0.2">
      <c r="A92" s="1"/>
      <c r="B92" s="1"/>
      <c r="C92" s="2" t="s">
        <v>108</v>
      </c>
      <c r="D92" s="1"/>
      <c r="E92" s="1"/>
      <c r="F92" s="12"/>
      <c r="G92" s="12"/>
      <c r="H92" s="69"/>
    </row>
    <row r="93" spans="1:8" x14ac:dyDescent="0.2">
      <c r="A93" s="1"/>
      <c r="B93" s="1"/>
      <c r="C93" s="2" t="s">
        <v>109</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110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112</v>
      </c>
      <c r="D102" s="1"/>
      <c r="E102" s="1"/>
      <c r="F102" s="12"/>
      <c r="G102" s="12"/>
      <c r="H102" s="69"/>
    </row>
    <row r="103" spans="1:8" x14ac:dyDescent="0.2">
      <c r="A103" s="3">
        <v>1</v>
      </c>
      <c r="B103" s="4"/>
      <c r="C103" s="4" t="s">
        <v>113</v>
      </c>
      <c r="D103" s="4"/>
      <c r="E103" s="8"/>
      <c r="F103" s="6">
        <v>66.144105800000006</v>
      </c>
      <c r="G103" s="7">
        <v>7.9956249999999993E-3</v>
      </c>
      <c r="H103" s="6">
        <v>3.3628721504199861</v>
      </c>
    </row>
    <row r="104" spans="1:8" x14ac:dyDescent="0.2">
      <c r="A104" s="3">
        <v>2</v>
      </c>
      <c r="B104" s="4"/>
      <c r="C104" s="4" t="s">
        <v>114</v>
      </c>
      <c r="D104" s="4"/>
      <c r="E104" s="8"/>
      <c r="F104" s="6">
        <v>25.544222300000001</v>
      </c>
      <c r="G104" s="7">
        <v>3.0878339999999998E-3</v>
      </c>
      <c r="H104" s="6">
        <v>3.4499999999999966</v>
      </c>
    </row>
    <row r="105" spans="1:8" x14ac:dyDescent="0.2">
      <c r="A105" s="1"/>
      <c r="B105" s="1"/>
      <c r="C105" s="2" t="s">
        <v>95</v>
      </c>
      <c r="D105" s="1"/>
      <c r="E105" s="1" t="s">
        <v>96</v>
      </c>
      <c r="F105" s="9">
        <v>91.688328100000007</v>
      </c>
      <c r="G105" s="10">
        <v>1.1083459E-2</v>
      </c>
      <c r="H105" s="69"/>
    </row>
    <row r="106" spans="1:8" x14ac:dyDescent="0.2">
      <c r="A106" s="1"/>
      <c r="B106" s="1"/>
      <c r="C106" s="11"/>
      <c r="D106" s="1"/>
      <c r="E106" s="1"/>
      <c r="F106" s="12"/>
      <c r="G106" s="12"/>
      <c r="H106" s="69"/>
    </row>
    <row r="107" spans="1:8" x14ac:dyDescent="0.2">
      <c r="A107" s="1"/>
      <c r="B107" s="1"/>
      <c r="C107" s="2" t="s">
        <v>115</v>
      </c>
      <c r="D107" s="1"/>
      <c r="E107" s="1"/>
      <c r="F107" s="9">
        <v>91.688328100000007</v>
      </c>
      <c r="G107" s="10">
        <v>1.1083459E-2</v>
      </c>
      <c r="H107" s="69"/>
    </row>
    <row r="108" spans="1:8" x14ac:dyDescent="0.2">
      <c r="A108" s="1"/>
      <c r="B108" s="1"/>
      <c r="C108" s="12"/>
      <c r="D108" s="1"/>
      <c r="E108" s="1"/>
      <c r="F108" s="1"/>
      <c r="G108" s="1"/>
      <c r="H108" s="69"/>
    </row>
    <row r="109" spans="1:8" x14ac:dyDescent="0.2">
      <c r="A109" s="1"/>
      <c r="B109" s="1"/>
      <c r="C109" s="2" t="s">
        <v>116</v>
      </c>
      <c r="D109" s="1"/>
      <c r="E109" s="1"/>
      <c r="F109" s="1"/>
      <c r="G109" s="1"/>
      <c r="H109" s="69"/>
    </row>
    <row r="110" spans="1:8" x14ac:dyDescent="0.2">
      <c r="A110" s="1"/>
      <c r="B110" s="1"/>
      <c r="C110" s="2" t="s">
        <v>117</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118</v>
      </c>
      <c r="D113" s="1"/>
      <c r="E113" s="1"/>
      <c r="F113" s="1"/>
      <c r="G113" s="1"/>
      <c r="H113" s="69"/>
    </row>
    <row r="114" spans="1:8" x14ac:dyDescent="0.2">
      <c r="A114" s="1"/>
      <c r="B114" s="1"/>
      <c r="C114" s="2" t="s">
        <v>119</v>
      </c>
      <c r="D114" s="1"/>
      <c r="E114" s="1"/>
      <c r="F114" s="1"/>
      <c r="G114" s="1"/>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11"/>
      <c r="D117" s="1"/>
      <c r="E117" s="1"/>
      <c r="F117" s="12"/>
      <c r="G117" s="12"/>
      <c r="H117" s="69"/>
    </row>
    <row r="118" spans="1:8" ht="25.5" x14ac:dyDescent="0.2">
      <c r="A118" s="1"/>
      <c r="B118" s="1"/>
      <c r="C118" s="2" t="s">
        <v>120</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4"/>
      <c r="C121" s="4"/>
      <c r="D121" s="2"/>
      <c r="E121" s="1"/>
      <c r="F121" s="4"/>
      <c r="G121" s="8"/>
      <c r="H121" s="69"/>
    </row>
    <row r="122" spans="1:8" x14ac:dyDescent="0.2">
      <c r="A122" s="8"/>
      <c r="B122" s="4"/>
      <c r="C122" s="4" t="s">
        <v>121</v>
      </c>
      <c r="D122" s="4"/>
      <c r="E122" s="8"/>
      <c r="F122" s="6">
        <v>-5.1307813099999997</v>
      </c>
      <c r="G122" s="7">
        <v>-6.2021899999999998E-4</v>
      </c>
      <c r="H122" s="69"/>
    </row>
    <row r="123" spans="1:8" x14ac:dyDescent="0.2">
      <c r="A123" s="11"/>
      <c r="B123" s="11"/>
      <c r="C123" s="2" t="s">
        <v>122</v>
      </c>
      <c r="D123" s="15"/>
      <c r="E123" s="15"/>
      <c r="F123" s="9">
        <v>8272.5371117899995</v>
      </c>
      <c r="G123" s="10">
        <v>1.0000000019999999</v>
      </c>
      <c r="H123" s="69"/>
    </row>
    <row r="124" spans="1:8" ht="14.1" customHeight="1" x14ac:dyDescent="0.2">
      <c r="A124" s="16"/>
      <c r="B124" s="16"/>
      <c r="C124" s="16"/>
      <c r="D124" s="17"/>
      <c r="E124" s="17"/>
      <c r="F124" s="17"/>
      <c r="G124" s="17"/>
    </row>
    <row r="125" spans="1:8" ht="14.1" customHeight="1" x14ac:dyDescent="0.2">
      <c r="A125" s="18"/>
      <c r="B125" s="176" t="s">
        <v>96</v>
      </c>
      <c r="C125" s="176"/>
      <c r="D125" s="176"/>
      <c r="E125" s="176"/>
      <c r="F125" s="176"/>
      <c r="G125" s="20"/>
    </row>
    <row r="126" spans="1:8" ht="14.1" customHeight="1" x14ac:dyDescent="0.2">
      <c r="A126" s="18"/>
      <c r="B126" s="176" t="s">
        <v>96</v>
      </c>
      <c r="C126" s="176"/>
      <c r="D126" s="176"/>
      <c r="E126" s="176"/>
      <c r="F126" s="176"/>
      <c r="G126" s="20"/>
    </row>
    <row r="127" spans="1:8" ht="14.1" customHeight="1" x14ac:dyDescent="0.2">
      <c r="A127" s="18"/>
      <c r="B127" s="18"/>
      <c r="C127" s="18"/>
      <c r="D127" s="20"/>
      <c r="E127" s="20"/>
      <c r="F127" s="20"/>
      <c r="G127" s="20"/>
    </row>
    <row r="128" spans="1:8" ht="14.1" customHeight="1" x14ac:dyDescent="0.2">
      <c r="A128" s="18"/>
      <c r="B128" s="174" t="s">
        <v>124</v>
      </c>
      <c r="C128" s="175"/>
      <c r="D128" s="12" t="s">
        <v>96</v>
      </c>
      <c r="E128" s="21"/>
      <c r="F128" s="20"/>
      <c r="G128" s="20"/>
    </row>
    <row r="129" spans="1:16" ht="29.1" customHeight="1" x14ac:dyDescent="0.2">
      <c r="A129" s="18"/>
      <c r="B129" s="172" t="s">
        <v>125</v>
      </c>
      <c r="C129" s="173"/>
      <c r="D129" s="2" t="s">
        <v>126</v>
      </c>
      <c r="E129" s="21"/>
      <c r="F129" s="20"/>
      <c r="G129" s="20"/>
    </row>
    <row r="130" spans="1:16" ht="17.100000000000001" customHeight="1" x14ac:dyDescent="0.2">
      <c r="A130" s="18"/>
      <c r="B130" s="172" t="s">
        <v>127</v>
      </c>
      <c r="C130" s="173"/>
      <c r="D130" s="2" t="s">
        <v>126</v>
      </c>
      <c r="E130" s="21"/>
      <c r="F130" s="20"/>
      <c r="G130" s="20"/>
    </row>
    <row r="131" spans="1:16" ht="17.100000000000001" customHeight="1" x14ac:dyDescent="0.2">
      <c r="A131" s="18"/>
      <c r="B131" s="172" t="s">
        <v>128</v>
      </c>
      <c r="C131" s="173"/>
      <c r="D131" s="12" t="s">
        <v>96</v>
      </c>
      <c r="E131" s="21"/>
      <c r="F131" s="20"/>
      <c r="G131" s="20"/>
    </row>
    <row r="132" spans="1:16" ht="24" customHeight="1" x14ac:dyDescent="0.2">
      <c r="A132" s="22"/>
      <c r="B132" s="23" t="s">
        <v>96</v>
      </c>
      <c r="C132" s="23" t="s">
        <v>129</v>
      </c>
      <c r="D132" s="23" t="s">
        <v>130</v>
      </c>
      <c r="E132" s="22"/>
      <c r="F132" s="22"/>
      <c r="G132" s="22"/>
    </row>
    <row r="133" spans="1:16" ht="18" customHeight="1" x14ac:dyDescent="0.2">
      <c r="A133" s="22"/>
      <c r="B133" s="23" t="s">
        <v>131</v>
      </c>
      <c r="C133" s="23" t="s">
        <v>132</v>
      </c>
      <c r="D133" s="23" t="s">
        <v>133</v>
      </c>
      <c r="E133" s="22"/>
      <c r="F133" s="22"/>
      <c r="G133" s="22"/>
    </row>
    <row r="134" spans="1:16" ht="17.100000000000001" customHeight="1" x14ac:dyDescent="0.2">
      <c r="A134" s="22"/>
      <c r="B134" s="4" t="s">
        <v>134</v>
      </c>
      <c r="C134" s="24">
        <v>17.438700000000001</v>
      </c>
      <c r="D134" s="24">
        <v>16.916899999999998</v>
      </c>
      <c r="E134" s="22"/>
      <c r="F134" s="19"/>
      <c r="G134" s="25"/>
    </row>
    <row r="135" spans="1:16" ht="17.100000000000001" customHeight="1" x14ac:dyDescent="0.2">
      <c r="A135" s="22"/>
      <c r="B135" s="4" t="s">
        <v>983</v>
      </c>
      <c r="C135" s="24">
        <v>16.597200000000001</v>
      </c>
      <c r="D135" s="24">
        <v>16.1005</v>
      </c>
      <c r="E135" s="22"/>
      <c r="F135" s="19"/>
      <c r="G135" s="25"/>
    </row>
    <row r="136" spans="1:16" ht="17.100000000000001" customHeight="1" x14ac:dyDescent="0.2">
      <c r="A136" s="22"/>
      <c r="B136" s="4" t="s">
        <v>135</v>
      </c>
      <c r="C136" s="24">
        <v>17.092300000000002</v>
      </c>
      <c r="D136" s="24">
        <v>16.5732</v>
      </c>
      <c r="E136" s="22"/>
      <c r="F136" s="19"/>
      <c r="G136" s="25"/>
    </row>
    <row r="137" spans="1:16" ht="17.100000000000001" customHeight="1" x14ac:dyDescent="0.2">
      <c r="A137" s="22"/>
      <c r="B137" s="4" t="s">
        <v>984</v>
      </c>
      <c r="C137" s="24">
        <v>16.454000000000001</v>
      </c>
      <c r="D137" s="24">
        <v>15.9542</v>
      </c>
      <c r="E137" s="22"/>
      <c r="F137" s="19"/>
      <c r="G137" s="25"/>
    </row>
    <row r="138" spans="1:16" ht="14.1" customHeight="1" x14ac:dyDescent="0.2">
      <c r="A138" s="22"/>
      <c r="B138" s="22"/>
      <c r="C138" s="22"/>
      <c r="D138" s="22"/>
      <c r="E138" s="22"/>
      <c r="F138" s="22"/>
      <c r="G138" s="22"/>
    </row>
    <row r="139" spans="1:16" ht="17.100000000000001" customHeight="1" x14ac:dyDescent="0.2">
      <c r="A139" s="22"/>
      <c r="B139" s="172" t="s">
        <v>985</v>
      </c>
      <c r="C139" s="173"/>
      <c r="D139" s="2" t="s">
        <v>126</v>
      </c>
      <c r="E139" s="22"/>
      <c r="F139" s="22"/>
      <c r="G139" s="22"/>
    </row>
    <row r="140" spans="1:16" ht="18" customHeight="1" x14ac:dyDescent="0.2">
      <c r="A140" s="22"/>
      <c r="B140" s="26" t="s">
        <v>136</v>
      </c>
      <c r="C140" s="26" t="s">
        <v>136</v>
      </c>
      <c r="D140" s="26"/>
      <c r="E140" s="22"/>
      <c r="F140" s="22"/>
      <c r="G140" s="22"/>
      <c r="I140" s="82"/>
      <c r="J140" s="82"/>
      <c r="K140" s="82"/>
      <c r="L140" s="82"/>
      <c r="M140" s="82"/>
      <c r="N140" s="82"/>
      <c r="O140" s="82"/>
    </row>
    <row r="141" spans="1:16" s="82" customFormat="1" x14ac:dyDescent="0.2">
      <c r="B141" s="177" t="s">
        <v>936</v>
      </c>
      <c r="C141" s="177"/>
      <c r="D141" s="177"/>
      <c r="E141" s="177"/>
      <c r="F141" s="177"/>
      <c r="I141"/>
      <c r="J141"/>
      <c r="K141"/>
      <c r="L141"/>
      <c r="M141"/>
      <c r="N141"/>
      <c r="O141"/>
      <c r="P141" s="70"/>
    </row>
    <row r="142" spans="1:16" ht="14.1" customHeight="1" x14ac:dyDescent="0.2">
      <c r="A142" s="22"/>
      <c r="B142" s="19"/>
      <c r="C142" s="19"/>
      <c r="D142" s="22"/>
      <c r="E142" s="22"/>
      <c r="F142" s="22"/>
      <c r="G142" s="22"/>
    </row>
    <row r="143" spans="1:16" ht="29.1" customHeight="1" x14ac:dyDescent="0.2">
      <c r="A143" s="22"/>
      <c r="B143" s="172" t="s">
        <v>137</v>
      </c>
      <c r="C143" s="173"/>
      <c r="D143" s="2" t="s">
        <v>126</v>
      </c>
      <c r="E143" s="22"/>
      <c r="F143" s="22"/>
      <c r="G143" s="22"/>
    </row>
    <row r="144" spans="1:16" ht="29.1" customHeight="1" x14ac:dyDescent="0.2">
      <c r="A144" s="22"/>
      <c r="B144" s="172" t="s">
        <v>138</v>
      </c>
      <c r="C144" s="173"/>
      <c r="D144" s="2" t="s">
        <v>126</v>
      </c>
      <c r="E144" s="22"/>
      <c r="F144" s="22"/>
      <c r="G144" s="22"/>
    </row>
    <row r="145" spans="1:7" ht="17.100000000000001" customHeight="1" x14ac:dyDescent="0.2">
      <c r="A145" s="22"/>
      <c r="B145" s="172" t="s">
        <v>139</v>
      </c>
      <c r="C145" s="173"/>
      <c r="D145" s="27">
        <v>0.36897828811315142</v>
      </c>
      <c r="E145" s="22"/>
      <c r="F145" s="19"/>
      <c r="G145" s="25"/>
    </row>
    <row r="146" spans="1:7" ht="17.100000000000001" customHeight="1" x14ac:dyDescent="0.2">
      <c r="A146" s="22"/>
      <c r="B146" s="172" t="s">
        <v>140</v>
      </c>
      <c r="C146" s="173"/>
      <c r="D146" s="2" t="s">
        <v>126</v>
      </c>
      <c r="E146" s="22"/>
      <c r="F146" s="22"/>
      <c r="G146" s="22"/>
    </row>
  </sheetData>
  <mergeCells count="16">
    <mergeCell ref="B146:C146"/>
    <mergeCell ref="B129:C129"/>
    <mergeCell ref="B130:C130"/>
    <mergeCell ref="B131:C131"/>
    <mergeCell ref="B139:C139"/>
    <mergeCell ref="B143:C143"/>
    <mergeCell ref="B144:C144"/>
    <mergeCell ref="B141:F141"/>
    <mergeCell ref="A1:H1"/>
    <mergeCell ref="A2:H2"/>
    <mergeCell ref="A3:H3"/>
    <mergeCell ref="J2:N2"/>
    <mergeCell ref="B145:C145"/>
    <mergeCell ref="B128:C128"/>
    <mergeCell ref="B125:F125"/>
    <mergeCell ref="B126:F126"/>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44"/>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447</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412</v>
      </c>
      <c r="C7" s="4" t="s">
        <v>413</v>
      </c>
      <c r="D7" s="4" t="s">
        <v>155</v>
      </c>
      <c r="E7" s="5">
        <v>621607</v>
      </c>
      <c r="F7" s="6">
        <v>10645.9522855</v>
      </c>
      <c r="G7" s="7">
        <v>5.8399198999999999E-2</v>
      </c>
      <c r="H7" s="69"/>
    </row>
    <row r="8" spans="1:14" x14ac:dyDescent="0.2">
      <c r="A8" s="3">
        <v>2</v>
      </c>
      <c r="B8" s="4" t="s">
        <v>20</v>
      </c>
      <c r="C8" s="4" t="s">
        <v>21</v>
      </c>
      <c r="D8" s="4" t="s">
        <v>22</v>
      </c>
      <c r="E8" s="5">
        <v>1191046</v>
      </c>
      <c r="F8" s="6">
        <v>8508.2371010000006</v>
      </c>
      <c r="G8" s="7">
        <v>4.6672595999999997E-2</v>
      </c>
      <c r="H8" s="69"/>
    </row>
    <row r="9" spans="1:14" x14ac:dyDescent="0.2">
      <c r="A9" s="3">
        <v>3</v>
      </c>
      <c r="B9" s="4" t="s">
        <v>410</v>
      </c>
      <c r="C9" s="4" t="s">
        <v>411</v>
      </c>
      <c r="D9" s="4" t="s">
        <v>22</v>
      </c>
      <c r="E9" s="5">
        <v>504334</v>
      </c>
      <c r="F9" s="6">
        <v>7532.4804569999997</v>
      </c>
      <c r="G9" s="7">
        <v>4.1320006999999999E-2</v>
      </c>
      <c r="H9" s="69"/>
    </row>
    <row r="10" spans="1:14" x14ac:dyDescent="0.2">
      <c r="A10" s="3">
        <v>4</v>
      </c>
      <c r="B10" s="4" t="s">
        <v>416</v>
      </c>
      <c r="C10" s="4" t="s">
        <v>417</v>
      </c>
      <c r="D10" s="4" t="s">
        <v>22</v>
      </c>
      <c r="E10" s="5">
        <v>1464373</v>
      </c>
      <c r="F10" s="6">
        <v>6744.1698514999998</v>
      </c>
      <c r="G10" s="7">
        <v>3.6995668000000002E-2</v>
      </c>
      <c r="H10" s="69"/>
    </row>
    <row r="11" spans="1:14" x14ac:dyDescent="0.2">
      <c r="A11" s="3">
        <v>5</v>
      </c>
      <c r="B11" s="4" t="s">
        <v>11</v>
      </c>
      <c r="C11" s="4" t="s">
        <v>12</v>
      </c>
      <c r="D11" s="4" t="s">
        <v>13</v>
      </c>
      <c r="E11" s="5">
        <v>380598</v>
      </c>
      <c r="F11" s="6">
        <v>6716.6032050000003</v>
      </c>
      <c r="G11" s="7">
        <v>3.6844449000000001E-2</v>
      </c>
      <c r="H11" s="69"/>
    </row>
    <row r="12" spans="1:14" x14ac:dyDescent="0.2">
      <c r="A12" s="3">
        <v>6</v>
      </c>
      <c r="B12" s="4" t="s">
        <v>306</v>
      </c>
      <c r="C12" s="4" t="s">
        <v>307</v>
      </c>
      <c r="D12" s="4" t="s">
        <v>155</v>
      </c>
      <c r="E12" s="5">
        <v>149876</v>
      </c>
      <c r="F12" s="6">
        <v>6487.457598</v>
      </c>
      <c r="G12" s="7">
        <v>3.5587452999999998E-2</v>
      </c>
      <c r="H12" s="69"/>
    </row>
    <row r="13" spans="1:14" x14ac:dyDescent="0.2">
      <c r="A13" s="3">
        <v>7</v>
      </c>
      <c r="B13" s="4" t="s">
        <v>14</v>
      </c>
      <c r="C13" s="4" t="s">
        <v>15</v>
      </c>
      <c r="D13" s="4" t="s">
        <v>16</v>
      </c>
      <c r="E13" s="5">
        <v>257066</v>
      </c>
      <c r="F13" s="6">
        <v>6183.4655640000001</v>
      </c>
      <c r="G13" s="7">
        <v>3.3919880999999999E-2</v>
      </c>
      <c r="H13" s="69"/>
    </row>
    <row r="14" spans="1:14" x14ac:dyDescent="0.2">
      <c r="A14" s="3">
        <v>8</v>
      </c>
      <c r="B14" s="4" t="s">
        <v>433</v>
      </c>
      <c r="C14" s="4" t="s">
        <v>434</v>
      </c>
      <c r="D14" s="4" t="s">
        <v>160</v>
      </c>
      <c r="E14" s="5">
        <v>748945</v>
      </c>
      <c r="F14" s="6">
        <v>5604.3554350000004</v>
      </c>
      <c r="G14" s="7">
        <v>3.0743126999999999E-2</v>
      </c>
      <c r="H14" s="69"/>
    </row>
    <row r="15" spans="1:14" x14ac:dyDescent="0.2">
      <c r="A15" s="3">
        <v>9</v>
      </c>
      <c r="B15" s="4" t="s">
        <v>90</v>
      </c>
      <c r="C15" s="4" t="s">
        <v>91</v>
      </c>
      <c r="D15" s="4" t="s">
        <v>27</v>
      </c>
      <c r="E15" s="5">
        <v>71500</v>
      </c>
      <c r="F15" s="6">
        <v>5572.567</v>
      </c>
      <c r="G15" s="7">
        <v>3.0568748999999999E-2</v>
      </c>
      <c r="H15" s="69"/>
    </row>
    <row r="16" spans="1:14" ht="25.5" x14ac:dyDescent="0.2">
      <c r="A16" s="3">
        <v>10</v>
      </c>
      <c r="B16" s="4" t="s">
        <v>322</v>
      </c>
      <c r="C16" s="4" t="s">
        <v>323</v>
      </c>
      <c r="D16" s="4" t="s">
        <v>207</v>
      </c>
      <c r="E16" s="5">
        <v>539841</v>
      </c>
      <c r="F16" s="6">
        <v>4812.4125944999996</v>
      </c>
      <c r="G16" s="7">
        <v>2.6398863000000002E-2</v>
      </c>
      <c r="H16" s="69"/>
      <c r="J16" s="160" t="s">
        <v>1014</v>
      </c>
    </row>
    <row r="17" spans="1:8" x14ac:dyDescent="0.2">
      <c r="A17" s="3">
        <v>11</v>
      </c>
      <c r="B17" s="4" t="s">
        <v>406</v>
      </c>
      <c r="C17" s="4" t="s">
        <v>407</v>
      </c>
      <c r="D17" s="4" t="s">
        <v>27</v>
      </c>
      <c r="E17" s="5">
        <v>207750</v>
      </c>
      <c r="F17" s="6">
        <v>4565.7217499999997</v>
      </c>
      <c r="G17" s="7">
        <v>2.5045621000000001E-2</v>
      </c>
      <c r="H17" s="69"/>
    </row>
    <row r="18" spans="1:8" x14ac:dyDescent="0.2">
      <c r="A18" s="3">
        <v>12</v>
      </c>
      <c r="B18" s="4" t="s">
        <v>398</v>
      </c>
      <c r="C18" s="4" t="s">
        <v>399</v>
      </c>
      <c r="D18" s="4" t="s">
        <v>160</v>
      </c>
      <c r="E18" s="5">
        <v>495604</v>
      </c>
      <c r="F18" s="6">
        <v>4492.1546559999997</v>
      </c>
      <c r="G18" s="7">
        <v>2.4642062999999999E-2</v>
      </c>
      <c r="H18" s="69"/>
    </row>
    <row r="19" spans="1:8" x14ac:dyDescent="0.2">
      <c r="A19" s="3">
        <v>13</v>
      </c>
      <c r="B19" s="4" t="s">
        <v>384</v>
      </c>
      <c r="C19" s="4" t="s">
        <v>385</v>
      </c>
      <c r="D19" s="4" t="s">
        <v>982</v>
      </c>
      <c r="E19" s="5">
        <v>25451</v>
      </c>
      <c r="F19" s="6">
        <v>4387.0779485000003</v>
      </c>
      <c r="G19" s="7">
        <v>2.4065657000000001E-2</v>
      </c>
      <c r="H19" s="69"/>
    </row>
    <row r="20" spans="1:8" x14ac:dyDescent="0.2">
      <c r="A20" s="3">
        <v>14</v>
      </c>
      <c r="B20" s="4" t="s">
        <v>365</v>
      </c>
      <c r="C20" s="4" t="s">
        <v>366</v>
      </c>
      <c r="D20" s="4" t="s">
        <v>367</v>
      </c>
      <c r="E20" s="5">
        <v>151722</v>
      </c>
      <c r="F20" s="6">
        <v>4353.6627900000003</v>
      </c>
      <c r="G20" s="7">
        <v>2.3882356E-2</v>
      </c>
      <c r="H20" s="69"/>
    </row>
    <row r="21" spans="1:8" x14ac:dyDescent="0.2">
      <c r="A21" s="3">
        <v>15</v>
      </c>
      <c r="B21" s="4" t="s">
        <v>326</v>
      </c>
      <c r="C21" s="4" t="s">
        <v>327</v>
      </c>
      <c r="D21" s="4" t="s">
        <v>22</v>
      </c>
      <c r="E21" s="5">
        <v>659600</v>
      </c>
      <c r="F21" s="6">
        <v>4324.6674000000003</v>
      </c>
      <c r="G21" s="7">
        <v>2.3723299E-2</v>
      </c>
      <c r="H21" s="69"/>
    </row>
    <row r="22" spans="1:8" x14ac:dyDescent="0.2">
      <c r="A22" s="3">
        <v>16</v>
      </c>
      <c r="B22" s="4" t="s">
        <v>380</v>
      </c>
      <c r="C22" s="4" t="s">
        <v>381</v>
      </c>
      <c r="D22" s="4" t="s">
        <v>155</v>
      </c>
      <c r="E22" s="5">
        <v>378926</v>
      </c>
      <c r="F22" s="6">
        <v>4314.640899</v>
      </c>
      <c r="G22" s="7">
        <v>2.3668298000000001E-2</v>
      </c>
      <c r="H22" s="69"/>
    </row>
    <row r="23" spans="1:8" x14ac:dyDescent="0.2">
      <c r="A23" s="3">
        <v>17</v>
      </c>
      <c r="B23" s="4" t="s">
        <v>439</v>
      </c>
      <c r="C23" s="4" t="s">
        <v>440</v>
      </c>
      <c r="D23" s="4" t="s">
        <v>204</v>
      </c>
      <c r="E23" s="5">
        <v>85531</v>
      </c>
      <c r="F23" s="6">
        <v>4172.8864279999998</v>
      </c>
      <c r="G23" s="7">
        <v>2.2890693E-2</v>
      </c>
      <c r="H23" s="69"/>
    </row>
    <row r="24" spans="1:8" ht="25.5" x14ac:dyDescent="0.2">
      <c r="A24" s="3">
        <v>18</v>
      </c>
      <c r="B24" s="4" t="s">
        <v>414</v>
      </c>
      <c r="C24" s="4" t="s">
        <v>415</v>
      </c>
      <c r="D24" s="4" t="s">
        <v>78</v>
      </c>
      <c r="E24" s="5">
        <v>152311</v>
      </c>
      <c r="F24" s="6">
        <v>4071.4253410000001</v>
      </c>
      <c r="G24" s="7">
        <v>2.2334119999999999E-2</v>
      </c>
      <c r="H24" s="69"/>
    </row>
    <row r="25" spans="1:8" x14ac:dyDescent="0.2">
      <c r="A25" s="3">
        <v>19</v>
      </c>
      <c r="B25" s="4" t="s">
        <v>337</v>
      </c>
      <c r="C25" s="4" t="s">
        <v>338</v>
      </c>
      <c r="D25" s="4" t="s">
        <v>78</v>
      </c>
      <c r="E25" s="5">
        <v>280393</v>
      </c>
      <c r="F25" s="6">
        <v>3944.2883310000002</v>
      </c>
      <c r="G25" s="7">
        <v>2.1636699999999998E-2</v>
      </c>
      <c r="H25" s="69"/>
    </row>
    <row r="26" spans="1:8" ht="25.5" x14ac:dyDescent="0.2">
      <c r="A26" s="3">
        <v>20</v>
      </c>
      <c r="B26" s="4" t="s">
        <v>23</v>
      </c>
      <c r="C26" s="4" t="s">
        <v>24</v>
      </c>
      <c r="D26" s="4" t="s">
        <v>974</v>
      </c>
      <c r="E26" s="5">
        <v>51856</v>
      </c>
      <c r="F26" s="6">
        <v>3854.8454000000002</v>
      </c>
      <c r="G26" s="7">
        <v>2.1146054000000001E-2</v>
      </c>
      <c r="H26" s="69"/>
    </row>
    <row r="27" spans="1:8" x14ac:dyDescent="0.2">
      <c r="A27" s="3">
        <v>21</v>
      </c>
      <c r="B27" s="4" t="s">
        <v>347</v>
      </c>
      <c r="C27" s="4" t="s">
        <v>348</v>
      </c>
      <c r="D27" s="4" t="s">
        <v>204</v>
      </c>
      <c r="E27" s="5">
        <v>106366</v>
      </c>
      <c r="F27" s="6">
        <v>3813.5933810000001</v>
      </c>
      <c r="G27" s="7">
        <v>2.0919763000000001E-2</v>
      </c>
      <c r="H27" s="69"/>
    </row>
    <row r="28" spans="1:8" x14ac:dyDescent="0.2">
      <c r="A28" s="3">
        <v>22</v>
      </c>
      <c r="B28" s="4" t="s">
        <v>84</v>
      </c>
      <c r="C28" s="4" t="s">
        <v>85</v>
      </c>
      <c r="D28" s="4" t="s">
        <v>70</v>
      </c>
      <c r="E28" s="5">
        <v>782067</v>
      </c>
      <c r="F28" s="6">
        <v>3787.1594475000002</v>
      </c>
      <c r="G28" s="7">
        <v>2.0774757000000001E-2</v>
      </c>
      <c r="H28" s="69"/>
    </row>
    <row r="29" spans="1:8" x14ac:dyDescent="0.2">
      <c r="A29" s="3">
        <v>23</v>
      </c>
      <c r="B29" s="4" t="s">
        <v>17</v>
      </c>
      <c r="C29" s="4" t="s">
        <v>18</v>
      </c>
      <c r="D29" s="4" t="s">
        <v>19</v>
      </c>
      <c r="E29" s="5">
        <v>489433</v>
      </c>
      <c r="F29" s="6">
        <v>3564.2958225000002</v>
      </c>
      <c r="G29" s="7">
        <v>1.9552222000000001E-2</v>
      </c>
      <c r="H29" s="69"/>
    </row>
    <row r="30" spans="1:8" x14ac:dyDescent="0.2">
      <c r="A30" s="3">
        <v>24</v>
      </c>
      <c r="B30" s="4" t="s">
        <v>376</v>
      </c>
      <c r="C30" s="4" t="s">
        <v>377</v>
      </c>
      <c r="D30" s="4" t="s">
        <v>155</v>
      </c>
      <c r="E30" s="5">
        <v>119358</v>
      </c>
      <c r="F30" s="6">
        <v>3455.5931369999998</v>
      </c>
      <c r="G30" s="7">
        <v>1.8955924999999998E-2</v>
      </c>
      <c r="H30" s="69"/>
    </row>
    <row r="31" spans="1:8" x14ac:dyDescent="0.2">
      <c r="A31" s="3">
        <v>25</v>
      </c>
      <c r="B31" s="4" t="s">
        <v>448</v>
      </c>
      <c r="C31" s="4" t="s">
        <v>449</v>
      </c>
      <c r="D31" s="4" t="s">
        <v>78</v>
      </c>
      <c r="E31" s="5">
        <v>492415</v>
      </c>
      <c r="F31" s="6">
        <v>3440.2573975</v>
      </c>
      <c r="G31" s="7">
        <v>1.8871799000000002E-2</v>
      </c>
      <c r="H31" s="69"/>
    </row>
    <row r="32" spans="1:8" ht="25.5" x14ac:dyDescent="0.2">
      <c r="A32" s="3">
        <v>26</v>
      </c>
      <c r="B32" s="4" t="s">
        <v>404</v>
      </c>
      <c r="C32" s="4" t="s">
        <v>405</v>
      </c>
      <c r="D32" s="4" t="s">
        <v>207</v>
      </c>
      <c r="E32" s="5">
        <v>441591</v>
      </c>
      <c r="F32" s="6">
        <v>3438.2275260000001</v>
      </c>
      <c r="G32" s="7">
        <v>1.8860663999999999E-2</v>
      </c>
      <c r="H32" s="69"/>
    </row>
    <row r="33" spans="1:8" x14ac:dyDescent="0.2">
      <c r="A33" s="3">
        <v>27</v>
      </c>
      <c r="B33" s="4" t="s">
        <v>310</v>
      </c>
      <c r="C33" s="4" t="s">
        <v>311</v>
      </c>
      <c r="D33" s="4" t="s">
        <v>982</v>
      </c>
      <c r="E33" s="5">
        <v>346051</v>
      </c>
      <c r="F33" s="6">
        <v>3253.7445275</v>
      </c>
      <c r="G33" s="7">
        <v>1.7848668000000002E-2</v>
      </c>
      <c r="H33" s="69"/>
    </row>
    <row r="34" spans="1:8" x14ac:dyDescent="0.2">
      <c r="A34" s="3">
        <v>28</v>
      </c>
      <c r="B34" s="4" t="s">
        <v>158</v>
      </c>
      <c r="C34" s="4" t="s">
        <v>159</v>
      </c>
      <c r="D34" s="4" t="s">
        <v>160</v>
      </c>
      <c r="E34" s="5">
        <v>190000</v>
      </c>
      <c r="F34" s="6">
        <v>3082.8449999999998</v>
      </c>
      <c r="G34" s="7">
        <v>1.6911186000000002E-2</v>
      </c>
      <c r="H34" s="69"/>
    </row>
    <row r="35" spans="1:8" x14ac:dyDescent="0.2">
      <c r="A35" s="3">
        <v>29</v>
      </c>
      <c r="B35" s="4" t="s">
        <v>39</v>
      </c>
      <c r="C35" s="4" t="s">
        <v>40</v>
      </c>
      <c r="D35" s="4" t="s">
        <v>16</v>
      </c>
      <c r="E35" s="5">
        <v>802261</v>
      </c>
      <c r="F35" s="6">
        <v>2968.3656999999998</v>
      </c>
      <c r="G35" s="7">
        <v>1.6283201000000001E-2</v>
      </c>
      <c r="H35" s="69"/>
    </row>
    <row r="36" spans="1:8" x14ac:dyDescent="0.2">
      <c r="A36" s="3">
        <v>30</v>
      </c>
      <c r="B36" s="4" t="s">
        <v>430</v>
      </c>
      <c r="C36" s="4" t="s">
        <v>431</v>
      </c>
      <c r="D36" s="4" t="s">
        <v>432</v>
      </c>
      <c r="E36" s="5">
        <v>715000</v>
      </c>
      <c r="F36" s="6">
        <v>2951.1624999999999</v>
      </c>
      <c r="G36" s="7">
        <v>1.6188831000000001E-2</v>
      </c>
      <c r="H36" s="69"/>
    </row>
    <row r="37" spans="1:8" x14ac:dyDescent="0.2">
      <c r="A37" s="3">
        <v>31</v>
      </c>
      <c r="B37" s="4" t="s">
        <v>81</v>
      </c>
      <c r="C37" s="4" t="s">
        <v>82</v>
      </c>
      <c r="D37" s="4" t="s">
        <v>83</v>
      </c>
      <c r="E37" s="5">
        <v>2408106</v>
      </c>
      <c r="F37" s="6">
        <v>2882.5028820000002</v>
      </c>
      <c r="G37" s="7">
        <v>1.5812194000000002E-2</v>
      </c>
      <c r="H37" s="69"/>
    </row>
    <row r="38" spans="1:8" ht="25.5" x14ac:dyDescent="0.2">
      <c r="A38" s="3">
        <v>32</v>
      </c>
      <c r="B38" s="4" t="s">
        <v>339</v>
      </c>
      <c r="C38" s="4" t="s">
        <v>340</v>
      </c>
      <c r="D38" s="4" t="s">
        <v>75</v>
      </c>
      <c r="E38" s="5">
        <v>598756</v>
      </c>
      <c r="F38" s="6">
        <v>2683.9237699999999</v>
      </c>
      <c r="G38" s="7">
        <v>1.4722872E-2</v>
      </c>
      <c r="H38" s="69"/>
    </row>
    <row r="39" spans="1:8" x14ac:dyDescent="0.2">
      <c r="A39" s="3">
        <v>33</v>
      </c>
      <c r="B39" s="4" t="s">
        <v>328</v>
      </c>
      <c r="C39" s="4" t="s">
        <v>329</v>
      </c>
      <c r="D39" s="4" t="s">
        <v>27</v>
      </c>
      <c r="E39" s="5">
        <v>286278</v>
      </c>
      <c r="F39" s="6">
        <v>2514.9522299999999</v>
      </c>
      <c r="G39" s="7">
        <v>1.3795966E-2</v>
      </c>
      <c r="H39" s="69"/>
    </row>
    <row r="40" spans="1:8" x14ac:dyDescent="0.2">
      <c r="A40" s="3">
        <v>34</v>
      </c>
      <c r="B40" s="4" t="s">
        <v>308</v>
      </c>
      <c r="C40" s="4" t="s">
        <v>309</v>
      </c>
      <c r="D40" s="4" t="s">
        <v>175</v>
      </c>
      <c r="E40" s="5">
        <v>42261</v>
      </c>
      <c r="F40" s="6">
        <v>2403.7000275</v>
      </c>
      <c r="G40" s="7">
        <v>1.3185683E-2</v>
      </c>
      <c r="H40" s="69"/>
    </row>
    <row r="41" spans="1:8" x14ac:dyDescent="0.2">
      <c r="A41" s="3">
        <v>35</v>
      </c>
      <c r="B41" s="4" t="s">
        <v>316</v>
      </c>
      <c r="C41" s="4" t="s">
        <v>317</v>
      </c>
      <c r="D41" s="4" t="s">
        <v>221</v>
      </c>
      <c r="E41" s="5">
        <v>6256</v>
      </c>
      <c r="F41" s="6">
        <v>2401.734704</v>
      </c>
      <c r="G41" s="7">
        <v>1.3174902E-2</v>
      </c>
      <c r="H41" s="69"/>
    </row>
    <row r="42" spans="1:8" ht="25.5" x14ac:dyDescent="0.2">
      <c r="A42" s="3">
        <v>36</v>
      </c>
      <c r="B42" s="4" t="s">
        <v>396</v>
      </c>
      <c r="C42" s="4" t="s">
        <v>397</v>
      </c>
      <c r="D42" s="4" t="s">
        <v>974</v>
      </c>
      <c r="E42" s="5">
        <v>126915</v>
      </c>
      <c r="F42" s="6">
        <v>2377.6256100000001</v>
      </c>
      <c r="G42" s="7">
        <v>1.3042649999999999E-2</v>
      </c>
      <c r="H42" s="69"/>
    </row>
    <row r="43" spans="1:8" x14ac:dyDescent="0.2">
      <c r="A43" s="3">
        <v>37</v>
      </c>
      <c r="B43" s="4" t="s">
        <v>345</v>
      </c>
      <c r="C43" s="4" t="s">
        <v>346</v>
      </c>
      <c r="D43" s="4" t="s">
        <v>22</v>
      </c>
      <c r="E43" s="5">
        <v>215838</v>
      </c>
      <c r="F43" s="6">
        <v>2365.8003180000001</v>
      </c>
      <c r="G43" s="7">
        <v>1.2977781000000001E-2</v>
      </c>
      <c r="H43" s="69"/>
    </row>
    <row r="44" spans="1:8" x14ac:dyDescent="0.2">
      <c r="A44" s="3">
        <v>38</v>
      </c>
      <c r="B44" s="4" t="s">
        <v>418</v>
      </c>
      <c r="C44" s="4" t="s">
        <v>419</v>
      </c>
      <c r="D44" s="4" t="s">
        <v>982</v>
      </c>
      <c r="E44" s="5">
        <v>190781</v>
      </c>
      <c r="F44" s="6">
        <v>2214.1088955</v>
      </c>
      <c r="G44" s="7">
        <v>1.2145665999999999E-2</v>
      </c>
      <c r="H44" s="69"/>
    </row>
    <row r="45" spans="1:8" x14ac:dyDescent="0.2">
      <c r="A45" s="3">
        <v>39</v>
      </c>
      <c r="B45" s="4" t="s">
        <v>332</v>
      </c>
      <c r="C45" s="4" t="s">
        <v>333</v>
      </c>
      <c r="D45" s="4" t="s">
        <v>334</v>
      </c>
      <c r="E45" s="5">
        <v>175633</v>
      </c>
      <c r="F45" s="6">
        <v>1781.6211519999999</v>
      </c>
      <c r="G45" s="7">
        <v>9.7732210000000003E-3</v>
      </c>
      <c r="H45" s="69"/>
    </row>
    <row r="46" spans="1:8" x14ac:dyDescent="0.2">
      <c r="A46" s="3">
        <v>40</v>
      </c>
      <c r="B46" s="4" t="s">
        <v>450</v>
      </c>
      <c r="C46" s="4" t="s">
        <v>451</v>
      </c>
      <c r="D46" s="4" t="s">
        <v>75</v>
      </c>
      <c r="E46" s="5">
        <v>61726</v>
      </c>
      <c r="F46" s="6">
        <v>1466.3011300000001</v>
      </c>
      <c r="G46" s="7">
        <v>8.0435090000000008E-3</v>
      </c>
      <c r="H46" s="69"/>
    </row>
    <row r="47" spans="1:8" x14ac:dyDescent="0.2">
      <c r="A47" s="3">
        <v>41</v>
      </c>
      <c r="B47" s="4" t="s">
        <v>314</v>
      </c>
      <c r="C47" s="4" t="s">
        <v>315</v>
      </c>
      <c r="D47" s="4" t="s">
        <v>75</v>
      </c>
      <c r="E47" s="5">
        <v>83911</v>
      </c>
      <c r="F47" s="6">
        <v>1007.77111</v>
      </c>
      <c r="G47" s="7">
        <v>5.5282070000000003E-3</v>
      </c>
      <c r="H47" s="69"/>
    </row>
    <row r="48" spans="1:8" ht="25.5" x14ac:dyDescent="0.2">
      <c r="A48" s="3">
        <v>42</v>
      </c>
      <c r="B48" s="4" t="s">
        <v>452</v>
      </c>
      <c r="C48" s="4" t="s">
        <v>453</v>
      </c>
      <c r="D48" s="4" t="s">
        <v>207</v>
      </c>
      <c r="E48" s="5">
        <v>167212</v>
      </c>
      <c r="F48" s="6">
        <v>997.00154999999995</v>
      </c>
      <c r="G48" s="7">
        <v>5.4691289999999997E-3</v>
      </c>
      <c r="H48" s="69"/>
    </row>
    <row r="49" spans="1:8" x14ac:dyDescent="0.2">
      <c r="A49" s="3">
        <v>43</v>
      </c>
      <c r="B49" s="4" t="s">
        <v>454</v>
      </c>
      <c r="C49" s="4" t="s">
        <v>455</v>
      </c>
      <c r="D49" s="4" t="s">
        <v>204</v>
      </c>
      <c r="E49" s="5">
        <v>92316</v>
      </c>
      <c r="F49" s="6">
        <v>896.66530799999998</v>
      </c>
      <c r="G49" s="7">
        <v>4.9187270000000003E-3</v>
      </c>
      <c r="H49" s="69"/>
    </row>
    <row r="50" spans="1:8" x14ac:dyDescent="0.2">
      <c r="A50" s="3">
        <v>44</v>
      </c>
      <c r="B50" s="4" t="s">
        <v>456</v>
      </c>
      <c r="C50" s="4" t="s">
        <v>457</v>
      </c>
      <c r="D50" s="4" t="s">
        <v>160</v>
      </c>
      <c r="E50" s="5">
        <v>350118</v>
      </c>
      <c r="F50" s="6">
        <v>734.722623</v>
      </c>
      <c r="G50" s="7">
        <v>4.0303780000000003E-3</v>
      </c>
      <c r="H50" s="69"/>
    </row>
    <row r="51" spans="1:8" x14ac:dyDescent="0.2">
      <c r="A51" s="3">
        <v>45</v>
      </c>
      <c r="B51" s="4" t="s">
        <v>324</v>
      </c>
      <c r="C51" s="4" t="s">
        <v>325</v>
      </c>
      <c r="D51" s="4" t="s">
        <v>979</v>
      </c>
      <c r="E51" s="5">
        <v>19969</v>
      </c>
      <c r="F51" s="6">
        <v>729.06818999999996</v>
      </c>
      <c r="G51" s="7">
        <v>3.9993600000000004E-3</v>
      </c>
      <c r="H51" s="69"/>
    </row>
    <row r="52" spans="1:8" x14ac:dyDescent="0.2">
      <c r="A52" s="3">
        <v>46</v>
      </c>
      <c r="B52" s="4" t="s">
        <v>287</v>
      </c>
      <c r="C52" s="4" t="s">
        <v>288</v>
      </c>
      <c r="D52" s="4" t="s">
        <v>334</v>
      </c>
      <c r="E52" s="5">
        <v>22224</v>
      </c>
      <c r="F52" s="6">
        <v>542.36560799999995</v>
      </c>
      <c r="G52" s="7">
        <v>2.975189E-3</v>
      </c>
      <c r="H52" s="69"/>
    </row>
    <row r="53" spans="1:8" ht="25.5" x14ac:dyDescent="0.2">
      <c r="A53" s="3">
        <v>47</v>
      </c>
      <c r="B53" s="4" t="s">
        <v>458</v>
      </c>
      <c r="C53" s="4" t="s">
        <v>459</v>
      </c>
      <c r="D53" s="4" t="s">
        <v>982</v>
      </c>
      <c r="E53" s="5">
        <v>25820</v>
      </c>
      <c r="F53" s="6">
        <v>371.12376999999998</v>
      </c>
      <c r="G53" s="7">
        <v>2.0358279999999999E-3</v>
      </c>
      <c r="H53" s="69"/>
    </row>
    <row r="54" spans="1:8" ht="25.5" x14ac:dyDescent="0.2">
      <c r="A54" s="3">
        <v>48</v>
      </c>
      <c r="B54" s="4" t="s">
        <v>266</v>
      </c>
      <c r="C54" s="4" t="s">
        <v>267</v>
      </c>
      <c r="D54" s="4" t="s">
        <v>981</v>
      </c>
      <c r="E54" s="5">
        <v>15645</v>
      </c>
      <c r="F54" s="6">
        <v>190.18062</v>
      </c>
      <c r="G54" s="7">
        <v>1.043251E-3</v>
      </c>
      <c r="H54" s="69"/>
    </row>
    <row r="55" spans="1:8" ht="25.5" x14ac:dyDescent="0.2">
      <c r="A55" s="3">
        <v>49</v>
      </c>
      <c r="B55" s="4" t="s">
        <v>445</v>
      </c>
      <c r="C55" s="4" t="s">
        <v>930</v>
      </c>
      <c r="D55" s="4" t="s">
        <v>19</v>
      </c>
      <c r="E55" s="5">
        <v>34959</v>
      </c>
      <c r="F55" s="6">
        <v>136.61977200000001</v>
      </c>
      <c r="G55" s="7">
        <v>7.4943799999999995E-4</v>
      </c>
      <c r="H55" s="69"/>
    </row>
    <row r="56" spans="1:8" x14ac:dyDescent="0.2">
      <c r="A56" s="1"/>
      <c r="B56" s="1"/>
      <c r="C56" s="2" t="s">
        <v>95</v>
      </c>
      <c r="D56" s="1"/>
      <c r="E56" s="1" t="s">
        <v>96</v>
      </c>
      <c r="F56" s="9">
        <v>173742.10574399997</v>
      </c>
      <c r="G56" s="10">
        <v>0.95307581999999991</v>
      </c>
      <c r="H56" s="69"/>
    </row>
    <row r="57" spans="1:8" x14ac:dyDescent="0.2">
      <c r="A57" s="1"/>
      <c r="B57" s="1"/>
      <c r="C57" s="11"/>
      <c r="D57" s="1"/>
      <c r="E57" s="1"/>
      <c r="F57" s="12"/>
      <c r="G57" s="12"/>
      <c r="H57" s="69"/>
    </row>
    <row r="58" spans="1:8" x14ac:dyDescent="0.2">
      <c r="A58" s="1"/>
      <c r="B58" s="1"/>
      <c r="C58" s="2" t="s">
        <v>97</v>
      </c>
      <c r="D58" s="1"/>
      <c r="E58" s="1"/>
      <c r="F58" s="1"/>
      <c r="G58" s="1"/>
      <c r="H58" s="69"/>
    </row>
    <row r="59" spans="1:8" x14ac:dyDescent="0.2">
      <c r="A59" s="1"/>
      <c r="B59" s="1"/>
      <c r="C59" s="2" t="s">
        <v>95</v>
      </c>
      <c r="D59" s="1"/>
      <c r="E59" s="1" t="s">
        <v>96</v>
      </c>
      <c r="F59" s="13">
        <v>0</v>
      </c>
      <c r="G59" s="14">
        <v>0</v>
      </c>
      <c r="H59" s="69"/>
    </row>
    <row r="60" spans="1:8" x14ac:dyDescent="0.2">
      <c r="A60" s="1"/>
      <c r="B60" s="1"/>
      <c r="C60" s="11"/>
      <c r="D60" s="1"/>
      <c r="E60" s="1"/>
      <c r="F60" s="12"/>
      <c r="G60" s="12"/>
      <c r="H60" s="69"/>
    </row>
    <row r="61" spans="1:8" x14ac:dyDescent="0.2">
      <c r="A61" s="1"/>
      <c r="B61" s="1"/>
      <c r="C61" s="2" t="s">
        <v>98</v>
      </c>
      <c r="D61" s="1"/>
      <c r="E61" s="1"/>
      <c r="F61" s="1"/>
      <c r="G61" s="1"/>
      <c r="H61" s="69"/>
    </row>
    <row r="62" spans="1:8" x14ac:dyDescent="0.2">
      <c r="A62" s="1"/>
      <c r="B62" s="1"/>
      <c r="C62" s="2" t="s">
        <v>95</v>
      </c>
      <c r="D62" s="1"/>
      <c r="E62" s="1" t="s">
        <v>96</v>
      </c>
      <c r="F62" s="13">
        <v>0</v>
      </c>
      <c r="G62" s="14">
        <v>0</v>
      </c>
      <c r="H62" s="69"/>
    </row>
    <row r="63" spans="1:8" x14ac:dyDescent="0.2">
      <c r="A63" s="1"/>
      <c r="B63" s="1"/>
      <c r="C63" s="11"/>
      <c r="D63" s="1"/>
      <c r="E63" s="1"/>
      <c r="F63" s="12"/>
      <c r="G63" s="12"/>
      <c r="H63" s="69"/>
    </row>
    <row r="64" spans="1:8" x14ac:dyDescent="0.2">
      <c r="A64" s="1"/>
      <c r="B64" s="1"/>
      <c r="C64" s="2" t="s">
        <v>99</v>
      </c>
      <c r="D64" s="1"/>
      <c r="E64" s="1"/>
      <c r="F64" s="1"/>
      <c r="G64" s="1"/>
      <c r="H64" s="69"/>
    </row>
    <row r="65" spans="1:8" x14ac:dyDescent="0.2">
      <c r="A65" s="1"/>
      <c r="B65" s="1"/>
      <c r="C65" s="2" t="s">
        <v>95</v>
      </c>
      <c r="D65" s="1"/>
      <c r="E65" s="1" t="s">
        <v>96</v>
      </c>
      <c r="F65" s="9">
        <v>0</v>
      </c>
      <c r="G65" s="10">
        <v>0</v>
      </c>
      <c r="H65" s="69"/>
    </row>
    <row r="66" spans="1:8" x14ac:dyDescent="0.2">
      <c r="A66" s="1"/>
      <c r="B66" s="1"/>
      <c r="C66" s="11"/>
      <c r="D66" s="1"/>
      <c r="E66" s="1"/>
      <c r="F66" s="12"/>
      <c r="G66" s="12"/>
      <c r="H66" s="69"/>
    </row>
    <row r="67" spans="1:8" x14ac:dyDescent="0.2">
      <c r="A67" s="1"/>
      <c r="B67" s="1"/>
      <c r="C67" s="2" t="s">
        <v>100</v>
      </c>
      <c r="D67" s="1"/>
      <c r="E67" s="1"/>
      <c r="F67" s="12"/>
      <c r="G67" s="12"/>
      <c r="H67" s="69"/>
    </row>
    <row r="68" spans="1:8" x14ac:dyDescent="0.2">
      <c r="A68" s="1"/>
      <c r="B68" s="1"/>
      <c r="C68" s="2" t="s">
        <v>95</v>
      </c>
      <c r="D68" s="1"/>
      <c r="E68" s="1" t="s">
        <v>96</v>
      </c>
      <c r="F68" s="13">
        <v>0</v>
      </c>
      <c r="G68" s="14">
        <v>0</v>
      </c>
      <c r="H68" s="69"/>
    </row>
    <row r="69" spans="1:8" x14ac:dyDescent="0.2">
      <c r="A69" s="1"/>
      <c r="B69" s="1"/>
      <c r="C69" s="11"/>
      <c r="D69" s="1"/>
      <c r="E69" s="1"/>
      <c r="F69" s="12"/>
      <c r="G69" s="12"/>
      <c r="H69" s="69"/>
    </row>
    <row r="70" spans="1:8" x14ac:dyDescent="0.2">
      <c r="A70" s="1"/>
      <c r="B70" s="1"/>
      <c r="C70" s="2" t="s">
        <v>101</v>
      </c>
      <c r="D70" s="1"/>
      <c r="E70" s="1"/>
      <c r="F70" s="12"/>
      <c r="G70" s="12"/>
      <c r="H70" s="69"/>
    </row>
    <row r="71" spans="1:8" x14ac:dyDescent="0.2">
      <c r="A71" s="1"/>
      <c r="B71" s="1"/>
      <c r="C71" s="2" t="s">
        <v>95</v>
      </c>
      <c r="D71" s="1"/>
      <c r="E71" s="1" t="s">
        <v>96</v>
      </c>
      <c r="F71" s="13">
        <v>0</v>
      </c>
      <c r="G71" s="14">
        <v>0</v>
      </c>
      <c r="H71" s="69"/>
    </row>
    <row r="72" spans="1:8" x14ac:dyDescent="0.2">
      <c r="A72" s="1"/>
      <c r="B72" s="1"/>
      <c r="C72" s="11"/>
      <c r="D72" s="1"/>
      <c r="E72" s="1"/>
      <c r="F72" s="12"/>
      <c r="G72" s="12"/>
      <c r="H72" s="69"/>
    </row>
    <row r="73" spans="1:8" x14ac:dyDescent="0.2">
      <c r="A73" s="1"/>
      <c r="B73" s="1"/>
      <c r="C73" s="2" t="s">
        <v>102</v>
      </c>
      <c r="D73" s="1"/>
      <c r="E73" s="1"/>
      <c r="F73" s="9">
        <v>173742.105744</v>
      </c>
      <c r="G73" s="10">
        <v>0.95307582000000002</v>
      </c>
      <c r="H73" s="69"/>
    </row>
    <row r="74" spans="1:8" x14ac:dyDescent="0.2">
      <c r="A74" s="1"/>
      <c r="B74" s="1"/>
      <c r="C74" s="11"/>
      <c r="D74" s="1"/>
      <c r="E74" s="1"/>
      <c r="F74" s="12"/>
      <c r="G74" s="12"/>
      <c r="H74" s="69"/>
    </row>
    <row r="75" spans="1:8" x14ac:dyDescent="0.2">
      <c r="A75" s="1"/>
      <c r="B75" s="1"/>
      <c r="C75" s="2" t="s">
        <v>103</v>
      </c>
      <c r="D75" s="1"/>
      <c r="E75" s="1"/>
      <c r="F75" s="12"/>
      <c r="G75" s="12"/>
      <c r="H75" s="69"/>
    </row>
    <row r="76" spans="1:8" ht="25.5" x14ac:dyDescent="0.2">
      <c r="A76" s="1"/>
      <c r="B76" s="1"/>
      <c r="C76" s="2" t="s">
        <v>10</v>
      </c>
      <c r="D76" s="1"/>
      <c r="E76" s="1"/>
      <c r="F76" s="12"/>
      <c r="G76" s="12"/>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104</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105</v>
      </c>
      <c r="D82" s="1"/>
      <c r="E82" s="1"/>
      <c r="F82" s="1"/>
      <c r="G82" s="1"/>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106</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107</v>
      </c>
      <c r="D88" s="1"/>
      <c r="E88" s="1"/>
      <c r="F88" s="9">
        <v>0</v>
      </c>
      <c r="G88" s="10">
        <v>0</v>
      </c>
      <c r="H88" s="69"/>
    </row>
    <row r="89" spans="1:8" x14ac:dyDescent="0.2">
      <c r="A89" s="1"/>
      <c r="B89" s="1"/>
      <c r="C89" s="11"/>
      <c r="D89" s="1"/>
      <c r="E89" s="1"/>
      <c r="F89" s="12"/>
      <c r="G89" s="12"/>
      <c r="H89" s="69"/>
    </row>
    <row r="90" spans="1:8" x14ac:dyDescent="0.2">
      <c r="A90" s="1"/>
      <c r="B90" s="1"/>
      <c r="C90" s="2" t="s">
        <v>108</v>
      </c>
      <c r="D90" s="1"/>
      <c r="E90" s="1"/>
      <c r="F90" s="12"/>
      <c r="G90" s="12"/>
      <c r="H90" s="69"/>
    </row>
    <row r="91" spans="1:8" x14ac:dyDescent="0.2">
      <c r="A91" s="1"/>
      <c r="B91" s="1"/>
      <c r="C91" s="2" t="s">
        <v>109</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110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111</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112</v>
      </c>
      <c r="D100" s="1"/>
      <c r="E100" s="1"/>
      <c r="F100" s="12"/>
      <c r="G100" s="12"/>
      <c r="H100" s="69"/>
    </row>
    <row r="101" spans="1:8" x14ac:dyDescent="0.2">
      <c r="A101" s="3">
        <v>1</v>
      </c>
      <c r="B101" s="4"/>
      <c r="C101" s="4" t="s">
        <v>113</v>
      </c>
      <c r="D101" s="4"/>
      <c r="E101" s="8"/>
      <c r="F101" s="6">
        <v>6917.4659713999999</v>
      </c>
      <c r="G101" s="7">
        <v>3.7946296999999997E-2</v>
      </c>
      <c r="H101" s="6">
        <v>3.3628721504199861</v>
      </c>
    </row>
    <row r="102" spans="1:8" x14ac:dyDescent="0.2">
      <c r="A102" s="3">
        <v>2</v>
      </c>
      <c r="B102" s="4"/>
      <c r="C102" s="4" t="s">
        <v>114</v>
      </c>
      <c r="D102" s="4"/>
      <c r="E102" s="8"/>
      <c r="F102" s="6">
        <v>2671.4620602999998</v>
      </c>
      <c r="G102" s="7">
        <v>1.4654512999999999E-2</v>
      </c>
      <c r="H102" s="6">
        <v>3.4499999999999966</v>
      </c>
    </row>
    <row r="103" spans="1:8" x14ac:dyDescent="0.2">
      <c r="A103" s="1"/>
      <c r="B103" s="1"/>
      <c r="C103" s="2" t="s">
        <v>95</v>
      </c>
      <c r="D103" s="1"/>
      <c r="E103" s="1" t="s">
        <v>96</v>
      </c>
      <c r="F103" s="9">
        <v>9588.9280316999993</v>
      </c>
      <c r="G103" s="10">
        <v>5.2600809999999998E-2</v>
      </c>
      <c r="H103" s="69"/>
    </row>
    <row r="104" spans="1:8" x14ac:dyDescent="0.2">
      <c r="A104" s="1"/>
      <c r="B104" s="1"/>
      <c r="C104" s="11"/>
      <c r="D104" s="1"/>
      <c r="E104" s="1"/>
      <c r="F104" s="12"/>
      <c r="G104" s="12"/>
      <c r="H104" s="69"/>
    </row>
    <row r="105" spans="1:8" x14ac:dyDescent="0.2">
      <c r="A105" s="1"/>
      <c r="B105" s="1"/>
      <c r="C105" s="2" t="s">
        <v>115</v>
      </c>
      <c r="D105" s="1"/>
      <c r="E105" s="1"/>
      <c r="F105" s="9">
        <v>9588.9280316999993</v>
      </c>
      <c r="G105" s="10">
        <v>5.2600809999999998E-2</v>
      </c>
      <c r="H105" s="69"/>
    </row>
    <row r="106" spans="1:8" x14ac:dyDescent="0.2">
      <c r="A106" s="1"/>
      <c r="B106" s="1"/>
      <c r="C106" s="12"/>
      <c r="D106" s="1"/>
      <c r="E106" s="1"/>
      <c r="F106" s="1"/>
      <c r="G106" s="1"/>
      <c r="H106" s="69"/>
    </row>
    <row r="107" spans="1:8" x14ac:dyDescent="0.2">
      <c r="A107" s="1"/>
      <c r="B107" s="1"/>
      <c r="C107" s="2" t="s">
        <v>116</v>
      </c>
      <c r="D107" s="1"/>
      <c r="E107" s="1"/>
      <c r="F107" s="1"/>
      <c r="G107" s="1"/>
      <c r="H107" s="69"/>
    </row>
    <row r="108" spans="1:8" x14ac:dyDescent="0.2">
      <c r="A108" s="1"/>
      <c r="B108" s="1"/>
      <c r="C108" s="2" t="s">
        <v>117</v>
      </c>
      <c r="D108" s="1"/>
      <c r="E108" s="1"/>
      <c r="F108" s="1"/>
      <c r="G108" s="1"/>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118</v>
      </c>
      <c r="D111" s="1"/>
      <c r="E111" s="1"/>
      <c r="F111" s="1"/>
      <c r="G111" s="1"/>
      <c r="H111" s="69"/>
    </row>
    <row r="112" spans="1:8" x14ac:dyDescent="0.2">
      <c r="A112" s="1"/>
      <c r="B112" s="1"/>
      <c r="C112" s="2" t="s">
        <v>119</v>
      </c>
      <c r="D112" s="1"/>
      <c r="E112" s="1"/>
      <c r="F112" s="1"/>
      <c r="G112" s="1"/>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11"/>
      <c r="D115" s="1"/>
      <c r="E115" s="1"/>
      <c r="F115" s="12"/>
      <c r="G115" s="12"/>
      <c r="H115" s="69"/>
    </row>
    <row r="116" spans="1:8" ht="25.5" x14ac:dyDescent="0.2">
      <c r="A116" s="1"/>
      <c r="B116" s="1"/>
      <c r="C116" s="2" t="s">
        <v>120</v>
      </c>
      <c r="D116" s="1"/>
      <c r="E116" s="1"/>
      <c r="F116" s="12"/>
      <c r="G116" s="12"/>
      <c r="H116" s="69"/>
    </row>
    <row r="117" spans="1:8" x14ac:dyDescent="0.2">
      <c r="A117" s="1"/>
      <c r="B117" s="1"/>
      <c r="C117" s="2" t="s">
        <v>95</v>
      </c>
      <c r="D117" s="1"/>
      <c r="E117" s="1" t="s">
        <v>96</v>
      </c>
      <c r="F117" s="13">
        <v>0</v>
      </c>
      <c r="G117" s="14">
        <v>0</v>
      </c>
      <c r="H117" s="69"/>
    </row>
    <row r="118" spans="1:8" x14ac:dyDescent="0.2">
      <c r="A118" s="1"/>
      <c r="B118" s="1"/>
      <c r="C118" s="11"/>
      <c r="D118" s="1"/>
      <c r="E118" s="1"/>
      <c r="F118" s="12"/>
      <c r="G118" s="12"/>
      <c r="H118" s="69"/>
    </row>
    <row r="119" spans="1:8" x14ac:dyDescent="0.2">
      <c r="A119" s="1"/>
      <c r="B119" s="4"/>
      <c r="C119" s="4"/>
      <c r="D119" s="2"/>
      <c r="E119" s="1"/>
      <c r="F119" s="4"/>
      <c r="G119" s="8"/>
      <c r="H119" s="69"/>
    </row>
    <row r="120" spans="1:8" x14ac:dyDescent="0.2">
      <c r="A120" s="8"/>
      <c r="B120" s="4"/>
      <c r="C120" s="4" t="s">
        <v>121</v>
      </c>
      <c r="D120" s="4"/>
      <c r="E120" s="8"/>
      <c r="F120" s="6">
        <v>-1034.82865509</v>
      </c>
      <c r="G120" s="7">
        <v>-5.6766330000000004E-3</v>
      </c>
      <c r="H120" s="69"/>
    </row>
    <row r="121" spans="1:8" x14ac:dyDescent="0.2">
      <c r="A121" s="11"/>
      <c r="B121" s="11"/>
      <c r="C121" s="2" t="s">
        <v>122</v>
      </c>
      <c r="D121" s="15"/>
      <c r="E121" s="15"/>
      <c r="F121" s="9">
        <v>182296.20512060996</v>
      </c>
      <c r="G121" s="10">
        <v>0.99999999699999997</v>
      </c>
      <c r="H121" s="69"/>
    </row>
    <row r="122" spans="1:8" ht="14.1" customHeight="1" x14ac:dyDescent="0.2">
      <c r="A122" s="16"/>
      <c r="B122" s="16"/>
      <c r="C122" s="16"/>
      <c r="D122" s="17"/>
      <c r="E122" s="17"/>
      <c r="F122" s="17"/>
      <c r="G122" s="17"/>
    </row>
    <row r="123" spans="1:8" ht="14.1" customHeight="1" x14ac:dyDescent="0.2">
      <c r="A123" s="18"/>
      <c r="B123" s="176" t="s">
        <v>96</v>
      </c>
      <c r="C123" s="176"/>
      <c r="D123" s="176"/>
      <c r="E123" s="176"/>
      <c r="F123" s="176"/>
      <c r="G123" s="20"/>
    </row>
    <row r="124" spans="1:8" ht="14.1" customHeight="1" x14ac:dyDescent="0.2">
      <c r="A124" s="18"/>
      <c r="B124" s="176" t="s">
        <v>96</v>
      </c>
      <c r="C124" s="176"/>
      <c r="D124" s="176"/>
      <c r="E124" s="176"/>
      <c r="F124" s="176"/>
      <c r="G124" s="20"/>
    </row>
    <row r="125" spans="1:8" ht="14.1" customHeight="1" x14ac:dyDescent="0.2">
      <c r="A125" s="18"/>
      <c r="B125" s="18"/>
      <c r="C125" s="18"/>
      <c r="D125" s="20"/>
      <c r="E125" s="20"/>
      <c r="F125" s="20"/>
      <c r="G125" s="20"/>
    </row>
    <row r="126" spans="1:8" ht="14.1" customHeight="1" x14ac:dyDescent="0.2">
      <c r="A126" s="18"/>
      <c r="B126" s="174" t="s">
        <v>124</v>
      </c>
      <c r="C126" s="175"/>
      <c r="D126" s="12" t="s">
        <v>96</v>
      </c>
      <c r="E126" s="21"/>
      <c r="F126" s="20"/>
      <c r="G126" s="20"/>
    </row>
    <row r="127" spans="1:8" ht="29.1" customHeight="1" x14ac:dyDescent="0.2">
      <c r="A127" s="18"/>
      <c r="B127" s="172" t="s">
        <v>125</v>
      </c>
      <c r="C127" s="173"/>
      <c r="D127" s="2" t="s">
        <v>126</v>
      </c>
      <c r="E127" s="21"/>
      <c r="F127" s="20"/>
      <c r="G127" s="20"/>
    </row>
    <row r="128" spans="1:8" ht="17.100000000000001" customHeight="1" x14ac:dyDescent="0.2">
      <c r="A128" s="18"/>
      <c r="B128" s="172" t="s">
        <v>127</v>
      </c>
      <c r="C128" s="173"/>
      <c r="D128" s="2" t="s">
        <v>126</v>
      </c>
      <c r="E128" s="21"/>
      <c r="F128" s="20"/>
      <c r="G128" s="20"/>
    </row>
    <row r="129" spans="1:16" ht="17.100000000000001" customHeight="1" x14ac:dyDescent="0.2">
      <c r="A129" s="18"/>
      <c r="B129" s="172" t="s">
        <v>128</v>
      </c>
      <c r="C129" s="173"/>
      <c r="D129" s="12" t="s">
        <v>96</v>
      </c>
      <c r="E129" s="21"/>
      <c r="F129" s="20"/>
      <c r="G129" s="20"/>
    </row>
    <row r="130" spans="1:16" ht="24" customHeight="1" x14ac:dyDescent="0.2">
      <c r="A130" s="22"/>
      <c r="B130" s="23" t="s">
        <v>96</v>
      </c>
      <c r="C130" s="23" t="s">
        <v>129</v>
      </c>
      <c r="D130" s="23" t="s">
        <v>130</v>
      </c>
      <c r="E130" s="22"/>
      <c r="F130" s="22"/>
      <c r="G130" s="22"/>
    </row>
    <row r="131" spans="1:16" ht="18" customHeight="1" x14ac:dyDescent="0.2">
      <c r="A131" s="22"/>
      <c r="B131" s="23" t="s">
        <v>131</v>
      </c>
      <c r="C131" s="23" t="s">
        <v>132</v>
      </c>
      <c r="D131" s="23" t="s">
        <v>133</v>
      </c>
      <c r="E131" s="22"/>
      <c r="F131" s="22"/>
      <c r="G131" s="22"/>
    </row>
    <row r="132" spans="1:16" ht="17.100000000000001" customHeight="1" x14ac:dyDescent="0.2">
      <c r="A132" s="22"/>
      <c r="B132" s="4" t="s">
        <v>134</v>
      </c>
      <c r="C132" s="24">
        <v>59.660800000000002</v>
      </c>
      <c r="D132" s="24">
        <v>58.835000000000001</v>
      </c>
      <c r="E132" s="22"/>
      <c r="F132" s="19"/>
      <c r="G132" s="25"/>
    </row>
    <row r="133" spans="1:16" ht="17.100000000000001" customHeight="1" x14ac:dyDescent="0.2">
      <c r="A133" s="22"/>
      <c r="B133" s="4" t="s">
        <v>983</v>
      </c>
      <c r="C133" s="24">
        <v>27.614799999999999</v>
      </c>
      <c r="D133" s="24">
        <v>27.232600000000001</v>
      </c>
      <c r="E133" s="22"/>
      <c r="F133" s="19"/>
      <c r="G133" s="25"/>
    </row>
    <row r="134" spans="1:16" ht="17.100000000000001" customHeight="1" x14ac:dyDescent="0.2">
      <c r="A134" s="22"/>
      <c r="B134" s="4" t="s">
        <v>135</v>
      </c>
      <c r="C134" s="24">
        <v>55.284599999999998</v>
      </c>
      <c r="D134" s="24">
        <v>54.462400000000002</v>
      </c>
      <c r="E134" s="22"/>
      <c r="F134" s="19"/>
      <c r="G134" s="25"/>
    </row>
    <row r="135" spans="1:16" ht="17.100000000000001" customHeight="1" x14ac:dyDescent="0.2">
      <c r="A135" s="22"/>
      <c r="B135" s="4" t="s">
        <v>984</v>
      </c>
      <c r="C135" s="24">
        <v>25.050999999999998</v>
      </c>
      <c r="D135" s="24">
        <v>24.6785</v>
      </c>
      <c r="E135" s="22"/>
      <c r="F135" s="19"/>
      <c r="G135" s="25"/>
    </row>
    <row r="136" spans="1:16" ht="14.1" customHeight="1" x14ac:dyDescent="0.2">
      <c r="A136" s="22"/>
      <c r="B136" s="22"/>
      <c r="C136" s="22"/>
      <c r="D136" s="22"/>
      <c r="E136" s="22"/>
      <c r="F136" s="22"/>
      <c r="G136" s="22"/>
    </row>
    <row r="137" spans="1:16" ht="17.100000000000001" customHeight="1" x14ac:dyDescent="0.2">
      <c r="A137" s="22"/>
      <c r="B137" s="172" t="s">
        <v>985</v>
      </c>
      <c r="C137" s="173"/>
      <c r="D137" s="2" t="s">
        <v>126</v>
      </c>
      <c r="E137" s="22"/>
      <c r="F137" s="22"/>
      <c r="G137" s="22"/>
      <c r="I137" s="82"/>
      <c r="J137" s="82"/>
      <c r="K137" s="82"/>
      <c r="L137" s="82"/>
      <c r="M137" s="82"/>
      <c r="N137" s="82"/>
      <c r="O137" s="82"/>
    </row>
    <row r="138" spans="1:16" ht="18" customHeight="1" x14ac:dyDescent="0.2">
      <c r="A138" s="22"/>
      <c r="B138" s="26" t="s">
        <v>136</v>
      </c>
      <c r="C138" s="26" t="s">
        <v>136</v>
      </c>
      <c r="D138" s="26"/>
      <c r="E138" s="22"/>
      <c r="F138" s="22"/>
      <c r="G138" s="22"/>
    </row>
    <row r="139" spans="1:16" s="82" customFormat="1" x14ac:dyDescent="0.2">
      <c r="B139" s="177" t="s">
        <v>936</v>
      </c>
      <c r="C139" s="177"/>
      <c r="D139" s="177"/>
      <c r="E139" s="177"/>
      <c r="F139" s="177"/>
      <c r="I139"/>
      <c r="J139"/>
      <c r="K139"/>
      <c r="L139"/>
      <c r="M139"/>
      <c r="N139"/>
      <c r="O139"/>
      <c r="P139" s="70"/>
    </row>
    <row r="140" spans="1:16" ht="14.1" customHeight="1" x14ac:dyDescent="0.2">
      <c r="A140" s="22"/>
      <c r="B140" s="19"/>
      <c r="C140" s="19"/>
      <c r="D140" s="22"/>
      <c r="E140" s="22"/>
      <c r="F140" s="22"/>
      <c r="G140" s="22"/>
    </row>
    <row r="141" spans="1:16" ht="29.1" customHeight="1" x14ac:dyDescent="0.2">
      <c r="A141" s="22"/>
      <c r="B141" s="172" t="s">
        <v>137</v>
      </c>
      <c r="C141" s="173"/>
      <c r="D141" s="2" t="s">
        <v>126</v>
      </c>
      <c r="E141" s="22"/>
      <c r="F141" s="22"/>
      <c r="G141" s="22"/>
    </row>
    <row r="142" spans="1:16" ht="29.1" customHeight="1" x14ac:dyDescent="0.2">
      <c r="A142" s="22"/>
      <c r="B142" s="172" t="s">
        <v>138</v>
      </c>
      <c r="C142" s="173"/>
      <c r="D142" s="2" t="s">
        <v>126</v>
      </c>
      <c r="E142" s="22"/>
      <c r="F142" s="22"/>
      <c r="G142" s="22"/>
    </row>
    <row r="143" spans="1:16" ht="17.100000000000001" customHeight="1" x14ac:dyDescent="0.2">
      <c r="A143" s="22"/>
      <c r="B143" s="172" t="s">
        <v>139</v>
      </c>
      <c r="C143" s="173"/>
      <c r="D143" s="27">
        <v>0.64375934603819429</v>
      </c>
      <c r="E143" s="22"/>
      <c r="F143" s="19"/>
      <c r="G143" s="25"/>
    </row>
    <row r="144" spans="1:16" ht="17.100000000000001" customHeight="1" x14ac:dyDescent="0.2">
      <c r="A144" s="22"/>
      <c r="B144" s="172" t="s">
        <v>140</v>
      </c>
      <c r="C144" s="173"/>
      <c r="D144" s="2" t="s">
        <v>126</v>
      </c>
      <c r="E144" s="22"/>
      <c r="F144" s="22"/>
      <c r="G144" s="22"/>
    </row>
  </sheetData>
  <mergeCells count="16">
    <mergeCell ref="B144:C144"/>
    <mergeCell ref="B127:C127"/>
    <mergeCell ref="B128:C128"/>
    <mergeCell ref="B129:C129"/>
    <mergeCell ref="B137:C137"/>
    <mergeCell ref="B141:C141"/>
    <mergeCell ref="B142:C142"/>
    <mergeCell ref="B139:F139"/>
    <mergeCell ref="A1:H1"/>
    <mergeCell ref="A2:H2"/>
    <mergeCell ref="A3:H3"/>
    <mergeCell ref="J2:N2"/>
    <mergeCell ref="B143:C143"/>
    <mergeCell ref="B126:C126"/>
    <mergeCell ref="B123:F123"/>
    <mergeCell ref="B124:F124"/>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7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460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76859</v>
      </c>
      <c r="F7" s="6">
        <v>849.21509100000003</v>
      </c>
      <c r="G7" s="7">
        <v>3.0299024000000001E-2</v>
      </c>
      <c r="H7" s="69"/>
    </row>
    <row r="8" spans="1:14" x14ac:dyDescent="0.2">
      <c r="A8" s="3">
        <v>2</v>
      </c>
      <c r="B8" s="4" t="s">
        <v>142</v>
      </c>
      <c r="C8" s="4" t="s">
        <v>143</v>
      </c>
      <c r="D8" s="4" t="s">
        <v>144</v>
      </c>
      <c r="E8" s="5">
        <v>20969</v>
      </c>
      <c r="F8" s="6">
        <v>784.45029</v>
      </c>
      <c r="G8" s="7">
        <v>2.7988289999999999E-2</v>
      </c>
      <c r="H8" s="69"/>
    </row>
    <row r="9" spans="1:14" x14ac:dyDescent="0.2">
      <c r="A9" s="3">
        <v>3</v>
      </c>
      <c r="B9" s="4" t="s">
        <v>25</v>
      </c>
      <c r="C9" s="4" t="s">
        <v>26</v>
      </c>
      <c r="D9" s="4" t="s">
        <v>27</v>
      </c>
      <c r="E9" s="5">
        <v>47115</v>
      </c>
      <c r="F9" s="6">
        <v>760.08273750000001</v>
      </c>
      <c r="G9" s="7">
        <v>2.7118883999999999E-2</v>
      </c>
      <c r="H9" s="69"/>
    </row>
    <row r="10" spans="1:14" x14ac:dyDescent="0.2">
      <c r="A10" s="3">
        <v>4</v>
      </c>
      <c r="B10" s="4" t="s">
        <v>79</v>
      </c>
      <c r="C10" s="4" t="s">
        <v>80</v>
      </c>
      <c r="D10" s="4" t="s">
        <v>75</v>
      </c>
      <c r="E10" s="5">
        <v>187369</v>
      </c>
      <c r="F10" s="6">
        <v>699.26110800000004</v>
      </c>
      <c r="G10" s="7">
        <v>2.4948837000000001E-2</v>
      </c>
      <c r="H10" s="69"/>
    </row>
    <row r="11" spans="1:14" x14ac:dyDescent="0.2">
      <c r="A11" s="3">
        <v>5</v>
      </c>
      <c r="B11" s="4" t="s">
        <v>147</v>
      </c>
      <c r="C11" s="4" t="s">
        <v>148</v>
      </c>
      <c r="D11" s="4" t="s">
        <v>78</v>
      </c>
      <c r="E11" s="5">
        <v>566165</v>
      </c>
      <c r="F11" s="6">
        <v>686.47506250000004</v>
      </c>
      <c r="G11" s="7">
        <v>2.4492646E-2</v>
      </c>
      <c r="H11" s="69"/>
    </row>
    <row r="12" spans="1:14" x14ac:dyDescent="0.2">
      <c r="A12" s="3">
        <v>6</v>
      </c>
      <c r="B12" s="4" t="s">
        <v>165</v>
      </c>
      <c r="C12" s="4" t="s">
        <v>166</v>
      </c>
      <c r="D12" s="4" t="s">
        <v>155</v>
      </c>
      <c r="E12" s="5">
        <v>137605</v>
      </c>
      <c r="F12" s="6">
        <v>680.66313249999996</v>
      </c>
      <c r="G12" s="7">
        <v>2.4285283000000001E-2</v>
      </c>
      <c r="H12" s="69"/>
    </row>
    <row r="13" spans="1:14" ht="25.5" x14ac:dyDescent="0.2">
      <c r="A13" s="3">
        <v>7</v>
      </c>
      <c r="B13" s="4" t="s">
        <v>151</v>
      </c>
      <c r="C13" s="4" t="s">
        <v>152</v>
      </c>
      <c r="D13" s="4" t="s">
        <v>45</v>
      </c>
      <c r="E13" s="5">
        <v>446179</v>
      </c>
      <c r="F13" s="6">
        <v>665.4759785</v>
      </c>
      <c r="G13" s="7">
        <v>2.3743422E-2</v>
      </c>
      <c r="H13" s="69"/>
    </row>
    <row r="14" spans="1:14" x14ac:dyDescent="0.2">
      <c r="A14" s="3">
        <v>8</v>
      </c>
      <c r="B14" s="4" t="s">
        <v>41</v>
      </c>
      <c r="C14" s="4" t="s">
        <v>42</v>
      </c>
      <c r="D14" s="4" t="s">
        <v>27</v>
      </c>
      <c r="E14" s="5">
        <v>51448</v>
      </c>
      <c r="F14" s="6">
        <v>638.95843600000001</v>
      </c>
      <c r="G14" s="7">
        <v>2.2797306999999999E-2</v>
      </c>
      <c r="H14" s="69"/>
    </row>
    <row r="15" spans="1:14" x14ac:dyDescent="0.2">
      <c r="A15" s="3">
        <v>9</v>
      </c>
      <c r="B15" s="4" t="s">
        <v>149</v>
      </c>
      <c r="C15" s="4" t="s">
        <v>150</v>
      </c>
      <c r="D15" s="4" t="s">
        <v>75</v>
      </c>
      <c r="E15" s="5">
        <v>104279</v>
      </c>
      <c r="F15" s="6">
        <v>627.34246399999995</v>
      </c>
      <c r="G15" s="7">
        <v>2.2382862E-2</v>
      </c>
      <c r="H15" s="69"/>
    </row>
    <row r="16" spans="1:14" ht="15" x14ac:dyDescent="0.2">
      <c r="A16" s="3">
        <v>10</v>
      </c>
      <c r="B16" s="4" t="s">
        <v>461</v>
      </c>
      <c r="C16" s="4" t="s">
        <v>462</v>
      </c>
      <c r="D16" s="4" t="s">
        <v>75</v>
      </c>
      <c r="E16" s="5">
        <v>161016</v>
      </c>
      <c r="F16" s="6">
        <v>626.11071600000002</v>
      </c>
      <c r="G16" s="7">
        <v>2.2338915000000001E-2</v>
      </c>
      <c r="H16" s="69"/>
      <c r="J16" s="160" t="s">
        <v>1011</v>
      </c>
    </row>
    <row r="17" spans="1:8" x14ac:dyDescent="0.2">
      <c r="A17" s="3">
        <v>11</v>
      </c>
      <c r="B17" s="4" t="s">
        <v>301</v>
      </c>
      <c r="C17" s="4" t="s">
        <v>302</v>
      </c>
      <c r="D17" s="4" t="s">
        <v>27</v>
      </c>
      <c r="E17" s="5">
        <v>89666</v>
      </c>
      <c r="F17" s="6">
        <v>607.39748399999996</v>
      </c>
      <c r="G17" s="7">
        <v>2.1671248000000001E-2</v>
      </c>
      <c r="H17" s="69"/>
    </row>
    <row r="18" spans="1:8" x14ac:dyDescent="0.2">
      <c r="A18" s="3">
        <v>12</v>
      </c>
      <c r="B18" s="4" t="s">
        <v>153</v>
      </c>
      <c r="C18" s="4" t="s">
        <v>154</v>
      </c>
      <c r="D18" s="4" t="s">
        <v>155</v>
      </c>
      <c r="E18" s="5">
        <v>14600</v>
      </c>
      <c r="F18" s="6">
        <v>604.26480000000004</v>
      </c>
      <c r="G18" s="7">
        <v>2.1559478E-2</v>
      </c>
      <c r="H18" s="69"/>
    </row>
    <row r="19" spans="1:8" x14ac:dyDescent="0.2">
      <c r="A19" s="3">
        <v>13</v>
      </c>
      <c r="B19" s="4" t="s">
        <v>156</v>
      </c>
      <c r="C19" s="4" t="s">
        <v>157</v>
      </c>
      <c r="D19" s="4" t="s">
        <v>27</v>
      </c>
      <c r="E19" s="5">
        <v>76754</v>
      </c>
      <c r="F19" s="6">
        <v>595.53428599999995</v>
      </c>
      <c r="G19" s="7">
        <v>2.1247983000000002E-2</v>
      </c>
      <c r="H19" s="69"/>
    </row>
    <row r="20" spans="1:8" x14ac:dyDescent="0.2">
      <c r="A20" s="3">
        <v>14</v>
      </c>
      <c r="B20" s="4" t="s">
        <v>176</v>
      </c>
      <c r="C20" s="4" t="s">
        <v>177</v>
      </c>
      <c r="D20" s="4" t="s">
        <v>78</v>
      </c>
      <c r="E20" s="5">
        <v>67799</v>
      </c>
      <c r="F20" s="6">
        <v>548.76510599999995</v>
      </c>
      <c r="G20" s="7">
        <v>1.9579312000000001E-2</v>
      </c>
      <c r="H20" s="69"/>
    </row>
    <row r="21" spans="1:8" x14ac:dyDescent="0.2">
      <c r="A21" s="3">
        <v>15</v>
      </c>
      <c r="B21" s="4" t="s">
        <v>56</v>
      </c>
      <c r="C21" s="4" t="s">
        <v>57</v>
      </c>
      <c r="D21" s="4" t="s">
        <v>53</v>
      </c>
      <c r="E21" s="5">
        <v>108670</v>
      </c>
      <c r="F21" s="6">
        <v>546.01241500000003</v>
      </c>
      <c r="G21" s="7">
        <v>1.9481099000000002E-2</v>
      </c>
      <c r="H21" s="69"/>
    </row>
    <row r="22" spans="1:8" ht="25.5" x14ac:dyDescent="0.2">
      <c r="A22" s="3">
        <v>16</v>
      </c>
      <c r="B22" s="4" t="s">
        <v>37</v>
      </c>
      <c r="C22" s="4" t="s">
        <v>38</v>
      </c>
      <c r="D22" s="4" t="s">
        <v>974</v>
      </c>
      <c r="E22" s="5">
        <v>15321</v>
      </c>
      <c r="F22" s="6">
        <v>495.6266895</v>
      </c>
      <c r="G22" s="7">
        <v>1.7683394000000002E-2</v>
      </c>
      <c r="H22" s="69"/>
    </row>
    <row r="23" spans="1:8" x14ac:dyDescent="0.2">
      <c r="A23" s="3">
        <v>17</v>
      </c>
      <c r="B23" s="4" t="s">
        <v>158</v>
      </c>
      <c r="C23" s="4" t="s">
        <v>159</v>
      </c>
      <c r="D23" s="4" t="s">
        <v>160</v>
      </c>
      <c r="E23" s="5">
        <v>30365</v>
      </c>
      <c r="F23" s="6">
        <v>492.68730749999997</v>
      </c>
      <c r="G23" s="7">
        <v>1.757852E-2</v>
      </c>
      <c r="H23" s="69"/>
    </row>
    <row r="24" spans="1:8" x14ac:dyDescent="0.2">
      <c r="A24" s="3">
        <v>18</v>
      </c>
      <c r="B24" s="4" t="s">
        <v>169</v>
      </c>
      <c r="C24" s="4" t="s">
        <v>170</v>
      </c>
      <c r="D24" s="4" t="s">
        <v>155</v>
      </c>
      <c r="E24" s="5">
        <v>39945</v>
      </c>
      <c r="F24" s="6">
        <v>458.92810500000002</v>
      </c>
      <c r="G24" s="7">
        <v>1.6374030000000001E-2</v>
      </c>
      <c r="H24" s="69"/>
    </row>
    <row r="25" spans="1:8" x14ac:dyDescent="0.2">
      <c r="A25" s="3">
        <v>19</v>
      </c>
      <c r="B25" s="4" t="s">
        <v>173</v>
      </c>
      <c r="C25" s="4" t="s">
        <v>174</v>
      </c>
      <c r="D25" s="4" t="s">
        <v>175</v>
      </c>
      <c r="E25" s="5">
        <v>178406</v>
      </c>
      <c r="F25" s="6">
        <v>451.45638300000002</v>
      </c>
      <c r="G25" s="7">
        <v>1.6107448E-2</v>
      </c>
      <c r="H25" s="69"/>
    </row>
    <row r="26" spans="1:8" ht="25.5" x14ac:dyDescent="0.2">
      <c r="A26" s="3">
        <v>20</v>
      </c>
      <c r="B26" s="4" t="s">
        <v>463</v>
      </c>
      <c r="C26" s="4" t="s">
        <v>464</v>
      </c>
      <c r="D26" s="4" t="s">
        <v>45</v>
      </c>
      <c r="E26" s="5">
        <v>29564</v>
      </c>
      <c r="F26" s="6">
        <v>449.84582399999999</v>
      </c>
      <c r="G26" s="7">
        <v>1.6049984999999999E-2</v>
      </c>
      <c r="H26" s="69"/>
    </row>
    <row r="27" spans="1:8" x14ac:dyDescent="0.2">
      <c r="A27" s="3">
        <v>21</v>
      </c>
      <c r="B27" s="4" t="s">
        <v>465</v>
      </c>
      <c r="C27" s="4" t="s">
        <v>466</v>
      </c>
      <c r="D27" s="4" t="s">
        <v>48</v>
      </c>
      <c r="E27" s="5">
        <v>63586</v>
      </c>
      <c r="F27" s="6">
        <v>436.613269</v>
      </c>
      <c r="G27" s="7">
        <v>1.5577863000000001E-2</v>
      </c>
      <c r="H27" s="69"/>
    </row>
    <row r="28" spans="1:8" x14ac:dyDescent="0.2">
      <c r="A28" s="3">
        <v>22</v>
      </c>
      <c r="B28" s="4" t="s">
        <v>163</v>
      </c>
      <c r="C28" s="4" t="s">
        <v>164</v>
      </c>
      <c r="D28" s="4" t="s">
        <v>975</v>
      </c>
      <c r="E28" s="5">
        <v>106261</v>
      </c>
      <c r="F28" s="6">
        <v>425.30965250000003</v>
      </c>
      <c r="G28" s="7">
        <v>1.5174562000000001E-2</v>
      </c>
      <c r="H28" s="69"/>
    </row>
    <row r="29" spans="1:8" x14ac:dyDescent="0.2">
      <c r="A29" s="3">
        <v>23</v>
      </c>
      <c r="B29" s="4" t="s">
        <v>298</v>
      </c>
      <c r="C29" s="4" t="s">
        <v>299</v>
      </c>
      <c r="D29" s="4" t="s">
        <v>53</v>
      </c>
      <c r="E29" s="5">
        <v>24104</v>
      </c>
      <c r="F29" s="6">
        <v>413.80542000000003</v>
      </c>
      <c r="G29" s="7">
        <v>1.4764105E-2</v>
      </c>
      <c r="H29" s="69"/>
    </row>
    <row r="30" spans="1:8" x14ac:dyDescent="0.2">
      <c r="A30" s="3">
        <v>24</v>
      </c>
      <c r="B30" s="4" t="s">
        <v>181</v>
      </c>
      <c r="C30" s="4" t="s">
        <v>182</v>
      </c>
      <c r="D30" s="4" t="s">
        <v>155</v>
      </c>
      <c r="E30" s="5">
        <v>38730</v>
      </c>
      <c r="F30" s="6">
        <v>392.12188500000002</v>
      </c>
      <c r="G30" s="7">
        <v>1.3990460999999999E-2</v>
      </c>
      <c r="H30" s="69"/>
    </row>
    <row r="31" spans="1:8" x14ac:dyDescent="0.2">
      <c r="A31" s="3">
        <v>25</v>
      </c>
      <c r="B31" s="4" t="s">
        <v>187</v>
      </c>
      <c r="C31" s="4" t="s">
        <v>188</v>
      </c>
      <c r="D31" s="4" t="s">
        <v>978</v>
      </c>
      <c r="E31" s="5">
        <v>42000</v>
      </c>
      <c r="F31" s="6">
        <v>375.33300000000003</v>
      </c>
      <c r="G31" s="7">
        <v>1.3391452999999999E-2</v>
      </c>
      <c r="H31" s="69"/>
    </row>
    <row r="32" spans="1:8" x14ac:dyDescent="0.2">
      <c r="A32" s="3">
        <v>26</v>
      </c>
      <c r="B32" s="4" t="s">
        <v>161</v>
      </c>
      <c r="C32" s="4" t="s">
        <v>162</v>
      </c>
      <c r="D32" s="4" t="s">
        <v>22</v>
      </c>
      <c r="E32" s="5">
        <v>196565</v>
      </c>
      <c r="F32" s="6">
        <v>359.02597250000002</v>
      </c>
      <c r="G32" s="7">
        <v>1.2809635999999999E-2</v>
      </c>
      <c r="H32" s="69"/>
    </row>
    <row r="33" spans="1:8" x14ac:dyDescent="0.2">
      <c r="A33" s="3">
        <v>27</v>
      </c>
      <c r="B33" s="4" t="s">
        <v>349</v>
      </c>
      <c r="C33" s="4" t="s">
        <v>350</v>
      </c>
      <c r="D33" s="4" t="s">
        <v>160</v>
      </c>
      <c r="E33" s="5">
        <v>7944</v>
      </c>
      <c r="F33" s="6">
        <v>355.29539999999997</v>
      </c>
      <c r="G33" s="7">
        <v>1.2676534E-2</v>
      </c>
      <c r="H33" s="69"/>
    </row>
    <row r="34" spans="1:8" x14ac:dyDescent="0.2">
      <c r="A34" s="3">
        <v>28</v>
      </c>
      <c r="B34" s="4" t="s">
        <v>200</v>
      </c>
      <c r="C34" s="4" t="s">
        <v>201</v>
      </c>
      <c r="D34" s="4" t="s">
        <v>27</v>
      </c>
      <c r="E34" s="5">
        <v>17215</v>
      </c>
      <c r="F34" s="6">
        <v>347.89793500000002</v>
      </c>
      <c r="G34" s="7">
        <v>1.2412601000000001E-2</v>
      </c>
      <c r="H34" s="69"/>
    </row>
    <row r="35" spans="1:8" x14ac:dyDescent="0.2">
      <c r="A35" s="3">
        <v>29</v>
      </c>
      <c r="B35" s="4" t="s">
        <v>191</v>
      </c>
      <c r="C35" s="4" t="s">
        <v>192</v>
      </c>
      <c r="D35" s="4" t="s">
        <v>53</v>
      </c>
      <c r="E35" s="5">
        <v>359818</v>
      </c>
      <c r="F35" s="6">
        <v>346.14491600000002</v>
      </c>
      <c r="G35" s="7">
        <v>1.2350055E-2</v>
      </c>
      <c r="H35" s="69"/>
    </row>
    <row r="36" spans="1:8" x14ac:dyDescent="0.2">
      <c r="A36" s="3">
        <v>30</v>
      </c>
      <c r="B36" s="4" t="s">
        <v>198</v>
      </c>
      <c r="C36" s="4" t="s">
        <v>199</v>
      </c>
      <c r="D36" s="4" t="s">
        <v>78</v>
      </c>
      <c r="E36" s="5">
        <v>58366</v>
      </c>
      <c r="F36" s="6">
        <v>344.41776599999997</v>
      </c>
      <c r="G36" s="7">
        <v>1.2288432E-2</v>
      </c>
      <c r="H36" s="69"/>
    </row>
    <row r="37" spans="1:8" ht="25.5" x14ac:dyDescent="0.2">
      <c r="A37" s="3">
        <v>31</v>
      </c>
      <c r="B37" s="4" t="s">
        <v>205</v>
      </c>
      <c r="C37" s="4" t="s">
        <v>206</v>
      </c>
      <c r="D37" s="4" t="s">
        <v>207</v>
      </c>
      <c r="E37" s="5">
        <v>79781</v>
      </c>
      <c r="F37" s="6">
        <v>340.58508899999998</v>
      </c>
      <c r="G37" s="7">
        <v>1.2151687E-2</v>
      </c>
      <c r="H37" s="69"/>
    </row>
    <row r="38" spans="1:8" ht="25.5" x14ac:dyDescent="0.2">
      <c r="A38" s="3">
        <v>32</v>
      </c>
      <c r="B38" s="4" t="s">
        <v>189</v>
      </c>
      <c r="C38" s="4" t="s">
        <v>190</v>
      </c>
      <c r="D38" s="4" t="s">
        <v>974</v>
      </c>
      <c r="E38" s="5">
        <v>154145</v>
      </c>
      <c r="F38" s="6">
        <v>340.198015</v>
      </c>
      <c r="G38" s="7">
        <v>1.2137876000000001E-2</v>
      </c>
      <c r="H38" s="69"/>
    </row>
    <row r="39" spans="1:8" x14ac:dyDescent="0.2">
      <c r="A39" s="3">
        <v>33</v>
      </c>
      <c r="B39" s="4" t="s">
        <v>467</v>
      </c>
      <c r="C39" s="4" t="s">
        <v>468</v>
      </c>
      <c r="D39" s="4" t="s">
        <v>27</v>
      </c>
      <c r="E39" s="5">
        <v>37025</v>
      </c>
      <c r="F39" s="6">
        <v>339.77842500000003</v>
      </c>
      <c r="G39" s="7">
        <v>1.2122905999999999E-2</v>
      </c>
      <c r="H39" s="69"/>
    </row>
    <row r="40" spans="1:8" x14ac:dyDescent="0.2">
      <c r="A40" s="3">
        <v>34</v>
      </c>
      <c r="B40" s="4" t="s">
        <v>33</v>
      </c>
      <c r="C40" s="4" t="s">
        <v>34</v>
      </c>
      <c r="D40" s="4" t="s">
        <v>27</v>
      </c>
      <c r="E40" s="5">
        <v>12185</v>
      </c>
      <c r="F40" s="6">
        <v>326.3143</v>
      </c>
      <c r="G40" s="7">
        <v>1.1642520999999999E-2</v>
      </c>
      <c r="H40" s="69"/>
    </row>
    <row r="41" spans="1:8" x14ac:dyDescent="0.2">
      <c r="A41" s="3">
        <v>35</v>
      </c>
      <c r="B41" s="4" t="s">
        <v>469</v>
      </c>
      <c r="C41" s="4" t="s">
        <v>470</v>
      </c>
      <c r="D41" s="4" t="s">
        <v>75</v>
      </c>
      <c r="E41" s="5">
        <v>34343</v>
      </c>
      <c r="F41" s="6">
        <v>325.846384</v>
      </c>
      <c r="G41" s="7">
        <v>1.1625827E-2</v>
      </c>
      <c r="H41" s="69"/>
    </row>
    <row r="42" spans="1:8" x14ac:dyDescent="0.2">
      <c r="A42" s="3">
        <v>36</v>
      </c>
      <c r="B42" s="4" t="s">
        <v>208</v>
      </c>
      <c r="C42" s="4" t="s">
        <v>209</v>
      </c>
      <c r="D42" s="4" t="s">
        <v>78</v>
      </c>
      <c r="E42" s="5">
        <v>637757</v>
      </c>
      <c r="F42" s="6">
        <v>320.15401400000002</v>
      </c>
      <c r="G42" s="7">
        <v>1.1422729E-2</v>
      </c>
      <c r="H42" s="69"/>
    </row>
    <row r="43" spans="1:8" x14ac:dyDescent="0.2">
      <c r="A43" s="3">
        <v>37</v>
      </c>
      <c r="B43" s="4" t="s">
        <v>193</v>
      </c>
      <c r="C43" s="4" t="s">
        <v>194</v>
      </c>
      <c r="D43" s="4" t="s">
        <v>195</v>
      </c>
      <c r="E43" s="5">
        <v>65640</v>
      </c>
      <c r="F43" s="6">
        <v>315.66275999999999</v>
      </c>
      <c r="G43" s="7">
        <v>1.1262487E-2</v>
      </c>
      <c r="H43" s="69"/>
    </row>
    <row r="44" spans="1:8" x14ac:dyDescent="0.2">
      <c r="A44" s="3">
        <v>38</v>
      </c>
      <c r="B44" s="4" t="s">
        <v>212</v>
      </c>
      <c r="C44" s="4" t="s">
        <v>213</v>
      </c>
      <c r="D44" s="4" t="s">
        <v>979</v>
      </c>
      <c r="E44" s="5">
        <v>55876</v>
      </c>
      <c r="F44" s="6">
        <v>306.47985999999997</v>
      </c>
      <c r="G44" s="7">
        <v>1.0934851000000001E-2</v>
      </c>
      <c r="H44" s="69"/>
    </row>
    <row r="45" spans="1:8" x14ac:dyDescent="0.2">
      <c r="A45" s="3">
        <v>39</v>
      </c>
      <c r="B45" s="4" t="s">
        <v>214</v>
      </c>
      <c r="C45" s="4" t="s">
        <v>215</v>
      </c>
      <c r="D45" s="4" t="s">
        <v>979</v>
      </c>
      <c r="E45" s="5">
        <v>29844</v>
      </c>
      <c r="F45" s="6">
        <v>304.51325400000002</v>
      </c>
      <c r="G45" s="7">
        <v>1.0864685000000001E-2</v>
      </c>
      <c r="H45" s="69"/>
    </row>
    <row r="46" spans="1:8" x14ac:dyDescent="0.2">
      <c r="A46" s="3">
        <v>40</v>
      </c>
      <c r="B46" s="4" t="s">
        <v>216</v>
      </c>
      <c r="C46" s="4" t="s">
        <v>217</v>
      </c>
      <c r="D46" s="4" t="s">
        <v>75</v>
      </c>
      <c r="E46" s="5">
        <v>34180</v>
      </c>
      <c r="F46" s="6">
        <v>299.82695999999999</v>
      </c>
      <c r="G46" s="7">
        <v>1.0697483000000001E-2</v>
      </c>
      <c r="H46" s="69"/>
    </row>
    <row r="47" spans="1:8" x14ac:dyDescent="0.2">
      <c r="A47" s="3">
        <v>41</v>
      </c>
      <c r="B47" s="4" t="s">
        <v>196</v>
      </c>
      <c r="C47" s="4" t="s">
        <v>197</v>
      </c>
      <c r="D47" s="4" t="s">
        <v>144</v>
      </c>
      <c r="E47" s="5">
        <v>23134</v>
      </c>
      <c r="F47" s="6">
        <v>299.36552699999999</v>
      </c>
      <c r="G47" s="7">
        <v>1.0681019999999999E-2</v>
      </c>
      <c r="H47" s="69"/>
    </row>
    <row r="48" spans="1:8" x14ac:dyDescent="0.2">
      <c r="A48" s="3">
        <v>42</v>
      </c>
      <c r="B48" s="4" t="s">
        <v>210</v>
      </c>
      <c r="C48" s="4" t="s">
        <v>211</v>
      </c>
      <c r="D48" s="4" t="s">
        <v>53</v>
      </c>
      <c r="E48" s="5">
        <v>31488</v>
      </c>
      <c r="F48" s="6">
        <v>298.45900799999998</v>
      </c>
      <c r="G48" s="7">
        <v>1.0648675999999999E-2</v>
      </c>
      <c r="H48" s="69"/>
    </row>
    <row r="49" spans="1:8" x14ac:dyDescent="0.2">
      <c r="A49" s="3">
        <v>43</v>
      </c>
      <c r="B49" s="4" t="s">
        <v>283</v>
      </c>
      <c r="C49" s="4" t="s">
        <v>284</v>
      </c>
      <c r="D49" s="4" t="s">
        <v>32</v>
      </c>
      <c r="E49" s="5">
        <v>76646</v>
      </c>
      <c r="F49" s="6">
        <v>297.69306399999999</v>
      </c>
      <c r="G49" s="7">
        <v>1.0621347999999999E-2</v>
      </c>
      <c r="H49" s="69"/>
    </row>
    <row r="50" spans="1:8" x14ac:dyDescent="0.2">
      <c r="A50" s="3">
        <v>44</v>
      </c>
      <c r="B50" s="4" t="s">
        <v>167</v>
      </c>
      <c r="C50" s="4" t="s">
        <v>168</v>
      </c>
      <c r="D50" s="4" t="s">
        <v>976</v>
      </c>
      <c r="E50" s="5">
        <v>28782</v>
      </c>
      <c r="F50" s="6">
        <v>291.92143499999997</v>
      </c>
      <c r="G50" s="7">
        <v>1.0415423E-2</v>
      </c>
      <c r="H50" s="69"/>
    </row>
    <row r="51" spans="1:8" ht="25.5" x14ac:dyDescent="0.2">
      <c r="A51" s="3">
        <v>45</v>
      </c>
      <c r="B51" s="4" t="s">
        <v>222</v>
      </c>
      <c r="C51" s="4" t="s">
        <v>223</v>
      </c>
      <c r="D51" s="4" t="s">
        <v>207</v>
      </c>
      <c r="E51" s="5">
        <v>60329</v>
      </c>
      <c r="F51" s="6">
        <v>281.40462050000002</v>
      </c>
      <c r="G51" s="7">
        <v>1.0040195E-2</v>
      </c>
      <c r="H51" s="69"/>
    </row>
    <row r="52" spans="1:8" x14ac:dyDescent="0.2">
      <c r="A52" s="3">
        <v>46</v>
      </c>
      <c r="B52" s="4" t="s">
        <v>225</v>
      </c>
      <c r="C52" s="4" t="s">
        <v>226</v>
      </c>
      <c r="D52" s="4" t="s">
        <v>204</v>
      </c>
      <c r="E52" s="5">
        <v>53835</v>
      </c>
      <c r="F52" s="6">
        <v>273.8317275</v>
      </c>
      <c r="G52" s="7">
        <v>9.7700029999999993E-3</v>
      </c>
      <c r="H52" s="69"/>
    </row>
    <row r="53" spans="1:8" x14ac:dyDescent="0.2">
      <c r="A53" s="3">
        <v>47</v>
      </c>
      <c r="B53" s="4" t="s">
        <v>219</v>
      </c>
      <c r="C53" s="4" t="s">
        <v>220</v>
      </c>
      <c r="D53" s="4" t="s">
        <v>221</v>
      </c>
      <c r="E53" s="5">
        <v>129053</v>
      </c>
      <c r="F53" s="6">
        <v>271.527512</v>
      </c>
      <c r="G53" s="7">
        <v>9.6877909999999994E-3</v>
      </c>
      <c r="H53" s="69"/>
    </row>
    <row r="54" spans="1:8" x14ac:dyDescent="0.2">
      <c r="A54" s="3">
        <v>48</v>
      </c>
      <c r="B54" s="4" t="s">
        <v>289</v>
      </c>
      <c r="C54" s="4" t="s">
        <v>290</v>
      </c>
      <c r="D54" s="4" t="s">
        <v>27</v>
      </c>
      <c r="E54" s="5">
        <v>78727</v>
      </c>
      <c r="F54" s="6">
        <v>266.76643949999999</v>
      </c>
      <c r="G54" s="7">
        <v>9.5179219999999998E-3</v>
      </c>
      <c r="H54" s="69"/>
    </row>
    <row r="55" spans="1:8" x14ac:dyDescent="0.2">
      <c r="A55" s="3">
        <v>49</v>
      </c>
      <c r="B55" s="4" t="s">
        <v>227</v>
      </c>
      <c r="C55" s="4" t="s">
        <v>228</v>
      </c>
      <c r="D55" s="4" t="s">
        <v>976</v>
      </c>
      <c r="E55" s="5">
        <v>16514</v>
      </c>
      <c r="F55" s="6">
        <v>264.067117</v>
      </c>
      <c r="G55" s="7">
        <v>9.4216130000000006E-3</v>
      </c>
      <c r="H55" s="69"/>
    </row>
    <row r="56" spans="1:8" x14ac:dyDescent="0.2">
      <c r="A56" s="3">
        <v>50</v>
      </c>
      <c r="B56" s="4" t="s">
        <v>295</v>
      </c>
      <c r="C56" s="4" t="s">
        <v>296</v>
      </c>
      <c r="D56" s="4" t="s">
        <v>27</v>
      </c>
      <c r="E56" s="5">
        <v>21784</v>
      </c>
      <c r="F56" s="6">
        <v>255.78772799999999</v>
      </c>
      <c r="G56" s="7">
        <v>9.1262140000000005E-3</v>
      </c>
      <c r="H56" s="69"/>
    </row>
    <row r="57" spans="1:8" x14ac:dyDescent="0.2">
      <c r="A57" s="3">
        <v>51</v>
      </c>
      <c r="B57" s="4" t="s">
        <v>235</v>
      </c>
      <c r="C57" s="4" t="s">
        <v>236</v>
      </c>
      <c r="D57" s="4" t="s">
        <v>160</v>
      </c>
      <c r="E57" s="5">
        <v>68046</v>
      </c>
      <c r="F57" s="6">
        <v>255.47870700000001</v>
      </c>
      <c r="G57" s="7">
        <v>9.1151879999999998E-3</v>
      </c>
      <c r="H57" s="69"/>
    </row>
    <row r="58" spans="1:8" ht="25.5" x14ac:dyDescent="0.2">
      <c r="A58" s="3">
        <v>52</v>
      </c>
      <c r="B58" s="4" t="s">
        <v>233</v>
      </c>
      <c r="C58" s="4" t="s">
        <v>234</v>
      </c>
      <c r="D58" s="4" t="s">
        <v>207</v>
      </c>
      <c r="E58" s="5">
        <v>63174</v>
      </c>
      <c r="F58" s="6">
        <v>255.128199</v>
      </c>
      <c r="G58" s="7">
        <v>9.1026830000000003E-3</v>
      </c>
      <c r="H58" s="69"/>
    </row>
    <row r="59" spans="1:8" x14ac:dyDescent="0.2">
      <c r="A59" s="3">
        <v>53</v>
      </c>
      <c r="B59" s="4" t="s">
        <v>178</v>
      </c>
      <c r="C59" s="4" t="s">
        <v>179</v>
      </c>
      <c r="D59" s="4" t="s">
        <v>180</v>
      </c>
      <c r="E59" s="5">
        <v>26884</v>
      </c>
      <c r="F59" s="6">
        <v>253.30104800000001</v>
      </c>
      <c r="G59" s="7">
        <v>9.0374919999999994E-3</v>
      </c>
      <c r="H59" s="69"/>
    </row>
    <row r="60" spans="1:8" x14ac:dyDescent="0.2">
      <c r="A60" s="3">
        <v>54</v>
      </c>
      <c r="B60" s="4" t="s">
        <v>185</v>
      </c>
      <c r="C60" s="4" t="s">
        <v>186</v>
      </c>
      <c r="D60" s="4" t="s">
        <v>16</v>
      </c>
      <c r="E60" s="5">
        <v>85308</v>
      </c>
      <c r="F60" s="6">
        <v>251.743908</v>
      </c>
      <c r="G60" s="7">
        <v>8.9819349999999999E-3</v>
      </c>
      <c r="H60" s="69"/>
    </row>
    <row r="61" spans="1:8" x14ac:dyDescent="0.2">
      <c r="A61" s="3">
        <v>55</v>
      </c>
      <c r="B61" s="4" t="s">
        <v>237</v>
      </c>
      <c r="C61" s="4" t="s">
        <v>238</v>
      </c>
      <c r="D61" s="4" t="s">
        <v>204</v>
      </c>
      <c r="E61" s="5">
        <v>15127</v>
      </c>
      <c r="F61" s="6">
        <v>247.88614899999999</v>
      </c>
      <c r="G61" s="7">
        <v>8.8442950000000003E-3</v>
      </c>
      <c r="H61" s="69"/>
    </row>
    <row r="62" spans="1:8" ht="25.5" x14ac:dyDescent="0.2">
      <c r="A62" s="3">
        <v>56</v>
      </c>
      <c r="B62" s="4" t="s">
        <v>239</v>
      </c>
      <c r="C62" s="4" t="s">
        <v>240</v>
      </c>
      <c r="D62" s="4" t="s">
        <v>980</v>
      </c>
      <c r="E62" s="5">
        <v>244575</v>
      </c>
      <c r="F62" s="6">
        <v>244.81957499999999</v>
      </c>
      <c r="G62" s="7">
        <v>8.7348830000000006E-3</v>
      </c>
      <c r="H62" s="69"/>
    </row>
    <row r="63" spans="1:8" x14ac:dyDescent="0.2">
      <c r="A63" s="3">
        <v>57</v>
      </c>
      <c r="B63" s="4" t="s">
        <v>287</v>
      </c>
      <c r="C63" s="4" t="s">
        <v>288</v>
      </c>
      <c r="D63" s="4" t="s">
        <v>334</v>
      </c>
      <c r="E63" s="5">
        <v>10008</v>
      </c>
      <c r="F63" s="6">
        <v>244.24023600000001</v>
      </c>
      <c r="G63" s="7">
        <v>8.7142130000000002E-3</v>
      </c>
      <c r="H63" s="69"/>
    </row>
    <row r="64" spans="1:8" x14ac:dyDescent="0.2">
      <c r="A64" s="3">
        <v>58</v>
      </c>
      <c r="B64" s="4" t="s">
        <v>183</v>
      </c>
      <c r="C64" s="4" t="s">
        <v>184</v>
      </c>
      <c r="D64" s="4" t="s">
        <v>75</v>
      </c>
      <c r="E64" s="5">
        <v>25180</v>
      </c>
      <c r="F64" s="6">
        <v>239.58770000000001</v>
      </c>
      <c r="G64" s="7">
        <v>8.5482149999999996E-3</v>
      </c>
      <c r="H64" s="69"/>
    </row>
    <row r="65" spans="1:8" x14ac:dyDescent="0.2">
      <c r="A65" s="3">
        <v>59</v>
      </c>
      <c r="B65" s="4" t="s">
        <v>202</v>
      </c>
      <c r="C65" s="4" t="s">
        <v>203</v>
      </c>
      <c r="D65" s="4" t="s">
        <v>204</v>
      </c>
      <c r="E65" s="5">
        <v>61645</v>
      </c>
      <c r="F65" s="6">
        <v>239.30589000000001</v>
      </c>
      <c r="G65" s="7">
        <v>8.5381610000000007E-3</v>
      </c>
      <c r="H65" s="69"/>
    </row>
    <row r="66" spans="1:8" ht="25.5" x14ac:dyDescent="0.2">
      <c r="A66" s="3">
        <v>60</v>
      </c>
      <c r="B66" s="4" t="s">
        <v>229</v>
      </c>
      <c r="C66" s="4" t="s">
        <v>230</v>
      </c>
      <c r="D66" s="4" t="s">
        <v>75</v>
      </c>
      <c r="E66" s="5">
        <v>12284</v>
      </c>
      <c r="F66" s="6">
        <v>233.217882</v>
      </c>
      <c r="G66" s="7">
        <v>8.3209479999999999E-3</v>
      </c>
      <c r="H66" s="69"/>
    </row>
    <row r="67" spans="1:8" ht="25.5" x14ac:dyDescent="0.2">
      <c r="A67" s="3">
        <v>61</v>
      </c>
      <c r="B67" s="4" t="s">
        <v>218</v>
      </c>
      <c r="C67" s="4" t="s">
        <v>869</v>
      </c>
      <c r="D67" s="4" t="s">
        <v>45</v>
      </c>
      <c r="E67" s="5">
        <v>108094</v>
      </c>
      <c r="F67" s="6">
        <v>224.72742600000001</v>
      </c>
      <c r="G67" s="7">
        <v>8.018018E-3</v>
      </c>
      <c r="H67" s="69"/>
    </row>
    <row r="68" spans="1:8" x14ac:dyDescent="0.2">
      <c r="A68" s="3">
        <v>62</v>
      </c>
      <c r="B68" s="4" t="s">
        <v>280</v>
      </c>
      <c r="C68" s="4" t="s">
        <v>281</v>
      </c>
      <c r="D68" s="4" t="s">
        <v>175</v>
      </c>
      <c r="E68" s="5">
        <v>28337</v>
      </c>
      <c r="F68" s="6">
        <v>197.63640649999999</v>
      </c>
      <c r="G68" s="7">
        <v>7.0514410000000003E-3</v>
      </c>
      <c r="H68" s="69"/>
    </row>
    <row r="69" spans="1:8" x14ac:dyDescent="0.2">
      <c r="A69" s="3">
        <v>63</v>
      </c>
      <c r="B69" s="4" t="s">
        <v>251</v>
      </c>
      <c r="C69" s="4" t="s">
        <v>252</v>
      </c>
      <c r="D69" s="4" t="s">
        <v>160</v>
      </c>
      <c r="E69" s="5">
        <v>31011</v>
      </c>
      <c r="F69" s="6">
        <v>180.32896500000001</v>
      </c>
      <c r="G69" s="7">
        <v>6.4339310000000004E-3</v>
      </c>
      <c r="H69" s="69"/>
    </row>
    <row r="70" spans="1:8" x14ac:dyDescent="0.2">
      <c r="A70" s="3">
        <v>64</v>
      </c>
      <c r="B70" s="4" t="s">
        <v>253</v>
      </c>
      <c r="C70" s="4" t="s">
        <v>254</v>
      </c>
      <c r="D70" s="4" t="s">
        <v>65</v>
      </c>
      <c r="E70" s="5">
        <v>20203</v>
      </c>
      <c r="F70" s="6">
        <v>172.73564999999999</v>
      </c>
      <c r="G70" s="7">
        <v>6.1630110000000004E-3</v>
      </c>
      <c r="H70" s="69"/>
    </row>
    <row r="71" spans="1:8" x14ac:dyDescent="0.2">
      <c r="A71" s="3">
        <v>65</v>
      </c>
      <c r="B71" s="4" t="s">
        <v>255</v>
      </c>
      <c r="C71" s="4" t="s">
        <v>256</v>
      </c>
      <c r="D71" s="4" t="s">
        <v>257</v>
      </c>
      <c r="E71" s="5">
        <v>75410</v>
      </c>
      <c r="F71" s="6">
        <v>167.71184</v>
      </c>
      <c r="G71" s="7">
        <v>5.9837670000000001E-3</v>
      </c>
      <c r="H71" s="69"/>
    </row>
    <row r="72" spans="1:8" x14ac:dyDescent="0.2">
      <c r="A72" s="3">
        <v>66</v>
      </c>
      <c r="B72" s="4" t="s">
        <v>262</v>
      </c>
      <c r="C72" s="4" t="s">
        <v>263</v>
      </c>
      <c r="D72" s="4" t="s">
        <v>22</v>
      </c>
      <c r="E72" s="5">
        <v>201808</v>
      </c>
      <c r="F72" s="6">
        <v>165.58346399999999</v>
      </c>
      <c r="G72" s="7">
        <v>5.9078289999999999E-3</v>
      </c>
      <c r="H72" s="69"/>
    </row>
    <row r="73" spans="1:8" x14ac:dyDescent="0.2">
      <c r="A73" s="3">
        <v>67</v>
      </c>
      <c r="B73" s="4" t="s">
        <v>247</v>
      </c>
      <c r="C73" s="4" t="s">
        <v>248</v>
      </c>
      <c r="D73" s="4" t="s">
        <v>75</v>
      </c>
      <c r="E73" s="5">
        <v>66104</v>
      </c>
      <c r="F73" s="6">
        <v>165.02863600000001</v>
      </c>
      <c r="G73" s="7">
        <v>5.888033E-3</v>
      </c>
      <c r="H73" s="69"/>
    </row>
    <row r="74" spans="1:8" x14ac:dyDescent="0.2">
      <c r="A74" s="3">
        <v>68</v>
      </c>
      <c r="B74" s="4" t="s">
        <v>241</v>
      </c>
      <c r="C74" s="4" t="s">
        <v>242</v>
      </c>
      <c r="D74" s="4" t="s">
        <v>155</v>
      </c>
      <c r="E74" s="5">
        <v>13443</v>
      </c>
      <c r="F74" s="6">
        <v>162.06208649999999</v>
      </c>
      <c r="G74" s="7">
        <v>5.7821900000000004E-3</v>
      </c>
      <c r="H74" s="69"/>
    </row>
    <row r="75" spans="1:8" x14ac:dyDescent="0.2">
      <c r="A75" s="3">
        <v>69</v>
      </c>
      <c r="B75" s="4" t="s">
        <v>260</v>
      </c>
      <c r="C75" s="4" t="s">
        <v>261</v>
      </c>
      <c r="D75" s="4" t="s">
        <v>204</v>
      </c>
      <c r="E75" s="5">
        <v>3032</v>
      </c>
      <c r="F75" s="6">
        <v>161.44490400000001</v>
      </c>
      <c r="G75" s="7">
        <v>5.7601700000000002E-3</v>
      </c>
      <c r="H75" s="69"/>
    </row>
    <row r="76" spans="1:8" x14ac:dyDescent="0.2">
      <c r="A76" s="3">
        <v>70</v>
      </c>
      <c r="B76" s="4" t="s">
        <v>276</v>
      </c>
      <c r="C76" s="4" t="s">
        <v>277</v>
      </c>
      <c r="D76" s="4" t="s">
        <v>204</v>
      </c>
      <c r="E76" s="5">
        <v>49569</v>
      </c>
      <c r="F76" s="6">
        <v>140.40419249999999</v>
      </c>
      <c r="G76" s="7">
        <v>5.0094609999999998E-3</v>
      </c>
      <c r="H76" s="69"/>
    </row>
    <row r="77" spans="1:8" x14ac:dyDescent="0.2">
      <c r="A77" s="3">
        <v>71</v>
      </c>
      <c r="B77" s="4" t="s">
        <v>270</v>
      </c>
      <c r="C77" s="4" t="s">
        <v>271</v>
      </c>
      <c r="D77" s="4" t="s">
        <v>144</v>
      </c>
      <c r="E77" s="5">
        <v>23384</v>
      </c>
      <c r="F77" s="6">
        <v>133.896784</v>
      </c>
      <c r="G77" s="7">
        <v>4.7772839999999997E-3</v>
      </c>
      <c r="H77" s="69"/>
    </row>
    <row r="78" spans="1:8" x14ac:dyDescent="0.2">
      <c r="A78" s="3">
        <v>72</v>
      </c>
      <c r="B78" s="4" t="s">
        <v>303</v>
      </c>
      <c r="C78" s="4" t="s">
        <v>304</v>
      </c>
      <c r="D78" s="4" t="s">
        <v>979</v>
      </c>
      <c r="E78" s="5">
        <v>379760</v>
      </c>
      <c r="F78" s="6">
        <v>131.9666</v>
      </c>
      <c r="G78" s="7">
        <v>4.7084170000000003E-3</v>
      </c>
      <c r="H78" s="69"/>
    </row>
    <row r="79" spans="1:8" x14ac:dyDescent="0.2">
      <c r="A79" s="3">
        <v>73</v>
      </c>
      <c r="B79" s="4" t="s">
        <v>471</v>
      </c>
      <c r="C79" s="4" t="s">
        <v>472</v>
      </c>
      <c r="D79" s="4" t="s">
        <v>78</v>
      </c>
      <c r="E79" s="5">
        <v>25528</v>
      </c>
      <c r="F79" s="6">
        <v>128.49518800000001</v>
      </c>
      <c r="G79" s="7">
        <v>4.584561E-3</v>
      </c>
      <c r="H79" s="69"/>
    </row>
    <row r="80" spans="1:8" x14ac:dyDescent="0.2">
      <c r="A80" s="3">
        <v>74</v>
      </c>
      <c r="B80" s="4" t="s">
        <v>249</v>
      </c>
      <c r="C80" s="4" t="s">
        <v>250</v>
      </c>
      <c r="D80" s="4" t="s">
        <v>334</v>
      </c>
      <c r="E80" s="5">
        <v>13773</v>
      </c>
      <c r="F80" s="6">
        <v>126.587643</v>
      </c>
      <c r="G80" s="7">
        <v>4.5165020000000004E-3</v>
      </c>
      <c r="H80" s="69"/>
    </row>
    <row r="81" spans="1:8" x14ac:dyDescent="0.2">
      <c r="A81" s="3">
        <v>75</v>
      </c>
      <c r="B81" s="4" t="s">
        <v>274</v>
      </c>
      <c r="C81" s="4" t="s">
        <v>275</v>
      </c>
      <c r="D81" s="4" t="s">
        <v>155</v>
      </c>
      <c r="E81" s="5">
        <v>28631</v>
      </c>
      <c r="F81" s="6">
        <v>108.9839015</v>
      </c>
      <c r="G81" s="7">
        <v>3.888421E-3</v>
      </c>
      <c r="H81" s="69"/>
    </row>
    <row r="82" spans="1:8" x14ac:dyDescent="0.2">
      <c r="A82" s="3">
        <v>76</v>
      </c>
      <c r="B82" s="4" t="s">
        <v>285</v>
      </c>
      <c r="C82" s="4" t="s">
        <v>286</v>
      </c>
      <c r="D82" s="4" t="s">
        <v>160</v>
      </c>
      <c r="E82" s="5">
        <v>15743</v>
      </c>
      <c r="F82" s="6">
        <v>106.6194675</v>
      </c>
      <c r="G82" s="7">
        <v>3.8040610000000001E-3</v>
      </c>
      <c r="H82" s="69"/>
    </row>
    <row r="83" spans="1:8" x14ac:dyDescent="0.2">
      <c r="A83" s="3">
        <v>77</v>
      </c>
      <c r="B83" s="4" t="s">
        <v>278</v>
      </c>
      <c r="C83" s="4" t="s">
        <v>279</v>
      </c>
      <c r="D83" s="4" t="s">
        <v>144</v>
      </c>
      <c r="E83" s="5">
        <v>9154</v>
      </c>
      <c r="F83" s="6">
        <v>92.318089999999998</v>
      </c>
      <c r="G83" s="7">
        <v>3.293804E-3</v>
      </c>
      <c r="H83" s="69"/>
    </row>
    <row r="84" spans="1:8" x14ac:dyDescent="0.2">
      <c r="A84" s="3">
        <v>78</v>
      </c>
      <c r="B84" s="4" t="s">
        <v>473</v>
      </c>
      <c r="C84" s="4" t="s">
        <v>474</v>
      </c>
      <c r="D84" s="4" t="s">
        <v>976</v>
      </c>
      <c r="E84" s="5">
        <v>6557</v>
      </c>
      <c r="F84" s="6">
        <v>5.5439435000000001</v>
      </c>
      <c r="G84" s="7">
        <v>1.9780199999999999E-4</v>
      </c>
      <c r="H84" s="69"/>
    </row>
    <row r="85" spans="1:8" x14ac:dyDescent="0.2">
      <c r="A85" s="1"/>
      <c r="B85" s="1"/>
      <c r="C85" s="2" t="s">
        <v>95</v>
      </c>
      <c r="D85" s="1"/>
      <c r="E85" s="1" t="s">
        <v>96</v>
      </c>
      <c r="F85" s="9">
        <v>27121.4863535</v>
      </c>
      <c r="G85" s="10">
        <v>0.96766364199999999</v>
      </c>
      <c r="H85" s="69"/>
    </row>
    <row r="86" spans="1:8" x14ac:dyDescent="0.2">
      <c r="A86" s="1"/>
      <c r="B86" s="1"/>
      <c r="C86" s="11"/>
      <c r="D86" s="1"/>
      <c r="E86" s="1"/>
      <c r="F86" s="12"/>
      <c r="G86" s="12"/>
      <c r="H86" s="69"/>
    </row>
    <row r="87" spans="1:8" x14ac:dyDescent="0.2">
      <c r="A87" s="1"/>
      <c r="B87" s="1"/>
      <c r="C87" s="2" t="s">
        <v>97</v>
      </c>
      <c r="D87" s="1"/>
      <c r="E87" s="1"/>
      <c r="F87" s="1"/>
      <c r="G87" s="1"/>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98</v>
      </c>
      <c r="D90" s="1"/>
      <c r="E90" s="1"/>
      <c r="F90" s="1"/>
      <c r="G90" s="1"/>
      <c r="H90" s="69"/>
    </row>
    <row r="91" spans="1:8" x14ac:dyDescent="0.2">
      <c r="A91" s="1"/>
      <c r="B91" s="1"/>
      <c r="C91" s="2" t="s">
        <v>95</v>
      </c>
      <c r="D91" s="1"/>
      <c r="E91" s="1" t="s">
        <v>96</v>
      </c>
      <c r="F91" s="13">
        <v>0</v>
      </c>
      <c r="G91" s="14">
        <v>0</v>
      </c>
      <c r="H91" s="69"/>
    </row>
    <row r="92" spans="1:8" x14ac:dyDescent="0.2">
      <c r="A92" s="1"/>
      <c r="B92" s="1"/>
      <c r="C92" s="11"/>
      <c r="D92" s="1"/>
      <c r="E92" s="1"/>
      <c r="F92" s="12"/>
      <c r="G92" s="12"/>
      <c r="H92" s="69"/>
    </row>
    <row r="93" spans="1:8" x14ac:dyDescent="0.2">
      <c r="A93" s="1"/>
      <c r="B93" s="1"/>
      <c r="C93" s="2" t="s">
        <v>99</v>
      </c>
      <c r="D93" s="1"/>
      <c r="E93" s="1"/>
      <c r="F93" s="1"/>
      <c r="G93" s="1"/>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101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102</v>
      </c>
      <c r="D102" s="1"/>
      <c r="E102" s="1"/>
      <c r="F102" s="9">
        <v>27121.4863535</v>
      </c>
      <c r="G102" s="10">
        <v>0.96766364199999999</v>
      </c>
      <c r="H102" s="69"/>
    </row>
    <row r="103" spans="1:8" x14ac:dyDescent="0.2">
      <c r="A103" s="1"/>
      <c r="B103" s="1"/>
      <c r="C103" s="11"/>
      <c r="D103" s="1"/>
      <c r="E103" s="1"/>
      <c r="F103" s="12"/>
      <c r="G103" s="12"/>
      <c r="H103" s="69"/>
    </row>
    <row r="104" spans="1:8" x14ac:dyDescent="0.2">
      <c r="A104" s="1"/>
      <c r="B104" s="1"/>
      <c r="C104" s="2" t="s">
        <v>103</v>
      </c>
      <c r="D104" s="1"/>
      <c r="E104" s="1"/>
      <c r="F104" s="12"/>
      <c r="G104" s="12"/>
      <c r="H104" s="69"/>
    </row>
    <row r="105" spans="1:8" ht="25.5" x14ac:dyDescent="0.2">
      <c r="A105" s="1"/>
      <c r="B105" s="1"/>
      <c r="C105" s="2" t="s">
        <v>10</v>
      </c>
      <c r="D105" s="1"/>
      <c r="E105" s="1"/>
      <c r="F105" s="12"/>
      <c r="G105" s="12"/>
      <c r="H105" s="69"/>
    </row>
    <row r="106" spans="1:8" x14ac:dyDescent="0.2">
      <c r="A106" s="1"/>
      <c r="B106" s="1"/>
      <c r="C106" s="2" t="s">
        <v>95</v>
      </c>
      <c r="D106" s="1"/>
      <c r="E106" s="1" t="s">
        <v>96</v>
      </c>
      <c r="F106" s="13">
        <v>0</v>
      </c>
      <c r="G106" s="14">
        <v>0</v>
      </c>
      <c r="H106" s="69"/>
    </row>
    <row r="107" spans="1:8" x14ac:dyDescent="0.2">
      <c r="A107" s="1"/>
      <c r="B107" s="1"/>
      <c r="C107" s="11"/>
      <c r="D107" s="1"/>
      <c r="E107" s="1"/>
      <c r="F107" s="12"/>
      <c r="G107" s="12"/>
      <c r="H107" s="69"/>
    </row>
    <row r="108" spans="1:8" x14ac:dyDescent="0.2">
      <c r="A108" s="1"/>
      <c r="B108" s="1"/>
      <c r="C108" s="2" t="s">
        <v>104</v>
      </c>
      <c r="D108" s="1"/>
      <c r="E108" s="1"/>
      <c r="F108" s="1"/>
      <c r="G108" s="1"/>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105</v>
      </c>
      <c r="D111" s="1"/>
      <c r="E111" s="1"/>
      <c r="F111" s="1"/>
      <c r="G111" s="1"/>
      <c r="H111" s="69"/>
    </row>
    <row r="112" spans="1:8" x14ac:dyDescent="0.2">
      <c r="A112" s="1"/>
      <c r="B112" s="1"/>
      <c r="C112" s="2" t="s">
        <v>95</v>
      </c>
      <c r="D112" s="1"/>
      <c r="E112" s="1" t="s">
        <v>96</v>
      </c>
      <c r="F112" s="13">
        <v>0</v>
      </c>
      <c r="G112" s="14">
        <v>0</v>
      </c>
      <c r="H112" s="69"/>
    </row>
    <row r="113" spans="1:8" x14ac:dyDescent="0.2">
      <c r="A113" s="1"/>
      <c r="B113" s="1"/>
      <c r="C113" s="11"/>
      <c r="D113" s="1"/>
      <c r="E113" s="1"/>
      <c r="F113" s="12"/>
      <c r="G113" s="12"/>
      <c r="H113" s="69"/>
    </row>
    <row r="114" spans="1:8" x14ac:dyDescent="0.2">
      <c r="A114" s="1"/>
      <c r="B114" s="1"/>
      <c r="C114" s="2" t="s">
        <v>106</v>
      </c>
      <c r="D114" s="1"/>
      <c r="E114" s="1"/>
      <c r="F114" s="12"/>
      <c r="G114" s="12"/>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2" t="s">
        <v>107</v>
      </c>
      <c r="D117" s="1"/>
      <c r="E117" s="1"/>
      <c r="F117" s="9">
        <v>0</v>
      </c>
      <c r="G117" s="10">
        <v>0</v>
      </c>
      <c r="H117" s="69"/>
    </row>
    <row r="118" spans="1:8" x14ac:dyDescent="0.2">
      <c r="A118" s="1"/>
      <c r="B118" s="1"/>
      <c r="C118" s="11"/>
      <c r="D118" s="1"/>
      <c r="E118" s="1"/>
      <c r="F118" s="12"/>
      <c r="G118" s="12"/>
      <c r="H118" s="69"/>
    </row>
    <row r="119" spans="1:8" x14ac:dyDescent="0.2">
      <c r="A119" s="1"/>
      <c r="B119" s="1"/>
      <c r="C119" s="2" t="s">
        <v>108</v>
      </c>
      <c r="D119" s="1"/>
      <c r="E119" s="1"/>
      <c r="F119" s="12"/>
      <c r="G119" s="12"/>
      <c r="H119" s="69"/>
    </row>
    <row r="120" spans="1:8" x14ac:dyDescent="0.2">
      <c r="A120" s="1"/>
      <c r="B120" s="1"/>
      <c r="C120" s="2" t="s">
        <v>109</v>
      </c>
      <c r="D120" s="1"/>
      <c r="E120" s="1"/>
      <c r="F120" s="12"/>
      <c r="G120" s="12"/>
      <c r="H120" s="69"/>
    </row>
    <row r="121" spans="1:8" x14ac:dyDescent="0.2">
      <c r="A121" s="1"/>
      <c r="B121" s="1"/>
      <c r="C121" s="2" t="s">
        <v>95</v>
      </c>
      <c r="D121" s="1"/>
      <c r="E121" s="1" t="s">
        <v>96</v>
      </c>
      <c r="F121" s="13">
        <v>0</v>
      </c>
      <c r="G121" s="14">
        <v>0</v>
      </c>
      <c r="H121" s="69"/>
    </row>
    <row r="122" spans="1:8" x14ac:dyDescent="0.2">
      <c r="A122" s="1"/>
      <c r="B122" s="1"/>
      <c r="C122" s="11"/>
      <c r="D122" s="1"/>
      <c r="E122" s="1"/>
      <c r="F122" s="12"/>
      <c r="G122" s="12"/>
      <c r="H122" s="69"/>
    </row>
    <row r="123" spans="1:8" x14ac:dyDescent="0.2">
      <c r="A123" s="1"/>
      <c r="B123" s="1"/>
      <c r="C123" s="2" t="s">
        <v>110</v>
      </c>
      <c r="D123" s="1"/>
      <c r="E123" s="1"/>
      <c r="F123" s="12"/>
      <c r="G123" s="12"/>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111</v>
      </c>
      <c r="D126" s="1"/>
      <c r="E126" s="1"/>
      <c r="F126" s="12"/>
      <c r="G126" s="12"/>
      <c r="H126" s="69"/>
    </row>
    <row r="127" spans="1:8" x14ac:dyDescent="0.2">
      <c r="A127" s="1"/>
      <c r="B127" s="1"/>
      <c r="C127" s="2" t="s">
        <v>95</v>
      </c>
      <c r="D127" s="1"/>
      <c r="E127" s="1" t="s">
        <v>96</v>
      </c>
      <c r="F127" s="13">
        <v>0</v>
      </c>
      <c r="G127" s="14">
        <v>0</v>
      </c>
      <c r="H127" s="69"/>
    </row>
    <row r="128" spans="1:8" x14ac:dyDescent="0.2">
      <c r="A128" s="1"/>
      <c r="B128" s="1"/>
      <c r="C128" s="11"/>
      <c r="D128" s="1"/>
      <c r="E128" s="1"/>
      <c r="F128" s="12"/>
      <c r="G128" s="12"/>
      <c r="H128" s="69"/>
    </row>
    <row r="129" spans="1:8" x14ac:dyDescent="0.2">
      <c r="A129" s="1"/>
      <c r="B129" s="1"/>
      <c r="C129" s="2" t="s">
        <v>112</v>
      </c>
      <c r="D129" s="1"/>
      <c r="E129" s="1"/>
      <c r="F129" s="12"/>
      <c r="G129" s="12"/>
      <c r="H129" s="69"/>
    </row>
    <row r="130" spans="1:8" x14ac:dyDescent="0.2">
      <c r="A130" s="3">
        <v>1</v>
      </c>
      <c r="B130" s="4"/>
      <c r="C130" s="4" t="s">
        <v>113</v>
      </c>
      <c r="D130" s="4"/>
      <c r="E130" s="8"/>
      <c r="F130" s="6">
        <v>630.01475479999999</v>
      </c>
      <c r="G130" s="7">
        <v>2.2478207E-2</v>
      </c>
      <c r="H130" s="6">
        <v>3.3628721504199861</v>
      </c>
    </row>
    <row r="131" spans="1:8" x14ac:dyDescent="0.2">
      <c r="A131" s="3">
        <v>2</v>
      </c>
      <c r="B131" s="4"/>
      <c r="C131" s="4" t="s">
        <v>114</v>
      </c>
      <c r="D131" s="4"/>
      <c r="E131" s="8"/>
      <c r="F131" s="6">
        <v>243.30594679999999</v>
      </c>
      <c r="G131" s="7">
        <v>8.6808779999999995E-3</v>
      </c>
      <c r="H131" s="6">
        <v>3.4499999999999966</v>
      </c>
    </row>
    <row r="132" spans="1:8" x14ac:dyDescent="0.2">
      <c r="A132" s="1"/>
      <c r="B132" s="1"/>
      <c r="C132" s="2" t="s">
        <v>95</v>
      </c>
      <c r="D132" s="1"/>
      <c r="E132" s="1" t="s">
        <v>96</v>
      </c>
      <c r="F132" s="9">
        <v>873.32070160000001</v>
      </c>
      <c r="G132" s="10">
        <v>3.1159085E-2</v>
      </c>
      <c r="H132" s="69"/>
    </row>
    <row r="133" spans="1:8" x14ac:dyDescent="0.2">
      <c r="A133" s="1"/>
      <c r="B133" s="1"/>
      <c r="C133" s="11"/>
      <c r="D133" s="1"/>
      <c r="E133" s="1"/>
      <c r="F133" s="12"/>
      <c r="G133" s="12"/>
      <c r="H133" s="69"/>
    </row>
    <row r="134" spans="1:8" x14ac:dyDescent="0.2">
      <c r="A134" s="1"/>
      <c r="B134" s="1"/>
      <c r="C134" s="2" t="s">
        <v>115</v>
      </c>
      <c r="D134" s="1"/>
      <c r="E134" s="1"/>
      <c r="F134" s="9">
        <v>873.32070160000001</v>
      </c>
      <c r="G134" s="10">
        <v>3.1159085E-2</v>
      </c>
      <c r="H134" s="69"/>
    </row>
    <row r="135" spans="1:8" x14ac:dyDescent="0.2">
      <c r="A135" s="1"/>
      <c r="B135" s="1"/>
      <c r="C135" s="12"/>
      <c r="D135" s="1"/>
      <c r="E135" s="1"/>
      <c r="F135" s="1"/>
      <c r="G135" s="1"/>
      <c r="H135" s="69"/>
    </row>
    <row r="136" spans="1:8" x14ac:dyDescent="0.2">
      <c r="A136" s="1"/>
      <c r="B136" s="1"/>
      <c r="C136" s="2" t="s">
        <v>116</v>
      </c>
      <c r="D136" s="1"/>
      <c r="E136" s="1"/>
      <c r="F136" s="1"/>
      <c r="G136" s="1"/>
      <c r="H136" s="69"/>
    </row>
    <row r="137" spans="1:8" x14ac:dyDescent="0.2">
      <c r="A137" s="1"/>
      <c r="B137" s="1"/>
      <c r="C137" s="2" t="s">
        <v>117</v>
      </c>
      <c r="D137" s="1"/>
      <c r="E137" s="1"/>
      <c r="F137" s="1"/>
      <c r="G137" s="1"/>
      <c r="H137" s="69"/>
    </row>
    <row r="138" spans="1:8" x14ac:dyDescent="0.2">
      <c r="A138" s="1"/>
      <c r="B138" s="1"/>
      <c r="C138" s="2" t="s">
        <v>95</v>
      </c>
      <c r="D138" s="1"/>
      <c r="E138" s="1" t="s">
        <v>96</v>
      </c>
      <c r="F138" s="13">
        <v>0</v>
      </c>
      <c r="G138" s="14">
        <v>0</v>
      </c>
      <c r="H138" s="69"/>
    </row>
    <row r="139" spans="1:8" x14ac:dyDescent="0.2">
      <c r="A139" s="1"/>
      <c r="B139" s="1"/>
      <c r="C139" s="11"/>
      <c r="D139" s="1"/>
      <c r="E139" s="1"/>
      <c r="F139" s="12"/>
      <c r="G139" s="12"/>
      <c r="H139" s="69"/>
    </row>
    <row r="140" spans="1:8" x14ac:dyDescent="0.2">
      <c r="A140" s="1"/>
      <c r="B140" s="1"/>
      <c r="C140" s="2" t="s">
        <v>118</v>
      </c>
      <c r="D140" s="1"/>
      <c r="E140" s="1"/>
      <c r="F140" s="1"/>
      <c r="G140" s="1"/>
      <c r="H140" s="69"/>
    </row>
    <row r="141" spans="1:8" x14ac:dyDescent="0.2">
      <c r="A141" s="1"/>
      <c r="B141" s="1"/>
      <c r="C141" s="2" t="s">
        <v>119</v>
      </c>
      <c r="D141" s="1"/>
      <c r="E141" s="1"/>
      <c r="F141" s="1"/>
      <c r="G141" s="1"/>
      <c r="H141" s="69"/>
    </row>
    <row r="142" spans="1:8" x14ac:dyDescent="0.2">
      <c r="A142" s="1"/>
      <c r="B142" s="1"/>
      <c r="C142" s="2" t="s">
        <v>95</v>
      </c>
      <c r="D142" s="1"/>
      <c r="E142" s="1" t="s">
        <v>96</v>
      </c>
      <c r="F142" s="13">
        <v>0</v>
      </c>
      <c r="G142" s="14">
        <v>0</v>
      </c>
      <c r="H142" s="69"/>
    </row>
    <row r="143" spans="1:8" x14ac:dyDescent="0.2">
      <c r="A143" s="1"/>
      <c r="B143" s="1"/>
      <c r="C143" s="11"/>
      <c r="D143" s="1"/>
      <c r="E143" s="1"/>
      <c r="F143" s="12"/>
      <c r="G143" s="12"/>
      <c r="H143" s="69"/>
    </row>
    <row r="144" spans="1:8" x14ac:dyDescent="0.2">
      <c r="A144" s="1"/>
      <c r="B144" s="1"/>
      <c r="C144" s="11"/>
      <c r="D144" s="1"/>
      <c r="E144" s="1"/>
      <c r="F144" s="12"/>
      <c r="G144" s="12"/>
      <c r="H144" s="69"/>
    </row>
    <row r="145" spans="1:8" ht="25.5" x14ac:dyDescent="0.2">
      <c r="A145" s="1"/>
      <c r="B145" s="1"/>
      <c r="C145" s="2" t="s">
        <v>120</v>
      </c>
      <c r="D145" s="1"/>
      <c r="E145" s="1"/>
      <c r="F145" s="12"/>
      <c r="G145" s="12"/>
      <c r="H145" s="69"/>
    </row>
    <row r="146" spans="1:8" x14ac:dyDescent="0.2">
      <c r="A146" s="1"/>
      <c r="B146" s="1"/>
      <c r="C146" s="2" t="s">
        <v>95</v>
      </c>
      <c r="D146" s="1"/>
      <c r="E146" s="1" t="s">
        <v>96</v>
      </c>
      <c r="F146" s="13">
        <v>0</v>
      </c>
      <c r="G146" s="14">
        <v>0</v>
      </c>
      <c r="H146" s="69"/>
    </row>
    <row r="147" spans="1:8" x14ac:dyDescent="0.2">
      <c r="A147" s="1"/>
      <c r="B147" s="1"/>
      <c r="C147" s="11"/>
      <c r="D147" s="1"/>
      <c r="E147" s="1"/>
      <c r="F147" s="12"/>
      <c r="G147" s="12"/>
      <c r="H147" s="69"/>
    </row>
    <row r="148" spans="1:8" x14ac:dyDescent="0.2">
      <c r="A148" s="1"/>
      <c r="B148" s="4"/>
      <c r="C148" s="4"/>
      <c r="D148" s="2"/>
      <c r="E148" s="1"/>
      <c r="F148" s="4"/>
      <c r="G148" s="8"/>
      <c r="H148" s="69"/>
    </row>
    <row r="149" spans="1:8" x14ac:dyDescent="0.2">
      <c r="A149" s="8"/>
      <c r="B149" s="4"/>
      <c r="C149" s="4" t="s">
        <v>121</v>
      </c>
      <c r="D149" s="4"/>
      <c r="E149" s="8"/>
      <c r="F149" s="6">
        <v>32.996399850000003</v>
      </c>
      <c r="G149" s="7">
        <v>1.1772740000000001E-3</v>
      </c>
      <c r="H149" s="69"/>
    </row>
    <row r="150" spans="1:8" x14ac:dyDescent="0.2">
      <c r="A150" s="11"/>
      <c r="B150" s="11"/>
      <c r="C150" s="2" t="s">
        <v>122</v>
      </c>
      <c r="D150" s="15"/>
      <c r="E150" s="15"/>
      <c r="F150" s="9">
        <v>28027.803454950001</v>
      </c>
      <c r="G150" s="10">
        <v>1.0000000010000001</v>
      </c>
      <c r="H150" s="69"/>
    </row>
    <row r="151" spans="1:8" ht="14.1" customHeight="1" x14ac:dyDescent="0.2">
      <c r="A151" s="16"/>
      <c r="B151" s="16"/>
      <c r="C151" s="16"/>
      <c r="D151" s="17"/>
      <c r="E151" s="17"/>
      <c r="F151" s="17"/>
      <c r="G151" s="17"/>
    </row>
    <row r="152" spans="1:8" ht="14.1" customHeight="1" x14ac:dyDescent="0.2">
      <c r="A152" s="18"/>
      <c r="B152" s="176" t="s">
        <v>96</v>
      </c>
      <c r="C152" s="176"/>
      <c r="D152" s="176"/>
      <c r="E152" s="176"/>
      <c r="F152" s="176"/>
      <c r="G152" s="20"/>
    </row>
    <row r="153" spans="1:8" ht="14.1" customHeight="1" x14ac:dyDescent="0.2">
      <c r="A153" s="18"/>
      <c r="B153" s="176" t="s">
        <v>96</v>
      </c>
      <c r="C153" s="176"/>
      <c r="D153" s="176"/>
      <c r="E153" s="176"/>
      <c r="F153" s="176"/>
      <c r="G153" s="20"/>
    </row>
    <row r="154" spans="1:8" ht="14.1" customHeight="1" x14ac:dyDescent="0.2">
      <c r="A154" s="18"/>
      <c r="B154" s="18"/>
      <c r="C154" s="18"/>
      <c r="D154" s="20"/>
      <c r="E154" s="20"/>
      <c r="F154" s="20"/>
      <c r="G154" s="20"/>
    </row>
    <row r="155" spans="1:8" ht="14.1" customHeight="1" x14ac:dyDescent="0.2">
      <c r="A155" s="18"/>
      <c r="B155" s="174" t="s">
        <v>124</v>
      </c>
      <c r="C155" s="175"/>
      <c r="D155" s="12" t="s">
        <v>96</v>
      </c>
      <c r="E155" s="21"/>
      <c r="F155" s="20"/>
      <c r="G155" s="20"/>
    </row>
    <row r="156" spans="1:8" ht="29.1" customHeight="1" x14ac:dyDescent="0.2">
      <c r="A156" s="18"/>
      <c r="B156" s="172" t="s">
        <v>125</v>
      </c>
      <c r="C156" s="173"/>
      <c r="D156" s="2" t="s">
        <v>126</v>
      </c>
      <c r="E156" s="21"/>
      <c r="F156" s="20"/>
      <c r="G156" s="20"/>
    </row>
    <row r="157" spans="1:8" ht="17.100000000000001" customHeight="1" x14ac:dyDescent="0.2">
      <c r="A157" s="18"/>
      <c r="B157" s="172" t="s">
        <v>127</v>
      </c>
      <c r="C157" s="173"/>
      <c r="D157" s="2" t="s">
        <v>126</v>
      </c>
      <c r="E157" s="21"/>
      <c r="F157" s="20"/>
      <c r="G157" s="20"/>
    </row>
    <row r="158" spans="1:8" ht="17.100000000000001" customHeight="1" x14ac:dyDescent="0.2">
      <c r="A158" s="18"/>
      <c r="B158" s="172" t="s">
        <v>128</v>
      </c>
      <c r="C158" s="173"/>
      <c r="D158" s="12" t="s">
        <v>96</v>
      </c>
      <c r="E158" s="21"/>
      <c r="F158" s="20"/>
      <c r="G158" s="20"/>
    </row>
    <row r="159" spans="1:8" ht="24" customHeight="1" x14ac:dyDescent="0.2">
      <c r="A159" s="22"/>
      <c r="B159" s="23" t="s">
        <v>96</v>
      </c>
      <c r="C159" s="23" t="s">
        <v>129</v>
      </c>
      <c r="D159" s="23" t="s">
        <v>130</v>
      </c>
      <c r="E159" s="22"/>
      <c r="F159" s="22"/>
      <c r="G159" s="22"/>
    </row>
    <row r="160" spans="1:8" ht="18" customHeight="1" x14ac:dyDescent="0.2">
      <c r="A160" s="22"/>
      <c r="B160" s="23" t="s">
        <v>131</v>
      </c>
      <c r="C160" s="23" t="s">
        <v>132</v>
      </c>
      <c r="D160" s="23" t="s">
        <v>133</v>
      </c>
      <c r="E160" s="22"/>
      <c r="F160" s="22"/>
      <c r="G160" s="22"/>
    </row>
    <row r="161" spans="1:16" ht="17.100000000000001" customHeight="1" x14ac:dyDescent="0.2">
      <c r="A161" s="22"/>
      <c r="B161" s="4" t="s">
        <v>134</v>
      </c>
      <c r="C161" s="24">
        <v>15.3461</v>
      </c>
      <c r="D161" s="24">
        <v>15.5022</v>
      </c>
      <c r="E161" s="22"/>
      <c r="F161" s="19"/>
      <c r="G161" s="25"/>
    </row>
    <row r="162" spans="1:16" ht="17.100000000000001" customHeight="1" x14ac:dyDescent="0.2">
      <c r="A162" s="22"/>
      <c r="B162" s="4" t="s">
        <v>983</v>
      </c>
      <c r="C162" s="24">
        <v>15.346</v>
      </c>
      <c r="D162" s="24">
        <v>15.5022</v>
      </c>
      <c r="E162" s="22"/>
      <c r="F162" s="19"/>
      <c r="G162" s="25"/>
    </row>
    <row r="163" spans="1:16" ht="17.100000000000001" customHeight="1" x14ac:dyDescent="0.2">
      <c r="A163" s="22"/>
      <c r="B163" s="4" t="s">
        <v>135</v>
      </c>
      <c r="C163" s="24">
        <v>14.956</v>
      </c>
      <c r="D163" s="24">
        <v>15.1027</v>
      </c>
      <c r="E163" s="22"/>
      <c r="F163" s="19"/>
      <c r="G163" s="25"/>
    </row>
    <row r="164" spans="1:16" ht="17.100000000000001" customHeight="1" x14ac:dyDescent="0.2">
      <c r="A164" s="22"/>
      <c r="B164" s="4" t="s">
        <v>984</v>
      </c>
      <c r="C164" s="24">
        <v>14.956</v>
      </c>
      <c r="D164" s="24">
        <v>15.1027</v>
      </c>
      <c r="E164" s="22"/>
      <c r="F164" s="19"/>
      <c r="G164" s="25"/>
    </row>
    <row r="165" spans="1:16" ht="14.1" customHeight="1" x14ac:dyDescent="0.2">
      <c r="A165" s="22"/>
      <c r="B165" s="22"/>
      <c r="C165" s="22"/>
      <c r="D165" s="22"/>
      <c r="E165" s="22"/>
      <c r="F165" s="22"/>
      <c r="G165" s="22"/>
      <c r="I165" s="82"/>
      <c r="J165" s="82"/>
      <c r="K165" s="82"/>
      <c r="L165" s="82"/>
      <c r="M165" s="82"/>
      <c r="N165" s="82"/>
      <c r="O165" s="82"/>
    </row>
    <row r="166" spans="1:16" ht="17.100000000000001" customHeight="1" x14ac:dyDescent="0.2">
      <c r="A166" s="22"/>
      <c r="B166" s="172" t="s">
        <v>985</v>
      </c>
      <c r="C166" s="173"/>
      <c r="D166" s="2" t="s">
        <v>126</v>
      </c>
      <c r="E166" s="22"/>
      <c r="F166" s="22"/>
      <c r="G166" s="22"/>
    </row>
    <row r="167" spans="1:16" ht="18" customHeight="1" x14ac:dyDescent="0.2">
      <c r="A167" s="22"/>
      <c r="B167" s="26" t="s">
        <v>136</v>
      </c>
      <c r="C167" s="26" t="s">
        <v>136</v>
      </c>
      <c r="D167" s="26"/>
      <c r="E167" s="22"/>
      <c r="F167" s="22"/>
      <c r="G167" s="22"/>
    </row>
    <row r="168" spans="1:16" s="82" customFormat="1" x14ac:dyDescent="0.2">
      <c r="B168" s="177" t="s">
        <v>936</v>
      </c>
      <c r="C168" s="177"/>
      <c r="D168" s="177"/>
      <c r="E168" s="177"/>
      <c r="F168" s="177"/>
      <c r="I168"/>
      <c r="J168"/>
      <c r="K168"/>
      <c r="L168"/>
      <c r="M168"/>
      <c r="N168"/>
      <c r="O168"/>
      <c r="P168" s="70"/>
    </row>
    <row r="169" spans="1:16" ht="14.1" customHeight="1" x14ac:dyDescent="0.2">
      <c r="A169" s="22"/>
      <c r="B169" s="19"/>
      <c r="C169" s="19"/>
      <c r="D169" s="22"/>
      <c r="E169" s="22"/>
      <c r="F169" s="22"/>
      <c r="G169" s="22"/>
    </row>
    <row r="170" spans="1:16" ht="29.1" customHeight="1" x14ac:dyDescent="0.2">
      <c r="A170" s="22"/>
      <c r="B170" s="172" t="s">
        <v>137</v>
      </c>
      <c r="C170" s="173"/>
      <c r="D170" s="2" t="s">
        <v>126</v>
      </c>
      <c r="E170" s="22"/>
      <c r="F170" s="22"/>
      <c r="G170" s="22"/>
    </row>
    <row r="171" spans="1:16" ht="29.1" customHeight="1" x14ac:dyDescent="0.2">
      <c r="A171" s="22"/>
      <c r="B171" s="172" t="s">
        <v>138</v>
      </c>
      <c r="C171" s="173"/>
      <c r="D171" s="2" t="s">
        <v>126</v>
      </c>
      <c r="E171" s="22"/>
      <c r="F171" s="22"/>
      <c r="G171" s="22"/>
    </row>
    <row r="172" spans="1:16" ht="17.100000000000001" customHeight="1" x14ac:dyDescent="0.2">
      <c r="A172" s="22"/>
      <c r="B172" s="172" t="s">
        <v>139</v>
      </c>
      <c r="C172" s="173"/>
      <c r="D172" s="27">
        <v>0.4003511310294755</v>
      </c>
      <c r="E172" s="22"/>
      <c r="F172" s="19"/>
      <c r="G172" s="25"/>
    </row>
    <row r="173" spans="1:16" ht="17.100000000000001" customHeight="1" x14ac:dyDescent="0.2">
      <c r="A173" s="22"/>
      <c r="B173" s="172" t="s">
        <v>140</v>
      </c>
      <c r="C173" s="173"/>
      <c r="D173" s="2" t="s">
        <v>126</v>
      </c>
      <c r="E173" s="22"/>
      <c r="F173" s="22"/>
      <c r="G173" s="22"/>
    </row>
  </sheetData>
  <mergeCells count="16">
    <mergeCell ref="B173:C173"/>
    <mergeCell ref="B156:C156"/>
    <mergeCell ref="B157:C157"/>
    <mergeCell ref="B158:C158"/>
    <mergeCell ref="B166:C166"/>
    <mergeCell ref="B170:C170"/>
    <mergeCell ref="B171:C171"/>
    <mergeCell ref="B168:F168"/>
    <mergeCell ref="A1:H1"/>
    <mergeCell ref="A2:H2"/>
    <mergeCell ref="A3:H3"/>
    <mergeCell ref="J2:N2"/>
    <mergeCell ref="B172:C172"/>
    <mergeCell ref="B155:C155"/>
    <mergeCell ref="B152:F152"/>
    <mergeCell ref="B153:F153"/>
  </mergeCell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475</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84041</v>
      </c>
      <c r="F7" s="6">
        <v>928.56900900000005</v>
      </c>
      <c r="G7" s="7">
        <v>3.1000951999999998E-2</v>
      </c>
      <c r="H7" s="69"/>
    </row>
    <row r="8" spans="1:14" x14ac:dyDescent="0.2">
      <c r="A8" s="3">
        <v>2</v>
      </c>
      <c r="B8" s="4" t="s">
        <v>142</v>
      </c>
      <c r="C8" s="4" t="s">
        <v>143</v>
      </c>
      <c r="D8" s="4" t="s">
        <v>144</v>
      </c>
      <c r="E8" s="5">
        <v>22704</v>
      </c>
      <c r="F8" s="6">
        <v>849.35663999999997</v>
      </c>
      <c r="G8" s="7">
        <v>2.8356389999999999E-2</v>
      </c>
      <c r="H8" s="69"/>
    </row>
    <row r="9" spans="1:14" x14ac:dyDescent="0.2">
      <c r="A9" s="3">
        <v>3</v>
      </c>
      <c r="B9" s="4" t="s">
        <v>25</v>
      </c>
      <c r="C9" s="4" t="s">
        <v>26</v>
      </c>
      <c r="D9" s="4" t="s">
        <v>27</v>
      </c>
      <c r="E9" s="5">
        <v>50642</v>
      </c>
      <c r="F9" s="6">
        <v>816.98206500000003</v>
      </c>
      <c r="G9" s="7">
        <v>2.7275541E-2</v>
      </c>
      <c r="H9" s="69"/>
    </row>
    <row r="10" spans="1:14" x14ac:dyDescent="0.2">
      <c r="A10" s="3">
        <v>4</v>
      </c>
      <c r="B10" s="4" t="s">
        <v>79</v>
      </c>
      <c r="C10" s="4" t="s">
        <v>80</v>
      </c>
      <c r="D10" s="4" t="s">
        <v>75</v>
      </c>
      <c r="E10" s="5">
        <v>201719</v>
      </c>
      <c r="F10" s="6">
        <v>752.81530799999996</v>
      </c>
      <c r="G10" s="7">
        <v>2.5133287000000001E-2</v>
      </c>
      <c r="H10" s="69"/>
    </row>
    <row r="11" spans="1:14" x14ac:dyDescent="0.2">
      <c r="A11" s="3">
        <v>5</v>
      </c>
      <c r="B11" s="4" t="s">
        <v>149</v>
      </c>
      <c r="C11" s="4" t="s">
        <v>150</v>
      </c>
      <c r="D11" s="4" t="s">
        <v>75</v>
      </c>
      <c r="E11" s="5">
        <v>124718</v>
      </c>
      <c r="F11" s="6">
        <v>750.30348800000002</v>
      </c>
      <c r="G11" s="7">
        <v>2.5049427999999999E-2</v>
      </c>
      <c r="H11" s="69"/>
    </row>
    <row r="12" spans="1:14" x14ac:dyDescent="0.2">
      <c r="A12" s="3">
        <v>6</v>
      </c>
      <c r="B12" s="4" t="s">
        <v>147</v>
      </c>
      <c r="C12" s="4" t="s">
        <v>148</v>
      </c>
      <c r="D12" s="4" t="s">
        <v>78</v>
      </c>
      <c r="E12" s="5">
        <v>612949</v>
      </c>
      <c r="F12" s="6">
        <v>743.20066250000002</v>
      </c>
      <c r="G12" s="7">
        <v>2.4812295000000002E-2</v>
      </c>
      <c r="H12" s="69"/>
    </row>
    <row r="13" spans="1:14" x14ac:dyDescent="0.2">
      <c r="A13" s="3">
        <v>7</v>
      </c>
      <c r="B13" s="4" t="s">
        <v>165</v>
      </c>
      <c r="C13" s="4" t="s">
        <v>166</v>
      </c>
      <c r="D13" s="4" t="s">
        <v>155</v>
      </c>
      <c r="E13" s="5">
        <v>147699</v>
      </c>
      <c r="F13" s="6">
        <v>730.59310349999998</v>
      </c>
      <c r="G13" s="7">
        <v>2.4391382E-2</v>
      </c>
      <c r="H13" s="69"/>
    </row>
    <row r="14" spans="1:14" ht="25.5" x14ac:dyDescent="0.2">
      <c r="A14" s="3">
        <v>8</v>
      </c>
      <c r="B14" s="4" t="s">
        <v>151</v>
      </c>
      <c r="C14" s="4" t="s">
        <v>152</v>
      </c>
      <c r="D14" s="4" t="s">
        <v>45</v>
      </c>
      <c r="E14" s="5">
        <v>479000</v>
      </c>
      <c r="F14" s="6">
        <v>714.42849999999999</v>
      </c>
      <c r="G14" s="7">
        <v>2.3851714999999999E-2</v>
      </c>
      <c r="H14" s="69"/>
    </row>
    <row r="15" spans="1:14" x14ac:dyDescent="0.2">
      <c r="A15" s="3">
        <v>9</v>
      </c>
      <c r="B15" s="4" t="s">
        <v>156</v>
      </c>
      <c r="C15" s="4" t="s">
        <v>157</v>
      </c>
      <c r="D15" s="4" t="s">
        <v>27</v>
      </c>
      <c r="E15" s="5">
        <v>90886</v>
      </c>
      <c r="F15" s="6">
        <v>705.18447400000002</v>
      </c>
      <c r="G15" s="7">
        <v>2.3543096999999999E-2</v>
      </c>
      <c r="H15" s="69"/>
    </row>
    <row r="16" spans="1:14" ht="15" x14ac:dyDescent="0.2">
      <c r="A16" s="3">
        <v>10</v>
      </c>
      <c r="B16" s="4" t="s">
        <v>41</v>
      </c>
      <c r="C16" s="4" t="s">
        <v>42</v>
      </c>
      <c r="D16" s="4" t="s">
        <v>27</v>
      </c>
      <c r="E16" s="5">
        <v>55216</v>
      </c>
      <c r="F16" s="6">
        <v>685.75511200000005</v>
      </c>
      <c r="G16" s="7">
        <v>2.2894432999999999E-2</v>
      </c>
      <c r="H16" s="69"/>
      <c r="J16" s="160" t="s">
        <v>1015</v>
      </c>
    </row>
    <row r="17" spans="1:8" x14ac:dyDescent="0.2">
      <c r="A17" s="3">
        <v>11</v>
      </c>
      <c r="B17" s="4" t="s">
        <v>461</v>
      </c>
      <c r="C17" s="4" t="s">
        <v>462</v>
      </c>
      <c r="D17" s="4" t="s">
        <v>75</v>
      </c>
      <c r="E17" s="5">
        <v>175415</v>
      </c>
      <c r="F17" s="6">
        <v>682.10122750000005</v>
      </c>
      <c r="G17" s="7">
        <v>2.2772445999999998E-2</v>
      </c>
      <c r="H17" s="69"/>
    </row>
    <row r="18" spans="1:8" x14ac:dyDescent="0.2">
      <c r="A18" s="3">
        <v>12</v>
      </c>
      <c r="B18" s="4" t="s">
        <v>301</v>
      </c>
      <c r="C18" s="4" t="s">
        <v>302</v>
      </c>
      <c r="D18" s="4" t="s">
        <v>27</v>
      </c>
      <c r="E18" s="5">
        <v>98456</v>
      </c>
      <c r="F18" s="6">
        <v>666.94094399999994</v>
      </c>
      <c r="G18" s="7">
        <v>2.2266309000000001E-2</v>
      </c>
      <c r="H18" s="69"/>
    </row>
    <row r="19" spans="1:8" x14ac:dyDescent="0.2">
      <c r="A19" s="3">
        <v>13</v>
      </c>
      <c r="B19" s="4" t="s">
        <v>153</v>
      </c>
      <c r="C19" s="4" t="s">
        <v>154</v>
      </c>
      <c r="D19" s="4" t="s">
        <v>155</v>
      </c>
      <c r="E19" s="5">
        <v>15854</v>
      </c>
      <c r="F19" s="6">
        <v>656.16535199999998</v>
      </c>
      <c r="G19" s="7">
        <v>2.1906558E-2</v>
      </c>
      <c r="H19" s="69"/>
    </row>
    <row r="20" spans="1:8" x14ac:dyDescent="0.2">
      <c r="A20" s="3">
        <v>14</v>
      </c>
      <c r="B20" s="4" t="s">
        <v>56</v>
      </c>
      <c r="C20" s="4" t="s">
        <v>57</v>
      </c>
      <c r="D20" s="4" t="s">
        <v>53</v>
      </c>
      <c r="E20" s="5">
        <v>125724</v>
      </c>
      <c r="F20" s="6">
        <v>631.70023800000001</v>
      </c>
      <c r="G20" s="7">
        <v>2.1089772E-2</v>
      </c>
      <c r="H20" s="69"/>
    </row>
    <row r="21" spans="1:8" x14ac:dyDescent="0.2">
      <c r="A21" s="3">
        <v>15</v>
      </c>
      <c r="B21" s="4" t="s">
        <v>176</v>
      </c>
      <c r="C21" s="4" t="s">
        <v>177</v>
      </c>
      <c r="D21" s="4" t="s">
        <v>78</v>
      </c>
      <c r="E21" s="5">
        <v>72934</v>
      </c>
      <c r="F21" s="6">
        <v>590.32779600000003</v>
      </c>
      <c r="G21" s="7">
        <v>1.9708522999999999E-2</v>
      </c>
      <c r="H21" s="69"/>
    </row>
    <row r="22" spans="1:8" ht="25.5" x14ac:dyDescent="0.2">
      <c r="A22" s="3">
        <v>16</v>
      </c>
      <c r="B22" s="4" t="s">
        <v>37</v>
      </c>
      <c r="C22" s="4" t="s">
        <v>38</v>
      </c>
      <c r="D22" s="4" t="s">
        <v>974</v>
      </c>
      <c r="E22" s="5">
        <v>16781</v>
      </c>
      <c r="F22" s="6">
        <v>542.85695950000002</v>
      </c>
      <c r="G22" s="7">
        <v>1.8123674999999999E-2</v>
      </c>
      <c r="H22" s="69"/>
    </row>
    <row r="23" spans="1:8" x14ac:dyDescent="0.2">
      <c r="A23" s="3">
        <v>17</v>
      </c>
      <c r="B23" s="4" t="s">
        <v>158</v>
      </c>
      <c r="C23" s="4" t="s">
        <v>159</v>
      </c>
      <c r="D23" s="4" t="s">
        <v>160</v>
      </c>
      <c r="E23" s="5">
        <v>32767</v>
      </c>
      <c r="F23" s="6">
        <v>531.66095849999999</v>
      </c>
      <c r="G23" s="7">
        <v>1.7749887999999998E-2</v>
      </c>
      <c r="H23" s="69"/>
    </row>
    <row r="24" spans="1:8" x14ac:dyDescent="0.2">
      <c r="A24" s="3">
        <v>18</v>
      </c>
      <c r="B24" s="4" t="s">
        <v>169</v>
      </c>
      <c r="C24" s="4" t="s">
        <v>170</v>
      </c>
      <c r="D24" s="4" t="s">
        <v>155</v>
      </c>
      <c r="E24" s="5">
        <v>43270</v>
      </c>
      <c r="F24" s="6">
        <v>497.12903</v>
      </c>
      <c r="G24" s="7">
        <v>1.6597014E-2</v>
      </c>
      <c r="H24" s="69"/>
    </row>
    <row r="25" spans="1:8" x14ac:dyDescent="0.2">
      <c r="A25" s="3">
        <v>19</v>
      </c>
      <c r="B25" s="4" t="s">
        <v>173</v>
      </c>
      <c r="C25" s="4" t="s">
        <v>174</v>
      </c>
      <c r="D25" s="4" t="s">
        <v>175</v>
      </c>
      <c r="E25" s="5">
        <v>194334</v>
      </c>
      <c r="F25" s="6">
        <v>491.76218699999998</v>
      </c>
      <c r="G25" s="7">
        <v>1.6417839E-2</v>
      </c>
      <c r="H25" s="69"/>
    </row>
    <row r="26" spans="1:8" x14ac:dyDescent="0.2">
      <c r="A26" s="3">
        <v>20</v>
      </c>
      <c r="B26" s="4" t="s">
        <v>465</v>
      </c>
      <c r="C26" s="4" t="s">
        <v>466</v>
      </c>
      <c r="D26" s="4" t="s">
        <v>48</v>
      </c>
      <c r="E26" s="5">
        <v>69806</v>
      </c>
      <c r="F26" s="6">
        <v>479.32289900000001</v>
      </c>
      <c r="G26" s="7">
        <v>1.6002544E-2</v>
      </c>
      <c r="H26" s="69"/>
    </row>
    <row r="27" spans="1:8" x14ac:dyDescent="0.2">
      <c r="A27" s="3">
        <v>21</v>
      </c>
      <c r="B27" s="4" t="s">
        <v>163</v>
      </c>
      <c r="C27" s="4" t="s">
        <v>164</v>
      </c>
      <c r="D27" s="4" t="s">
        <v>975</v>
      </c>
      <c r="E27" s="5">
        <v>115109</v>
      </c>
      <c r="F27" s="6">
        <v>460.7237725</v>
      </c>
      <c r="G27" s="7">
        <v>1.5381598E-2</v>
      </c>
      <c r="H27" s="69"/>
    </row>
    <row r="28" spans="1:8" x14ac:dyDescent="0.2">
      <c r="A28" s="3">
        <v>22</v>
      </c>
      <c r="B28" s="4" t="s">
        <v>181</v>
      </c>
      <c r="C28" s="4" t="s">
        <v>182</v>
      </c>
      <c r="D28" s="4" t="s">
        <v>155</v>
      </c>
      <c r="E28" s="5">
        <v>42130</v>
      </c>
      <c r="F28" s="6">
        <v>426.545185</v>
      </c>
      <c r="G28" s="7">
        <v>1.4240521000000001E-2</v>
      </c>
      <c r="H28" s="69"/>
    </row>
    <row r="29" spans="1:8" x14ac:dyDescent="0.2">
      <c r="A29" s="3">
        <v>23</v>
      </c>
      <c r="B29" s="4" t="s">
        <v>187</v>
      </c>
      <c r="C29" s="4" t="s">
        <v>188</v>
      </c>
      <c r="D29" s="4" t="s">
        <v>978</v>
      </c>
      <c r="E29" s="5">
        <v>46000</v>
      </c>
      <c r="F29" s="6">
        <v>411.07900000000001</v>
      </c>
      <c r="G29" s="7">
        <v>1.3724172E-2</v>
      </c>
      <c r="H29" s="69"/>
    </row>
    <row r="30" spans="1:8" ht="25.5" x14ac:dyDescent="0.2">
      <c r="A30" s="3">
        <v>24</v>
      </c>
      <c r="B30" s="4" t="s">
        <v>463</v>
      </c>
      <c r="C30" s="4" t="s">
        <v>464</v>
      </c>
      <c r="D30" s="4" t="s">
        <v>45</v>
      </c>
      <c r="E30" s="5">
        <v>26488</v>
      </c>
      <c r="F30" s="6">
        <v>403.04140799999999</v>
      </c>
      <c r="G30" s="7">
        <v>1.3455831E-2</v>
      </c>
      <c r="H30" s="69"/>
    </row>
    <row r="31" spans="1:8" ht="25.5" x14ac:dyDescent="0.2">
      <c r="A31" s="3">
        <v>25</v>
      </c>
      <c r="B31" s="4" t="s">
        <v>189</v>
      </c>
      <c r="C31" s="4" t="s">
        <v>190</v>
      </c>
      <c r="D31" s="4" t="s">
        <v>974</v>
      </c>
      <c r="E31" s="5">
        <v>174815</v>
      </c>
      <c r="F31" s="6">
        <v>385.81670500000001</v>
      </c>
      <c r="G31" s="7">
        <v>1.2880770999999999E-2</v>
      </c>
      <c r="H31" s="69"/>
    </row>
    <row r="32" spans="1:8" x14ac:dyDescent="0.2">
      <c r="A32" s="3">
        <v>26</v>
      </c>
      <c r="B32" s="4" t="s">
        <v>161</v>
      </c>
      <c r="C32" s="4" t="s">
        <v>162</v>
      </c>
      <c r="D32" s="4" t="s">
        <v>22</v>
      </c>
      <c r="E32" s="5">
        <v>210643</v>
      </c>
      <c r="F32" s="6">
        <v>384.7394395</v>
      </c>
      <c r="G32" s="7">
        <v>1.2844806E-2</v>
      </c>
      <c r="H32" s="69"/>
    </row>
    <row r="33" spans="1:8" x14ac:dyDescent="0.2">
      <c r="A33" s="3">
        <v>27</v>
      </c>
      <c r="B33" s="4" t="s">
        <v>349</v>
      </c>
      <c r="C33" s="4" t="s">
        <v>350</v>
      </c>
      <c r="D33" s="4" t="s">
        <v>160</v>
      </c>
      <c r="E33" s="5">
        <v>8487</v>
      </c>
      <c r="F33" s="6">
        <v>379.581075</v>
      </c>
      <c r="G33" s="7">
        <v>1.2672589999999999E-2</v>
      </c>
      <c r="H33" s="69"/>
    </row>
    <row r="34" spans="1:8" x14ac:dyDescent="0.2">
      <c r="A34" s="3">
        <v>28</v>
      </c>
      <c r="B34" s="4" t="s">
        <v>200</v>
      </c>
      <c r="C34" s="4" t="s">
        <v>201</v>
      </c>
      <c r="D34" s="4" t="s">
        <v>27</v>
      </c>
      <c r="E34" s="5">
        <v>18641</v>
      </c>
      <c r="F34" s="6">
        <v>376.71596899999997</v>
      </c>
      <c r="G34" s="7">
        <v>1.2576937E-2</v>
      </c>
      <c r="H34" s="69"/>
    </row>
    <row r="35" spans="1:8" x14ac:dyDescent="0.2">
      <c r="A35" s="3">
        <v>29</v>
      </c>
      <c r="B35" s="4" t="s">
        <v>202</v>
      </c>
      <c r="C35" s="4" t="s">
        <v>203</v>
      </c>
      <c r="D35" s="4" t="s">
        <v>204</v>
      </c>
      <c r="E35" s="5">
        <v>96348</v>
      </c>
      <c r="F35" s="6">
        <v>374.02293600000002</v>
      </c>
      <c r="G35" s="7">
        <v>1.2487028000000001E-2</v>
      </c>
      <c r="H35" s="69"/>
    </row>
    <row r="36" spans="1:8" x14ac:dyDescent="0.2">
      <c r="A36" s="3">
        <v>30</v>
      </c>
      <c r="B36" s="4" t="s">
        <v>191</v>
      </c>
      <c r="C36" s="4" t="s">
        <v>192</v>
      </c>
      <c r="D36" s="4" t="s">
        <v>53</v>
      </c>
      <c r="E36" s="5">
        <v>387038</v>
      </c>
      <c r="F36" s="6">
        <v>372.330556</v>
      </c>
      <c r="G36" s="7">
        <v>1.2430527E-2</v>
      </c>
      <c r="H36" s="69"/>
    </row>
    <row r="37" spans="1:8" ht="25.5" x14ac:dyDescent="0.2">
      <c r="A37" s="3">
        <v>31</v>
      </c>
      <c r="B37" s="4" t="s">
        <v>205</v>
      </c>
      <c r="C37" s="4" t="s">
        <v>206</v>
      </c>
      <c r="D37" s="4" t="s">
        <v>207</v>
      </c>
      <c r="E37" s="5">
        <v>86680</v>
      </c>
      <c r="F37" s="6">
        <v>370.03692000000001</v>
      </c>
      <c r="G37" s="7">
        <v>1.2353952E-2</v>
      </c>
      <c r="H37" s="69"/>
    </row>
    <row r="38" spans="1:8" x14ac:dyDescent="0.2">
      <c r="A38" s="3">
        <v>32</v>
      </c>
      <c r="B38" s="4" t="s">
        <v>198</v>
      </c>
      <c r="C38" s="4" t="s">
        <v>199</v>
      </c>
      <c r="D38" s="4" t="s">
        <v>78</v>
      </c>
      <c r="E38" s="5">
        <v>62701</v>
      </c>
      <c r="F38" s="6">
        <v>369.99860100000001</v>
      </c>
      <c r="G38" s="7">
        <v>1.2352673E-2</v>
      </c>
      <c r="H38" s="69"/>
    </row>
    <row r="39" spans="1:8" x14ac:dyDescent="0.2">
      <c r="A39" s="3">
        <v>33</v>
      </c>
      <c r="B39" s="4" t="s">
        <v>467</v>
      </c>
      <c r="C39" s="4" t="s">
        <v>468</v>
      </c>
      <c r="D39" s="4" t="s">
        <v>27</v>
      </c>
      <c r="E39" s="5">
        <v>40294</v>
      </c>
      <c r="F39" s="6">
        <v>369.77803799999998</v>
      </c>
      <c r="G39" s="7">
        <v>1.2345309E-2</v>
      </c>
      <c r="H39" s="69"/>
    </row>
    <row r="40" spans="1:8" x14ac:dyDescent="0.2">
      <c r="A40" s="3">
        <v>34</v>
      </c>
      <c r="B40" s="4" t="s">
        <v>33</v>
      </c>
      <c r="C40" s="4" t="s">
        <v>34</v>
      </c>
      <c r="D40" s="4" t="s">
        <v>27</v>
      </c>
      <c r="E40" s="5">
        <v>13232</v>
      </c>
      <c r="F40" s="6">
        <v>354.35296</v>
      </c>
      <c r="G40" s="7">
        <v>1.1830330999999999E-2</v>
      </c>
      <c r="H40" s="69"/>
    </row>
    <row r="41" spans="1:8" x14ac:dyDescent="0.2">
      <c r="A41" s="3">
        <v>35</v>
      </c>
      <c r="B41" s="4" t="s">
        <v>469</v>
      </c>
      <c r="C41" s="4" t="s">
        <v>470</v>
      </c>
      <c r="D41" s="4" t="s">
        <v>75</v>
      </c>
      <c r="E41" s="5">
        <v>37170</v>
      </c>
      <c r="F41" s="6">
        <v>352.66896000000003</v>
      </c>
      <c r="G41" s="7">
        <v>1.1774110000000001E-2</v>
      </c>
      <c r="H41" s="69"/>
    </row>
    <row r="42" spans="1:8" x14ac:dyDescent="0.2">
      <c r="A42" s="3">
        <v>36</v>
      </c>
      <c r="B42" s="4" t="s">
        <v>208</v>
      </c>
      <c r="C42" s="4" t="s">
        <v>209</v>
      </c>
      <c r="D42" s="4" t="s">
        <v>78</v>
      </c>
      <c r="E42" s="5">
        <v>684537</v>
      </c>
      <c r="F42" s="6">
        <v>343.63757399999997</v>
      </c>
      <c r="G42" s="7">
        <v>1.147259E-2</v>
      </c>
      <c r="H42" s="69"/>
    </row>
    <row r="43" spans="1:8" x14ac:dyDescent="0.2">
      <c r="A43" s="3">
        <v>37</v>
      </c>
      <c r="B43" s="4" t="s">
        <v>193</v>
      </c>
      <c r="C43" s="4" t="s">
        <v>194</v>
      </c>
      <c r="D43" s="4" t="s">
        <v>195</v>
      </c>
      <c r="E43" s="5">
        <v>70561</v>
      </c>
      <c r="F43" s="6">
        <v>339.32784900000001</v>
      </c>
      <c r="G43" s="7">
        <v>1.1328707E-2</v>
      </c>
      <c r="H43" s="69"/>
    </row>
    <row r="44" spans="1:8" x14ac:dyDescent="0.2">
      <c r="A44" s="3">
        <v>38</v>
      </c>
      <c r="B44" s="4" t="s">
        <v>212</v>
      </c>
      <c r="C44" s="4" t="s">
        <v>213</v>
      </c>
      <c r="D44" s="4" t="s">
        <v>979</v>
      </c>
      <c r="E44" s="5">
        <v>60137</v>
      </c>
      <c r="F44" s="6">
        <v>329.85144500000001</v>
      </c>
      <c r="G44" s="7">
        <v>1.1012331E-2</v>
      </c>
      <c r="H44" s="69"/>
    </row>
    <row r="45" spans="1:8" x14ac:dyDescent="0.2">
      <c r="A45" s="3">
        <v>39</v>
      </c>
      <c r="B45" s="4" t="s">
        <v>214</v>
      </c>
      <c r="C45" s="4" t="s">
        <v>215</v>
      </c>
      <c r="D45" s="4" t="s">
        <v>979</v>
      </c>
      <c r="E45" s="5">
        <v>32028</v>
      </c>
      <c r="F45" s="6">
        <v>326.79769800000003</v>
      </c>
      <c r="G45" s="7">
        <v>1.0910379E-2</v>
      </c>
      <c r="H45" s="69"/>
    </row>
    <row r="46" spans="1:8" x14ac:dyDescent="0.2">
      <c r="A46" s="3">
        <v>40</v>
      </c>
      <c r="B46" s="4" t="s">
        <v>216</v>
      </c>
      <c r="C46" s="4" t="s">
        <v>217</v>
      </c>
      <c r="D46" s="4" t="s">
        <v>75</v>
      </c>
      <c r="E46" s="5">
        <v>36928</v>
      </c>
      <c r="F46" s="6">
        <v>323.93241599999999</v>
      </c>
      <c r="G46" s="7">
        <v>1.0814719E-2</v>
      </c>
      <c r="H46" s="69"/>
    </row>
    <row r="47" spans="1:8" x14ac:dyDescent="0.2">
      <c r="A47" s="3">
        <v>41</v>
      </c>
      <c r="B47" s="4" t="s">
        <v>210</v>
      </c>
      <c r="C47" s="4" t="s">
        <v>211</v>
      </c>
      <c r="D47" s="4" t="s">
        <v>53</v>
      </c>
      <c r="E47" s="5">
        <v>34149</v>
      </c>
      <c r="F47" s="6">
        <v>323.68129649999997</v>
      </c>
      <c r="G47" s="7">
        <v>1.0806336E-2</v>
      </c>
      <c r="H47" s="69"/>
    </row>
    <row r="48" spans="1:8" x14ac:dyDescent="0.2">
      <c r="A48" s="3">
        <v>42</v>
      </c>
      <c r="B48" s="4" t="s">
        <v>196</v>
      </c>
      <c r="C48" s="4" t="s">
        <v>197</v>
      </c>
      <c r="D48" s="4" t="s">
        <v>144</v>
      </c>
      <c r="E48" s="5">
        <v>24941</v>
      </c>
      <c r="F48" s="6">
        <v>322.7490105</v>
      </c>
      <c r="G48" s="7">
        <v>1.0775211E-2</v>
      </c>
      <c r="H48" s="69"/>
    </row>
    <row r="49" spans="1:8" x14ac:dyDescent="0.2">
      <c r="A49" s="3">
        <v>43</v>
      </c>
      <c r="B49" s="4" t="s">
        <v>283</v>
      </c>
      <c r="C49" s="4" t="s">
        <v>284</v>
      </c>
      <c r="D49" s="4" t="s">
        <v>32</v>
      </c>
      <c r="E49" s="5">
        <v>81720</v>
      </c>
      <c r="F49" s="6">
        <v>317.40048000000002</v>
      </c>
      <c r="G49" s="7">
        <v>1.0596645999999999E-2</v>
      </c>
      <c r="H49" s="69"/>
    </row>
    <row r="50" spans="1:8" x14ac:dyDescent="0.2">
      <c r="A50" s="3">
        <v>44</v>
      </c>
      <c r="B50" s="4" t="s">
        <v>167</v>
      </c>
      <c r="C50" s="4" t="s">
        <v>168</v>
      </c>
      <c r="D50" s="4" t="s">
        <v>976</v>
      </c>
      <c r="E50" s="5">
        <v>30762</v>
      </c>
      <c r="F50" s="6">
        <v>312.00358499999999</v>
      </c>
      <c r="G50" s="7">
        <v>1.0416467E-2</v>
      </c>
      <c r="H50" s="69"/>
    </row>
    <row r="51" spans="1:8" ht="25.5" x14ac:dyDescent="0.2">
      <c r="A51" s="3">
        <v>45</v>
      </c>
      <c r="B51" s="4" t="s">
        <v>222</v>
      </c>
      <c r="C51" s="4" t="s">
        <v>223</v>
      </c>
      <c r="D51" s="4" t="s">
        <v>207</v>
      </c>
      <c r="E51" s="5">
        <v>65469</v>
      </c>
      <c r="F51" s="6">
        <v>305.38015050000001</v>
      </c>
      <c r="G51" s="7">
        <v>1.0195338999999999E-2</v>
      </c>
      <c r="H51" s="69"/>
    </row>
    <row r="52" spans="1:8" x14ac:dyDescent="0.2">
      <c r="A52" s="3">
        <v>46</v>
      </c>
      <c r="B52" s="4" t="s">
        <v>225</v>
      </c>
      <c r="C52" s="4" t="s">
        <v>226</v>
      </c>
      <c r="D52" s="4" t="s">
        <v>204</v>
      </c>
      <c r="E52" s="5">
        <v>58282</v>
      </c>
      <c r="F52" s="6">
        <v>296.451393</v>
      </c>
      <c r="G52" s="7">
        <v>9.8972460000000002E-3</v>
      </c>
      <c r="H52" s="69"/>
    </row>
    <row r="53" spans="1:8" x14ac:dyDescent="0.2">
      <c r="A53" s="3">
        <v>47</v>
      </c>
      <c r="B53" s="4" t="s">
        <v>178</v>
      </c>
      <c r="C53" s="4" t="s">
        <v>179</v>
      </c>
      <c r="D53" s="4" t="s">
        <v>180</v>
      </c>
      <c r="E53" s="5">
        <v>31437</v>
      </c>
      <c r="F53" s="6">
        <v>296.19941399999999</v>
      </c>
      <c r="G53" s="7">
        <v>9.8888329999999997E-3</v>
      </c>
      <c r="H53" s="69"/>
    </row>
    <row r="54" spans="1:8" x14ac:dyDescent="0.2">
      <c r="A54" s="3">
        <v>48</v>
      </c>
      <c r="B54" s="4" t="s">
        <v>219</v>
      </c>
      <c r="C54" s="4" t="s">
        <v>220</v>
      </c>
      <c r="D54" s="4" t="s">
        <v>221</v>
      </c>
      <c r="E54" s="5">
        <v>140250</v>
      </c>
      <c r="F54" s="6">
        <v>295.08600000000001</v>
      </c>
      <c r="G54" s="7">
        <v>9.8516609999999994E-3</v>
      </c>
      <c r="H54" s="69"/>
    </row>
    <row r="55" spans="1:8" x14ac:dyDescent="0.2">
      <c r="A55" s="3">
        <v>49</v>
      </c>
      <c r="B55" s="4" t="s">
        <v>289</v>
      </c>
      <c r="C55" s="4" t="s">
        <v>290</v>
      </c>
      <c r="D55" s="4" t="s">
        <v>27</v>
      </c>
      <c r="E55" s="5">
        <v>84528</v>
      </c>
      <c r="F55" s="6">
        <v>286.42312800000002</v>
      </c>
      <c r="G55" s="7">
        <v>9.5624449999999993E-3</v>
      </c>
      <c r="H55" s="69"/>
    </row>
    <row r="56" spans="1:8" x14ac:dyDescent="0.2">
      <c r="A56" s="3">
        <v>50</v>
      </c>
      <c r="B56" s="4" t="s">
        <v>227</v>
      </c>
      <c r="C56" s="4" t="s">
        <v>228</v>
      </c>
      <c r="D56" s="4" t="s">
        <v>976</v>
      </c>
      <c r="E56" s="5">
        <v>17701</v>
      </c>
      <c r="F56" s="6">
        <v>283.04784050000001</v>
      </c>
      <c r="G56" s="7">
        <v>9.4497580000000008E-3</v>
      </c>
      <c r="H56" s="69"/>
    </row>
    <row r="57" spans="1:8" x14ac:dyDescent="0.2">
      <c r="A57" s="3">
        <v>51</v>
      </c>
      <c r="B57" s="4" t="s">
        <v>295</v>
      </c>
      <c r="C57" s="4" t="s">
        <v>296</v>
      </c>
      <c r="D57" s="4" t="s">
        <v>27</v>
      </c>
      <c r="E57" s="5">
        <v>23852</v>
      </c>
      <c r="F57" s="6">
        <v>280.07018399999998</v>
      </c>
      <c r="G57" s="7">
        <v>9.3503470000000002E-3</v>
      </c>
      <c r="H57" s="69"/>
    </row>
    <row r="58" spans="1:8" x14ac:dyDescent="0.2">
      <c r="A58" s="3">
        <v>52</v>
      </c>
      <c r="B58" s="4" t="s">
        <v>235</v>
      </c>
      <c r="C58" s="4" t="s">
        <v>236</v>
      </c>
      <c r="D58" s="4" t="s">
        <v>160</v>
      </c>
      <c r="E58" s="5">
        <v>73821</v>
      </c>
      <c r="F58" s="6">
        <v>277.16094450000003</v>
      </c>
      <c r="G58" s="7">
        <v>9.2532199999999995E-3</v>
      </c>
      <c r="H58" s="69"/>
    </row>
    <row r="59" spans="1:8" ht="25.5" x14ac:dyDescent="0.2">
      <c r="A59" s="3">
        <v>53</v>
      </c>
      <c r="B59" s="4" t="s">
        <v>233</v>
      </c>
      <c r="C59" s="4" t="s">
        <v>234</v>
      </c>
      <c r="D59" s="4" t="s">
        <v>207</v>
      </c>
      <c r="E59" s="5">
        <v>68454</v>
      </c>
      <c r="F59" s="6">
        <v>276.45147900000001</v>
      </c>
      <c r="G59" s="7">
        <v>9.2295339999999993E-3</v>
      </c>
      <c r="H59" s="69"/>
    </row>
    <row r="60" spans="1:8" x14ac:dyDescent="0.2">
      <c r="A60" s="3">
        <v>54</v>
      </c>
      <c r="B60" s="4" t="s">
        <v>185</v>
      </c>
      <c r="C60" s="4" t="s">
        <v>186</v>
      </c>
      <c r="D60" s="4" t="s">
        <v>16</v>
      </c>
      <c r="E60" s="5">
        <v>91543</v>
      </c>
      <c r="F60" s="6">
        <v>270.143393</v>
      </c>
      <c r="G60" s="7">
        <v>9.0189339999999993E-3</v>
      </c>
      <c r="H60" s="69"/>
    </row>
    <row r="61" spans="1:8" x14ac:dyDescent="0.2">
      <c r="A61" s="3">
        <v>55</v>
      </c>
      <c r="B61" s="4" t="s">
        <v>237</v>
      </c>
      <c r="C61" s="4" t="s">
        <v>238</v>
      </c>
      <c r="D61" s="4" t="s">
        <v>204</v>
      </c>
      <c r="E61" s="5">
        <v>16433</v>
      </c>
      <c r="F61" s="6">
        <v>269.28757100000001</v>
      </c>
      <c r="G61" s="7">
        <v>8.990362E-3</v>
      </c>
      <c r="H61" s="69"/>
    </row>
    <row r="62" spans="1:8" ht="25.5" x14ac:dyDescent="0.2">
      <c r="A62" s="3">
        <v>56</v>
      </c>
      <c r="B62" s="4" t="s">
        <v>239</v>
      </c>
      <c r="C62" s="4" t="s">
        <v>240</v>
      </c>
      <c r="D62" s="4" t="s">
        <v>980</v>
      </c>
      <c r="E62" s="5">
        <v>265375</v>
      </c>
      <c r="F62" s="6">
        <v>265.64037500000001</v>
      </c>
      <c r="G62" s="7">
        <v>8.8685970000000006E-3</v>
      </c>
      <c r="H62" s="69"/>
    </row>
    <row r="63" spans="1:8" x14ac:dyDescent="0.2">
      <c r="A63" s="3">
        <v>57</v>
      </c>
      <c r="B63" s="4" t="s">
        <v>183</v>
      </c>
      <c r="C63" s="4" t="s">
        <v>184</v>
      </c>
      <c r="D63" s="4" t="s">
        <v>75</v>
      </c>
      <c r="E63" s="5">
        <v>27062</v>
      </c>
      <c r="F63" s="6">
        <v>257.49493000000001</v>
      </c>
      <c r="G63" s="7">
        <v>8.5966559999999994E-3</v>
      </c>
      <c r="H63" s="69"/>
    </row>
    <row r="64" spans="1:8" ht="25.5" x14ac:dyDescent="0.2">
      <c r="A64" s="3">
        <v>58</v>
      </c>
      <c r="B64" s="4" t="s">
        <v>218</v>
      </c>
      <c r="C64" s="4" t="s">
        <v>869</v>
      </c>
      <c r="D64" s="4" t="s">
        <v>45</v>
      </c>
      <c r="E64" s="5">
        <v>116365</v>
      </c>
      <c r="F64" s="6">
        <v>241.92283499999999</v>
      </c>
      <c r="G64" s="7">
        <v>8.0767700000000005E-3</v>
      </c>
      <c r="H64" s="69"/>
    </row>
    <row r="65" spans="1:8" x14ac:dyDescent="0.2">
      <c r="A65" s="3">
        <v>59</v>
      </c>
      <c r="B65" s="4" t="s">
        <v>247</v>
      </c>
      <c r="C65" s="4" t="s">
        <v>248</v>
      </c>
      <c r="D65" s="4" t="s">
        <v>75</v>
      </c>
      <c r="E65" s="5">
        <v>92539</v>
      </c>
      <c r="F65" s="6">
        <v>231.02361350000001</v>
      </c>
      <c r="G65" s="7">
        <v>7.7128910000000004E-3</v>
      </c>
      <c r="H65" s="69"/>
    </row>
    <row r="66" spans="1:8" x14ac:dyDescent="0.2">
      <c r="A66" s="3">
        <v>60</v>
      </c>
      <c r="B66" s="4" t="s">
        <v>280</v>
      </c>
      <c r="C66" s="4" t="s">
        <v>281</v>
      </c>
      <c r="D66" s="4" t="s">
        <v>175</v>
      </c>
      <c r="E66" s="5">
        <v>30413</v>
      </c>
      <c r="F66" s="6">
        <v>212.11546849999999</v>
      </c>
      <c r="G66" s="7">
        <v>7.0816289999999999E-3</v>
      </c>
      <c r="H66" s="69"/>
    </row>
    <row r="67" spans="1:8" x14ac:dyDescent="0.2">
      <c r="A67" s="3">
        <v>61</v>
      </c>
      <c r="B67" s="4" t="s">
        <v>285</v>
      </c>
      <c r="C67" s="4" t="s">
        <v>286</v>
      </c>
      <c r="D67" s="4" t="s">
        <v>160</v>
      </c>
      <c r="E67" s="5">
        <v>29548</v>
      </c>
      <c r="F67" s="6">
        <v>200.11383000000001</v>
      </c>
      <c r="G67" s="7">
        <v>6.6809460000000001E-3</v>
      </c>
      <c r="H67" s="69"/>
    </row>
    <row r="68" spans="1:8" x14ac:dyDescent="0.2">
      <c r="A68" s="3">
        <v>62</v>
      </c>
      <c r="B68" s="4" t="s">
        <v>251</v>
      </c>
      <c r="C68" s="4" t="s">
        <v>252</v>
      </c>
      <c r="D68" s="4" t="s">
        <v>160</v>
      </c>
      <c r="E68" s="5">
        <v>33763</v>
      </c>
      <c r="F68" s="6">
        <v>196.33184499999999</v>
      </c>
      <c r="G68" s="7">
        <v>6.554682E-3</v>
      </c>
      <c r="H68" s="69"/>
    </row>
    <row r="69" spans="1:8" x14ac:dyDescent="0.2">
      <c r="A69" s="3">
        <v>63</v>
      </c>
      <c r="B69" s="4" t="s">
        <v>253</v>
      </c>
      <c r="C69" s="4" t="s">
        <v>254</v>
      </c>
      <c r="D69" s="4" t="s">
        <v>65</v>
      </c>
      <c r="E69" s="5">
        <v>22179</v>
      </c>
      <c r="F69" s="6">
        <v>189.63045</v>
      </c>
      <c r="G69" s="7">
        <v>6.3309509999999996E-3</v>
      </c>
      <c r="H69" s="69"/>
    </row>
    <row r="70" spans="1:8" ht="25.5" x14ac:dyDescent="0.2">
      <c r="A70" s="3">
        <v>64</v>
      </c>
      <c r="B70" s="4" t="s">
        <v>229</v>
      </c>
      <c r="C70" s="4" t="s">
        <v>230</v>
      </c>
      <c r="D70" s="4" t="s">
        <v>75</v>
      </c>
      <c r="E70" s="5">
        <v>9707</v>
      </c>
      <c r="F70" s="6">
        <v>184.2922485</v>
      </c>
      <c r="G70" s="7">
        <v>6.1527309999999998E-3</v>
      </c>
      <c r="H70" s="69"/>
    </row>
    <row r="71" spans="1:8" x14ac:dyDescent="0.2">
      <c r="A71" s="3">
        <v>65</v>
      </c>
      <c r="B71" s="4" t="s">
        <v>255</v>
      </c>
      <c r="C71" s="4" t="s">
        <v>256</v>
      </c>
      <c r="D71" s="4" t="s">
        <v>257</v>
      </c>
      <c r="E71" s="5">
        <v>81931</v>
      </c>
      <c r="F71" s="6">
        <v>182.21454399999999</v>
      </c>
      <c r="G71" s="7">
        <v>6.0833650000000003E-3</v>
      </c>
      <c r="H71" s="69"/>
    </row>
    <row r="72" spans="1:8" x14ac:dyDescent="0.2">
      <c r="A72" s="3">
        <v>66</v>
      </c>
      <c r="B72" s="4" t="s">
        <v>241</v>
      </c>
      <c r="C72" s="4" t="s">
        <v>242</v>
      </c>
      <c r="D72" s="4" t="s">
        <v>155</v>
      </c>
      <c r="E72" s="5">
        <v>14757</v>
      </c>
      <c r="F72" s="6">
        <v>177.90301349999999</v>
      </c>
      <c r="G72" s="7">
        <v>5.9394219999999998E-3</v>
      </c>
      <c r="H72" s="69"/>
    </row>
    <row r="73" spans="1:8" x14ac:dyDescent="0.2">
      <c r="A73" s="3">
        <v>67</v>
      </c>
      <c r="B73" s="4" t="s">
        <v>262</v>
      </c>
      <c r="C73" s="4" t="s">
        <v>263</v>
      </c>
      <c r="D73" s="4" t="s">
        <v>22</v>
      </c>
      <c r="E73" s="5">
        <v>216684</v>
      </c>
      <c r="F73" s="6">
        <v>177.789222</v>
      </c>
      <c r="G73" s="7">
        <v>5.9356230000000001E-3</v>
      </c>
      <c r="H73" s="69"/>
    </row>
    <row r="74" spans="1:8" x14ac:dyDescent="0.2">
      <c r="A74" s="3">
        <v>68</v>
      </c>
      <c r="B74" s="4" t="s">
        <v>260</v>
      </c>
      <c r="C74" s="4" t="s">
        <v>261</v>
      </c>
      <c r="D74" s="4" t="s">
        <v>204</v>
      </c>
      <c r="E74" s="5">
        <v>3290</v>
      </c>
      <c r="F74" s="6">
        <v>175.18262999999999</v>
      </c>
      <c r="G74" s="7">
        <v>5.8485999999999998E-3</v>
      </c>
      <c r="H74" s="69"/>
    </row>
    <row r="75" spans="1:8" x14ac:dyDescent="0.2">
      <c r="A75" s="3">
        <v>69</v>
      </c>
      <c r="B75" s="4" t="s">
        <v>471</v>
      </c>
      <c r="C75" s="4" t="s">
        <v>472</v>
      </c>
      <c r="D75" s="4" t="s">
        <v>78</v>
      </c>
      <c r="E75" s="5">
        <v>30109</v>
      </c>
      <c r="F75" s="6">
        <v>151.5536515</v>
      </c>
      <c r="G75" s="7">
        <v>5.0597289999999998E-3</v>
      </c>
      <c r="H75" s="69"/>
    </row>
    <row r="76" spans="1:8" x14ac:dyDescent="0.2">
      <c r="A76" s="3">
        <v>70</v>
      </c>
      <c r="B76" s="4" t="s">
        <v>276</v>
      </c>
      <c r="C76" s="4" t="s">
        <v>277</v>
      </c>
      <c r="D76" s="4" t="s">
        <v>204</v>
      </c>
      <c r="E76" s="5">
        <v>53264</v>
      </c>
      <c r="F76" s="6">
        <v>150.87028000000001</v>
      </c>
      <c r="G76" s="7">
        <v>5.036914E-3</v>
      </c>
      <c r="H76" s="69"/>
    </row>
    <row r="77" spans="1:8" x14ac:dyDescent="0.2">
      <c r="A77" s="3">
        <v>71</v>
      </c>
      <c r="B77" s="4" t="s">
        <v>270</v>
      </c>
      <c r="C77" s="4" t="s">
        <v>271</v>
      </c>
      <c r="D77" s="4" t="s">
        <v>144</v>
      </c>
      <c r="E77" s="5">
        <v>25075</v>
      </c>
      <c r="F77" s="6">
        <v>143.57945000000001</v>
      </c>
      <c r="G77" s="7">
        <v>4.7935039999999996E-3</v>
      </c>
      <c r="H77" s="69"/>
    </row>
    <row r="78" spans="1:8" x14ac:dyDescent="0.2">
      <c r="A78" s="3">
        <v>72</v>
      </c>
      <c r="B78" s="4" t="s">
        <v>249</v>
      </c>
      <c r="C78" s="4" t="s">
        <v>250</v>
      </c>
      <c r="D78" s="4" t="s">
        <v>334</v>
      </c>
      <c r="E78" s="5">
        <v>15493</v>
      </c>
      <c r="F78" s="6">
        <v>142.396163</v>
      </c>
      <c r="G78" s="7">
        <v>4.7540000000000004E-3</v>
      </c>
      <c r="H78" s="69"/>
    </row>
    <row r="79" spans="1:8" x14ac:dyDescent="0.2">
      <c r="A79" s="3">
        <v>73</v>
      </c>
      <c r="B79" s="4" t="s">
        <v>303</v>
      </c>
      <c r="C79" s="4" t="s">
        <v>304</v>
      </c>
      <c r="D79" s="4" t="s">
        <v>979</v>
      </c>
      <c r="E79" s="5">
        <v>402399</v>
      </c>
      <c r="F79" s="6">
        <v>139.8336525</v>
      </c>
      <c r="G79" s="7">
        <v>4.6684480000000004E-3</v>
      </c>
      <c r="H79" s="69"/>
    </row>
    <row r="80" spans="1:8" x14ac:dyDescent="0.2">
      <c r="A80" s="3">
        <v>74</v>
      </c>
      <c r="B80" s="4" t="s">
        <v>274</v>
      </c>
      <c r="C80" s="4" t="s">
        <v>275</v>
      </c>
      <c r="D80" s="4" t="s">
        <v>155</v>
      </c>
      <c r="E80" s="5">
        <v>31018</v>
      </c>
      <c r="F80" s="6">
        <v>118.07001700000001</v>
      </c>
      <c r="G80" s="7">
        <v>3.9418530000000004E-3</v>
      </c>
      <c r="H80" s="69"/>
    </row>
    <row r="81" spans="1:8" x14ac:dyDescent="0.2">
      <c r="A81" s="3">
        <v>75</v>
      </c>
      <c r="B81" s="4" t="s">
        <v>278</v>
      </c>
      <c r="C81" s="4" t="s">
        <v>279</v>
      </c>
      <c r="D81" s="4" t="s">
        <v>144</v>
      </c>
      <c r="E81" s="5">
        <v>9638</v>
      </c>
      <c r="F81" s="6">
        <v>97.19923</v>
      </c>
      <c r="G81" s="7">
        <v>3.2450669999999999E-3</v>
      </c>
      <c r="H81" s="69"/>
    </row>
    <row r="82" spans="1:8" x14ac:dyDescent="0.2">
      <c r="A82" s="3">
        <v>76</v>
      </c>
      <c r="B82" s="4" t="s">
        <v>473</v>
      </c>
      <c r="C82" s="4" t="s">
        <v>474</v>
      </c>
      <c r="D82" s="4" t="s">
        <v>976</v>
      </c>
      <c r="E82" s="5">
        <v>6691</v>
      </c>
      <c r="F82" s="6">
        <v>5.6572405000000003</v>
      </c>
      <c r="G82" s="7">
        <v>1.8887099999999999E-4</v>
      </c>
      <c r="H82" s="69"/>
    </row>
    <row r="83" spans="1:8" x14ac:dyDescent="0.2">
      <c r="A83" s="1"/>
      <c r="B83" s="1"/>
      <c r="C83" s="2" t="s">
        <v>95</v>
      </c>
      <c r="D83" s="1"/>
      <c r="E83" s="1" t="s">
        <v>96</v>
      </c>
      <c r="F83" s="9">
        <v>28954.4850195</v>
      </c>
      <c r="G83" s="10">
        <v>0.96666655800000001</v>
      </c>
      <c r="H83" s="69"/>
    </row>
    <row r="84" spans="1:8" x14ac:dyDescent="0.2">
      <c r="A84" s="1"/>
      <c r="B84" s="1"/>
      <c r="C84" s="11"/>
      <c r="D84" s="1"/>
      <c r="E84" s="1"/>
      <c r="F84" s="12"/>
      <c r="G84" s="12"/>
      <c r="H84" s="69"/>
    </row>
    <row r="85" spans="1:8" x14ac:dyDescent="0.2">
      <c r="A85" s="1"/>
      <c r="B85" s="1"/>
      <c r="C85" s="2" t="s">
        <v>97</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98</v>
      </c>
      <c r="D88" s="1"/>
      <c r="E88" s="1"/>
      <c r="F88" s="1"/>
      <c r="G88" s="1"/>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99</v>
      </c>
      <c r="D91" s="1"/>
      <c r="E91" s="1"/>
      <c r="F91" s="1"/>
      <c r="G91" s="1"/>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101</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102</v>
      </c>
      <c r="D100" s="1"/>
      <c r="E100" s="1"/>
      <c r="F100" s="9">
        <v>28954.4850195</v>
      </c>
      <c r="G100" s="10">
        <v>0.96666655800000001</v>
      </c>
      <c r="H100" s="69"/>
    </row>
    <row r="101" spans="1:8" x14ac:dyDescent="0.2">
      <c r="A101" s="1"/>
      <c r="B101" s="1"/>
      <c r="C101" s="11"/>
      <c r="D101" s="1"/>
      <c r="E101" s="1"/>
      <c r="F101" s="12"/>
      <c r="G101" s="12"/>
      <c r="H101" s="69"/>
    </row>
    <row r="102" spans="1:8" x14ac:dyDescent="0.2">
      <c r="A102" s="1"/>
      <c r="B102" s="1"/>
      <c r="C102" s="2" t="s">
        <v>103</v>
      </c>
      <c r="D102" s="1"/>
      <c r="E102" s="1"/>
      <c r="F102" s="12"/>
      <c r="G102" s="12"/>
      <c r="H102" s="69"/>
    </row>
    <row r="103" spans="1:8" ht="25.5" x14ac:dyDescent="0.2">
      <c r="A103" s="1"/>
      <c r="B103" s="1"/>
      <c r="C103" s="2" t="s">
        <v>10</v>
      </c>
      <c r="D103" s="1"/>
      <c r="E103" s="1"/>
      <c r="F103" s="12"/>
      <c r="G103" s="12"/>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104</v>
      </c>
      <c r="D106" s="1"/>
      <c r="E106" s="1"/>
      <c r="F106" s="1"/>
      <c r="G106" s="1"/>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105</v>
      </c>
      <c r="D109" s="1"/>
      <c r="E109" s="1"/>
      <c r="F109" s="1"/>
      <c r="G109" s="1"/>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106</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107</v>
      </c>
      <c r="D115" s="1"/>
      <c r="E115" s="1"/>
      <c r="F115" s="9">
        <v>0</v>
      </c>
      <c r="G115" s="10">
        <v>0</v>
      </c>
      <c r="H115" s="69"/>
    </row>
    <row r="116" spans="1:8" x14ac:dyDescent="0.2">
      <c r="A116" s="1"/>
      <c r="B116" s="1"/>
      <c r="C116" s="11"/>
      <c r="D116" s="1"/>
      <c r="E116" s="1"/>
      <c r="F116" s="12"/>
      <c r="G116" s="12"/>
      <c r="H116" s="69"/>
    </row>
    <row r="117" spans="1:8" x14ac:dyDescent="0.2">
      <c r="A117" s="1"/>
      <c r="B117" s="1"/>
      <c r="C117" s="2" t="s">
        <v>108</v>
      </c>
      <c r="D117" s="1"/>
      <c r="E117" s="1"/>
      <c r="F117" s="12"/>
      <c r="G117" s="12"/>
      <c r="H117" s="69"/>
    </row>
    <row r="118" spans="1:8" x14ac:dyDescent="0.2">
      <c r="A118" s="1"/>
      <c r="B118" s="1"/>
      <c r="C118" s="2" t="s">
        <v>109</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2" t="s">
        <v>110</v>
      </c>
      <c r="D121" s="1"/>
      <c r="E121" s="1"/>
      <c r="F121" s="12"/>
      <c r="G121" s="12"/>
      <c r="H121" s="69"/>
    </row>
    <row r="122" spans="1:8" x14ac:dyDescent="0.2">
      <c r="A122" s="1"/>
      <c r="B122" s="1"/>
      <c r="C122" s="2" t="s">
        <v>95</v>
      </c>
      <c r="D122" s="1"/>
      <c r="E122" s="1" t="s">
        <v>96</v>
      </c>
      <c r="F122" s="13">
        <v>0</v>
      </c>
      <c r="G122" s="14">
        <v>0</v>
      </c>
      <c r="H122" s="69"/>
    </row>
    <row r="123" spans="1:8" x14ac:dyDescent="0.2">
      <c r="A123" s="1"/>
      <c r="B123" s="1"/>
      <c r="C123" s="11"/>
      <c r="D123" s="1"/>
      <c r="E123" s="1"/>
      <c r="F123" s="12"/>
      <c r="G123" s="12"/>
      <c r="H123" s="69"/>
    </row>
    <row r="124" spans="1:8" x14ac:dyDescent="0.2">
      <c r="A124" s="1"/>
      <c r="B124" s="1"/>
      <c r="C124" s="2" t="s">
        <v>111</v>
      </c>
      <c r="D124" s="1"/>
      <c r="E124" s="1"/>
      <c r="F124" s="12"/>
      <c r="G124" s="12"/>
      <c r="H124" s="69"/>
    </row>
    <row r="125" spans="1:8" x14ac:dyDescent="0.2">
      <c r="A125" s="1"/>
      <c r="B125" s="1"/>
      <c r="C125" s="2" t="s">
        <v>95</v>
      </c>
      <c r="D125" s="1"/>
      <c r="E125" s="1" t="s">
        <v>96</v>
      </c>
      <c r="F125" s="13">
        <v>0</v>
      </c>
      <c r="G125" s="14">
        <v>0</v>
      </c>
      <c r="H125" s="69"/>
    </row>
    <row r="126" spans="1:8" x14ac:dyDescent="0.2">
      <c r="A126" s="1"/>
      <c r="B126" s="1"/>
      <c r="C126" s="11"/>
      <c r="D126" s="1"/>
      <c r="E126" s="1"/>
      <c r="F126" s="12"/>
      <c r="G126" s="12"/>
      <c r="H126" s="69"/>
    </row>
    <row r="127" spans="1:8" x14ac:dyDescent="0.2">
      <c r="A127" s="1"/>
      <c r="B127" s="1"/>
      <c r="C127" s="2" t="s">
        <v>112</v>
      </c>
      <c r="D127" s="1"/>
      <c r="E127" s="1"/>
      <c r="F127" s="12"/>
      <c r="G127" s="12"/>
      <c r="H127" s="69"/>
    </row>
    <row r="128" spans="1:8" x14ac:dyDescent="0.2">
      <c r="A128" s="3">
        <v>1</v>
      </c>
      <c r="B128" s="4"/>
      <c r="C128" s="4" t="s">
        <v>113</v>
      </c>
      <c r="D128" s="4"/>
      <c r="E128" s="8"/>
      <c r="F128" s="6">
        <v>693.1696359</v>
      </c>
      <c r="G128" s="7">
        <v>2.3141973E-2</v>
      </c>
      <c r="H128" s="6">
        <v>3.3628721504199861</v>
      </c>
    </row>
    <row r="129" spans="1:8" x14ac:dyDescent="0.2">
      <c r="A129" s="3">
        <v>2</v>
      </c>
      <c r="B129" s="4"/>
      <c r="C129" s="4" t="s">
        <v>114</v>
      </c>
      <c r="D129" s="4"/>
      <c r="E129" s="8"/>
      <c r="F129" s="6">
        <v>267.6957764</v>
      </c>
      <c r="G129" s="7">
        <v>8.9372180000000002E-3</v>
      </c>
      <c r="H129" s="6">
        <v>3.4499999999999966</v>
      </c>
    </row>
    <row r="130" spans="1:8" x14ac:dyDescent="0.2">
      <c r="A130" s="1"/>
      <c r="B130" s="1"/>
      <c r="C130" s="2" t="s">
        <v>95</v>
      </c>
      <c r="D130" s="1"/>
      <c r="E130" s="1" t="s">
        <v>96</v>
      </c>
      <c r="F130" s="9">
        <v>960.8654123</v>
      </c>
      <c r="G130" s="10">
        <v>3.2079191E-2</v>
      </c>
      <c r="H130" s="69"/>
    </row>
    <row r="131" spans="1:8" x14ac:dyDescent="0.2">
      <c r="A131" s="1"/>
      <c r="B131" s="1"/>
      <c r="C131" s="11"/>
      <c r="D131" s="1"/>
      <c r="E131" s="1"/>
      <c r="F131" s="12"/>
      <c r="G131" s="12"/>
      <c r="H131" s="69"/>
    </row>
    <row r="132" spans="1:8" x14ac:dyDescent="0.2">
      <c r="A132" s="1"/>
      <c r="B132" s="1"/>
      <c r="C132" s="2" t="s">
        <v>115</v>
      </c>
      <c r="D132" s="1"/>
      <c r="E132" s="1"/>
      <c r="F132" s="9">
        <v>960.8654123</v>
      </c>
      <c r="G132" s="10">
        <v>3.2079191E-2</v>
      </c>
      <c r="H132" s="69"/>
    </row>
    <row r="133" spans="1:8" x14ac:dyDescent="0.2">
      <c r="A133" s="1"/>
      <c r="B133" s="1"/>
      <c r="C133" s="12"/>
      <c r="D133" s="1"/>
      <c r="E133" s="1"/>
      <c r="F133" s="1"/>
      <c r="G133" s="1"/>
      <c r="H133" s="69"/>
    </row>
    <row r="134" spans="1:8" x14ac:dyDescent="0.2">
      <c r="A134" s="1"/>
      <c r="B134" s="1"/>
      <c r="C134" s="2" t="s">
        <v>116</v>
      </c>
      <c r="D134" s="1"/>
      <c r="E134" s="1"/>
      <c r="F134" s="1"/>
      <c r="G134" s="1"/>
      <c r="H134" s="69"/>
    </row>
    <row r="135" spans="1:8" x14ac:dyDescent="0.2">
      <c r="A135" s="1"/>
      <c r="B135" s="1"/>
      <c r="C135" s="2" t="s">
        <v>117</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2" t="s">
        <v>118</v>
      </c>
      <c r="D138" s="1"/>
      <c r="E138" s="1"/>
      <c r="F138" s="1"/>
      <c r="G138" s="1"/>
      <c r="H138" s="69"/>
    </row>
    <row r="139" spans="1:8" x14ac:dyDescent="0.2">
      <c r="A139" s="1"/>
      <c r="B139" s="1"/>
      <c r="C139" s="2" t="s">
        <v>119</v>
      </c>
      <c r="D139" s="1"/>
      <c r="E139" s="1"/>
      <c r="F139" s="1"/>
      <c r="G139" s="1"/>
      <c r="H139" s="69"/>
    </row>
    <row r="140" spans="1:8" x14ac:dyDescent="0.2">
      <c r="A140" s="1"/>
      <c r="B140" s="1"/>
      <c r="C140" s="2" t="s">
        <v>95</v>
      </c>
      <c r="D140" s="1"/>
      <c r="E140" s="1" t="s">
        <v>96</v>
      </c>
      <c r="F140" s="13">
        <v>0</v>
      </c>
      <c r="G140" s="14">
        <v>0</v>
      </c>
      <c r="H140" s="69"/>
    </row>
    <row r="141" spans="1:8" x14ac:dyDescent="0.2">
      <c r="A141" s="1"/>
      <c r="B141" s="1"/>
      <c r="C141" s="11"/>
      <c r="D141" s="1"/>
      <c r="E141" s="1"/>
      <c r="F141" s="12"/>
      <c r="G141" s="12"/>
      <c r="H141" s="69"/>
    </row>
    <row r="142" spans="1:8" x14ac:dyDescent="0.2">
      <c r="A142" s="1"/>
      <c r="B142" s="1"/>
      <c r="C142" s="11"/>
      <c r="D142" s="1"/>
      <c r="E142" s="1"/>
      <c r="F142" s="12"/>
      <c r="G142" s="12"/>
      <c r="H142" s="69"/>
    </row>
    <row r="143" spans="1:8" ht="25.5" x14ac:dyDescent="0.2">
      <c r="A143" s="1"/>
      <c r="B143" s="1"/>
      <c r="C143" s="2" t="s">
        <v>120</v>
      </c>
      <c r="D143" s="1"/>
      <c r="E143" s="1"/>
      <c r="F143" s="12"/>
      <c r="G143" s="12"/>
      <c r="H143" s="69"/>
    </row>
    <row r="144" spans="1:8" x14ac:dyDescent="0.2">
      <c r="A144" s="1"/>
      <c r="B144" s="1"/>
      <c r="C144" s="2" t="s">
        <v>95</v>
      </c>
      <c r="D144" s="1"/>
      <c r="E144" s="1" t="s">
        <v>96</v>
      </c>
      <c r="F144" s="13">
        <v>0</v>
      </c>
      <c r="G144" s="14">
        <v>0</v>
      </c>
      <c r="H144" s="69"/>
    </row>
    <row r="145" spans="1:8" x14ac:dyDescent="0.2">
      <c r="A145" s="1"/>
      <c r="B145" s="1"/>
      <c r="C145" s="11"/>
      <c r="D145" s="1"/>
      <c r="E145" s="1"/>
      <c r="F145" s="12"/>
      <c r="G145" s="12"/>
      <c r="H145" s="69"/>
    </row>
    <row r="146" spans="1:8" x14ac:dyDescent="0.2">
      <c r="A146" s="1"/>
      <c r="B146" s="4"/>
      <c r="C146" s="4"/>
      <c r="D146" s="2"/>
      <c r="E146" s="1"/>
      <c r="F146" s="4"/>
      <c r="G146" s="8"/>
      <c r="H146" s="69"/>
    </row>
    <row r="147" spans="1:8" x14ac:dyDescent="0.2">
      <c r="A147" s="8"/>
      <c r="B147" s="4"/>
      <c r="C147" s="4" t="s">
        <v>121</v>
      </c>
      <c r="D147" s="4"/>
      <c r="E147" s="8"/>
      <c r="F147" s="6">
        <v>37.56857119</v>
      </c>
      <c r="G147" s="7">
        <v>1.254254E-3</v>
      </c>
      <c r="H147" s="69"/>
    </row>
    <row r="148" spans="1:8" x14ac:dyDescent="0.2">
      <c r="A148" s="11"/>
      <c r="B148" s="11"/>
      <c r="C148" s="2" t="s">
        <v>122</v>
      </c>
      <c r="D148" s="15"/>
      <c r="E148" s="15"/>
      <c r="F148" s="9">
        <v>29952.919002989998</v>
      </c>
      <c r="G148" s="10">
        <v>1.000000003</v>
      </c>
      <c r="H148" s="69"/>
    </row>
    <row r="149" spans="1:8" ht="14.1" customHeight="1" x14ac:dyDescent="0.2">
      <c r="A149" s="16"/>
      <c r="B149" s="16"/>
      <c r="C149" s="16"/>
      <c r="D149" s="17"/>
      <c r="E149" s="17"/>
      <c r="F149" s="17"/>
      <c r="G149" s="17"/>
    </row>
    <row r="150" spans="1:8" ht="14.1" customHeight="1" x14ac:dyDescent="0.2">
      <c r="A150" s="18"/>
      <c r="B150" s="176" t="s">
        <v>96</v>
      </c>
      <c r="C150" s="176"/>
      <c r="D150" s="176"/>
      <c r="E150" s="176"/>
      <c r="F150" s="176"/>
      <c r="G150" s="20"/>
    </row>
    <row r="151" spans="1:8" ht="14.1" customHeight="1" x14ac:dyDescent="0.2">
      <c r="A151" s="18"/>
      <c r="B151" s="176" t="s">
        <v>96</v>
      </c>
      <c r="C151" s="176"/>
      <c r="D151" s="176"/>
      <c r="E151" s="176"/>
      <c r="F151" s="176"/>
      <c r="G151" s="20"/>
    </row>
    <row r="152" spans="1:8" ht="14.1" customHeight="1" x14ac:dyDescent="0.2">
      <c r="A152" s="18"/>
      <c r="B152" s="18"/>
      <c r="C152" s="18"/>
      <c r="D152" s="20"/>
      <c r="E152" s="20"/>
      <c r="F152" s="20"/>
      <c r="G152" s="20"/>
    </row>
    <row r="153" spans="1:8" ht="14.1" customHeight="1" x14ac:dyDescent="0.2">
      <c r="A153" s="18"/>
      <c r="B153" s="174" t="s">
        <v>124</v>
      </c>
      <c r="C153" s="175"/>
      <c r="D153" s="12" t="s">
        <v>96</v>
      </c>
      <c r="E153" s="21"/>
      <c r="F153" s="20"/>
      <c r="G153" s="20"/>
    </row>
    <row r="154" spans="1:8" ht="29.1" customHeight="1" x14ac:dyDescent="0.2">
      <c r="A154" s="18"/>
      <c r="B154" s="172" t="s">
        <v>125</v>
      </c>
      <c r="C154" s="173"/>
      <c r="D154" s="2" t="s">
        <v>126</v>
      </c>
      <c r="E154" s="21"/>
      <c r="F154" s="20"/>
      <c r="G154" s="20"/>
    </row>
    <row r="155" spans="1:8" ht="17.100000000000001" customHeight="1" x14ac:dyDescent="0.2">
      <c r="A155" s="18"/>
      <c r="B155" s="172" t="s">
        <v>127</v>
      </c>
      <c r="C155" s="173"/>
      <c r="D155" s="2" t="s">
        <v>126</v>
      </c>
      <c r="E155" s="21"/>
      <c r="F155" s="20"/>
      <c r="G155" s="20"/>
    </row>
    <row r="156" spans="1:8" ht="17.100000000000001" customHeight="1" x14ac:dyDescent="0.2">
      <c r="A156" s="18"/>
      <c r="B156" s="172" t="s">
        <v>128</v>
      </c>
      <c r="C156" s="173"/>
      <c r="D156" s="12" t="s">
        <v>96</v>
      </c>
      <c r="E156" s="21"/>
      <c r="F156" s="20"/>
      <c r="G156" s="20"/>
    </row>
    <row r="157" spans="1:8" ht="24" customHeight="1" x14ac:dyDescent="0.2">
      <c r="A157" s="22"/>
      <c r="B157" s="23" t="s">
        <v>96</v>
      </c>
      <c r="C157" s="23" t="s">
        <v>129</v>
      </c>
      <c r="D157" s="23" t="s">
        <v>130</v>
      </c>
      <c r="E157" s="22"/>
      <c r="F157" s="22"/>
      <c r="G157" s="22"/>
    </row>
    <row r="158" spans="1:8" ht="18" customHeight="1" x14ac:dyDescent="0.2">
      <c r="A158" s="22"/>
      <c r="B158" s="23" t="s">
        <v>131</v>
      </c>
      <c r="C158" s="23" t="s">
        <v>132</v>
      </c>
      <c r="D158" s="23" t="s">
        <v>133</v>
      </c>
      <c r="E158" s="22"/>
      <c r="F158" s="22"/>
      <c r="G158" s="22"/>
    </row>
    <row r="159" spans="1:8" ht="17.100000000000001" customHeight="1" x14ac:dyDescent="0.2">
      <c r="A159" s="22"/>
      <c r="B159" s="4" t="s">
        <v>134</v>
      </c>
      <c r="C159" s="24">
        <v>15.760300000000001</v>
      </c>
      <c r="D159" s="24">
        <v>15.8528</v>
      </c>
      <c r="E159" s="22"/>
      <c r="F159" s="19"/>
      <c r="G159" s="25"/>
    </row>
    <row r="160" spans="1:8" ht="17.100000000000001" customHeight="1" x14ac:dyDescent="0.2">
      <c r="A160" s="22"/>
      <c r="B160" s="4" t="s">
        <v>983</v>
      </c>
      <c r="C160" s="24">
        <v>15.760300000000001</v>
      </c>
      <c r="D160" s="24">
        <v>15.8528</v>
      </c>
      <c r="E160" s="22"/>
      <c r="F160" s="19"/>
      <c r="G160" s="25"/>
    </row>
    <row r="161" spans="1:16" ht="17.100000000000001" customHeight="1" x14ac:dyDescent="0.2">
      <c r="A161" s="22"/>
      <c r="B161" s="4" t="s">
        <v>135</v>
      </c>
      <c r="C161" s="24">
        <v>15.2059</v>
      </c>
      <c r="D161" s="24">
        <v>15.285399999999999</v>
      </c>
      <c r="E161" s="22"/>
      <c r="F161" s="19"/>
      <c r="G161" s="25"/>
    </row>
    <row r="162" spans="1:16" ht="17.100000000000001" customHeight="1" x14ac:dyDescent="0.2">
      <c r="A162" s="22"/>
      <c r="B162" s="4" t="s">
        <v>984</v>
      </c>
      <c r="C162" s="24">
        <v>15.2059</v>
      </c>
      <c r="D162" s="24">
        <v>15.285399999999999</v>
      </c>
      <c r="E162" s="22"/>
      <c r="F162" s="19"/>
      <c r="G162" s="25"/>
    </row>
    <row r="163" spans="1:16" ht="14.1" customHeight="1" x14ac:dyDescent="0.2">
      <c r="A163" s="22"/>
      <c r="B163" s="22"/>
      <c r="C163" s="22"/>
      <c r="D163" s="22"/>
      <c r="E163" s="22"/>
      <c r="F163" s="22"/>
      <c r="G163" s="22"/>
    </row>
    <row r="164" spans="1:16" ht="17.100000000000001" customHeight="1" x14ac:dyDescent="0.2">
      <c r="A164" s="22"/>
      <c r="B164" s="172" t="s">
        <v>985</v>
      </c>
      <c r="C164" s="173"/>
      <c r="D164" s="2" t="s">
        <v>126</v>
      </c>
      <c r="E164" s="22"/>
      <c r="F164" s="22"/>
      <c r="G164" s="22"/>
    </row>
    <row r="165" spans="1:16" ht="18" customHeight="1" x14ac:dyDescent="0.2">
      <c r="A165" s="22"/>
      <c r="B165" s="26" t="s">
        <v>136</v>
      </c>
      <c r="C165" s="26" t="s">
        <v>136</v>
      </c>
      <c r="D165" s="26"/>
      <c r="E165" s="22"/>
      <c r="F165" s="22"/>
      <c r="G165" s="22"/>
      <c r="I165" s="82"/>
      <c r="J165" s="82"/>
      <c r="K165" s="82"/>
      <c r="L165" s="82"/>
      <c r="M165" s="82"/>
      <c r="N165" s="82"/>
      <c r="O165" s="82"/>
    </row>
    <row r="166" spans="1:16" s="82" customFormat="1" x14ac:dyDescent="0.2">
      <c r="B166" s="177" t="s">
        <v>936</v>
      </c>
      <c r="C166" s="177"/>
      <c r="D166" s="177"/>
      <c r="E166" s="177"/>
      <c r="F166" s="177"/>
      <c r="I166"/>
      <c r="J166"/>
      <c r="K166"/>
      <c r="L166"/>
      <c r="M166"/>
      <c r="N166"/>
      <c r="O166"/>
      <c r="P166" s="70"/>
    </row>
    <row r="167" spans="1:16" ht="14.1" customHeight="1" x14ac:dyDescent="0.2">
      <c r="A167" s="22"/>
      <c r="B167" s="19"/>
      <c r="C167" s="19"/>
      <c r="D167" s="22"/>
      <c r="E167" s="22"/>
      <c r="F167" s="22"/>
      <c r="G167" s="22"/>
    </row>
    <row r="168" spans="1:16" ht="29.1" customHeight="1" x14ac:dyDescent="0.2">
      <c r="A168" s="22"/>
      <c r="B168" s="172" t="s">
        <v>137</v>
      </c>
      <c r="C168" s="173"/>
      <c r="D168" s="2" t="s">
        <v>126</v>
      </c>
      <c r="E168" s="22"/>
      <c r="F168" s="22"/>
      <c r="G168" s="22"/>
    </row>
    <row r="169" spans="1:16" ht="29.1" customHeight="1" x14ac:dyDescent="0.2">
      <c r="A169" s="22"/>
      <c r="B169" s="172" t="s">
        <v>138</v>
      </c>
      <c r="C169" s="173"/>
      <c r="D169" s="2" t="s">
        <v>126</v>
      </c>
      <c r="E169" s="22"/>
      <c r="F169" s="22"/>
      <c r="G169" s="22"/>
    </row>
    <row r="170" spans="1:16" ht="17.100000000000001" customHeight="1" x14ac:dyDescent="0.2">
      <c r="A170" s="22"/>
      <c r="B170" s="172" t="s">
        <v>139</v>
      </c>
      <c r="C170" s="173"/>
      <c r="D170" s="27">
        <v>0.38145678967279145</v>
      </c>
      <c r="E170" s="22"/>
      <c r="F170" s="19"/>
      <c r="G170" s="25"/>
    </row>
    <row r="171" spans="1:16" ht="17.100000000000001" customHeight="1" x14ac:dyDescent="0.2">
      <c r="A171" s="22"/>
      <c r="B171" s="172" t="s">
        <v>140</v>
      </c>
      <c r="C171" s="173"/>
      <c r="D171" s="2" t="s">
        <v>126</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476</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73643</v>
      </c>
      <c r="F7" s="6">
        <v>813.68150700000001</v>
      </c>
      <c r="G7" s="7">
        <v>3.0405341999999998E-2</v>
      </c>
      <c r="H7" s="69"/>
    </row>
    <row r="8" spans="1:14" x14ac:dyDescent="0.2">
      <c r="A8" s="3">
        <v>2</v>
      </c>
      <c r="B8" s="4" t="s">
        <v>25</v>
      </c>
      <c r="C8" s="4" t="s">
        <v>26</v>
      </c>
      <c r="D8" s="4" t="s">
        <v>27</v>
      </c>
      <c r="E8" s="5">
        <v>50163</v>
      </c>
      <c r="F8" s="6">
        <v>809.25459750000005</v>
      </c>
      <c r="G8" s="7">
        <v>3.0239919000000001E-2</v>
      </c>
      <c r="H8" s="69"/>
    </row>
    <row r="9" spans="1:14" x14ac:dyDescent="0.2">
      <c r="A9" s="3">
        <v>3</v>
      </c>
      <c r="B9" s="4" t="s">
        <v>142</v>
      </c>
      <c r="C9" s="4" t="s">
        <v>143</v>
      </c>
      <c r="D9" s="4" t="s">
        <v>144</v>
      </c>
      <c r="E9" s="5">
        <v>20245</v>
      </c>
      <c r="F9" s="6">
        <v>757.36545000000001</v>
      </c>
      <c r="G9" s="7">
        <v>2.8300945000000001E-2</v>
      </c>
      <c r="H9" s="69"/>
    </row>
    <row r="10" spans="1:14" x14ac:dyDescent="0.2">
      <c r="A10" s="3">
        <v>4</v>
      </c>
      <c r="B10" s="4" t="s">
        <v>79</v>
      </c>
      <c r="C10" s="4" t="s">
        <v>80</v>
      </c>
      <c r="D10" s="4" t="s">
        <v>75</v>
      </c>
      <c r="E10" s="5">
        <v>180891</v>
      </c>
      <c r="F10" s="6">
        <v>675.08521199999996</v>
      </c>
      <c r="G10" s="7">
        <v>2.5226327999999999E-2</v>
      </c>
      <c r="H10" s="69"/>
    </row>
    <row r="11" spans="1:14" x14ac:dyDescent="0.2">
      <c r="A11" s="3">
        <v>5</v>
      </c>
      <c r="B11" s="4" t="s">
        <v>149</v>
      </c>
      <c r="C11" s="4" t="s">
        <v>150</v>
      </c>
      <c r="D11" s="4" t="s">
        <v>75</v>
      </c>
      <c r="E11" s="5">
        <v>109944</v>
      </c>
      <c r="F11" s="6">
        <v>661.42310399999997</v>
      </c>
      <c r="G11" s="7">
        <v>2.4715806999999999E-2</v>
      </c>
      <c r="H11" s="69"/>
    </row>
    <row r="12" spans="1:14" x14ac:dyDescent="0.2">
      <c r="A12" s="3">
        <v>6</v>
      </c>
      <c r="B12" s="4" t="s">
        <v>147</v>
      </c>
      <c r="C12" s="4" t="s">
        <v>148</v>
      </c>
      <c r="D12" s="4" t="s">
        <v>78</v>
      </c>
      <c r="E12" s="5">
        <v>543584</v>
      </c>
      <c r="F12" s="6">
        <v>659.09559999999999</v>
      </c>
      <c r="G12" s="7">
        <v>2.4628833999999999E-2</v>
      </c>
      <c r="H12" s="69"/>
    </row>
    <row r="13" spans="1:14" x14ac:dyDescent="0.2">
      <c r="A13" s="3">
        <v>7</v>
      </c>
      <c r="B13" s="4" t="s">
        <v>165</v>
      </c>
      <c r="C13" s="4" t="s">
        <v>166</v>
      </c>
      <c r="D13" s="4" t="s">
        <v>155</v>
      </c>
      <c r="E13" s="5">
        <v>131885</v>
      </c>
      <c r="F13" s="6">
        <v>652.36915250000004</v>
      </c>
      <c r="G13" s="7">
        <v>2.4377482999999998E-2</v>
      </c>
      <c r="H13" s="69"/>
    </row>
    <row r="14" spans="1:14" x14ac:dyDescent="0.2">
      <c r="A14" s="3">
        <v>8</v>
      </c>
      <c r="B14" s="4" t="s">
        <v>461</v>
      </c>
      <c r="C14" s="4" t="s">
        <v>462</v>
      </c>
      <c r="D14" s="4" t="s">
        <v>75</v>
      </c>
      <c r="E14" s="5">
        <v>164997</v>
      </c>
      <c r="F14" s="6">
        <v>641.59083450000003</v>
      </c>
      <c r="G14" s="7">
        <v>2.3974723E-2</v>
      </c>
      <c r="H14" s="69"/>
    </row>
    <row r="15" spans="1:14" ht="25.5" x14ac:dyDescent="0.2">
      <c r="A15" s="3">
        <v>9</v>
      </c>
      <c r="B15" s="4" t="s">
        <v>151</v>
      </c>
      <c r="C15" s="4" t="s">
        <v>152</v>
      </c>
      <c r="D15" s="4" t="s">
        <v>45</v>
      </c>
      <c r="E15" s="5">
        <v>426752</v>
      </c>
      <c r="F15" s="6">
        <v>636.50060800000006</v>
      </c>
      <c r="G15" s="7">
        <v>2.3784513E-2</v>
      </c>
      <c r="H15" s="69"/>
    </row>
    <row r="16" spans="1:14" ht="15" x14ac:dyDescent="0.2">
      <c r="A16" s="3">
        <v>10</v>
      </c>
      <c r="B16" s="4" t="s">
        <v>41</v>
      </c>
      <c r="C16" s="4" t="s">
        <v>42</v>
      </c>
      <c r="D16" s="4" t="s">
        <v>27</v>
      </c>
      <c r="E16" s="5">
        <v>48732</v>
      </c>
      <c r="F16" s="6">
        <v>605.22707400000002</v>
      </c>
      <c r="G16" s="7">
        <v>2.2615895E-2</v>
      </c>
      <c r="H16" s="69"/>
      <c r="J16" s="160" t="s">
        <v>1015</v>
      </c>
    </row>
    <row r="17" spans="1:8" x14ac:dyDescent="0.2">
      <c r="A17" s="3">
        <v>11</v>
      </c>
      <c r="B17" s="4" t="s">
        <v>301</v>
      </c>
      <c r="C17" s="4" t="s">
        <v>302</v>
      </c>
      <c r="D17" s="4" t="s">
        <v>27</v>
      </c>
      <c r="E17" s="5">
        <v>87229</v>
      </c>
      <c r="F17" s="6">
        <v>590.88924599999996</v>
      </c>
      <c r="G17" s="7">
        <v>2.2080124999999999E-2</v>
      </c>
      <c r="H17" s="69"/>
    </row>
    <row r="18" spans="1:8" x14ac:dyDescent="0.2">
      <c r="A18" s="3">
        <v>12</v>
      </c>
      <c r="B18" s="4" t="s">
        <v>158</v>
      </c>
      <c r="C18" s="4" t="s">
        <v>159</v>
      </c>
      <c r="D18" s="4" t="s">
        <v>160</v>
      </c>
      <c r="E18" s="5">
        <v>36123</v>
      </c>
      <c r="F18" s="6">
        <v>586.11373649999996</v>
      </c>
      <c r="G18" s="7">
        <v>2.1901675999999998E-2</v>
      </c>
      <c r="H18" s="69"/>
    </row>
    <row r="19" spans="1:8" x14ac:dyDescent="0.2">
      <c r="A19" s="3">
        <v>13</v>
      </c>
      <c r="B19" s="4" t="s">
        <v>153</v>
      </c>
      <c r="C19" s="4" t="s">
        <v>154</v>
      </c>
      <c r="D19" s="4" t="s">
        <v>155</v>
      </c>
      <c r="E19" s="5">
        <v>13964</v>
      </c>
      <c r="F19" s="6">
        <v>577.94203200000004</v>
      </c>
      <c r="G19" s="7">
        <v>2.1596318E-2</v>
      </c>
      <c r="H19" s="69"/>
    </row>
    <row r="20" spans="1:8" x14ac:dyDescent="0.2">
      <c r="A20" s="3">
        <v>14</v>
      </c>
      <c r="B20" s="4" t="s">
        <v>156</v>
      </c>
      <c r="C20" s="4" t="s">
        <v>157</v>
      </c>
      <c r="D20" s="4" t="s">
        <v>27</v>
      </c>
      <c r="E20" s="5">
        <v>73884</v>
      </c>
      <c r="F20" s="6">
        <v>573.26595599999996</v>
      </c>
      <c r="G20" s="7">
        <v>2.1421585E-2</v>
      </c>
      <c r="H20" s="69"/>
    </row>
    <row r="21" spans="1:8" x14ac:dyDescent="0.2">
      <c r="A21" s="3">
        <v>15</v>
      </c>
      <c r="B21" s="4" t="s">
        <v>56</v>
      </c>
      <c r="C21" s="4" t="s">
        <v>57</v>
      </c>
      <c r="D21" s="4" t="s">
        <v>53</v>
      </c>
      <c r="E21" s="5">
        <v>110331</v>
      </c>
      <c r="F21" s="6">
        <v>554.35810949999996</v>
      </c>
      <c r="G21" s="7">
        <v>2.0715042999999999E-2</v>
      </c>
      <c r="H21" s="69"/>
    </row>
    <row r="22" spans="1:8" x14ac:dyDescent="0.2">
      <c r="A22" s="3">
        <v>16</v>
      </c>
      <c r="B22" s="4" t="s">
        <v>176</v>
      </c>
      <c r="C22" s="4" t="s">
        <v>177</v>
      </c>
      <c r="D22" s="4" t="s">
        <v>78</v>
      </c>
      <c r="E22" s="5">
        <v>65065</v>
      </c>
      <c r="F22" s="6">
        <v>526.63611000000003</v>
      </c>
      <c r="G22" s="7">
        <v>1.9679137999999999E-2</v>
      </c>
      <c r="H22" s="69"/>
    </row>
    <row r="23" spans="1:8" ht="25.5" x14ac:dyDescent="0.2">
      <c r="A23" s="3">
        <v>17</v>
      </c>
      <c r="B23" s="4" t="s">
        <v>37</v>
      </c>
      <c r="C23" s="4" t="s">
        <v>38</v>
      </c>
      <c r="D23" s="4" t="s">
        <v>974</v>
      </c>
      <c r="E23" s="5">
        <v>14971</v>
      </c>
      <c r="F23" s="6">
        <v>484.30436450000002</v>
      </c>
      <c r="G23" s="7">
        <v>1.8097301999999999E-2</v>
      </c>
      <c r="H23" s="69"/>
    </row>
    <row r="24" spans="1:8" x14ac:dyDescent="0.2">
      <c r="A24" s="3">
        <v>18</v>
      </c>
      <c r="B24" s="4" t="s">
        <v>169</v>
      </c>
      <c r="C24" s="4" t="s">
        <v>170</v>
      </c>
      <c r="D24" s="4" t="s">
        <v>155</v>
      </c>
      <c r="E24" s="5">
        <v>38425</v>
      </c>
      <c r="F24" s="6">
        <v>441.46482500000002</v>
      </c>
      <c r="G24" s="7">
        <v>1.6496489999999999E-2</v>
      </c>
      <c r="H24" s="69"/>
    </row>
    <row r="25" spans="1:8" x14ac:dyDescent="0.2">
      <c r="A25" s="3">
        <v>19</v>
      </c>
      <c r="B25" s="4" t="s">
        <v>173</v>
      </c>
      <c r="C25" s="4" t="s">
        <v>174</v>
      </c>
      <c r="D25" s="4" t="s">
        <v>175</v>
      </c>
      <c r="E25" s="5">
        <v>171020</v>
      </c>
      <c r="F25" s="6">
        <v>432.76611000000003</v>
      </c>
      <c r="G25" s="7">
        <v>1.6171439999999999E-2</v>
      </c>
      <c r="H25" s="69"/>
    </row>
    <row r="26" spans="1:8" x14ac:dyDescent="0.2">
      <c r="A26" s="3">
        <v>20</v>
      </c>
      <c r="B26" s="4" t="s">
        <v>465</v>
      </c>
      <c r="C26" s="4" t="s">
        <v>466</v>
      </c>
      <c r="D26" s="4" t="s">
        <v>48</v>
      </c>
      <c r="E26" s="5">
        <v>61381</v>
      </c>
      <c r="F26" s="6">
        <v>421.47263650000002</v>
      </c>
      <c r="G26" s="7">
        <v>1.5749428999999999E-2</v>
      </c>
      <c r="H26" s="69"/>
    </row>
    <row r="27" spans="1:8" x14ac:dyDescent="0.2">
      <c r="A27" s="3">
        <v>21</v>
      </c>
      <c r="B27" s="4" t="s">
        <v>163</v>
      </c>
      <c r="C27" s="4" t="s">
        <v>164</v>
      </c>
      <c r="D27" s="4" t="s">
        <v>975</v>
      </c>
      <c r="E27" s="5">
        <v>102407</v>
      </c>
      <c r="F27" s="6">
        <v>409.88401750000003</v>
      </c>
      <c r="G27" s="7">
        <v>1.5316389999999999E-2</v>
      </c>
      <c r="H27" s="69"/>
    </row>
    <row r="28" spans="1:8" x14ac:dyDescent="0.2">
      <c r="A28" s="3">
        <v>22</v>
      </c>
      <c r="B28" s="4" t="s">
        <v>181</v>
      </c>
      <c r="C28" s="4" t="s">
        <v>182</v>
      </c>
      <c r="D28" s="4" t="s">
        <v>155</v>
      </c>
      <c r="E28" s="5">
        <v>37221</v>
      </c>
      <c r="F28" s="6">
        <v>376.84401450000001</v>
      </c>
      <c r="G28" s="7">
        <v>1.4081764E-2</v>
      </c>
      <c r="H28" s="69"/>
    </row>
    <row r="29" spans="1:8" ht="25.5" x14ac:dyDescent="0.2">
      <c r="A29" s="3">
        <v>23</v>
      </c>
      <c r="B29" s="4" t="s">
        <v>463</v>
      </c>
      <c r="C29" s="4" t="s">
        <v>464</v>
      </c>
      <c r="D29" s="4" t="s">
        <v>45</v>
      </c>
      <c r="E29" s="5">
        <v>23869</v>
      </c>
      <c r="F29" s="6">
        <v>363.19070399999998</v>
      </c>
      <c r="G29" s="7">
        <v>1.3571572E-2</v>
      </c>
      <c r="H29" s="69"/>
    </row>
    <row r="30" spans="1:8" x14ac:dyDescent="0.2">
      <c r="A30" s="3">
        <v>24</v>
      </c>
      <c r="B30" s="4" t="s">
        <v>187</v>
      </c>
      <c r="C30" s="4" t="s">
        <v>188</v>
      </c>
      <c r="D30" s="4" t="s">
        <v>978</v>
      </c>
      <c r="E30" s="5">
        <v>40169</v>
      </c>
      <c r="F30" s="6">
        <v>358.97026849999997</v>
      </c>
      <c r="G30" s="7">
        <v>1.3413865000000001E-2</v>
      </c>
      <c r="H30" s="69"/>
    </row>
    <row r="31" spans="1:8" x14ac:dyDescent="0.2">
      <c r="A31" s="3">
        <v>25</v>
      </c>
      <c r="B31" s="4" t="s">
        <v>210</v>
      </c>
      <c r="C31" s="4" t="s">
        <v>211</v>
      </c>
      <c r="D31" s="4" t="s">
        <v>53</v>
      </c>
      <c r="E31" s="5">
        <v>36572</v>
      </c>
      <c r="F31" s="6">
        <v>346.64770199999998</v>
      </c>
      <c r="G31" s="7">
        <v>1.29534E-2</v>
      </c>
      <c r="H31" s="69"/>
    </row>
    <row r="32" spans="1:8" x14ac:dyDescent="0.2">
      <c r="A32" s="3">
        <v>26</v>
      </c>
      <c r="B32" s="4" t="s">
        <v>161</v>
      </c>
      <c r="C32" s="4" t="s">
        <v>162</v>
      </c>
      <c r="D32" s="4" t="s">
        <v>22</v>
      </c>
      <c r="E32" s="5">
        <v>187695</v>
      </c>
      <c r="F32" s="6">
        <v>342.82491750000003</v>
      </c>
      <c r="G32" s="7">
        <v>1.2810551E-2</v>
      </c>
      <c r="H32" s="69"/>
    </row>
    <row r="33" spans="1:8" x14ac:dyDescent="0.2">
      <c r="A33" s="3">
        <v>27</v>
      </c>
      <c r="B33" s="4" t="s">
        <v>349</v>
      </c>
      <c r="C33" s="4" t="s">
        <v>350</v>
      </c>
      <c r="D33" s="4" t="s">
        <v>160</v>
      </c>
      <c r="E33" s="5">
        <v>7574</v>
      </c>
      <c r="F33" s="6">
        <v>338.74714999999998</v>
      </c>
      <c r="G33" s="7">
        <v>1.2658175000000001E-2</v>
      </c>
      <c r="H33" s="69"/>
    </row>
    <row r="34" spans="1:8" ht="25.5" x14ac:dyDescent="0.2">
      <c r="A34" s="3">
        <v>28</v>
      </c>
      <c r="B34" s="4" t="s">
        <v>189</v>
      </c>
      <c r="C34" s="4" t="s">
        <v>190</v>
      </c>
      <c r="D34" s="4" t="s">
        <v>974</v>
      </c>
      <c r="E34" s="5">
        <v>151609</v>
      </c>
      <c r="F34" s="6">
        <v>334.60106300000001</v>
      </c>
      <c r="G34" s="7">
        <v>1.2503245E-2</v>
      </c>
      <c r="H34" s="69"/>
    </row>
    <row r="35" spans="1:8" x14ac:dyDescent="0.2">
      <c r="A35" s="3">
        <v>29</v>
      </c>
      <c r="B35" s="4" t="s">
        <v>200</v>
      </c>
      <c r="C35" s="4" t="s">
        <v>201</v>
      </c>
      <c r="D35" s="4" t="s">
        <v>27</v>
      </c>
      <c r="E35" s="5">
        <v>16547</v>
      </c>
      <c r="F35" s="6">
        <v>334.398323</v>
      </c>
      <c r="G35" s="7">
        <v>1.249567E-2</v>
      </c>
      <c r="H35" s="69"/>
    </row>
    <row r="36" spans="1:8" x14ac:dyDescent="0.2">
      <c r="A36" s="3">
        <v>30</v>
      </c>
      <c r="B36" s="4" t="s">
        <v>191</v>
      </c>
      <c r="C36" s="4" t="s">
        <v>192</v>
      </c>
      <c r="D36" s="4" t="s">
        <v>53</v>
      </c>
      <c r="E36" s="5">
        <v>345255</v>
      </c>
      <c r="F36" s="6">
        <v>332.13531</v>
      </c>
      <c r="G36" s="7">
        <v>1.2411106E-2</v>
      </c>
      <c r="H36" s="69"/>
    </row>
    <row r="37" spans="1:8" x14ac:dyDescent="0.2">
      <c r="A37" s="3">
        <v>31</v>
      </c>
      <c r="B37" s="4" t="s">
        <v>198</v>
      </c>
      <c r="C37" s="4" t="s">
        <v>199</v>
      </c>
      <c r="D37" s="4" t="s">
        <v>78</v>
      </c>
      <c r="E37" s="5">
        <v>55940</v>
      </c>
      <c r="F37" s="6">
        <v>330.10194000000001</v>
      </c>
      <c r="G37" s="7">
        <v>1.2335123999999999E-2</v>
      </c>
      <c r="H37" s="69"/>
    </row>
    <row r="38" spans="1:8" ht="25.5" x14ac:dyDescent="0.2">
      <c r="A38" s="3">
        <v>32</v>
      </c>
      <c r="B38" s="4" t="s">
        <v>205</v>
      </c>
      <c r="C38" s="4" t="s">
        <v>206</v>
      </c>
      <c r="D38" s="4" t="s">
        <v>207</v>
      </c>
      <c r="E38" s="5">
        <v>76500</v>
      </c>
      <c r="F38" s="6">
        <v>326.57850000000002</v>
      </c>
      <c r="G38" s="7">
        <v>1.2203461000000001E-2</v>
      </c>
      <c r="H38" s="69"/>
    </row>
    <row r="39" spans="1:8" x14ac:dyDescent="0.2">
      <c r="A39" s="3">
        <v>33</v>
      </c>
      <c r="B39" s="4" t="s">
        <v>467</v>
      </c>
      <c r="C39" s="4" t="s">
        <v>468</v>
      </c>
      <c r="D39" s="4" t="s">
        <v>27</v>
      </c>
      <c r="E39" s="5">
        <v>35318</v>
      </c>
      <c r="F39" s="6">
        <v>324.11328600000002</v>
      </c>
      <c r="G39" s="7">
        <v>1.2111342000000001E-2</v>
      </c>
      <c r="H39" s="69"/>
    </row>
    <row r="40" spans="1:8" x14ac:dyDescent="0.2">
      <c r="A40" s="3">
        <v>34</v>
      </c>
      <c r="B40" s="4" t="s">
        <v>33</v>
      </c>
      <c r="C40" s="4" t="s">
        <v>34</v>
      </c>
      <c r="D40" s="4" t="s">
        <v>27</v>
      </c>
      <c r="E40" s="5">
        <v>11792</v>
      </c>
      <c r="F40" s="6">
        <v>315.78976</v>
      </c>
      <c r="G40" s="7">
        <v>1.1800312E-2</v>
      </c>
      <c r="H40" s="69"/>
    </row>
    <row r="41" spans="1:8" x14ac:dyDescent="0.2">
      <c r="A41" s="3">
        <v>35</v>
      </c>
      <c r="B41" s="4" t="s">
        <v>469</v>
      </c>
      <c r="C41" s="4" t="s">
        <v>470</v>
      </c>
      <c r="D41" s="4" t="s">
        <v>75</v>
      </c>
      <c r="E41" s="5">
        <v>32427</v>
      </c>
      <c r="F41" s="6">
        <v>307.66737599999999</v>
      </c>
      <c r="G41" s="7">
        <v>1.1496798000000001E-2</v>
      </c>
      <c r="H41" s="69"/>
    </row>
    <row r="42" spans="1:8" x14ac:dyDescent="0.2">
      <c r="A42" s="3">
        <v>36</v>
      </c>
      <c r="B42" s="4" t="s">
        <v>208</v>
      </c>
      <c r="C42" s="4" t="s">
        <v>209</v>
      </c>
      <c r="D42" s="4" t="s">
        <v>78</v>
      </c>
      <c r="E42" s="5">
        <v>611244</v>
      </c>
      <c r="F42" s="6">
        <v>306.84448800000001</v>
      </c>
      <c r="G42" s="7">
        <v>1.1466048E-2</v>
      </c>
      <c r="H42" s="69"/>
    </row>
    <row r="43" spans="1:8" x14ac:dyDescent="0.2">
      <c r="A43" s="3">
        <v>37</v>
      </c>
      <c r="B43" s="4" t="s">
        <v>193</v>
      </c>
      <c r="C43" s="4" t="s">
        <v>194</v>
      </c>
      <c r="D43" s="4" t="s">
        <v>195</v>
      </c>
      <c r="E43" s="5">
        <v>62869</v>
      </c>
      <c r="F43" s="6">
        <v>302.33702099999999</v>
      </c>
      <c r="G43" s="7">
        <v>1.1297615E-2</v>
      </c>
      <c r="H43" s="69"/>
    </row>
    <row r="44" spans="1:8" x14ac:dyDescent="0.2">
      <c r="A44" s="3">
        <v>38</v>
      </c>
      <c r="B44" s="4" t="s">
        <v>216</v>
      </c>
      <c r="C44" s="4" t="s">
        <v>217</v>
      </c>
      <c r="D44" s="4" t="s">
        <v>75</v>
      </c>
      <c r="E44" s="5">
        <v>34229</v>
      </c>
      <c r="F44" s="6">
        <v>300.25678799999997</v>
      </c>
      <c r="G44" s="7">
        <v>1.1219882E-2</v>
      </c>
      <c r="H44" s="69"/>
    </row>
    <row r="45" spans="1:8" x14ac:dyDescent="0.2">
      <c r="A45" s="3">
        <v>39</v>
      </c>
      <c r="B45" s="4" t="s">
        <v>212</v>
      </c>
      <c r="C45" s="4" t="s">
        <v>213</v>
      </c>
      <c r="D45" s="4" t="s">
        <v>979</v>
      </c>
      <c r="E45" s="5">
        <v>53906</v>
      </c>
      <c r="F45" s="6">
        <v>295.67441000000002</v>
      </c>
      <c r="G45" s="7">
        <v>1.1048649000000001E-2</v>
      </c>
      <c r="H45" s="69"/>
    </row>
    <row r="46" spans="1:8" x14ac:dyDescent="0.2">
      <c r="A46" s="3">
        <v>40</v>
      </c>
      <c r="B46" s="4" t="s">
        <v>214</v>
      </c>
      <c r="C46" s="4" t="s">
        <v>215</v>
      </c>
      <c r="D46" s="4" t="s">
        <v>979</v>
      </c>
      <c r="E46" s="5">
        <v>28680</v>
      </c>
      <c r="F46" s="6">
        <v>292.63637999999997</v>
      </c>
      <c r="G46" s="7">
        <v>1.0935125E-2</v>
      </c>
      <c r="H46" s="69"/>
    </row>
    <row r="47" spans="1:8" x14ac:dyDescent="0.2">
      <c r="A47" s="3">
        <v>41</v>
      </c>
      <c r="B47" s="4" t="s">
        <v>167</v>
      </c>
      <c r="C47" s="4" t="s">
        <v>168</v>
      </c>
      <c r="D47" s="4" t="s">
        <v>976</v>
      </c>
      <c r="E47" s="5">
        <v>27469</v>
      </c>
      <c r="F47" s="6">
        <v>278.6043325</v>
      </c>
      <c r="G47" s="7">
        <v>1.0410780999999999E-2</v>
      </c>
      <c r="H47" s="69"/>
    </row>
    <row r="48" spans="1:8" x14ac:dyDescent="0.2">
      <c r="A48" s="3">
        <v>42</v>
      </c>
      <c r="B48" s="4" t="s">
        <v>202</v>
      </c>
      <c r="C48" s="4" t="s">
        <v>203</v>
      </c>
      <c r="D48" s="4" t="s">
        <v>204</v>
      </c>
      <c r="E48" s="5">
        <v>71675</v>
      </c>
      <c r="F48" s="6">
        <v>278.24234999999999</v>
      </c>
      <c r="G48" s="7">
        <v>1.0397254E-2</v>
      </c>
      <c r="H48" s="69"/>
    </row>
    <row r="49" spans="1:8" ht="25.5" x14ac:dyDescent="0.2">
      <c r="A49" s="3">
        <v>43</v>
      </c>
      <c r="B49" s="4" t="s">
        <v>222</v>
      </c>
      <c r="C49" s="4" t="s">
        <v>223</v>
      </c>
      <c r="D49" s="4" t="s">
        <v>207</v>
      </c>
      <c r="E49" s="5">
        <v>58166</v>
      </c>
      <c r="F49" s="6">
        <v>271.31530700000002</v>
      </c>
      <c r="G49" s="7">
        <v>1.0138407E-2</v>
      </c>
      <c r="H49" s="69"/>
    </row>
    <row r="50" spans="1:8" x14ac:dyDescent="0.2">
      <c r="A50" s="3">
        <v>44</v>
      </c>
      <c r="B50" s="4" t="s">
        <v>178</v>
      </c>
      <c r="C50" s="4" t="s">
        <v>179</v>
      </c>
      <c r="D50" s="4" t="s">
        <v>180</v>
      </c>
      <c r="E50" s="5">
        <v>28480</v>
      </c>
      <c r="F50" s="6">
        <v>268.33855999999997</v>
      </c>
      <c r="G50" s="7">
        <v>1.0027173E-2</v>
      </c>
      <c r="H50" s="69"/>
    </row>
    <row r="51" spans="1:8" x14ac:dyDescent="0.2">
      <c r="A51" s="3">
        <v>45</v>
      </c>
      <c r="B51" s="4" t="s">
        <v>225</v>
      </c>
      <c r="C51" s="4" t="s">
        <v>226</v>
      </c>
      <c r="D51" s="4" t="s">
        <v>204</v>
      </c>
      <c r="E51" s="5">
        <v>51431</v>
      </c>
      <c r="F51" s="6">
        <v>261.60378150000003</v>
      </c>
      <c r="G51" s="7">
        <v>9.7755110000000006E-3</v>
      </c>
      <c r="H51" s="69"/>
    </row>
    <row r="52" spans="1:8" x14ac:dyDescent="0.2">
      <c r="A52" s="3">
        <v>46</v>
      </c>
      <c r="B52" s="4" t="s">
        <v>219</v>
      </c>
      <c r="C52" s="4" t="s">
        <v>220</v>
      </c>
      <c r="D52" s="4" t="s">
        <v>221</v>
      </c>
      <c r="E52" s="5">
        <v>123782</v>
      </c>
      <c r="F52" s="6">
        <v>260.43732799999998</v>
      </c>
      <c r="G52" s="7">
        <v>9.731923E-3</v>
      </c>
      <c r="H52" s="69"/>
    </row>
    <row r="53" spans="1:8" x14ac:dyDescent="0.2">
      <c r="A53" s="3">
        <v>47</v>
      </c>
      <c r="B53" s="4" t="s">
        <v>289</v>
      </c>
      <c r="C53" s="4" t="s">
        <v>290</v>
      </c>
      <c r="D53" s="4" t="s">
        <v>27</v>
      </c>
      <c r="E53" s="5">
        <v>75316</v>
      </c>
      <c r="F53" s="6">
        <v>255.20826600000001</v>
      </c>
      <c r="G53" s="7">
        <v>9.536526E-3</v>
      </c>
      <c r="H53" s="69"/>
    </row>
    <row r="54" spans="1:8" x14ac:dyDescent="0.2">
      <c r="A54" s="3">
        <v>48</v>
      </c>
      <c r="B54" s="4" t="s">
        <v>295</v>
      </c>
      <c r="C54" s="4" t="s">
        <v>296</v>
      </c>
      <c r="D54" s="4" t="s">
        <v>27</v>
      </c>
      <c r="E54" s="5">
        <v>21572</v>
      </c>
      <c r="F54" s="6">
        <v>253.29842400000001</v>
      </c>
      <c r="G54" s="7">
        <v>9.4651590000000008E-3</v>
      </c>
      <c r="H54" s="69"/>
    </row>
    <row r="55" spans="1:8" x14ac:dyDescent="0.2">
      <c r="A55" s="3">
        <v>49</v>
      </c>
      <c r="B55" s="4" t="s">
        <v>227</v>
      </c>
      <c r="C55" s="4" t="s">
        <v>228</v>
      </c>
      <c r="D55" s="4" t="s">
        <v>976</v>
      </c>
      <c r="E55" s="5">
        <v>15766</v>
      </c>
      <c r="F55" s="6">
        <v>252.106223</v>
      </c>
      <c r="G55" s="7">
        <v>9.4206099999999994E-3</v>
      </c>
      <c r="H55" s="69"/>
    </row>
    <row r="56" spans="1:8" x14ac:dyDescent="0.2">
      <c r="A56" s="3">
        <v>50</v>
      </c>
      <c r="B56" s="4" t="s">
        <v>247</v>
      </c>
      <c r="C56" s="4" t="s">
        <v>248</v>
      </c>
      <c r="D56" s="4" t="s">
        <v>75</v>
      </c>
      <c r="E56" s="5">
        <v>98339</v>
      </c>
      <c r="F56" s="6">
        <v>245.50331349999999</v>
      </c>
      <c r="G56" s="7">
        <v>9.1738749999999997E-3</v>
      </c>
      <c r="H56" s="69"/>
    </row>
    <row r="57" spans="1:8" ht="25.5" x14ac:dyDescent="0.2">
      <c r="A57" s="3">
        <v>51</v>
      </c>
      <c r="B57" s="4" t="s">
        <v>233</v>
      </c>
      <c r="C57" s="4" t="s">
        <v>234</v>
      </c>
      <c r="D57" s="4" t="s">
        <v>207</v>
      </c>
      <c r="E57" s="5">
        <v>60710</v>
      </c>
      <c r="F57" s="6">
        <v>245.177335</v>
      </c>
      <c r="G57" s="7">
        <v>9.1616939999999997E-3</v>
      </c>
      <c r="H57" s="69"/>
    </row>
    <row r="58" spans="1:8" x14ac:dyDescent="0.2">
      <c r="A58" s="3">
        <v>52</v>
      </c>
      <c r="B58" s="4" t="s">
        <v>235</v>
      </c>
      <c r="C58" s="4" t="s">
        <v>236</v>
      </c>
      <c r="D58" s="4" t="s">
        <v>160</v>
      </c>
      <c r="E58" s="5">
        <v>65216</v>
      </c>
      <c r="F58" s="6">
        <v>244.85347200000001</v>
      </c>
      <c r="G58" s="7">
        <v>9.1495919999999998E-3</v>
      </c>
      <c r="H58" s="69"/>
    </row>
    <row r="59" spans="1:8" x14ac:dyDescent="0.2">
      <c r="A59" s="3">
        <v>53</v>
      </c>
      <c r="B59" s="4" t="s">
        <v>185</v>
      </c>
      <c r="C59" s="4" t="s">
        <v>186</v>
      </c>
      <c r="D59" s="4" t="s">
        <v>16</v>
      </c>
      <c r="E59" s="5">
        <v>81590</v>
      </c>
      <c r="F59" s="6">
        <v>240.77208999999999</v>
      </c>
      <c r="G59" s="7">
        <v>8.9970799999999993E-3</v>
      </c>
      <c r="H59" s="69"/>
    </row>
    <row r="60" spans="1:8" x14ac:dyDescent="0.2">
      <c r="A60" s="3">
        <v>54</v>
      </c>
      <c r="B60" s="4" t="s">
        <v>237</v>
      </c>
      <c r="C60" s="4" t="s">
        <v>238</v>
      </c>
      <c r="D60" s="4" t="s">
        <v>204</v>
      </c>
      <c r="E60" s="5">
        <v>14493</v>
      </c>
      <c r="F60" s="6">
        <v>237.496791</v>
      </c>
      <c r="G60" s="7">
        <v>8.8746899999999993E-3</v>
      </c>
      <c r="H60" s="69"/>
    </row>
    <row r="61" spans="1:8" ht="25.5" x14ac:dyDescent="0.2">
      <c r="A61" s="3">
        <v>55</v>
      </c>
      <c r="B61" s="4" t="s">
        <v>239</v>
      </c>
      <c r="C61" s="4" t="s">
        <v>240</v>
      </c>
      <c r="D61" s="4" t="s">
        <v>980</v>
      </c>
      <c r="E61" s="5">
        <v>235730</v>
      </c>
      <c r="F61" s="6">
        <v>235.96573000000001</v>
      </c>
      <c r="G61" s="7">
        <v>8.8174780000000001E-3</v>
      </c>
      <c r="H61" s="69"/>
    </row>
    <row r="62" spans="1:8" x14ac:dyDescent="0.2">
      <c r="A62" s="3">
        <v>56</v>
      </c>
      <c r="B62" s="4" t="s">
        <v>183</v>
      </c>
      <c r="C62" s="4" t="s">
        <v>184</v>
      </c>
      <c r="D62" s="4" t="s">
        <v>75</v>
      </c>
      <c r="E62" s="5">
        <v>24209</v>
      </c>
      <c r="F62" s="6">
        <v>230.348635</v>
      </c>
      <c r="G62" s="7">
        <v>8.6075800000000001E-3</v>
      </c>
      <c r="H62" s="69"/>
    </row>
    <row r="63" spans="1:8" ht="25.5" x14ac:dyDescent="0.2">
      <c r="A63" s="3">
        <v>57</v>
      </c>
      <c r="B63" s="4" t="s">
        <v>218</v>
      </c>
      <c r="C63" s="4" t="s">
        <v>869</v>
      </c>
      <c r="D63" s="4" t="s">
        <v>45</v>
      </c>
      <c r="E63" s="5">
        <v>104294</v>
      </c>
      <c r="F63" s="6">
        <v>216.827226</v>
      </c>
      <c r="G63" s="7">
        <v>8.1023169999999995E-3</v>
      </c>
      <c r="H63" s="69"/>
    </row>
    <row r="64" spans="1:8" x14ac:dyDescent="0.2">
      <c r="A64" s="3">
        <v>58</v>
      </c>
      <c r="B64" s="4" t="s">
        <v>283</v>
      </c>
      <c r="C64" s="4" t="s">
        <v>284</v>
      </c>
      <c r="D64" s="4" t="s">
        <v>32</v>
      </c>
      <c r="E64" s="5">
        <v>53690</v>
      </c>
      <c r="F64" s="6">
        <v>208.53196</v>
      </c>
      <c r="G64" s="7">
        <v>7.7923430000000002E-3</v>
      </c>
      <c r="H64" s="69"/>
    </row>
    <row r="65" spans="1:8" x14ac:dyDescent="0.2">
      <c r="A65" s="3">
        <v>59</v>
      </c>
      <c r="B65" s="4" t="s">
        <v>477</v>
      </c>
      <c r="C65" s="4" t="s">
        <v>478</v>
      </c>
      <c r="D65" s="4" t="s">
        <v>204</v>
      </c>
      <c r="E65" s="5">
        <v>40059</v>
      </c>
      <c r="F65" s="6">
        <v>202.29794999999999</v>
      </c>
      <c r="G65" s="7">
        <v>7.5593930000000002E-3</v>
      </c>
      <c r="H65" s="69"/>
    </row>
    <row r="66" spans="1:8" x14ac:dyDescent="0.2">
      <c r="A66" s="3">
        <v>60</v>
      </c>
      <c r="B66" s="4" t="s">
        <v>280</v>
      </c>
      <c r="C66" s="4" t="s">
        <v>281</v>
      </c>
      <c r="D66" s="4" t="s">
        <v>175</v>
      </c>
      <c r="E66" s="5">
        <v>27300</v>
      </c>
      <c r="F66" s="6">
        <v>190.40385000000001</v>
      </c>
      <c r="G66" s="7">
        <v>7.1149389999999998E-3</v>
      </c>
      <c r="H66" s="69"/>
    </row>
    <row r="67" spans="1:8" x14ac:dyDescent="0.2">
      <c r="A67" s="3">
        <v>61</v>
      </c>
      <c r="B67" s="4" t="s">
        <v>251</v>
      </c>
      <c r="C67" s="4" t="s">
        <v>252</v>
      </c>
      <c r="D67" s="4" t="s">
        <v>160</v>
      </c>
      <c r="E67" s="5">
        <v>29625</v>
      </c>
      <c r="F67" s="6">
        <v>172.269375</v>
      </c>
      <c r="G67" s="7">
        <v>6.4372969999999998E-3</v>
      </c>
      <c r="H67" s="69"/>
    </row>
    <row r="68" spans="1:8" x14ac:dyDescent="0.2">
      <c r="A68" s="3">
        <v>62</v>
      </c>
      <c r="B68" s="4" t="s">
        <v>253</v>
      </c>
      <c r="C68" s="4" t="s">
        <v>254</v>
      </c>
      <c r="D68" s="4" t="s">
        <v>65</v>
      </c>
      <c r="E68" s="5">
        <v>19778</v>
      </c>
      <c r="F68" s="6">
        <v>169.1019</v>
      </c>
      <c r="G68" s="7">
        <v>6.3189359999999998E-3</v>
      </c>
      <c r="H68" s="69"/>
    </row>
    <row r="69" spans="1:8" x14ac:dyDescent="0.2">
      <c r="A69" s="3">
        <v>63</v>
      </c>
      <c r="B69" s="4" t="s">
        <v>285</v>
      </c>
      <c r="C69" s="4" t="s">
        <v>286</v>
      </c>
      <c r="D69" s="4" t="s">
        <v>160</v>
      </c>
      <c r="E69" s="5">
        <v>24787</v>
      </c>
      <c r="F69" s="6">
        <v>167.8699575</v>
      </c>
      <c r="G69" s="7">
        <v>6.272901E-3</v>
      </c>
      <c r="H69" s="69"/>
    </row>
    <row r="70" spans="1:8" x14ac:dyDescent="0.2">
      <c r="A70" s="3">
        <v>64</v>
      </c>
      <c r="B70" s="4" t="s">
        <v>255</v>
      </c>
      <c r="C70" s="4" t="s">
        <v>256</v>
      </c>
      <c r="D70" s="4" t="s">
        <v>257</v>
      </c>
      <c r="E70" s="5">
        <v>72207</v>
      </c>
      <c r="F70" s="6">
        <v>160.588368</v>
      </c>
      <c r="G70" s="7">
        <v>6.0008049999999997E-3</v>
      </c>
      <c r="H70" s="69"/>
    </row>
    <row r="71" spans="1:8" ht="25.5" x14ac:dyDescent="0.2">
      <c r="A71" s="3">
        <v>65</v>
      </c>
      <c r="B71" s="4" t="s">
        <v>229</v>
      </c>
      <c r="C71" s="4" t="s">
        <v>230</v>
      </c>
      <c r="D71" s="4" t="s">
        <v>75</v>
      </c>
      <c r="E71" s="5">
        <v>8392</v>
      </c>
      <c r="F71" s="6">
        <v>159.32631599999999</v>
      </c>
      <c r="G71" s="7">
        <v>5.9536449999999996E-3</v>
      </c>
      <c r="H71" s="69"/>
    </row>
    <row r="72" spans="1:8" x14ac:dyDescent="0.2">
      <c r="A72" s="3">
        <v>66</v>
      </c>
      <c r="B72" s="4" t="s">
        <v>241</v>
      </c>
      <c r="C72" s="4" t="s">
        <v>242</v>
      </c>
      <c r="D72" s="4" t="s">
        <v>155</v>
      </c>
      <c r="E72" s="5">
        <v>13157</v>
      </c>
      <c r="F72" s="6">
        <v>158.61421350000001</v>
      </c>
      <c r="G72" s="7">
        <v>5.9270360000000001E-3</v>
      </c>
      <c r="H72" s="69"/>
    </row>
    <row r="73" spans="1:8" x14ac:dyDescent="0.2">
      <c r="A73" s="3">
        <v>67</v>
      </c>
      <c r="B73" s="4" t="s">
        <v>262</v>
      </c>
      <c r="C73" s="4" t="s">
        <v>263</v>
      </c>
      <c r="D73" s="4" t="s">
        <v>22</v>
      </c>
      <c r="E73" s="5">
        <v>191773</v>
      </c>
      <c r="F73" s="6">
        <v>157.34974650000001</v>
      </c>
      <c r="G73" s="7">
        <v>5.8797859999999997E-3</v>
      </c>
      <c r="H73" s="69"/>
    </row>
    <row r="74" spans="1:8" x14ac:dyDescent="0.2">
      <c r="A74" s="3">
        <v>68</v>
      </c>
      <c r="B74" s="4" t="s">
        <v>260</v>
      </c>
      <c r="C74" s="4" t="s">
        <v>261</v>
      </c>
      <c r="D74" s="4" t="s">
        <v>204</v>
      </c>
      <c r="E74" s="5">
        <v>2928</v>
      </c>
      <c r="F74" s="6">
        <v>155.90721600000001</v>
      </c>
      <c r="G74" s="7">
        <v>5.8258820000000001E-3</v>
      </c>
      <c r="H74" s="69"/>
    </row>
    <row r="75" spans="1:8" x14ac:dyDescent="0.2">
      <c r="A75" s="3">
        <v>69</v>
      </c>
      <c r="B75" s="4" t="s">
        <v>276</v>
      </c>
      <c r="C75" s="4" t="s">
        <v>277</v>
      </c>
      <c r="D75" s="4" t="s">
        <v>204</v>
      </c>
      <c r="E75" s="5">
        <v>47700</v>
      </c>
      <c r="F75" s="6">
        <v>135.11025000000001</v>
      </c>
      <c r="G75" s="7">
        <v>5.0487489999999999E-3</v>
      </c>
      <c r="H75" s="69"/>
    </row>
    <row r="76" spans="1:8" x14ac:dyDescent="0.2">
      <c r="A76" s="3">
        <v>70</v>
      </c>
      <c r="B76" s="4" t="s">
        <v>471</v>
      </c>
      <c r="C76" s="4" t="s">
        <v>472</v>
      </c>
      <c r="D76" s="4" t="s">
        <v>78</v>
      </c>
      <c r="E76" s="5">
        <v>26475</v>
      </c>
      <c r="F76" s="6">
        <v>133.26191249999999</v>
      </c>
      <c r="G76" s="7">
        <v>4.9796809999999997E-3</v>
      </c>
      <c r="H76" s="69"/>
    </row>
    <row r="77" spans="1:8" x14ac:dyDescent="0.2">
      <c r="A77" s="3">
        <v>71</v>
      </c>
      <c r="B77" s="4" t="s">
        <v>270</v>
      </c>
      <c r="C77" s="4" t="s">
        <v>271</v>
      </c>
      <c r="D77" s="4" t="s">
        <v>144</v>
      </c>
      <c r="E77" s="5">
        <v>22459</v>
      </c>
      <c r="F77" s="6">
        <v>128.600234</v>
      </c>
      <c r="G77" s="7">
        <v>4.805485E-3</v>
      </c>
      <c r="H77" s="69"/>
    </row>
    <row r="78" spans="1:8" x14ac:dyDescent="0.2">
      <c r="A78" s="3">
        <v>72</v>
      </c>
      <c r="B78" s="4" t="s">
        <v>249</v>
      </c>
      <c r="C78" s="4" t="s">
        <v>250</v>
      </c>
      <c r="D78" s="4" t="s">
        <v>334</v>
      </c>
      <c r="E78" s="5">
        <v>13264</v>
      </c>
      <c r="F78" s="6">
        <v>121.909424</v>
      </c>
      <c r="G78" s="7">
        <v>4.5554649999999999E-3</v>
      </c>
      <c r="H78" s="69"/>
    </row>
    <row r="79" spans="1:8" x14ac:dyDescent="0.2">
      <c r="A79" s="3">
        <v>73</v>
      </c>
      <c r="B79" s="4" t="s">
        <v>303</v>
      </c>
      <c r="C79" s="4" t="s">
        <v>304</v>
      </c>
      <c r="D79" s="4" t="s">
        <v>979</v>
      </c>
      <c r="E79" s="5">
        <v>319686</v>
      </c>
      <c r="F79" s="6">
        <v>111.090885</v>
      </c>
      <c r="G79" s="7">
        <v>4.1512019999999997E-3</v>
      </c>
      <c r="H79" s="69"/>
    </row>
    <row r="80" spans="1:8" x14ac:dyDescent="0.2">
      <c r="A80" s="3">
        <v>74</v>
      </c>
      <c r="B80" s="4" t="s">
        <v>274</v>
      </c>
      <c r="C80" s="4" t="s">
        <v>275</v>
      </c>
      <c r="D80" s="4" t="s">
        <v>155</v>
      </c>
      <c r="E80" s="5">
        <v>27624</v>
      </c>
      <c r="F80" s="6">
        <v>105.150756</v>
      </c>
      <c r="G80" s="7">
        <v>3.9292340000000002E-3</v>
      </c>
      <c r="H80" s="69"/>
    </row>
    <row r="81" spans="1:8" x14ac:dyDescent="0.2">
      <c r="A81" s="3">
        <v>75</v>
      </c>
      <c r="B81" s="4" t="s">
        <v>278</v>
      </c>
      <c r="C81" s="4" t="s">
        <v>279</v>
      </c>
      <c r="D81" s="4" t="s">
        <v>144</v>
      </c>
      <c r="E81" s="5">
        <v>8196</v>
      </c>
      <c r="F81" s="6">
        <v>82.656660000000002</v>
      </c>
      <c r="G81" s="7">
        <v>3.0886830000000001E-3</v>
      </c>
      <c r="H81" s="69"/>
    </row>
    <row r="82" spans="1:8" x14ac:dyDescent="0.2">
      <c r="A82" s="3">
        <v>76</v>
      </c>
      <c r="B82" s="4" t="s">
        <v>473</v>
      </c>
      <c r="C82" s="4" t="s">
        <v>474</v>
      </c>
      <c r="D82" s="4" t="s">
        <v>976</v>
      </c>
      <c r="E82" s="5">
        <v>55068</v>
      </c>
      <c r="F82" s="6">
        <v>46.559994000000003</v>
      </c>
      <c r="G82" s="7">
        <v>1.739836E-3</v>
      </c>
      <c r="H82" s="69"/>
    </row>
    <row r="83" spans="1:8" x14ac:dyDescent="0.2">
      <c r="A83" s="1"/>
      <c r="B83" s="1"/>
      <c r="C83" s="2" t="s">
        <v>95</v>
      </c>
      <c r="D83" s="1"/>
      <c r="E83" s="1" t="s">
        <v>96</v>
      </c>
      <c r="F83" s="9">
        <v>25783.749817</v>
      </c>
      <c r="G83" s="10">
        <v>0.96347737700000002</v>
      </c>
      <c r="H83" s="69"/>
    </row>
    <row r="84" spans="1:8" x14ac:dyDescent="0.2">
      <c r="A84" s="1"/>
      <c r="B84" s="1"/>
      <c r="C84" s="11"/>
      <c r="D84" s="1"/>
      <c r="E84" s="1"/>
      <c r="F84" s="12"/>
      <c r="G84" s="12"/>
      <c r="H84" s="69"/>
    </row>
    <row r="85" spans="1:8" x14ac:dyDescent="0.2">
      <c r="A85" s="1"/>
      <c r="B85" s="1"/>
      <c r="C85" s="2" t="s">
        <v>97</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98</v>
      </c>
      <c r="D88" s="1"/>
      <c r="E88" s="1"/>
      <c r="F88" s="1"/>
      <c r="G88" s="1"/>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99</v>
      </c>
      <c r="D91" s="1"/>
      <c r="E91" s="1"/>
      <c r="F91" s="1"/>
      <c r="G91" s="1"/>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101</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102</v>
      </c>
      <c r="D100" s="1"/>
      <c r="E100" s="1"/>
      <c r="F100" s="9">
        <v>25783.749817</v>
      </c>
      <c r="G100" s="10">
        <v>0.96347737700000002</v>
      </c>
      <c r="H100" s="69"/>
    </row>
    <row r="101" spans="1:8" x14ac:dyDescent="0.2">
      <c r="A101" s="1"/>
      <c r="B101" s="1"/>
      <c r="C101" s="11"/>
      <c r="D101" s="1"/>
      <c r="E101" s="1"/>
      <c r="F101" s="12"/>
      <c r="G101" s="12"/>
      <c r="H101" s="69"/>
    </row>
    <row r="102" spans="1:8" x14ac:dyDescent="0.2">
      <c r="A102" s="1"/>
      <c r="B102" s="1"/>
      <c r="C102" s="2" t="s">
        <v>103</v>
      </c>
      <c r="D102" s="1"/>
      <c r="E102" s="1"/>
      <c r="F102" s="12"/>
      <c r="G102" s="12"/>
      <c r="H102" s="69"/>
    </row>
    <row r="103" spans="1:8" ht="25.5" x14ac:dyDescent="0.2">
      <c r="A103" s="1"/>
      <c r="B103" s="1"/>
      <c r="C103" s="2" t="s">
        <v>10</v>
      </c>
      <c r="D103" s="1"/>
      <c r="E103" s="1"/>
      <c r="F103" s="12"/>
      <c r="G103" s="12"/>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104</v>
      </c>
      <c r="D106" s="1"/>
      <c r="E106" s="1"/>
      <c r="F106" s="1"/>
      <c r="G106" s="1"/>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105</v>
      </c>
      <c r="D109" s="1"/>
      <c r="E109" s="1"/>
      <c r="F109" s="1"/>
      <c r="G109" s="1"/>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106</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107</v>
      </c>
      <c r="D115" s="1"/>
      <c r="E115" s="1"/>
      <c r="F115" s="9">
        <v>0</v>
      </c>
      <c r="G115" s="10">
        <v>0</v>
      </c>
      <c r="H115" s="69"/>
    </row>
    <row r="116" spans="1:8" x14ac:dyDescent="0.2">
      <c r="A116" s="1"/>
      <c r="B116" s="1"/>
      <c r="C116" s="11"/>
      <c r="D116" s="1"/>
      <c r="E116" s="1"/>
      <c r="F116" s="12"/>
      <c r="G116" s="12"/>
      <c r="H116" s="69"/>
    </row>
    <row r="117" spans="1:8" x14ac:dyDescent="0.2">
      <c r="A117" s="1"/>
      <c r="B117" s="1"/>
      <c r="C117" s="2" t="s">
        <v>108</v>
      </c>
      <c r="D117" s="1"/>
      <c r="E117" s="1"/>
      <c r="F117" s="12"/>
      <c r="G117" s="12"/>
      <c r="H117" s="69"/>
    </row>
    <row r="118" spans="1:8" x14ac:dyDescent="0.2">
      <c r="A118" s="1"/>
      <c r="B118" s="1"/>
      <c r="C118" s="2" t="s">
        <v>109</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2" t="s">
        <v>110</v>
      </c>
      <c r="D121" s="1"/>
      <c r="E121" s="1"/>
      <c r="F121" s="12"/>
      <c r="G121" s="12"/>
      <c r="H121" s="69"/>
    </row>
    <row r="122" spans="1:8" x14ac:dyDescent="0.2">
      <c r="A122" s="1"/>
      <c r="B122" s="1"/>
      <c r="C122" s="2" t="s">
        <v>95</v>
      </c>
      <c r="D122" s="1"/>
      <c r="E122" s="1" t="s">
        <v>96</v>
      </c>
      <c r="F122" s="13">
        <v>0</v>
      </c>
      <c r="G122" s="14">
        <v>0</v>
      </c>
      <c r="H122" s="69"/>
    </row>
    <row r="123" spans="1:8" x14ac:dyDescent="0.2">
      <c r="A123" s="1"/>
      <c r="B123" s="1"/>
      <c r="C123" s="11"/>
      <c r="D123" s="1"/>
      <c r="E123" s="1"/>
      <c r="F123" s="12"/>
      <c r="G123" s="12"/>
      <c r="H123" s="69"/>
    </row>
    <row r="124" spans="1:8" x14ac:dyDescent="0.2">
      <c r="A124" s="1"/>
      <c r="B124" s="1"/>
      <c r="C124" s="2" t="s">
        <v>111</v>
      </c>
      <c r="D124" s="1"/>
      <c r="E124" s="1"/>
      <c r="F124" s="12"/>
      <c r="G124" s="12"/>
      <c r="H124" s="69"/>
    </row>
    <row r="125" spans="1:8" x14ac:dyDescent="0.2">
      <c r="A125" s="1"/>
      <c r="B125" s="1"/>
      <c r="C125" s="2" t="s">
        <v>95</v>
      </c>
      <c r="D125" s="1"/>
      <c r="E125" s="1" t="s">
        <v>96</v>
      </c>
      <c r="F125" s="13">
        <v>0</v>
      </c>
      <c r="G125" s="14">
        <v>0</v>
      </c>
      <c r="H125" s="69"/>
    </row>
    <row r="126" spans="1:8" x14ac:dyDescent="0.2">
      <c r="A126" s="1"/>
      <c r="B126" s="1"/>
      <c r="C126" s="11"/>
      <c r="D126" s="1"/>
      <c r="E126" s="1"/>
      <c r="F126" s="12"/>
      <c r="G126" s="12"/>
      <c r="H126" s="69"/>
    </row>
    <row r="127" spans="1:8" x14ac:dyDescent="0.2">
      <c r="A127" s="1"/>
      <c r="B127" s="1"/>
      <c r="C127" s="2" t="s">
        <v>112</v>
      </c>
      <c r="D127" s="1"/>
      <c r="E127" s="1"/>
      <c r="F127" s="12"/>
      <c r="G127" s="12"/>
      <c r="H127" s="69"/>
    </row>
    <row r="128" spans="1:8" x14ac:dyDescent="0.2">
      <c r="A128" s="3">
        <v>1</v>
      </c>
      <c r="B128" s="4"/>
      <c r="C128" s="4" t="s">
        <v>113</v>
      </c>
      <c r="D128" s="4"/>
      <c r="E128" s="8"/>
      <c r="F128" s="6">
        <v>680.53589999999997</v>
      </c>
      <c r="G128" s="7">
        <v>2.5430007000000001E-2</v>
      </c>
      <c r="H128" s="6">
        <v>3.3628721504199861</v>
      </c>
    </row>
    <row r="129" spans="1:8" x14ac:dyDescent="0.2">
      <c r="A129" s="3">
        <v>2</v>
      </c>
      <c r="B129" s="4"/>
      <c r="C129" s="4" t="s">
        <v>114</v>
      </c>
      <c r="D129" s="4"/>
      <c r="E129" s="8"/>
      <c r="F129" s="6">
        <v>262.81681550000002</v>
      </c>
      <c r="G129" s="7">
        <v>9.8208389999999996E-3</v>
      </c>
      <c r="H129" s="6">
        <v>3.4499999999999966</v>
      </c>
    </row>
    <row r="130" spans="1:8" x14ac:dyDescent="0.2">
      <c r="A130" s="1"/>
      <c r="B130" s="1"/>
      <c r="C130" s="2" t="s">
        <v>95</v>
      </c>
      <c r="D130" s="1"/>
      <c r="E130" s="1" t="s">
        <v>96</v>
      </c>
      <c r="F130" s="9">
        <v>943.35271550000004</v>
      </c>
      <c r="G130" s="10">
        <v>3.5250846000000002E-2</v>
      </c>
      <c r="H130" s="69"/>
    </row>
    <row r="131" spans="1:8" x14ac:dyDescent="0.2">
      <c r="A131" s="1"/>
      <c r="B131" s="1"/>
      <c r="C131" s="11"/>
      <c r="D131" s="1"/>
      <c r="E131" s="1"/>
      <c r="F131" s="12"/>
      <c r="G131" s="12"/>
      <c r="H131" s="69"/>
    </row>
    <row r="132" spans="1:8" x14ac:dyDescent="0.2">
      <c r="A132" s="1"/>
      <c r="B132" s="1"/>
      <c r="C132" s="2" t="s">
        <v>115</v>
      </c>
      <c r="D132" s="1"/>
      <c r="E132" s="1"/>
      <c r="F132" s="9">
        <v>943.35271550000004</v>
      </c>
      <c r="G132" s="10">
        <v>3.5250846000000002E-2</v>
      </c>
      <c r="H132" s="69"/>
    </row>
    <row r="133" spans="1:8" x14ac:dyDescent="0.2">
      <c r="A133" s="1"/>
      <c r="B133" s="1"/>
      <c r="C133" s="12"/>
      <c r="D133" s="1"/>
      <c r="E133" s="1"/>
      <c r="F133" s="1"/>
      <c r="G133" s="1"/>
      <c r="H133" s="69"/>
    </row>
    <row r="134" spans="1:8" x14ac:dyDescent="0.2">
      <c r="A134" s="1"/>
      <c r="B134" s="1"/>
      <c r="C134" s="2" t="s">
        <v>116</v>
      </c>
      <c r="D134" s="1"/>
      <c r="E134" s="1"/>
      <c r="F134" s="1"/>
      <c r="G134" s="1"/>
      <c r="H134" s="69"/>
    </row>
    <row r="135" spans="1:8" x14ac:dyDescent="0.2">
      <c r="A135" s="1"/>
      <c r="B135" s="1"/>
      <c r="C135" s="2" t="s">
        <v>117</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2" t="s">
        <v>118</v>
      </c>
      <c r="D138" s="1"/>
      <c r="E138" s="1"/>
      <c r="F138" s="1"/>
      <c r="G138" s="1"/>
      <c r="H138" s="69"/>
    </row>
    <row r="139" spans="1:8" x14ac:dyDescent="0.2">
      <c r="A139" s="1"/>
      <c r="B139" s="1"/>
      <c r="C139" s="2" t="s">
        <v>119</v>
      </c>
      <c r="D139" s="1"/>
      <c r="E139" s="1"/>
      <c r="F139" s="1"/>
      <c r="G139" s="1"/>
      <c r="H139" s="69"/>
    </row>
    <row r="140" spans="1:8" x14ac:dyDescent="0.2">
      <c r="A140" s="1"/>
      <c r="B140" s="1"/>
      <c r="C140" s="2" t="s">
        <v>95</v>
      </c>
      <c r="D140" s="1"/>
      <c r="E140" s="1" t="s">
        <v>96</v>
      </c>
      <c r="F140" s="13">
        <v>0</v>
      </c>
      <c r="G140" s="14">
        <v>0</v>
      </c>
      <c r="H140" s="69"/>
    </row>
    <row r="141" spans="1:8" x14ac:dyDescent="0.2">
      <c r="A141" s="1"/>
      <c r="B141" s="1"/>
      <c r="C141" s="11"/>
      <c r="D141" s="1"/>
      <c r="E141" s="1"/>
      <c r="F141" s="12"/>
      <c r="G141" s="12"/>
      <c r="H141" s="69"/>
    </row>
    <row r="142" spans="1:8" x14ac:dyDescent="0.2">
      <c r="A142" s="1"/>
      <c r="B142" s="1"/>
      <c r="C142" s="11"/>
      <c r="D142" s="1"/>
      <c r="E142" s="1"/>
      <c r="F142" s="12"/>
      <c r="G142" s="12"/>
      <c r="H142" s="69"/>
    </row>
    <row r="143" spans="1:8" ht="25.5" x14ac:dyDescent="0.2">
      <c r="A143" s="1"/>
      <c r="B143" s="1"/>
      <c r="C143" s="2" t="s">
        <v>120</v>
      </c>
      <c r="D143" s="1"/>
      <c r="E143" s="1"/>
      <c r="F143" s="12"/>
      <c r="G143" s="12"/>
      <c r="H143" s="69"/>
    </row>
    <row r="144" spans="1:8" x14ac:dyDescent="0.2">
      <c r="A144" s="1"/>
      <c r="B144" s="1"/>
      <c r="C144" s="2" t="s">
        <v>95</v>
      </c>
      <c r="D144" s="1"/>
      <c r="E144" s="1" t="s">
        <v>96</v>
      </c>
      <c r="F144" s="13">
        <v>0</v>
      </c>
      <c r="G144" s="14">
        <v>0</v>
      </c>
      <c r="H144" s="69"/>
    </row>
    <row r="145" spans="1:8" x14ac:dyDescent="0.2">
      <c r="A145" s="1"/>
      <c r="B145" s="1"/>
      <c r="C145" s="11"/>
      <c r="D145" s="1"/>
      <c r="E145" s="1"/>
      <c r="F145" s="12"/>
      <c r="G145" s="12"/>
      <c r="H145" s="69"/>
    </row>
    <row r="146" spans="1:8" x14ac:dyDescent="0.2">
      <c r="A146" s="1"/>
      <c r="B146" s="4"/>
      <c r="C146" s="4"/>
      <c r="D146" s="2"/>
      <c r="E146" s="1"/>
      <c r="F146" s="4"/>
      <c r="G146" s="8"/>
      <c r="H146" s="69"/>
    </row>
    <row r="147" spans="1:8" x14ac:dyDescent="0.2">
      <c r="A147" s="8"/>
      <c r="B147" s="4"/>
      <c r="C147" s="4" t="s">
        <v>121</v>
      </c>
      <c r="D147" s="4"/>
      <c r="E147" s="8"/>
      <c r="F147" s="6">
        <v>34.034323110000003</v>
      </c>
      <c r="G147" s="7">
        <v>1.2717819999999999E-3</v>
      </c>
      <c r="H147" s="69"/>
    </row>
    <row r="148" spans="1:8" x14ac:dyDescent="0.2">
      <c r="A148" s="11"/>
      <c r="B148" s="11"/>
      <c r="C148" s="2" t="s">
        <v>122</v>
      </c>
      <c r="D148" s="15"/>
      <c r="E148" s="15"/>
      <c r="F148" s="9">
        <v>26761.136855609999</v>
      </c>
      <c r="G148" s="10">
        <v>1.000000005</v>
      </c>
      <c r="H148" s="69"/>
    </row>
    <row r="149" spans="1:8" ht="14.1" customHeight="1" x14ac:dyDescent="0.2">
      <c r="A149" s="16"/>
      <c r="B149" s="16"/>
      <c r="C149" s="16"/>
      <c r="D149" s="17"/>
      <c r="E149" s="17"/>
      <c r="F149" s="17"/>
      <c r="G149" s="17"/>
    </row>
    <row r="150" spans="1:8" ht="14.1" customHeight="1" x14ac:dyDescent="0.2">
      <c r="A150" s="18"/>
      <c r="B150" s="176" t="s">
        <v>96</v>
      </c>
      <c r="C150" s="176"/>
      <c r="D150" s="176"/>
      <c r="E150" s="176"/>
      <c r="F150" s="176"/>
      <c r="G150" s="20"/>
    </row>
    <row r="151" spans="1:8" ht="14.1" customHeight="1" x14ac:dyDescent="0.2">
      <c r="A151" s="18"/>
      <c r="B151" s="176" t="s">
        <v>96</v>
      </c>
      <c r="C151" s="176"/>
      <c r="D151" s="176"/>
      <c r="E151" s="176"/>
      <c r="F151" s="176"/>
      <c r="G151" s="20"/>
    </row>
    <row r="152" spans="1:8" ht="14.1" customHeight="1" x14ac:dyDescent="0.2">
      <c r="A152" s="18"/>
      <c r="B152" s="18"/>
      <c r="C152" s="18"/>
      <c r="D152" s="20"/>
      <c r="E152" s="20"/>
      <c r="F152" s="20"/>
      <c r="G152" s="20"/>
    </row>
    <row r="153" spans="1:8" ht="14.1" customHeight="1" x14ac:dyDescent="0.2">
      <c r="A153" s="18"/>
      <c r="B153" s="174" t="s">
        <v>124</v>
      </c>
      <c r="C153" s="175"/>
      <c r="D153" s="12" t="s">
        <v>96</v>
      </c>
      <c r="E153" s="21"/>
      <c r="F153" s="20"/>
      <c r="G153" s="20"/>
    </row>
    <row r="154" spans="1:8" ht="29.1" customHeight="1" x14ac:dyDescent="0.2">
      <c r="A154" s="18"/>
      <c r="B154" s="172" t="s">
        <v>125</v>
      </c>
      <c r="C154" s="173"/>
      <c r="D154" s="2" t="s">
        <v>126</v>
      </c>
      <c r="E154" s="21"/>
      <c r="F154" s="20"/>
      <c r="G154" s="20"/>
    </row>
    <row r="155" spans="1:8" ht="17.100000000000001" customHeight="1" x14ac:dyDescent="0.2">
      <c r="A155" s="18"/>
      <c r="B155" s="172" t="s">
        <v>127</v>
      </c>
      <c r="C155" s="173"/>
      <c r="D155" s="2" t="s">
        <v>126</v>
      </c>
      <c r="E155" s="21"/>
      <c r="F155" s="20"/>
      <c r="G155" s="20"/>
    </row>
    <row r="156" spans="1:8" ht="17.100000000000001" customHeight="1" x14ac:dyDescent="0.2">
      <c r="A156" s="18"/>
      <c r="B156" s="172" t="s">
        <v>128</v>
      </c>
      <c r="C156" s="173"/>
      <c r="D156" s="12" t="s">
        <v>96</v>
      </c>
      <c r="E156" s="21"/>
      <c r="F156" s="20"/>
      <c r="G156" s="20"/>
    </row>
    <row r="157" spans="1:8" ht="24" customHeight="1" x14ac:dyDescent="0.2">
      <c r="A157" s="22"/>
      <c r="B157" s="23" t="s">
        <v>96</v>
      </c>
      <c r="C157" s="23" t="s">
        <v>129</v>
      </c>
      <c r="D157" s="23" t="s">
        <v>130</v>
      </c>
      <c r="E157" s="22"/>
      <c r="F157" s="22"/>
      <c r="G157" s="22"/>
    </row>
    <row r="158" spans="1:8" ht="18" customHeight="1" x14ac:dyDescent="0.2">
      <c r="A158" s="22"/>
      <c r="B158" s="23" t="s">
        <v>131</v>
      </c>
      <c r="C158" s="23" t="s">
        <v>132</v>
      </c>
      <c r="D158" s="23" t="s">
        <v>133</v>
      </c>
      <c r="E158" s="22"/>
      <c r="F158" s="22"/>
      <c r="G158" s="22"/>
    </row>
    <row r="159" spans="1:8" ht="17.100000000000001" customHeight="1" x14ac:dyDescent="0.2">
      <c r="A159" s="22"/>
      <c r="B159" s="4" t="s">
        <v>134</v>
      </c>
      <c r="C159" s="24">
        <v>17.479800000000001</v>
      </c>
      <c r="D159" s="24">
        <v>17.5991</v>
      </c>
      <c r="E159" s="22"/>
      <c r="F159" s="19"/>
      <c r="G159" s="25"/>
    </row>
    <row r="160" spans="1:8" ht="17.100000000000001" customHeight="1" x14ac:dyDescent="0.2">
      <c r="A160" s="22"/>
      <c r="B160" s="4" t="s">
        <v>983</v>
      </c>
      <c r="C160" s="24">
        <v>17.158799999999999</v>
      </c>
      <c r="D160" s="24">
        <v>17.276</v>
      </c>
      <c r="E160" s="22"/>
      <c r="F160" s="19"/>
      <c r="G160" s="25"/>
    </row>
    <row r="161" spans="1:16" ht="17.100000000000001" customHeight="1" x14ac:dyDescent="0.2">
      <c r="A161" s="22"/>
      <c r="B161" s="4" t="s">
        <v>135</v>
      </c>
      <c r="C161" s="24">
        <v>16.993600000000001</v>
      </c>
      <c r="D161" s="24">
        <v>17.101099999999999</v>
      </c>
      <c r="E161" s="22"/>
      <c r="F161" s="19"/>
      <c r="G161" s="25"/>
    </row>
    <row r="162" spans="1:16" ht="17.100000000000001" customHeight="1" x14ac:dyDescent="0.2">
      <c r="A162" s="22"/>
      <c r="B162" s="4" t="s">
        <v>984</v>
      </c>
      <c r="C162" s="24">
        <v>16.673300000000001</v>
      </c>
      <c r="D162" s="24">
        <v>16.7789</v>
      </c>
      <c r="E162" s="22"/>
      <c r="F162" s="19"/>
      <c r="G162" s="25"/>
    </row>
    <row r="163" spans="1:16" ht="14.1" customHeight="1" x14ac:dyDescent="0.2">
      <c r="A163" s="22"/>
      <c r="B163" s="22"/>
      <c r="C163" s="22"/>
      <c r="D163" s="22"/>
      <c r="E163" s="22"/>
      <c r="F163" s="22"/>
      <c r="G163" s="22"/>
    </row>
    <row r="164" spans="1:16" ht="17.100000000000001" customHeight="1" x14ac:dyDescent="0.2">
      <c r="A164" s="22"/>
      <c r="B164" s="172" t="s">
        <v>985</v>
      </c>
      <c r="C164" s="173"/>
      <c r="D164" s="2" t="s">
        <v>126</v>
      </c>
      <c r="E164" s="22"/>
      <c r="F164" s="22"/>
      <c r="G164" s="22"/>
      <c r="I164" s="82"/>
      <c r="J164" s="82"/>
      <c r="K164" s="82"/>
      <c r="L164" s="82"/>
      <c r="M164" s="82"/>
      <c r="N164" s="82"/>
      <c r="O164" s="82"/>
    </row>
    <row r="165" spans="1:16" ht="18" customHeight="1" x14ac:dyDescent="0.2">
      <c r="A165" s="22"/>
      <c r="B165" s="26" t="s">
        <v>136</v>
      </c>
      <c r="C165" s="26" t="s">
        <v>136</v>
      </c>
      <c r="D165" s="26"/>
      <c r="E165" s="22"/>
      <c r="F165" s="22"/>
      <c r="G165" s="22"/>
    </row>
    <row r="166" spans="1:16" s="82" customFormat="1" x14ac:dyDescent="0.2">
      <c r="B166" s="177" t="s">
        <v>936</v>
      </c>
      <c r="C166" s="177"/>
      <c r="D166" s="177"/>
      <c r="E166" s="177"/>
      <c r="F166" s="177"/>
      <c r="I166"/>
      <c r="J166"/>
      <c r="K166"/>
      <c r="L166"/>
      <c r="M166"/>
      <c r="N166"/>
      <c r="O166"/>
      <c r="P166" s="70"/>
    </row>
    <row r="167" spans="1:16" ht="14.1" customHeight="1" x14ac:dyDescent="0.2">
      <c r="A167" s="22"/>
      <c r="B167" s="19"/>
      <c r="C167" s="19"/>
      <c r="D167" s="22"/>
      <c r="E167" s="22"/>
      <c r="F167" s="22"/>
      <c r="G167" s="22"/>
    </row>
    <row r="168" spans="1:16" ht="29.1" customHeight="1" x14ac:dyDescent="0.2">
      <c r="A168" s="22"/>
      <c r="B168" s="172" t="s">
        <v>137</v>
      </c>
      <c r="C168" s="173"/>
      <c r="D168" s="2" t="s">
        <v>126</v>
      </c>
      <c r="E168" s="22"/>
      <c r="F168" s="22"/>
      <c r="G168" s="22"/>
    </row>
    <row r="169" spans="1:16" ht="29.1" customHeight="1" x14ac:dyDescent="0.2">
      <c r="A169" s="22"/>
      <c r="B169" s="172" t="s">
        <v>138</v>
      </c>
      <c r="C169" s="173"/>
      <c r="D169" s="2" t="s">
        <v>126</v>
      </c>
      <c r="E169" s="22"/>
      <c r="F169" s="22"/>
      <c r="G169" s="22"/>
    </row>
    <row r="170" spans="1:16" ht="17.100000000000001" customHeight="1" x14ac:dyDescent="0.2">
      <c r="A170" s="22"/>
      <c r="B170" s="172" t="s">
        <v>139</v>
      </c>
      <c r="C170" s="173"/>
      <c r="D170" s="27">
        <v>0.38982721664427006</v>
      </c>
      <c r="E170" s="22"/>
      <c r="F170" s="19"/>
      <c r="G170" s="25"/>
    </row>
    <row r="171" spans="1:16" ht="17.100000000000001" customHeight="1" x14ac:dyDescent="0.2">
      <c r="A171" s="22"/>
      <c r="B171" s="172" t="s">
        <v>140</v>
      </c>
      <c r="C171" s="173"/>
      <c r="D171" s="2" t="s">
        <v>126</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479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58698</v>
      </c>
      <c r="F7" s="6">
        <v>648.55420200000003</v>
      </c>
      <c r="G7" s="7">
        <v>3.4065456000000001E-2</v>
      </c>
      <c r="H7" s="69"/>
    </row>
    <row r="8" spans="1:14" x14ac:dyDescent="0.2">
      <c r="A8" s="3">
        <v>2</v>
      </c>
      <c r="B8" s="4" t="s">
        <v>25</v>
      </c>
      <c r="C8" s="4" t="s">
        <v>26</v>
      </c>
      <c r="D8" s="4" t="s">
        <v>27</v>
      </c>
      <c r="E8" s="5">
        <v>35803</v>
      </c>
      <c r="F8" s="6">
        <v>577.59189749999996</v>
      </c>
      <c r="G8" s="7">
        <v>3.0338145E-2</v>
      </c>
      <c r="H8" s="69"/>
    </row>
    <row r="9" spans="1:14" x14ac:dyDescent="0.2">
      <c r="A9" s="3">
        <v>3</v>
      </c>
      <c r="B9" s="4" t="s">
        <v>142</v>
      </c>
      <c r="C9" s="4" t="s">
        <v>143</v>
      </c>
      <c r="D9" s="4" t="s">
        <v>144</v>
      </c>
      <c r="E9" s="5">
        <v>14492</v>
      </c>
      <c r="F9" s="6">
        <v>542.14571999999998</v>
      </c>
      <c r="G9" s="7">
        <v>2.8476326E-2</v>
      </c>
      <c r="H9" s="69"/>
    </row>
    <row r="10" spans="1:14" x14ac:dyDescent="0.2">
      <c r="A10" s="3">
        <v>4</v>
      </c>
      <c r="B10" s="4" t="s">
        <v>79</v>
      </c>
      <c r="C10" s="4" t="s">
        <v>80</v>
      </c>
      <c r="D10" s="4" t="s">
        <v>75</v>
      </c>
      <c r="E10" s="5">
        <v>129113</v>
      </c>
      <c r="F10" s="6">
        <v>481.849716</v>
      </c>
      <c r="G10" s="7">
        <v>2.5309265000000001E-2</v>
      </c>
      <c r="H10" s="69"/>
    </row>
    <row r="11" spans="1:14" x14ac:dyDescent="0.2">
      <c r="A11" s="3">
        <v>5</v>
      </c>
      <c r="B11" s="4" t="s">
        <v>149</v>
      </c>
      <c r="C11" s="4" t="s">
        <v>150</v>
      </c>
      <c r="D11" s="4" t="s">
        <v>75</v>
      </c>
      <c r="E11" s="5">
        <v>79850</v>
      </c>
      <c r="F11" s="6">
        <v>480.37759999999997</v>
      </c>
      <c r="G11" s="7">
        <v>2.5231942E-2</v>
      </c>
      <c r="H11" s="69"/>
    </row>
    <row r="12" spans="1:14" x14ac:dyDescent="0.2">
      <c r="A12" s="3">
        <v>6</v>
      </c>
      <c r="B12" s="4" t="s">
        <v>147</v>
      </c>
      <c r="C12" s="4" t="s">
        <v>148</v>
      </c>
      <c r="D12" s="4" t="s">
        <v>78</v>
      </c>
      <c r="E12" s="5">
        <v>390579</v>
      </c>
      <c r="F12" s="6">
        <v>473.57703750000002</v>
      </c>
      <c r="G12" s="7">
        <v>2.4874740999999999E-2</v>
      </c>
      <c r="H12" s="69"/>
    </row>
    <row r="13" spans="1:14" x14ac:dyDescent="0.2">
      <c r="A13" s="3">
        <v>7</v>
      </c>
      <c r="B13" s="4" t="s">
        <v>165</v>
      </c>
      <c r="C13" s="4" t="s">
        <v>166</v>
      </c>
      <c r="D13" s="4" t="s">
        <v>155</v>
      </c>
      <c r="E13" s="5">
        <v>93936</v>
      </c>
      <c r="F13" s="6">
        <v>464.65442400000001</v>
      </c>
      <c r="G13" s="7">
        <v>2.4406078000000001E-2</v>
      </c>
      <c r="H13" s="69"/>
    </row>
    <row r="14" spans="1:14" ht="25.5" x14ac:dyDescent="0.2">
      <c r="A14" s="3">
        <v>8</v>
      </c>
      <c r="B14" s="4" t="s">
        <v>151</v>
      </c>
      <c r="C14" s="4" t="s">
        <v>152</v>
      </c>
      <c r="D14" s="4" t="s">
        <v>45</v>
      </c>
      <c r="E14" s="5">
        <v>304491</v>
      </c>
      <c r="F14" s="6">
        <v>454.1483265</v>
      </c>
      <c r="G14" s="7">
        <v>2.3854243000000001E-2</v>
      </c>
      <c r="H14" s="69"/>
    </row>
    <row r="15" spans="1:14" x14ac:dyDescent="0.2">
      <c r="A15" s="3">
        <v>9</v>
      </c>
      <c r="B15" s="4" t="s">
        <v>301</v>
      </c>
      <c r="C15" s="4" t="s">
        <v>302</v>
      </c>
      <c r="D15" s="4" t="s">
        <v>27</v>
      </c>
      <c r="E15" s="5">
        <v>64998</v>
      </c>
      <c r="F15" s="6">
        <v>440.29645199999999</v>
      </c>
      <c r="G15" s="7">
        <v>2.3126669999999998E-2</v>
      </c>
      <c r="H15" s="69"/>
    </row>
    <row r="16" spans="1:14" ht="15" x14ac:dyDescent="0.2">
      <c r="A16" s="3">
        <v>10</v>
      </c>
      <c r="B16" s="4" t="s">
        <v>153</v>
      </c>
      <c r="C16" s="4" t="s">
        <v>154</v>
      </c>
      <c r="D16" s="4" t="s">
        <v>155</v>
      </c>
      <c r="E16" s="5">
        <v>10158</v>
      </c>
      <c r="F16" s="6">
        <v>420.41930400000001</v>
      </c>
      <c r="G16" s="7">
        <v>2.2082619000000001E-2</v>
      </c>
      <c r="H16" s="69"/>
      <c r="J16" s="160" t="s">
        <v>1015</v>
      </c>
    </row>
    <row r="17" spans="1:8" x14ac:dyDescent="0.2">
      <c r="A17" s="3">
        <v>11</v>
      </c>
      <c r="B17" s="4" t="s">
        <v>156</v>
      </c>
      <c r="C17" s="4" t="s">
        <v>157</v>
      </c>
      <c r="D17" s="4" t="s">
        <v>27</v>
      </c>
      <c r="E17" s="5">
        <v>53823</v>
      </c>
      <c r="F17" s="6">
        <v>417.61265700000001</v>
      </c>
      <c r="G17" s="7">
        <v>2.1935198999999999E-2</v>
      </c>
      <c r="H17" s="69"/>
    </row>
    <row r="18" spans="1:8" x14ac:dyDescent="0.2">
      <c r="A18" s="3">
        <v>12</v>
      </c>
      <c r="B18" s="4" t="s">
        <v>461</v>
      </c>
      <c r="C18" s="4" t="s">
        <v>462</v>
      </c>
      <c r="D18" s="4" t="s">
        <v>75</v>
      </c>
      <c r="E18" s="5">
        <v>101250</v>
      </c>
      <c r="F18" s="6">
        <v>393.71062499999999</v>
      </c>
      <c r="G18" s="7">
        <v>2.0679738999999999E-2</v>
      </c>
      <c r="H18" s="69"/>
    </row>
    <row r="19" spans="1:8" x14ac:dyDescent="0.2">
      <c r="A19" s="3">
        <v>13</v>
      </c>
      <c r="B19" s="4" t="s">
        <v>41</v>
      </c>
      <c r="C19" s="4" t="s">
        <v>42</v>
      </c>
      <c r="D19" s="4" t="s">
        <v>27</v>
      </c>
      <c r="E19" s="5">
        <v>31667</v>
      </c>
      <c r="F19" s="6">
        <v>393.28830649999998</v>
      </c>
      <c r="G19" s="7">
        <v>2.0657557E-2</v>
      </c>
      <c r="H19" s="69"/>
    </row>
    <row r="20" spans="1:8" x14ac:dyDescent="0.2">
      <c r="A20" s="3">
        <v>14</v>
      </c>
      <c r="B20" s="4" t="s">
        <v>176</v>
      </c>
      <c r="C20" s="4" t="s">
        <v>177</v>
      </c>
      <c r="D20" s="4" t="s">
        <v>78</v>
      </c>
      <c r="E20" s="5">
        <v>46566</v>
      </c>
      <c r="F20" s="6">
        <v>376.90520400000003</v>
      </c>
      <c r="G20" s="7">
        <v>1.9797031E-2</v>
      </c>
      <c r="H20" s="69"/>
    </row>
    <row r="21" spans="1:8" ht="25.5" x14ac:dyDescent="0.2">
      <c r="A21" s="3">
        <v>15</v>
      </c>
      <c r="B21" s="4" t="s">
        <v>37</v>
      </c>
      <c r="C21" s="4" t="s">
        <v>38</v>
      </c>
      <c r="D21" s="4" t="s">
        <v>974</v>
      </c>
      <c r="E21" s="5">
        <v>10728</v>
      </c>
      <c r="F21" s="6">
        <v>347.045436</v>
      </c>
      <c r="G21" s="7">
        <v>1.8228640000000001E-2</v>
      </c>
      <c r="H21" s="69"/>
    </row>
    <row r="22" spans="1:8" x14ac:dyDescent="0.2">
      <c r="A22" s="3">
        <v>16</v>
      </c>
      <c r="B22" s="4" t="s">
        <v>158</v>
      </c>
      <c r="C22" s="4" t="s">
        <v>159</v>
      </c>
      <c r="D22" s="4" t="s">
        <v>160</v>
      </c>
      <c r="E22" s="5">
        <v>21144</v>
      </c>
      <c r="F22" s="6">
        <v>343.07197200000002</v>
      </c>
      <c r="G22" s="7">
        <v>1.8019932999999998E-2</v>
      </c>
      <c r="H22" s="69"/>
    </row>
    <row r="23" spans="1:8" x14ac:dyDescent="0.2">
      <c r="A23" s="3">
        <v>17</v>
      </c>
      <c r="B23" s="4" t="s">
        <v>169</v>
      </c>
      <c r="C23" s="4" t="s">
        <v>170</v>
      </c>
      <c r="D23" s="4" t="s">
        <v>155</v>
      </c>
      <c r="E23" s="5">
        <v>27640</v>
      </c>
      <c r="F23" s="6">
        <v>317.55596000000003</v>
      </c>
      <c r="G23" s="7">
        <v>1.6679698E-2</v>
      </c>
      <c r="H23" s="69"/>
    </row>
    <row r="24" spans="1:8" x14ac:dyDescent="0.2">
      <c r="A24" s="3">
        <v>18</v>
      </c>
      <c r="B24" s="4" t="s">
        <v>173</v>
      </c>
      <c r="C24" s="4" t="s">
        <v>174</v>
      </c>
      <c r="D24" s="4" t="s">
        <v>175</v>
      </c>
      <c r="E24" s="5">
        <v>124748</v>
      </c>
      <c r="F24" s="6">
        <v>315.67481400000003</v>
      </c>
      <c r="G24" s="7">
        <v>1.6580891E-2</v>
      </c>
      <c r="H24" s="69"/>
    </row>
    <row r="25" spans="1:8" x14ac:dyDescent="0.2">
      <c r="A25" s="3">
        <v>19</v>
      </c>
      <c r="B25" s="4" t="s">
        <v>465</v>
      </c>
      <c r="C25" s="4" t="s">
        <v>466</v>
      </c>
      <c r="D25" s="4" t="s">
        <v>48</v>
      </c>
      <c r="E25" s="5">
        <v>44433</v>
      </c>
      <c r="F25" s="6">
        <v>305.09919450000001</v>
      </c>
      <c r="G25" s="7">
        <v>1.6025404E-2</v>
      </c>
      <c r="H25" s="69"/>
    </row>
    <row r="26" spans="1:8" x14ac:dyDescent="0.2">
      <c r="A26" s="3">
        <v>20</v>
      </c>
      <c r="B26" s="4" t="s">
        <v>163</v>
      </c>
      <c r="C26" s="4" t="s">
        <v>164</v>
      </c>
      <c r="D26" s="4" t="s">
        <v>975</v>
      </c>
      <c r="E26" s="5">
        <v>73248</v>
      </c>
      <c r="F26" s="6">
        <v>293.17511999999999</v>
      </c>
      <c r="G26" s="7">
        <v>1.5399088999999999E-2</v>
      </c>
      <c r="H26" s="69"/>
    </row>
    <row r="27" spans="1:8" x14ac:dyDescent="0.2">
      <c r="A27" s="3">
        <v>21</v>
      </c>
      <c r="B27" s="4" t="s">
        <v>181</v>
      </c>
      <c r="C27" s="4" t="s">
        <v>182</v>
      </c>
      <c r="D27" s="4" t="s">
        <v>155</v>
      </c>
      <c r="E27" s="5">
        <v>26792</v>
      </c>
      <c r="F27" s="6">
        <v>271.25560400000001</v>
      </c>
      <c r="G27" s="7">
        <v>1.4247762000000001E-2</v>
      </c>
      <c r="H27" s="69"/>
    </row>
    <row r="28" spans="1:8" x14ac:dyDescent="0.2">
      <c r="A28" s="3">
        <v>22</v>
      </c>
      <c r="B28" s="4" t="s">
        <v>187</v>
      </c>
      <c r="C28" s="4" t="s">
        <v>188</v>
      </c>
      <c r="D28" s="4" t="s">
        <v>978</v>
      </c>
      <c r="E28" s="5">
        <v>30000</v>
      </c>
      <c r="F28" s="6">
        <v>268.09500000000003</v>
      </c>
      <c r="G28" s="7">
        <v>1.4081750000000001E-2</v>
      </c>
      <c r="H28" s="69"/>
    </row>
    <row r="29" spans="1:8" ht="25.5" x14ac:dyDescent="0.2">
      <c r="A29" s="3">
        <v>23</v>
      </c>
      <c r="B29" s="4" t="s">
        <v>463</v>
      </c>
      <c r="C29" s="4" t="s">
        <v>464</v>
      </c>
      <c r="D29" s="4" t="s">
        <v>45</v>
      </c>
      <c r="E29" s="5">
        <v>17534</v>
      </c>
      <c r="F29" s="6">
        <v>266.79734400000001</v>
      </c>
      <c r="G29" s="7">
        <v>1.4013591000000001E-2</v>
      </c>
      <c r="H29" s="69"/>
    </row>
    <row r="30" spans="1:8" x14ac:dyDescent="0.2">
      <c r="A30" s="3">
        <v>24</v>
      </c>
      <c r="B30" s="4" t="s">
        <v>210</v>
      </c>
      <c r="C30" s="4" t="s">
        <v>211</v>
      </c>
      <c r="D30" s="4" t="s">
        <v>53</v>
      </c>
      <c r="E30" s="5">
        <v>26331</v>
      </c>
      <c r="F30" s="6">
        <v>249.5783835</v>
      </c>
      <c r="G30" s="7">
        <v>1.3109160999999999E-2</v>
      </c>
      <c r="H30" s="69"/>
    </row>
    <row r="31" spans="1:8" ht="25.5" x14ac:dyDescent="0.2">
      <c r="A31" s="3">
        <v>25</v>
      </c>
      <c r="B31" s="4" t="s">
        <v>189</v>
      </c>
      <c r="C31" s="4" t="s">
        <v>190</v>
      </c>
      <c r="D31" s="4" t="s">
        <v>974</v>
      </c>
      <c r="E31" s="5">
        <v>111054</v>
      </c>
      <c r="F31" s="6">
        <v>245.09617800000001</v>
      </c>
      <c r="G31" s="7">
        <v>1.2873732000000001E-2</v>
      </c>
      <c r="H31" s="69"/>
    </row>
    <row r="32" spans="1:8" x14ac:dyDescent="0.2">
      <c r="A32" s="3">
        <v>26</v>
      </c>
      <c r="B32" s="4" t="s">
        <v>161</v>
      </c>
      <c r="C32" s="4" t="s">
        <v>162</v>
      </c>
      <c r="D32" s="4" t="s">
        <v>22</v>
      </c>
      <c r="E32" s="5">
        <v>133811</v>
      </c>
      <c r="F32" s="6">
        <v>244.40579149999999</v>
      </c>
      <c r="G32" s="7">
        <v>1.2837469000000001E-2</v>
      </c>
      <c r="H32" s="69"/>
    </row>
    <row r="33" spans="1:8" x14ac:dyDescent="0.2">
      <c r="A33" s="3">
        <v>27</v>
      </c>
      <c r="B33" s="4" t="s">
        <v>349</v>
      </c>
      <c r="C33" s="4" t="s">
        <v>350</v>
      </c>
      <c r="D33" s="4" t="s">
        <v>160</v>
      </c>
      <c r="E33" s="5">
        <v>5394</v>
      </c>
      <c r="F33" s="6">
        <v>241.24664999999999</v>
      </c>
      <c r="G33" s="7">
        <v>1.2671534999999999E-2</v>
      </c>
      <c r="H33" s="69"/>
    </row>
    <row r="34" spans="1:8" x14ac:dyDescent="0.2">
      <c r="A34" s="3">
        <v>28</v>
      </c>
      <c r="B34" s="4" t="s">
        <v>200</v>
      </c>
      <c r="C34" s="4" t="s">
        <v>201</v>
      </c>
      <c r="D34" s="4" t="s">
        <v>27</v>
      </c>
      <c r="E34" s="5">
        <v>11898</v>
      </c>
      <c r="F34" s="6">
        <v>240.44668200000001</v>
      </c>
      <c r="G34" s="7">
        <v>1.2629516E-2</v>
      </c>
      <c r="H34" s="69"/>
    </row>
    <row r="35" spans="1:8" ht="25.5" x14ac:dyDescent="0.2">
      <c r="A35" s="3">
        <v>29</v>
      </c>
      <c r="B35" s="4" t="s">
        <v>205</v>
      </c>
      <c r="C35" s="4" t="s">
        <v>206</v>
      </c>
      <c r="D35" s="4" t="s">
        <v>207</v>
      </c>
      <c r="E35" s="5">
        <v>55539</v>
      </c>
      <c r="F35" s="6">
        <v>237.095991</v>
      </c>
      <c r="G35" s="7">
        <v>1.2453519999999999E-2</v>
      </c>
      <c r="H35" s="69"/>
    </row>
    <row r="36" spans="1:8" x14ac:dyDescent="0.2">
      <c r="A36" s="3">
        <v>30</v>
      </c>
      <c r="B36" s="4" t="s">
        <v>191</v>
      </c>
      <c r="C36" s="4" t="s">
        <v>192</v>
      </c>
      <c r="D36" s="4" t="s">
        <v>53</v>
      </c>
      <c r="E36" s="5">
        <v>246324</v>
      </c>
      <c r="F36" s="6">
        <v>236.96368799999999</v>
      </c>
      <c r="G36" s="7">
        <v>1.2446571E-2</v>
      </c>
      <c r="H36" s="69"/>
    </row>
    <row r="37" spans="1:8" x14ac:dyDescent="0.2">
      <c r="A37" s="3">
        <v>31</v>
      </c>
      <c r="B37" s="4" t="s">
        <v>198</v>
      </c>
      <c r="C37" s="4" t="s">
        <v>199</v>
      </c>
      <c r="D37" s="4" t="s">
        <v>78</v>
      </c>
      <c r="E37" s="5">
        <v>40036</v>
      </c>
      <c r="F37" s="6">
        <v>236.25243599999999</v>
      </c>
      <c r="G37" s="7">
        <v>1.2409211999999999E-2</v>
      </c>
      <c r="H37" s="69"/>
    </row>
    <row r="38" spans="1:8" x14ac:dyDescent="0.2">
      <c r="A38" s="3">
        <v>32</v>
      </c>
      <c r="B38" s="4" t="s">
        <v>467</v>
      </c>
      <c r="C38" s="4" t="s">
        <v>468</v>
      </c>
      <c r="D38" s="4" t="s">
        <v>27</v>
      </c>
      <c r="E38" s="5">
        <v>25628</v>
      </c>
      <c r="F38" s="6">
        <v>235.18815599999999</v>
      </c>
      <c r="G38" s="7">
        <v>1.2353311E-2</v>
      </c>
      <c r="H38" s="69"/>
    </row>
    <row r="39" spans="1:8" x14ac:dyDescent="0.2">
      <c r="A39" s="3">
        <v>33</v>
      </c>
      <c r="B39" s="4" t="s">
        <v>469</v>
      </c>
      <c r="C39" s="4" t="s">
        <v>470</v>
      </c>
      <c r="D39" s="4" t="s">
        <v>75</v>
      </c>
      <c r="E39" s="5">
        <v>24137</v>
      </c>
      <c r="F39" s="6">
        <v>229.01185599999999</v>
      </c>
      <c r="G39" s="7">
        <v>1.2028898999999999E-2</v>
      </c>
      <c r="H39" s="69"/>
    </row>
    <row r="40" spans="1:8" x14ac:dyDescent="0.2">
      <c r="A40" s="3">
        <v>34</v>
      </c>
      <c r="B40" s="4" t="s">
        <v>33</v>
      </c>
      <c r="C40" s="4" t="s">
        <v>34</v>
      </c>
      <c r="D40" s="4" t="s">
        <v>27</v>
      </c>
      <c r="E40" s="5">
        <v>8450</v>
      </c>
      <c r="F40" s="6">
        <v>226.291</v>
      </c>
      <c r="G40" s="7">
        <v>1.1885985999999999E-2</v>
      </c>
      <c r="H40" s="69"/>
    </row>
    <row r="41" spans="1:8" x14ac:dyDescent="0.2">
      <c r="A41" s="3">
        <v>35</v>
      </c>
      <c r="B41" s="4" t="s">
        <v>208</v>
      </c>
      <c r="C41" s="4" t="s">
        <v>209</v>
      </c>
      <c r="D41" s="4" t="s">
        <v>78</v>
      </c>
      <c r="E41" s="5">
        <v>435362</v>
      </c>
      <c r="F41" s="6">
        <v>218.55172400000001</v>
      </c>
      <c r="G41" s="7">
        <v>1.1479479000000001E-2</v>
      </c>
      <c r="H41" s="69"/>
    </row>
    <row r="42" spans="1:8" x14ac:dyDescent="0.2">
      <c r="A42" s="3">
        <v>36</v>
      </c>
      <c r="B42" s="4" t="s">
        <v>193</v>
      </c>
      <c r="C42" s="4" t="s">
        <v>194</v>
      </c>
      <c r="D42" s="4" t="s">
        <v>195</v>
      </c>
      <c r="E42" s="5">
        <v>44870</v>
      </c>
      <c r="F42" s="6">
        <v>215.77983</v>
      </c>
      <c r="G42" s="7">
        <v>1.1333884000000001E-2</v>
      </c>
      <c r="H42" s="69"/>
    </row>
    <row r="43" spans="1:8" x14ac:dyDescent="0.2">
      <c r="A43" s="3">
        <v>37</v>
      </c>
      <c r="B43" s="4" t="s">
        <v>216</v>
      </c>
      <c r="C43" s="4" t="s">
        <v>217</v>
      </c>
      <c r="D43" s="4" t="s">
        <v>75</v>
      </c>
      <c r="E43" s="5">
        <v>24424</v>
      </c>
      <c r="F43" s="6">
        <v>214.24732800000001</v>
      </c>
      <c r="G43" s="7">
        <v>1.1253389000000001E-2</v>
      </c>
      <c r="H43" s="69"/>
    </row>
    <row r="44" spans="1:8" x14ac:dyDescent="0.2">
      <c r="A44" s="3">
        <v>38</v>
      </c>
      <c r="B44" s="4" t="s">
        <v>212</v>
      </c>
      <c r="C44" s="4" t="s">
        <v>213</v>
      </c>
      <c r="D44" s="4" t="s">
        <v>979</v>
      </c>
      <c r="E44" s="5">
        <v>38477</v>
      </c>
      <c r="F44" s="6">
        <v>211.046345</v>
      </c>
      <c r="G44" s="7">
        <v>1.1085256999999999E-2</v>
      </c>
      <c r="H44" s="69"/>
    </row>
    <row r="45" spans="1:8" x14ac:dyDescent="0.2">
      <c r="A45" s="3">
        <v>39</v>
      </c>
      <c r="B45" s="4" t="s">
        <v>214</v>
      </c>
      <c r="C45" s="4" t="s">
        <v>215</v>
      </c>
      <c r="D45" s="4" t="s">
        <v>979</v>
      </c>
      <c r="E45" s="5">
        <v>20364</v>
      </c>
      <c r="F45" s="6">
        <v>207.784074</v>
      </c>
      <c r="G45" s="7">
        <v>1.0913905E-2</v>
      </c>
      <c r="H45" s="69"/>
    </row>
    <row r="46" spans="1:8" x14ac:dyDescent="0.2">
      <c r="A46" s="3">
        <v>40</v>
      </c>
      <c r="B46" s="4" t="s">
        <v>202</v>
      </c>
      <c r="C46" s="4" t="s">
        <v>203</v>
      </c>
      <c r="D46" s="4" t="s">
        <v>204</v>
      </c>
      <c r="E46" s="5">
        <v>52345</v>
      </c>
      <c r="F46" s="6">
        <v>203.20329000000001</v>
      </c>
      <c r="G46" s="7">
        <v>1.0673299000000001E-2</v>
      </c>
      <c r="H46" s="69"/>
    </row>
    <row r="47" spans="1:8" x14ac:dyDescent="0.2">
      <c r="A47" s="3">
        <v>41</v>
      </c>
      <c r="B47" s="4" t="s">
        <v>56</v>
      </c>
      <c r="C47" s="4" t="s">
        <v>57</v>
      </c>
      <c r="D47" s="4" t="s">
        <v>53</v>
      </c>
      <c r="E47" s="5">
        <v>40384</v>
      </c>
      <c r="F47" s="6">
        <v>202.90940800000001</v>
      </c>
      <c r="G47" s="7">
        <v>1.0657862000000001E-2</v>
      </c>
      <c r="H47" s="69"/>
    </row>
    <row r="48" spans="1:8" ht="25.5" x14ac:dyDescent="0.2">
      <c r="A48" s="3">
        <v>42</v>
      </c>
      <c r="B48" s="4" t="s">
        <v>229</v>
      </c>
      <c r="C48" s="4" t="s">
        <v>230</v>
      </c>
      <c r="D48" s="4" t="s">
        <v>75</v>
      </c>
      <c r="E48" s="5">
        <v>10609</v>
      </c>
      <c r="F48" s="6">
        <v>201.4171695</v>
      </c>
      <c r="G48" s="7">
        <v>1.0579481999999999E-2</v>
      </c>
      <c r="H48" s="69"/>
    </row>
    <row r="49" spans="1:8" x14ac:dyDescent="0.2">
      <c r="A49" s="3">
        <v>43</v>
      </c>
      <c r="B49" s="4" t="s">
        <v>167</v>
      </c>
      <c r="C49" s="4" t="s">
        <v>168</v>
      </c>
      <c r="D49" s="4" t="s">
        <v>976</v>
      </c>
      <c r="E49" s="5">
        <v>19560</v>
      </c>
      <c r="F49" s="6">
        <v>198.38730000000001</v>
      </c>
      <c r="G49" s="7">
        <v>1.0420337999999999E-2</v>
      </c>
      <c r="H49" s="69"/>
    </row>
    <row r="50" spans="1:8" ht="25.5" x14ac:dyDescent="0.2">
      <c r="A50" s="3">
        <v>44</v>
      </c>
      <c r="B50" s="4" t="s">
        <v>222</v>
      </c>
      <c r="C50" s="4" t="s">
        <v>223</v>
      </c>
      <c r="D50" s="4" t="s">
        <v>207</v>
      </c>
      <c r="E50" s="5">
        <v>41627</v>
      </c>
      <c r="F50" s="6">
        <v>194.16914149999999</v>
      </c>
      <c r="G50" s="7">
        <v>1.0198778E-2</v>
      </c>
      <c r="H50" s="69"/>
    </row>
    <row r="51" spans="1:8" x14ac:dyDescent="0.2">
      <c r="A51" s="3">
        <v>45</v>
      </c>
      <c r="B51" s="4" t="s">
        <v>225</v>
      </c>
      <c r="C51" s="4" t="s">
        <v>226</v>
      </c>
      <c r="D51" s="4" t="s">
        <v>204</v>
      </c>
      <c r="E51" s="5">
        <v>37335</v>
      </c>
      <c r="F51" s="6">
        <v>189.90447750000001</v>
      </c>
      <c r="G51" s="7">
        <v>9.974775E-3</v>
      </c>
      <c r="H51" s="69"/>
    </row>
    <row r="52" spans="1:8" x14ac:dyDescent="0.2">
      <c r="A52" s="3">
        <v>46</v>
      </c>
      <c r="B52" s="4" t="s">
        <v>235</v>
      </c>
      <c r="C52" s="4" t="s">
        <v>236</v>
      </c>
      <c r="D52" s="4" t="s">
        <v>160</v>
      </c>
      <c r="E52" s="5">
        <v>50534</v>
      </c>
      <c r="F52" s="6">
        <v>189.72990300000001</v>
      </c>
      <c r="G52" s="7">
        <v>9.9656060000000001E-3</v>
      </c>
      <c r="H52" s="69"/>
    </row>
    <row r="53" spans="1:8" x14ac:dyDescent="0.2">
      <c r="A53" s="3">
        <v>47</v>
      </c>
      <c r="B53" s="4" t="s">
        <v>219</v>
      </c>
      <c r="C53" s="4" t="s">
        <v>220</v>
      </c>
      <c r="D53" s="4" t="s">
        <v>221</v>
      </c>
      <c r="E53" s="5">
        <v>89345</v>
      </c>
      <c r="F53" s="6">
        <v>187.98187999999999</v>
      </c>
      <c r="G53" s="7">
        <v>9.8737909999999998E-3</v>
      </c>
      <c r="H53" s="69"/>
    </row>
    <row r="54" spans="1:8" x14ac:dyDescent="0.2">
      <c r="A54" s="3">
        <v>48</v>
      </c>
      <c r="B54" s="4" t="s">
        <v>178</v>
      </c>
      <c r="C54" s="4" t="s">
        <v>179</v>
      </c>
      <c r="D54" s="4" t="s">
        <v>180</v>
      </c>
      <c r="E54" s="5">
        <v>19644</v>
      </c>
      <c r="F54" s="6">
        <v>185.085768</v>
      </c>
      <c r="G54" s="7">
        <v>9.7216720000000006E-3</v>
      </c>
      <c r="H54" s="69"/>
    </row>
    <row r="55" spans="1:8" x14ac:dyDescent="0.2">
      <c r="A55" s="3">
        <v>49</v>
      </c>
      <c r="B55" s="4" t="s">
        <v>289</v>
      </c>
      <c r="C55" s="4" t="s">
        <v>290</v>
      </c>
      <c r="D55" s="4" t="s">
        <v>27</v>
      </c>
      <c r="E55" s="5">
        <v>53746</v>
      </c>
      <c r="F55" s="6">
        <v>182.11832100000001</v>
      </c>
      <c r="G55" s="7">
        <v>9.5658059999999996E-3</v>
      </c>
      <c r="H55" s="69"/>
    </row>
    <row r="56" spans="1:8" x14ac:dyDescent="0.2">
      <c r="A56" s="3">
        <v>50</v>
      </c>
      <c r="B56" s="4" t="s">
        <v>227</v>
      </c>
      <c r="C56" s="4" t="s">
        <v>228</v>
      </c>
      <c r="D56" s="4" t="s">
        <v>976</v>
      </c>
      <c r="E56" s="5">
        <v>11242</v>
      </c>
      <c r="F56" s="6">
        <v>179.76520099999999</v>
      </c>
      <c r="G56" s="7">
        <v>9.4422080000000005E-3</v>
      </c>
      <c r="H56" s="69"/>
    </row>
    <row r="57" spans="1:8" x14ac:dyDescent="0.2">
      <c r="A57" s="3">
        <v>51</v>
      </c>
      <c r="B57" s="4" t="s">
        <v>295</v>
      </c>
      <c r="C57" s="4" t="s">
        <v>296</v>
      </c>
      <c r="D57" s="4" t="s">
        <v>27</v>
      </c>
      <c r="E57" s="5">
        <v>15167</v>
      </c>
      <c r="F57" s="6">
        <v>178.090914</v>
      </c>
      <c r="G57" s="7">
        <v>9.3542650000000005E-3</v>
      </c>
      <c r="H57" s="69"/>
    </row>
    <row r="58" spans="1:8" x14ac:dyDescent="0.2">
      <c r="A58" s="3">
        <v>52</v>
      </c>
      <c r="B58" s="4" t="s">
        <v>247</v>
      </c>
      <c r="C58" s="4" t="s">
        <v>248</v>
      </c>
      <c r="D58" s="4" t="s">
        <v>75</v>
      </c>
      <c r="E58" s="5">
        <v>70796</v>
      </c>
      <c r="F58" s="6">
        <v>176.74221399999999</v>
      </c>
      <c r="G58" s="7">
        <v>9.2834249999999997E-3</v>
      </c>
      <c r="H58" s="69"/>
    </row>
    <row r="59" spans="1:8" ht="25.5" x14ac:dyDescent="0.2">
      <c r="A59" s="3">
        <v>53</v>
      </c>
      <c r="B59" s="4" t="s">
        <v>233</v>
      </c>
      <c r="C59" s="4" t="s">
        <v>234</v>
      </c>
      <c r="D59" s="4" t="s">
        <v>207</v>
      </c>
      <c r="E59" s="5">
        <v>43436</v>
      </c>
      <c r="F59" s="6">
        <v>175.41628600000001</v>
      </c>
      <c r="G59" s="7">
        <v>9.2137799999999995E-3</v>
      </c>
      <c r="H59" s="69"/>
    </row>
    <row r="60" spans="1:8" x14ac:dyDescent="0.2">
      <c r="A60" s="3">
        <v>54</v>
      </c>
      <c r="B60" s="4" t="s">
        <v>185</v>
      </c>
      <c r="C60" s="4" t="s">
        <v>186</v>
      </c>
      <c r="D60" s="4" t="s">
        <v>16</v>
      </c>
      <c r="E60" s="5">
        <v>58207</v>
      </c>
      <c r="F60" s="6">
        <v>171.768857</v>
      </c>
      <c r="G60" s="7">
        <v>9.0221980000000004E-3</v>
      </c>
      <c r="H60" s="69"/>
    </row>
    <row r="61" spans="1:8" x14ac:dyDescent="0.2">
      <c r="A61" s="3">
        <v>55</v>
      </c>
      <c r="B61" s="4" t="s">
        <v>237</v>
      </c>
      <c r="C61" s="4" t="s">
        <v>238</v>
      </c>
      <c r="D61" s="4" t="s">
        <v>204</v>
      </c>
      <c r="E61" s="5">
        <v>10472</v>
      </c>
      <c r="F61" s="6">
        <v>171.60466400000001</v>
      </c>
      <c r="G61" s="7">
        <v>9.0135739999999999E-3</v>
      </c>
      <c r="H61" s="69"/>
    </row>
    <row r="62" spans="1:8" ht="25.5" x14ac:dyDescent="0.2">
      <c r="A62" s="3">
        <v>56</v>
      </c>
      <c r="B62" s="4" t="s">
        <v>239</v>
      </c>
      <c r="C62" s="4" t="s">
        <v>240</v>
      </c>
      <c r="D62" s="4" t="s">
        <v>980</v>
      </c>
      <c r="E62" s="5">
        <v>168751</v>
      </c>
      <c r="F62" s="6">
        <v>168.91975099999999</v>
      </c>
      <c r="G62" s="7">
        <v>8.8725479999999992E-3</v>
      </c>
      <c r="H62" s="69"/>
    </row>
    <row r="63" spans="1:8" x14ac:dyDescent="0.2">
      <c r="A63" s="3">
        <v>57</v>
      </c>
      <c r="B63" s="4" t="s">
        <v>183</v>
      </c>
      <c r="C63" s="4" t="s">
        <v>184</v>
      </c>
      <c r="D63" s="4" t="s">
        <v>75</v>
      </c>
      <c r="E63" s="5">
        <v>17279</v>
      </c>
      <c r="F63" s="6">
        <v>164.409685</v>
      </c>
      <c r="G63" s="7">
        <v>8.6356560000000002E-3</v>
      </c>
      <c r="H63" s="69"/>
    </row>
    <row r="64" spans="1:8" x14ac:dyDescent="0.2">
      <c r="A64" s="3">
        <v>58</v>
      </c>
      <c r="B64" s="4" t="s">
        <v>283</v>
      </c>
      <c r="C64" s="4" t="s">
        <v>284</v>
      </c>
      <c r="D64" s="4" t="s">
        <v>32</v>
      </c>
      <c r="E64" s="5">
        <v>39951</v>
      </c>
      <c r="F64" s="6">
        <v>155.16968399999999</v>
      </c>
      <c r="G64" s="7">
        <v>8.1503229999999992E-3</v>
      </c>
      <c r="H64" s="69"/>
    </row>
    <row r="65" spans="1:8" ht="25.5" x14ac:dyDescent="0.2">
      <c r="A65" s="3">
        <v>59</v>
      </c>
      <c r="B65" s="4" t="s">
        <v>218</v>
      </c>
      <c r="C65" s="4" t="s">
        <v>869</v>
      </c>
      <c r="D65" s="4" t="s">
        <v>45</v>
      </c>
      <c r="E65" s="5">
        <v>74468</v>
      </c>
      <c r="F65" s="6">
        <v>154.818972</v>
      </c>
      <c r="G65" s="7">
        <v>8.1319010000000004E-3</v>
      </c>
      <c r="H65" s="69"/>
    </row>
    <row r="66" spans="1:8" x14ac:dyDescent="0.2">
      <c r="A66" s="3">
        <v>60</v>
      </c>
      <c r="B66" s="4" t="s">
        <v>477</v>
      </c>
      <c r="C66" s="4" t="s">
        <v>478</v>
      </c>
      <c r="D66" s="4" t="s">
        <v>204</v>
      </c>
      <c r="E66" s="5">
        <v>29369</v>
      </c>
      <c r="F66" s="6">
        <v>148.31344999999999</v>
      </c>
      <c r="G66" s="7">
        <v>7.7901969999999996E-3</v>
      </c>
      <c r="H66" s="69"/>
    </row>
    <row r="67" spans="1:8" x14ac:dyDescent="0.2">
      <c r="A67" s="3">
        <v>61</v>
      </c>
      <c r="B67" s="4" t="s">
        <v>280</v>
      </c>
      <c r="C67" s="4" t="s">
        <v>281</v>
      </c>
      <c r="D67" s="4" t="s">
        <v>175</v>
      </c>
      <c r="E67" s="5">
        <v>19348</v>
      </c>
      <c r="F67" s="6">
        <v>134.94262599999999</v>
      </c>
      <c r="G67" s="7">
        <v>7.0878920000000002E-3</v>
      </c>
      <c r="H67" s="69"/>
    </row>
    <row r="68" spans="1:8" x14ac:dyDescent="0.2">
      <c r="A68" s="3">
        <v>62</v>
      </c>
      <c r="B68" s="4" t="s">
        <v>251</v>
      </c>
      <c r="C68" s="4" t="s">
        <v>252</v>
      </c>
      <c r="D68" s="4" t="s">
        <v>160</v>
      </c>
      <c r="E68" s="5">
        <v>21471</v>
      </c>
      <c r="F68" s="6">
        <v>124.853865</v>
      </c>
      <c r="G68" s="7">
        <v>6.5579770000000004E-3</v>
      </c>
      <c r="H68" s="69"/>
    </row>
    <row r="69" spans="1:8" x14ac:dyDescent="0.2">
      <c r="A69" s="3">
        <v>63</v>
      </c>
      <c r="B69" s="4" t="s">
        <v>253</v>
      </c>
      <c r="C69" s="4" t="s">
        <v>254</v>
      </c>
      <c r="D69" s="4" t="s">
        <v>65</v>
      </c>
      <c r="E69" s="5">
        <v>14169</v>
      </c>
      <c r="F69" s="6">
        <v>121.14494999999999</v>
      </c>
      <c r="G69" s="7">
        <v>6.363166E-3</v>
      </c>
      <c r="H69" s="69"/>
    </row>
    <row r="70" spans="1:8" x14ac:dyDescent="0.2">
      <c r="A70" s="3">
        <v>64</v>
      </c>
      <c r="B70" s="4" t="s">
        <v>285</v>
      </c>
      <c r="C70" s="4" t="s">
        <v>286</v>
      </c>
      <c r="D70" s="4" t="s">
        <v>160</v>
      </c>
      <c r="E70" s="5">
        <v>17563</v>
      </c>
      <c r="F70" s="6">
        <v>118.9454175</v>
      </c>
      <c r="G70" s="7">
        <v>6.2476349999999996E-3</v>
      </c>
      <c r="H70" s="69"/>
    </row>
    <row r="71" spans="1:8" x14ac:dyDescent="0.2">
      <c r="A71" s="3">
        <v>65</v>
      </c>
      <c r="B71" s="4" t="s">
        <v>255</v>
      </c>
      <c r="C71" s="4" t="s">
        <v>256</v>
      </c>
      <c r="D71" s="4" t="s">
        <v>257</v>
      </c>
      <c r="E71" s="5">
        <v>52168</v>
      </c>
      <c r="F71" s="6">
        <v>116.021632</v>
      </c>
      <c r="G71" s="7">
        <v>6.0940619999999999E-3</v>
      </c>
      <c r="H71" s="69"/>
    </row>
    <row r="72" spans="1:8" x14ac:dyDescent="0.2">
      <c r="A72" s="3">
        <v>66</v>
      </c>
      <c r="B72" s="4" t="s">
        <v>262</v>
      </c>
      <c r="C72" s="4" t="s">
        <v>263</v>
      </c>
      <c r="D72" s="4" t="s">
        <v>22</v>
      </c>
      <c r="E72" s="5">
        <v>140383</v>
      </c>
      <c r="F72" s="6">
        <v>115.1842515</v>
      </c>
      <c r="G72" s="7">
        <v>6.0500789999999999E-3</v>
      </c>
      <c r="H72" s="69"/>
    </row>
    <row r="73" spans="1:8" x14ac:dyDescent="0.2">
      <c r="A73" s="3">
        <v>67</v>
      </c>
      <c r="B73" s="4" t="s">
        <v>241</v>
      </c>
      <c r="C73" s="4" t="s">
        <v>242</v>
      </c>
      <c r="D73" s="4" t="s">
        <v>155</v>
      </c>
      <c r="E73" s="5">
        <v>9429</v>
      </c>
      <c r="F73" s="6">
        <v>113.67130950000001</v>
      </c>
      <c r="G73" s="7">
        <v>5.9706109999999998E-3</v>
      </c>
      <c r="H73" s="69"/>
    </row>
    <row r="74" spans="1:8" x14ac:dyDescent="0.2">
      <c r="A74" s="3">
        <v>68</v>
      </c>
      <c r="B74" s="4" t="s">
        <v>260</v>
      </c>
      <c r="C74" s="4" t="s">
        <v>261</v>
      </c>
      <c r="D74" s="4" t="s">
        <v>204</v>
      </c>
      <c r="E74" s="5">
        <v>2097</v>
      </c>
      <c r="F74" s="6">
        <v>111.658959</v>
      </c>
      <c r="G74" s="7">
        <v>5.8649119999999999E-3</v>
      </c>
      <c r="H74" s="69"/>
    </row>
    <row r="75" spans="1:8" x14ac:dyDescent="0.2">
      <c r="A75" s="3">
        <v>69</v>
      </c>
      <c r="B75" s="4" t="s">
        <v>471</v>
      </c>
      <c r="C75" s="4" t="s">
        <v>472</v>
      </c>
      <c r="D75" s="4" t="s">
        <v>78</v>
      </c>
      <c r="E75" s="5">
        <v>19196</v>
      </c>
      <c r="F75" s="6">
        <v>96.623065999999994</v>
      </c>
      <c r="G75" s="7">
        <v>5.0751479999999998E-3</v>
      </c>
      <c r="H75" s="69"/>
    </row>
    <row r="76" spans="1:8" x14ac:dyDescent="0.2">
      <c r="A76" s="3">
        <v>70</v>
      </c>
      <c r="B76" s="4" t="s">
        <v>276</v>
      </c>
      <c r="C76" s="4" t="s">
        <v>277</v>
      </c>
      <c r="D76" s="4" t="s">
        <v>204</v>
      </c>
      <c r="E76" s="5">
        <v>34046</v>
      </c>
      <c r="F76" s="6">
        <v>96.435294999999996</v>
      </c>
      <c r="G76" s="7">
        <v>5.0652859999999996E-3</v>
      </c>
      <c r="H76" s="69"/>
    </row>
    <row r="77" spans="1:8" x14ac:dyDescent="0.2">
      <c r="A77" s="3">
        <v>71</v>
      </c>
      <c r="B77" s="4" t="s">
        <v>270</v>
      </c>
      <c r="C77" s="4" t="s">
        <v>271</v>
      </c>
      <c r="D77" s="4" t="s">
        <v>144</v>
      </c>
      <c r="E77" s="5">
        <v>16020</v>
      </c>
      <c r="F77" s="6">
        <v>91.730519999999999</v>
      </c>
      <c r="G77" s="7">
        <v>4.8181659999999996E-3</v>
      </c>
      <c r="H77" s="69"/>
    </row>
    <row r="78" spans="1:8" x14ac:dyDescent="0.2">
      <c r="A78" s="3">
        <v>72</v>
      </c>
      <c r="B78" s="4" t="s">
        <v>249</v>
      </c>
      <c r="C78" s="4" t="s">
        <v>250</v>
      </c>
      <c r="D78" s="4" t="s">
        <v>334</v>
      </c>
      <c r="E78" s="5">
        <v>9457</v>
      </c>
      <c r="F78" s="6">
        <v>86.919286999999997</v>
      </c>
      <c r="G78" s="7">
        <v>4.5654550000000004E-3</v>
      </c>
      <c r="H78" s="69"/>
    </row>
    <row r="79" spans="1:8" x14ac:dyDescent="0.2">
      <c r="A79" s="3">
        <v>73</v>
      </c>
      <c r="B79" s="4" t="s">
        <v>303</v>
      </c>
      <c r="C79" s="4" t="s">
        <v>304</v>
      </c>
      <c r="D79" s="4" t="s">
        <v>979</v>
      </c>
      <c r="E79" s="5">
        <v>244905</v>
      </c>
      <c r="F79" s="6">
        <v>85.104487500000005</v>
      </c>
      <c r="G79" s="7">
        <v>4.4701319999999999E-3</v>
      </c>
      <c r="H79" s="69"/>
    </row>
    <row r="80" spans="1:8" x14ac:dyDescent="0.2">
      <c r="A80" s="3">
        <v>74</v>
      </c>
      <c r="B80" s="4" t="s">
        <v>274</v>
      </c>
      <c r="C80" s="4" t="s">
        <v>275</v>
      </c>
      <c r="D80" s="4" t="s">
        <v>155</v>
      </c>
      <c r="E80" s="5">
        <v>19860</v>
      </c>
      <c r="F80" s="6">
        <v>75.597089999999994</v>
      </c>
      <c r="G80" s="7">
        <v>3.970754E-3</v>
      </c>
      <c r="H80" s="69"/>
    </row>
    <row r="81" spans="1:8" x14ac:dyDescent="0.2">
      <c r="A81" s="3">
        <v>75</v>
      </c>
      <c r="B81" s="4" t="s">
        <v>278</v>
      </c>
      <c r="C81" s="4" t="s">
        <v>279</v>
      </c>
      <c r="D81" s="4" t="s">
        <v>144</v>
      </c>
      <c r="E81" s="5">
        <v>6324</v>
      </c>
      <c r="F81" s="6">
        <v>63.777540000000002</v>
      </c>
      <c r="G81" s="7">
        <v>3.3499300000000001E-3</v>
      </c>
      <c r="H81" s="69"/>
    </row>
    <row r="82" spans="1:8" x14ac:dyDescent="0.2">
      <c r="A82" s="3">
        <v>76</v>
      </c>
      <c r="B82" s="4" t="s">
        <v>473</v>
      </c>
      <c r="C82" s="4" t="s">
        <v>474</v>
      </c>
      <c r="D82" s="4" t="s">
        <v>976</v>
      </c>
      <c r="E82" s="5">
        <v>41245</v>
      </c>
      <c r="F82" s="6">
        <v>34.872647499999999</v>
      </c>
      <c r="G82" s="7">
        <v>1.831694E-3</v>
      </c>
      <c r="H82" s="69"/>
    </row>
    <row r="83" spans="1:8" x14ac:dyDescent="0.2">
      <c r="A83" s="1"/>
      <c r="B83" s="1"/>
      <c r="C83" s="2" t="s">
        <v>95</v>
      </c>
      <c r="D83" s="1"/>
      <c r="E83" s="1" t="s">
        <v>96</v>
      </c>
      <c r="F83" s="9">
        <v>18349.297309500002</v>
      </c>
      <c r="G83" s="10">
        <v>0.96380097799999997</v>
      </c>
      <c r="H83" s="69"/>
    </row>
    <row r="84" spans="1:8" x14ac:dyDescent="0.2">
      <c r="A84" s="1"/>
      <c r="B84" s="1"/>
      <c r="C84" s="11"/>
      <c r="D84" s="1"/>
      <c r="E84" s="1"/>
      <c r="F84" s="12"/>
      <c r="G84" s="12"/>
      <c r="H84" s="69"/>
    </row>
    <row r="85" spans="1:8" x14ac:dyDescent="0.2">
      <c r="A85" s="1"/>
      <c r="B85" s="1"/>
      <c r="C85" s="2" t="s">
        <v>97</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98</v>
      </c>
      <c r="D88" s="1"/>
      <c r="E88" s="1"/>
      <c r="F88" s="1"/>
      <c r="G88" s="1"/>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99</v>
      </c>
      <c r="D91" s="1"/>
      <c r="E91" s="1"/>
      <c r="F91" s="1"/>
      <c r="G91" s="1"/>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101</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102</v>
      </c>
      <c r="D100" s="1"/>
      <c r="E100" s="1"/>
      <c r="F100" s="9">
        <v>18349.297309500002</v>
      </c>
      <c r="G100" s="10">
        <v>0.96380097799999997</v>
      </c>
      <c r="H100" s="69"/>
    </row>
    <row r="101" spans="1:8" x14ac:dyDescent="0.2">
      <c r="A101" s="1"/>
      <c r="B101" s="1"/>
      <c r="C101" s="11"/>
      <c r="D101" s="1"/>
      <c r="E101" s="1"/>
      <c r="F101" s="12"/>
      <c r="G101" s="12"/>
      <c r="H101" s="69"/>
    </row>
    <row r="102" spans="1:8" x14ac:dyDescent="0.2">
      <c r="A102" s="1"/>
      <c r="B102" s="1"/>
      <c r="C102" s="2" t="s">
        <v>103</v>
      </c>
      <c r="D102" s="1"/>
      <c r="E102" s="1"/>
      <c r="F102" s="12"/>
      <c r="G102" s="12"/>
      <c r="H102" s="69"/>
    </row>
    <row r="103" spans="1:8" ht="25.5" x14ac:dyDescent="0.2">
      <c r="A103" s="1"/>
      <c r="B103" s="1"/>
      <c r="C103" s="2" t="s">
        <v>10</v>
      </c>
      <c r="D103" s="1"/>
      <c r="E103" s="1"/>
      <c r="F103" s="12"/>
      <c r="G103" s="12"/>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104</v>
      </c>
      <c r="D106" s="1"/>
      <c r="E106" s="1"/>
      <c r="F106" s="1"/>
      <c r="G106" s="1"/>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105</v>
      </c>
      <c r="D109" s="1"/>
      <c r="E109" s="1"/>
      <c r="F109" s="1"/>
      <c r="G109" s="1"/>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106</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107</v>
      </c>
      <c r="D115" s="1"/>
      <c r="E115" s="1"/>
      <c r="F115" s="9">
        <v>0</v>
      </c>
      <c r="G115" s="10">
        <v>0</v>
      </c>
      <c r="H115" s="69"/>
    </row>
    <row r="116" spans="1:8" x14ac:dyDescent="0.2">
      <c r="A116" s="1"/>
      <c r="B116" s="1"/>
      <c r="C116" s="11"/>
      <c r="D116" s="1"/>
      <c r="E116" s="1"/>
      <c r="F116" s="12"/>
      <c r="G116" s="12"/>
      <c r="H116" s="69"/>
    </row>
    <row r="117" spans="1:8" x14ac:dyDescent="0.2">
      <c r="A117" s="1"/>
      <c r="B117" s="1"/>
      <c r="C117" s="2" t="s">
        <v>108</v>
      </c>
      <c r="D117" s="1"/>
      <c r="E117" s="1"/>
      <c r="F117" s="12"/>
      <c r="G117" s="12"/>
      <c r="H117" s="69"/>
    </row>
    <row r="118" spans="1:8" x14ac:dyDescent="0.2">
      <c r="A118" s="1"/>
      <c r="B118" s="1"/>
      <c r="C118" s="2" t="s">
        <v>109</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2" t="s">
        <v>110</v>
      </c>
      <c r="D121" s="1"/>
      <c r="E121" s="1"/>
      <c r="F121" s="12"/>
      <c r="G121" s="12"/>
      <c r="H121" s="69"/>
    </row>
    <row r="122" spans="1:8" x14ac:dyDescent="0.2">
      <c r="A122" s="1"/>
      <c r="B122" s="1"/>
      <c r="C122" s="2" t="s">
        <v>95</v>
      </c>
      <c r="D122" s="1"/>
      <c r="E122" s="1" t="s">
        <v>96</v>
      </c>
      <c r="F122" s="13">
        <v>0</v>
      </c>
      <c r="G122" s="14">
        <v>0</v>
      </c>
      <c r="H122" s="69"/>
    </row>
    <row r="123" spans="1:8" x14ac:dyDescent="0.2">
      <c r="A123" s="1"/>
      <c r="B123" s="1"/>
      <c r="C123" s="11"/>
      <c r="D123" s="1"/>
      <c r="E123" s="1"/>
      <c r="F123" s="12"/>
      <c r="G123" s="12"/>
      <c r="H123" s="69"/>
    </row>
    <row r="124" spans="1:8" x14ac:dyDescent="0.2">
      <c r="A124" s="1"/>
      <c r="B124" s="1"/>
      <c r="C124" s="2" t="s">
        <v>111</v>
      </c>
      <c r="D124" s="1"/>
      <c r="E124" s="1"/>
      <c r="F124" s="12"/>
      <c r="G124" s="12"/>
      <c r="H124" s="69"/>
    </row>
    <row r="125" spans="1:8" x14ac:dyDescent="0.2">
      <c r="A125" s="1"/>
      <c r="B125" s="1"/>
      <c r="C125" s="2" t="s">
        <v>95</v>
      </c>
      <c r="D125" s="1"/>
      <c r="E125" s="1" t="s">
        <v>96</v>
      </c>
      <c r="F125" s="13">
        <v>0</v>
      </c>
      <c r="G125" s="14">
        <v>0</v>
      </c>
      <c r="H125" s="69"/>
    </row>
    <row r="126" spans="1:8" x14ac:dyDescent="0.2">
      <c r="A126" s="1"/>
      <c r="B126" s="1"/>
      <c r="C126" s="11"/>
      <c r="D126" s="1"/>
      <c r="E126" s="1"/>
      <c r="F126" s="12"/>
      <c r="G126" s="12"/>
      <c r="H126" s="69"/>
    </row>
    <row r="127" spans="1:8" x14ac:dyDescent="0.2">
      <c r="A127" s="1"/>
      <c r="B127" s="1"/>
      <c r="C127" s="2" t="s">
        <v>112</v>
      </c>
      <c r="D127" s="1"/>
      <c r="E127" s="1"/>
      <c r="F127" s="12"/>
      <c r="G127" s="12"/>
      <c r="H127" s="69"/>
    </row>
    <row r="128" spans="1:8" x14ac:dyDescent="0.2">
      <c r="A128" s="3">
        <v>1</v>
      </c>
      <c r="B128" s="4"/>
      <c r="C128" s="4" t="s">
        <v>113</v>
      </c>
      <c r="D128" s="4"/>
      <c r="E128" s="8"/>
      <c r="F128" s="6">
        <v>478.60910430000001</v>
      </c>
      <c r="G128" s="7">
        <v>2.5139050999999999E-2</v>
      </c>
      <c r="H128" s="6">
        <v>3.3628721504199861</v>
      </c>
    </row>
    <row r="129" spans="1:8" x14ac:dyDescent="0.2">
      <c r="A129" s="3">
        <v>2</v>
      </c>
      <c r="B129" s="4"/>
      <c r="C129" s="4" t="s">
        <v>114</v>
      </c>
      <c r="D129" s="4"/>
      <c r="E129" s="8"/>
      <c r="F129" s="6">
        <v>184.83446180000001</v>
      </c>
      <c r="G129" s="7">
        <v>9.7084719999999992E-3</v>
      </c>
      <c r="H129" s="6">
        <v>3.4499999999999966</v>
      </c>
    </row>
    <row r="130" spans="1:8" x14ac:dyDescent="0.2">
      <c r="A130" s="1"/>
      <c r="B130" s="1"/>
      <c r="C130" s="2" t="s">
        <v>95</v>
      </c>
      <c r="D130" s="1"/>
      <c r="E130" s="1" t="s">
        <v>96</v>
      </c>
      <c r="F130" s="9">
        <v>663.4435661</v>
      </c>
      <c r="G130" s="10">
        <v>3.4847522999999998E-2</v>
      </c>
      <c r="H130" s="69"/>
    </row>
    <row r="131" spans="1:8" x14ac:dyDescent="0.2">
      <c r="A131" s="1"/>
      <c r="B131" s="1"/>
      <c r="C131" s="11"/>
      <c r="D131" s="1"/>
      <c r="E131" s="1"/>
      <c r="F131" s="12"/>
      <c r="G131" s="12"/>
      <c r="H131" s="69"/>
    </row>
    <row r="132" spans="1:8" x14ac:dyDescent="0.2">
      <c r="A132" s="1"/>
      <c r="B132" s="1"/>
      <c r="C132" s="2" t="s">
        <v>115</v>
      </c>
      <c r="D132" s="1"/>
      <c r="E132" s="1"/>
      <c r="F132" s="9">
        <v>663.4435661</v>
      </c>
      <c r="G132" s="10">
        <v>3.4847522999999998E-2</v>
      </c>
      <c r="H132" s="69"/>
    </row>
    <row r="133" spans="1:8" x14ac:dyDescent="0.2">
      <c r="A133" s="1"/>
      <c r="B133" s="1"/>
      <c r="C133" s="12"/>
      <c r="D133" s="1"/>
      <c r="E133" s="1"/>
      <c r="F133" s="1"/>
      <c r="G133" s="1"/>
      <c r="H133" s="69"/>
    </row>
    <row r="134" spans="1:8" x14ac:dyDescent="0.2">
      <c r="A134" s="1"/>
      <c r="B134" s="1"/>
      <c r="C134" s="2" t="s">
        <v>116</v>
      </c>
      <c r="D134" s="1"/>
      <c r="E134" s="1"/>
      <c r="F134" s="1"/>
      <c r="G134" s="1"/>
      <c r="H134" s="69"/>
    </row>
    <row r="135" spans="1:8" x14ac:dyDescent="0.2">
      <c r="A135" s="1"/>
      <c r="B135" s="1"/>
      <c r="C135" s="2" t="s">
        <v>117</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2" t="s">
        <v>118</v>
      </c>
      <c r="D138" s="1"/>
      <c r="E138" s="1"/>
      <c r="F138" s="1"/>
      <c r="G138" s="1"/>
      <c r="H138" s="69"/>
    </row>
    <row r="139" spans="1:8" x14ac:dyDescent="0.2">
      <c r="A139" s="1"/>
      <c r="B139" s="1"/>
      <c r="C139" s="2" t="s">
        <v>119</v>
      </c>
      <c r="D139" s="1"/>
      <c r="E139" s="1"/>
      <c r="F139" s="1"/>
      <c r="G139" s="1"/>
      <c r="H139" s="69"/>
    </row>
    <row r="140" spans="1:8" x14ac:dyDescent="0.2">
      <c r="A140" s="1"/>
      <c r="B140" s="1"/>
      <c r="C140" s="2" t="s">
        <v>95</v>
      </c>
      <c r="D140" s="1"/>
      <c r="E140" s="1" t="s">
        <v>96</v>
      </c>
      <c r="F140" s="13">
        <v>0</v>
      </c>
      <c r="G140" s="14">
        <v>0</v>
      </c>
      <c r="H140" s="69"/>
    </row>
    <row r="141" spans="1:8" x14ac:dyDescent="0.2">
      <c r="A141" s="1"/>
      <c r="B141" s="1"/>
      <c r="C141" s="11"/>
      <c r="D141" s="1"/>
      <c r="E141" s="1"/>
      <c r="F141" s="12"/>
      <c r="G141" s="12"/>
      <c r="H141" s="69"/>
    </row>
    <row r="142" spans="1:8" x14ac:dyDescent="0.2">
      <c r="A142" s="1"/>
      <c r="B142" s="1"/>
      <c r="C142" s="11"/>
      <c r="D142" s="1"/>
      <c r="E142" s="1"/>
      <c r="F142" s="12"/>
      <c r="G142" s="12"/>
      <c r="H142" s="69"/>
    </row>
    <row r="143" spans="1:8" ht="25.5" x14ac:dyDescent="0.2">
      <c r="A143" s="1"/>
      <c r="B143" s="1"/>
      <c r="C143" s="2" t="s">
        <v>120</v>
      </c>
      <c r="D143" s="1"/>
      <c r="E143" s="1"/>
      <c r="F143" s="12"/>
      <c r="G143" s="12"/>
      <c r="H143" s="69"/>
    </row>
    <row r="144" spans="1:8" x14ac:dyDescent="0.2">
      <c r="A144" s="1"/>
      <c r="B144" s="1"/>
      <c r="C144" s="2" t="s">
        <v>95</v>
      </c>
      <c r="D144" s="1"/>
      <c r="E144" s="1" t="s">
        <v>96</v>
      </c>
      <c r="F144" s="13">
        <v>0</v>
      </c>
      <c r="G144" s="14">
        <v>0</v>
      </c>
      <c r="H144" s="69"/>
    </row>
    <row r="145" spans="1:8" x14ac:dyDescent="0.2">
      <c r="A145" s="1"/>
      <c r="B145" s="1"/>
      <c r="C145" s="11"/>
      <c r="D145" s="1"/>
      <c r="E145" s="1"/>
      <c r="F145" s="12"/>
      <c r="G145" s="12"/>
      <c r="H145" s="69"/>
    </row>
    <row r="146" spans="1:8" x14ac:dyDescent="0.2">
      <c r="A146" s="1"/>
      <c r="B146" s="4"/>
      <c r="C146" s="4"/>
      <c r="D146" s="2"/>
      <c r="E146" s="1"/>
      <c r="F146" s="4"/>
      <c r="G146" s="8"/>
      <c r="H146" s="69"/>
    </row>
    <row r="147" spans="1:8" x14ac:dyDescent="0.2">
      <c r="A147" s="8"/>
      <c r="B147" s="4"/>
      <c r="C147" s="4" t="s">
        <v>121</v>
      </c>
      <c r="D147" s="4"/>
      <c r="E147" s="8"/>
      <c r="F147" s="6">
        <v>25.730526189999999</v>
      </c>
      <c r="G147" s="7">
        <v>1.3515020000000001E-3</v>
      </c>
      <c r="H147" s="69"/>
    </row>
    <row r="148" spans="1:8" x14ac:dyDescent="0.2">
      <c r="A148" s="11"/>
      <c r="B148" s="11"/>
      <c r="C148" s="2" t="s">
        <v>122</v>
      </c>
      <c r="D148" s="15"/>
      <c r="E148" s="15"/>
      <c r="F148" s="9">
        <v>19038.471401790001</v>
      </c>
      <c r="G148" s="10">
        <v>1.000000003</v>
      </c>
      <c r="H148" s="69"/>
    </row>
    <row r="149" spans="1:8" ht="14.1" customHeight="1" x14ac:dyDescent="0.2">
      <c r="A149" s="16"/>
      <c r="B149" s="16"/>
      <c r="C149" s="16"/>
      <c r="D149" s="17"/>
      <c r="E149" s="17"/>
      <c r="F149" s="17"/>
      <c r="G149" s="17"/>
    </row>
    <row r="150" spans="1:8" ht="14.1" customHeight="1" x14ac:dyDescent="0.2">
      <c r="A150" s="18"/>
      <c r="B150" s="176" t="s">
        <v>96</v>
      </c>
      <c r="C150" s="176"/>
      <c r="D150" s="176"/>
      <c r="E150" s="176"/>
      <c r="F150" s="176"/>
      <c r="G150" s="20"/>
    </row>
    <row r="151" spans="1:8" ht="14.1" customHeight="1" x14ac:dyDescent="0.2">
      <c r="A151" s="18"/>
      <c r="B151" s="176" t="s">
        <v>96</v>
      </c>
      <c r="C151" s="176"/>
      <c r="D151" s="176"/>
      <c r="E151" s="176"/>
      <c r="F151" s="176"/>
      <c r="G151" s="20"/>
    </row>
    <row r="152" spans="1:8" ht="14.1" customHeight="1" x14ac:dyDescent="0.2">
      <c r="A152" s="18"/>
      <c r="B152" s="18"/>
      <c r="C152" s="18"/>
      <c r="D152" s="20"/>
      <c r="E152" s="20"/>
      <c r="F152" s="20"/>
      <c r="G152" s="20"/>
    </row>
    <row r="153" spans="1:8" ht="14.1" customHeight="1" x14ac:dyDescent="0.2">
      <c r="A153" s="18"/>
      <c r="B153" s="174" t="s">
        <v>124</v>
      </c>
      <c r="C153" s="175"/>
      <c r="D153" s="12" t="s">
        <v>96</v>
      </c>
      <c r="E153" s="21"/>
      <c r="F153" s="20"/>
      <c r="G153" s="20"/>
    </row>
    <row r="154" spans="1:8" ht="29.1" customHeight="1" x14ac:dyDescent="0.2">
      <c r="A154" s="18"/>
      <c r="B154" s="172" t="s">
        <v>125</v>
      </c>
      <c r="C154" s="173"/>
      <c r="D154" s="2" t="s">
        <v>126</v>
      </c>
      <c r="E154" s="21"/>
      <c r="F154" s="20"/>
      <c r="G154" s="20"/>
    </row>
    <row r="155" spans="1:8" ht="17.100000000000001" customHeight="1" x14ac:dyDescent="0.2">
      <c r="A155" s="18"/>
      <c r="B155" s="172" t="s">
        <v>127</v>
      </c>
      <c r="C155" s="173"/>
      <c r="D155" s="2" t="s">
        <v>126</v>
      </c>
      <c r="E155" s="21"/>
      <c r="F155" s="20"/>
      <c r="G155" s="20"/>
    </row>
    <row r="156" spans="1:8" ht="17.100000000000001" customHeight="1" x14ac:dyDescent="0.2">
      <c r="A156" s="18"/>
      <c r="B156" s="172" t="s">
        <v>128</v>
      </c>
      <c r="C156" s="173"/>
      <c r="D156" s="12" t="s">
        <v>96</v>
      </c>
      <c r="E156" s="21"/>
      <c r="F156" s="20"/>
      <c r="G156" s="20"/>
    </row>
    <row r="157" spans="1:8" ht="24" customHeight="1" x14ac:dyDescent="0.2">
      <c r="A157" s="22"/>
      <c r="B157" s="23" t="s">
        <v>96</v>
      </c>
      <c r="C157" s="23" t="s">
        <v>129</v>
      </c>
      <c r="D157" s="23" t="s">
        <v>130</v>
      </c>
      <c r="E157" s="22"/>
      <c r="F157" s="22"/>
      <c r="G157" s="22"/>
    </row>
    <row r="158" spans="1:8" ht="18" customHeight="1" x14ac:dyDescent="0.2">
      <c r="A158" s="22"/>
      <c r="B158" s="23" t="s">
        <v>131</v>
      </c>
      <c r="C158" s="23" t="s">
        <v>132</v>
      </c>
      <c r="D158" s="23" t="s">
        <v>133</v>
      </c>
      <c r="E158" s="22"/>
      <c r="F158" s="22"/>
      <c r="G158" s="22"/>
    </row>
    <row r="159" spans="1:8" ht="17.100000000000001" customHeight="1" x14ac:dyDescent="0.2">
      <c r="A159" s="22"/>
      <c r="B159" s="4" t="s">
        <v>134</v>
      </c>
      <c r="C159" s="24">
        <v>17.937899999999999</v>
      </c>
      <c r="D159" s="24">
        <v>18.032499999999999</v>
      </c>
      <c r="E159" s="22"/>
      <c r="F159" s="19"/>
      <c r="G159" s="25"/>
    </row>
    <row r="160" spans="1:8" ht="17.100000000000001" customHeight="1" x14ac:dyDescent="0.2">
      <c r="A160" s="22"/>
      <c r="B160" s="4" t="s">
        <v>983</v>
      </c>
      <c r="C160" s="24">
        <v>17.297899999999998</v>
      </c>
      <c r="D160" s="24">
        <v>17.388999999999999</v>
      </c>
      <c r="E160" s="22"/>
      <c r="F160" s="19"/>
      <c r="G160" s="25"/>
    </row>
    <row r="161" spans="1:16" ht="17.100000000000001" customHeight="1" x14ac:dyDescent="0.2">
      <c r="A161" s="22"/>
      <c r="B161" s="4" t="s">
        <v>135</v>
      </c>
      <c r="C161" s="24">
        <v>17.4329</v>
      </c>
      <c r="D161" s="24">
        <v>17.516100000000002</v>
      </c>
      <c r="E161" s="22"/>
      <c r="F161" s="19"/>
      <c r="G161" s="25"/>
    </row>
    <row r="162" spans="1:16" ht="17.100000000000001" customHeight="1" x14ac:dyDescent="0.2">
      <c r="A162" s="22"/>
      <c r="B162" s="4" t="s">
        <v>984</v>
      </c>
      <c r="C162" s="24">
        <v>16.794599999999999</v>
      </c>
      <c r="D162" s="24">
        <v>16.8748</v>
      </c>
      <c r="E162" s="22"/>
      <c r="F162" s="19"/>
      <c r="G162" s="25"/>
    </row>
    <row r="163" spans="1:16" ht="14.1" customHeight="1" x14ac:dyDescent="0.2">
      <c r="A163" s="22"/>
      <c r="B163" s="22"/>
      <c r="C163" s="22"/>
      <c r="D163" s="22"/>
      <c r="E163" s="22"/>
      <c r="F163" s="22"/>
      <c r="G163" s="22"/>
    </row>
    <row r="164" spans="1:16" ht="17.100000000000001" customHeight="1" x14ac:dyDescent="0.2">
      <c r="A164" s="22"/>
      <c r="B164" s="172" t="s">
        <v>985</v>
      </c>
      <c r="C164" s="173"/>
      <c r="D164" s="2" t="s">
        <v>126</v>
      </c>
      <c r="E164" s="22"/>
      <c r="F164" s="22"/>
      <c r="G164" s="22"/>
      <c r="I164" s="82"/>
      <c r="J164" s="82"/>
      <c r="K164" s="82"/>
      <c r="L164" s="82"/>
      <c r="M164" s="82"/>
      <c r="N164" s="82"/>
      <c r="O164" s="82"/>
    </row>
    <row r="165" spans="1:16" ht="18" customHeight="1" x14ac:dyDescent="0.2">
      <c r="A165" s="22"/>
      <c r="B165" s="26" t="s">
        <v>136</v>
      </c>
      <c r="C165" s="26" t="s">
        <v>136</v>
      </c>
      <c r="D165" s="26"/>
      <c r="E165" s="22"/>
      <c r="F165" s="22"/>
      <c r="G165" s="22"/>
    </row>
    <row r="166" spans="1:16" s="82" customFormat="1" x14ac:dyDescent="0.2">
      <c r="B166" s="177" t="s">
        <v>936</v>
      </c>
      <c r="C166" s="177"/>
      <c r="D166" s="177"/>
      <c r="E166" s="177"/>
      <c r="F166" s="177"/>
      <c r="I166"/>
      <c r="J166"/>
      <c r="K166"/>
      <c r="L166"/>
      <c r="M166"/>
      <c r="N166"/>
      <c r="O166"/>
      <c r="P166" s="70"/>
    </row>
    <row r="167" spans="1:16" ht="14.1" customHeight="1" x14ac:dyDescent="0.2">
      <c r="A167" s="22"/>
      <c r="B167" s="19"/>
      <c r="C167" s="19"/>
      <c r="D167" s="22"/>
      <c r="E167" s="22"/>
      <c r="F167" s="22"/>
      <c r="G167" s="22"/>
    </row>
    <row r="168" spans="1:16" ht="29.1" customHeight="1" x14ac:dyDescent="0.2">
      <c r="A168" s="22"/>
      <c r="B168" s="172" t="s">
        <v>137</v>
      </c>
      <c r="C168" s="173"/>
      <c r="D168" s="2" t="s">
        <v>126</v>
      </c>
      <c r="E168" s="22"/>
      <c r="F168" s="22"/>
      <c r="G168" s="22"/>
    </row>
    <row r="169" spans="1:16" ht="29.1" customHeight="1" x14ac:dyDescent="0.2">
      <c r="A169" s="22"/>
      <c r="B169" s="172" t="s">
        <v>138</v>
      </c>
      <c r="C169" s="173"/>
      <c r="D169" s="2" t="s">
        <v>126</v>
      </c>
      <c r="E169" s="22"/>
      <c r="F169" s="22"/>
      <c r="G169" s="22"/>
    </row>
    <row r="170" spans="1:16" ht="17.100000000000001" customHeight="1" x14ac:dyDescent="0.2">
      <c r="A170" s="22"/>
      <c r="B170" s="172" t="s">
        <v>139</v>
      </c>
      <c r="C170" s="173"/>
      <c r="D170" s="27">
        <v>0.3818266955946632</v>
      </c>
      <c r="E170" s="22"/>
      <c r="F170" s="19"/>
      <c r="G170" s="25"/>
    </row>
    <row r="171" spans="1:16" ht="17.100000000000001" customHeight="1" x14ac:dyDescent="0.2">
      <c r="A171" s="22"/>
      <c r="B171" s="172" t="s">
        <v>140</v>
      </c>
      <c r="C171" s="173"/>
      <c r="D171" s="2" t="s">
        <v>126</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P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480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22067</v>
      </c>
      <c r="F7" s="6">
        <v>243.81828300000001</v>
      </c>
      <c r="G7" s="7">
        <v>3.3903325999999998E-2</v>
      </c>
      <c r="H7" s="69"/>
    </row>
    <row r="8" spans="1:14" x14ac:dyDescent="0.2">
      <c r="A8" s="3">
        <v>2</v>
      </c>
      <c r="B8" s="4" t="s">
        <v>25</v>
      </c>
      <c r="C8" s="4" t="s">
        <v>26</v>
      </c>
      <c r="D8" s="4" t="s">
        <v>27</v>
      </c>
      <c r="E8" s="5">
        <v>13566</v>
      </c>
      <c r="F8" s="6">
        <v>218.85349500000001</v>
      </c>
      <c r="G8" s="7">
        <v>3.0431930999999999E-2</v>
      </c>
      <c r="H8" s="69"/>
    </row>
    <row r="9" spans="1:14" x14ac:dyDescent="0.2">
      <c r="A9" s="3">
        <v>3</v>
      </c>
      <c r="B9" s="4" t="s">
        <v>142</v>
      </c>
      <c r="C9" s="4" t="s">
        <v>143</v>
      </c>
      <c r="D9" s="4" t="s">
        <v>144</v>
      </c>
      <c r="E9" s="5">
        <v>5487</v>
      </c>
      <c r="F9" s="6">
        <v>205.26866999999999</v>
      </c>
      <c r="G9" s="7">
        <v>2.8542939999999999E-2</v>
      </c>
      <c r="H9" s="69"/>
    </row>
    <row r="10" spans="1:14" x14ac:dyDescent="0.2">
      <c r="A10" s="3">
        <v>4</v>
      </c>
      <c r="B10" s="4" t="s">
        <v>79</v>
      </c>
      <c r="C10" s="4" t="s">
        <v>80</v>
      </c>
      <c r="D10" s="4" t="s">
        <v>75</v>
      </c>
      <c r="E10" s="5">
        <v>48976</v>
      </c>
      <c r="F10" s="6">
        <v>182.77843200000001</v>
      </c>
      <c r="G10" s="7">
        <v>2.5415635999999998E-2</v>
      </c>
      <c r="H10" s="69"/>
    </row>
    <row r="11" spans="1:14" x14ac:dyDescent="0.2">
      <c r="A11" s="3">
        <v>5</v>
      </c>
      <c r="B11" s="4" t="s">
        <v>149</v>
      </c>
      <c r="C11" s="4" t="s">
        <v>150</v>
      </c>
      <c r="D11" s="4" t="s">
        <v>75</v>
      </c>
      <c r="E11" s="5">
        <v>29828</v>
      </c>
      <c r="F11" s="6">
        <v>179.44524799999999</v>
      </c>
      <c r="G11" s="7">
        <v>2.4952150999999999E-2</v>
      </c>
      <c r="H11" s="69"/>
    </row>
    <row r="12" spans="1:14" x14ac:dyDescent="0.2">
      <c r="A12" s="3">
        <v>6</v>
      </c>
      <c r="B12" s="4" t="s">
        <v>147</v>
      </c>
      <c r="C12" s="4" t="s">
        <v>148</v>
      </c>
      <c r="D12" s="4" t="s">
        <v>78</v>
      </c>
      <c r="E12" s="5">
        <v>146354</v>
      </c>
      <c r="F12" s="6">
        <v>177.45422500000001</v>
      </c>
      <c r="G12" s="7">
        <v>2.4675295999999999E-2</v>
      </c>
      <c r="H12" s="69"/>
    </row>
    <row r="13" spans="1:14" x14ac:dyDescent="0.2">
      <c r="A13" s="3">
        <v>7</v>
      </c>
      <c r="B13" s="4" t="s">
        <v>165</v>
      </c>
      <c r="C13" s="4" t="s">
        <v>166</v>
      </c>
      <c r="D13" s="4" t="s">
        <v>155</v>
      </c>
      <c r="E13" s="5">
        <v>35525</v>
      </c>
      <c r="F13" s="6">
        <v>175.7244125</v>
      </c>
      <c r="G13" s="7">
        <v>2.4434763000000002E-2</v>
      </c>
      <c r="H13" s="69"/>
    </row>
    <row r="14" spans="1:14" ht="25.5" x14ac:dyDescent="0.2">
      <c r="A14" s="3">
        <v>8</v>
      </c>
      <c r="B14" s="4" t="s">
        <v>151</v>
      </c>
      <c r="C14" s="4" t="s">
        <v>152</v>
      </c>
      <c r="D14" s="4" t="s">
        <v>45</v>
      </c>
      <c r="E14" s="5">
        <v>115375</v>
      </c>
      <c r="F14" s="6">
        <v>172.08181250000001</v>
      </c>
      <c r="G14" s="7">
        <v>2.3928253999999999E-2</v>
      </c>
      <c r="H14" s="69"/>
    </row>
    <row r="15" spans="1:14" x14ac:dyDescent="0.2">
      <c r="A15" s="3">
        <v>9</v>
      </c>
      <c r="B15" s="4" t="s">
        <v>156</v>
      </c>
      <c r="C15" s="4" t="s">
        <v>157</v>
      </c>
      <c r="D15" s="4" t="s">
        <v>27</v>
      </c>
      <c r="E15" s="5">
        <v>21271</v>
      </c>
      <c r="F15" s="6">
        <v>165.04168899999999</v>
      </c>
      <c r="G15" s="7">
        <v>2.2949312999999999E-2</v>
      </c>
      <c r="H15" s="69"/>
    </row>
    <row r="16" spans="1:14" ht="15" x14ac:dyDescent="0.2">
      <c r="A16" s="3">
        <v>10</v>
      </c>
      <c r="B16" s="4" t="s">
        <v>301</v>
      </c>
      <c r="C16" s="4" t="s">
        <v>302</v>
      </c>
      <c r="D16" s="4" t="s">
        <v>27</v>
      </c>
      <c r="E16" s="5">
        <v>24026</v>
      </c>
      <c r="F16" s="6">
        <v>162.75212400000001</v>
      </c>
      <c r="G16" s="7">
        <v>2.2630945E-2</v>
      </c>
      <c r="H16" s="69"/>
      <c r="J16" s="160" t="s">
        <v>1015</v>
      </c>
    </row>
    <row r="17" spans="1:8" x14ac:dyDescent="0.2">
      <c r="A17" s="3">
        <v>11</v>
      </c>
      <c r="B17" s="4" t="s">
        <v>153</v>
      </c>
      <c r="C17" s="4" t="s">
        <v>154</v>
      </c>
      <c r="D17" s="4" t="s">
        <v>155</v>
      </c>
      <c r="E17" s="5">
        <v>3812</v>
      </c>
      <c r="F17" s="6">
        <v>157.77105599999999</v>
      </c>
      <c r="G17" s="7">
        <v>2.1938320000000001E-2</v>
      </c>
      <c r="H17" s="69"/>
    </row>
    <row r="18" spans="1:8" x14ac:dyDescent="0.2">
      <c r="A18" s="3">
        <v>12</v>
      </c>
      <c r="B18" s="4" t="s">
        <v>41</v>
      </c>
      <c r="C18" s="4" t="s">
        <v>42</v>
      </c>
      <c r="D18" s="4" t="s">
        <v>27</v>
      </c>
      <c r="E18" s="5">
        <v>12093</v>
      </c>
      <c r="F18" s="6">
        <v>150.18901349999999</v>
      </c>
      <c r="G18" s="7">
        <v>2.0884025000000001E-2</v>
      </c>
      <c r="H18" s="69"/>
    </row>
    <row r="19" spans="1:8" x14ac:dyDescent="0.2">
      <c r="A19" s="3">
        <v>13</v>
      </c>
      <c r="B19" s="4" t="s">
        <v>176</v>
      </c>
      <c r="C19" s="4" t="s">
        <v>177</v>
      </c>
      <c r="D19" s="4" t="s">
        <v>78</v>
      </c>
      <c r="E19" s="5">
        <v>17640</v>
      </c>
      <c r="F19" s="6">
        <v>142.77816000000001</v>
      </c>
      <c r="G19" s="7">
        <v>1.9853533E-2</v>
      </c>
      <c r="H19" s="69"/>
    </row>
    <row r="20" spans="1:8" ht="25.5" x14ac:dyDescent="0.2">
      <c r="A20" s="3">
        <v>14</v>
      </c>
      <c r="B20" s="4" t="s">
        <v>37</v>
      </c>
      <c r="C20" s="4" t="s">
        <v>38</v>
      </c>
      <c r="D20" s="4" t="s">
        <v>974</v>
      </c>
      <c r="E20" s="5">
        <v>4064</v>
      </c>
      <c r="F20" s="6">
        <v>131.468368</v>
      </c>
      <c r="G20" s="7">
        <v>1.8280889000000002E-2</v>
      </c>
      <c r="H20" s="69"/>
    </row>
    <row r="21" spans="1:8" x14ac:dyDescent="0.2">
      <c r="A21" s="3">
        <v>15</v>
      </c>
      <c r="B21" s="4" t="s">
        <v>158</v>
      </c>
      <c r="C21" s="4" t="s">
        <v>159</v>
      </c>
      <c r="D21" s="4" t="s">
        <v>160</v>
      </c>
      <c r="E21" s="5">
        <v>7931</v>
      </c>
      <c r="F21" s="6">
        <v>128.68444049999999</v>
      </c>
      <c r="G21" s="7">
        <v>1.7893778999999999E-2</v>
      </c>
      <c r="H21" s="69"/>
    </row>
    <row r="22" spans="1:8" x14ac:dyDescent="0.2">
      <c r="A22" s="3">
        <v>16</v>
      </c>
      <c r="B22" s="4" t="s">
        <v>465</v>
      </c>
      <c r="C22" s="4" t="s">
        <v>466</v>
      </c>
      <c r="D22" s="4" t="s">
        <v>48</v>
      </c>
      <c r="E22" s="5">
        <v>18007</v>
      </c>
      <c r="F22" s="6">
        <v>123.6450655</v>
      </c>
      <c r="G22" s="7">
        <v>1.7193046E-2</v>
      </c>
      <c r="H22" s="69"/>
    </row>
    <row r="23" spans="1:8" x14ac:dyDescent="0.2">
      <c r="A23" s="3">
        <v>17</v>
      </c>
      <c r="B23" s="4" t="s">
        <v>169</v>
      </c>
      <c r="C23" s="4" t="s">
        <v>170</v>
      </c>
      <c r="D23" s="4" t="s">
        <v>155</v>
      </c>
      <c r="E23" s="5">
        <v>10350</v>
      </c>
      <c r="F23" s="6">
        <v>118.91115000000001</v>
      </c>
      <c r="G23" s="7">
        <v>1.6534786999999999E-2</v>
      </c>
      <c r="H23" s="69"/>
    </row>
    <row r="24" spans="1:8" x14ac:dyDescent="0.2">
      <c r="A24" s="3">
        <v>18</v>
      </c>
      <c r="B24" s="4" t="s">
        <v>173</v>
      </c>
      <c r="C24" s="4" t="s">
        <v>174</v>
      </c>
      <c r="D24" s="4" t="s">
        <v>175</v>
      </c>
      <c r="E24" s="5">
        <v>46520</v>
      </c>
      <c r="F24" s="6">
        <v>117.71886000000001</v>
      </c>
      <c r="G24" s="7">
        <v>1.6368997E-2</v>
      </c>
      <c r="H24" s="69"/>
    </row>
    <row r="25" spans="1:8" x14ac:dyDescent="0.2">
      <c r="A25" s="3">
        <v>19</v>
      </c>
      <c r="B25" s="4" t="s">
        <v>163</v>
      </c>
      <c r="C25" s="4" t="s">
        <v>164</v>
      </c>
      <c r="D25" s="4" t="s">
        <v>975</v>
      </c>
      <c r="E25" s="5">
        <v>27718</v>
      </c>
      <c r="F25" s="6">
        <v>110.941295</v>
      </c>
      <c r="G25" s="7">
        <v>1.5426565999999999E-2</v>
      </c>
      <c r="H25" s="69"/>
    </row>
    <row r="26" spans="1:8" ht="25.5" x14ac:dyDescent="0.2">
      <c r="A26" s="3">
        <v>20</v>
      </c>
      <c r="B26" s="4" t="s">
        <v>463</v>
      </c>
      <c r="C26" s="4" t="s">
        <v>464</v>
      </c>
      <c r="D26" s="4" t="s">
        <v>45</v>
      </c>
      <c r="E26" s="5">
        <v>6784</v>
      </c>
      <c r="F26" s="6">
        <v>103.22534400000001</v>
      </c>
      <c r="G26" s="7">
        <v>1.4353651E-2</v>
      </c>
      <c r="H26" s="69"/>
    </row>
    <row r="27" spans="1:8" x14ac:dyDescent="0.2">
      <c r="A27" s="3">
        <v>21</v>
      </c>
      <c r="B27" s="4" t="s">
        <v>181</v>
      </c>
      <c r="C27" s="4" t="s">
        <v>182</v>
      </c>
      <c r="D27" s="4" t="s">
        <v>155</v>
      </c>
      <c r="E27" s="5">
        <v>10021</v>
      </c>
      <c r="F27" s="6">
        <v>101.45761450000001</v>
      </c>
      <c r="G27" s="7">
        <v>1.4107845000000001E-2</v>
      </c>
      <c r="H27" s="69"/>
    </row>
    <row r="28" spans="1:8" x14ac:dyDescent="0.2">
      <c r="A28" s="3">
        <v>22</v>
      </c>
      <c r="B28" s="4" t="s">
        <v>187</v>
      </c>
      <c r="C28" s="4" t="s">
        <v>188</v>
      </c>
      <c r="D28" s="4" t="s">
        <v>978</v>
      </c>
      <c r="E28" s="5">
        <v>11000</v>
      </c>
      <c r="F28" s="6">
        <v>98.301500000000004</v>
      </c>
      <c r="G28" s="7">
        <v>1.3668982E-2</v>
      </c>
      <c r="H28" s="69"/>
    </row>
    <row r="29" spans="1:8" x14ac:dyDescent="0.2">
      <c r="A29" s="3">
        <v>23</v>
      </c>
      <c r="B29" s="4" t="s">
        <v>210</v>
      </c>
      <c r="C29" s="4" t="s">
        <v>211</v>
      </c>
      <c r="D29" s="4" t="s">
        <v>53</v>
      </c>
      <c r="E29" s="5">
        <v>9799</v>
      </c>
      <c r="F29" s="6">
        <v>92.879821500000006</v>
      </c>
      <c r="G29" s="7">
        <v>1.2915088999999999E-2</v>
      </c>
      <c r="H29" s="69"/>
    </row>
    <row r="30" spans="1:8" ht="25.5" x14ac:dyDescent="0.2">
      <c r="A30" s="3">
        <v>24</v>
      </c>
      <c r="B30" s="4" t="s">
        <v>189</v>
      </c>
      <c r="C30" s="4" t="s">
        <v>190</v>
      </c>
      <c r="D30" s="4" t="s">
        <v>974</v>
      </c>
      <c r="E30" s="5">
        <v>42002</v>
      </c>
      <c r="F30" s="6">
        <v>92.698414</v>
      </c>
      <c r="G30" s="7">
        <v>1.2889863999999999E-2</v>
      </c>
      <c r="H30" s="69"/>
    </row>
    <row r="31" spans="1:8" x14ac:dyDescent="0.2">
      <c r="A31" s="3">
        <v>25</v>
      </c>
      <c r="B31" s="4" t="s">
        <v>161</v>
      </c>
      <c r="C31" s="4" t="s">
        <v>162</v>
      </c>
      <c r="D31" s="4" t="s">
        <v>22</v>
      </c>
      <c r="E31" s="5">
        <v>50645</v>
      </c>
      <c r="F31" s="6">
        <v>92.503092499999994</v>
      </c>
      <c r="G31" s="7">
        <v>1.2862704000000001E-2</v>
      </c>
      <c r="H31" s="69"/>
    </row>
    <row r="32" spans="1:8" x14ac:dyDescent="0.2">
      <c r="A32" s="3">
        <v>26</v>
      </c>
      <c r="B32" s="4" t="s">
        <v>349</v>
      </c>
      <c r="C32" s="4" t="s">
        <v>350</v>
      </c>
      <c r="D32" s="4" t="s">
        <v>160</v>
      </c>
      <c r="E32" s="5">
        <v>2040</v>
      </c>
      <c r="F32" s="6">
        <v>91.239000000000004</v>
      </c>
      <c r="G32" s="7">
        <v>1.2686930000000001E-2</v>
      </c>
      <c r="H32" s="69"/>
    </row>
    <row r="33" spans="1:8" x14ac:dyDescent="0.2">
      <c r="A33" s="3">
        <v>27</v>
      </c>
      <c r="B33" s="4" t="s">
        <v>200</v>
      </c>
      <c r="C33" s="4" t="s">
        <v>201</v>
      </c>
      <c r="D33" s="4" t="s">
        <v>27</v>
      </c>
      <c r="E33" s="5">
        <v>4460</v>
      </c>
      <c r="F33" s="6">
        <v>90.132140000000007</v>
      </c>
      <c r="G33" s="7">
        <v>1.2533018999999999E-2</v>
      </c>
      <c r="H33" s="69"/>
    </row>
    <row r="34" spans="1:8" x14ac:dyDescent="0.2">
      <c r="A34" s="3">
        <v>28</v>
      </c>
      <c r="B34" s="4" t="s">
        <v>191</v>
      </c>
      <c r="C34" s="4" t="s">
        <v>192</v>
      </c>
      <c r="D34" s="4" t="s">
        <v>53</v>
      </c>
      <c r="E34" s="5">
        <v>93256</v>
      </c>
      <c r="F34" s="6">
        <v>89.712271999999999</v>
      </c>
      <c r="G34" s="7">
        <v>1.2474636000000001E-2</v>
      </c>
      <c r="H34" s="69"/>
    </row>
    <row r="35" spans="1:8" x14ac:dyDescent="0.2">
      <c r="A35" s="3">
        <v>29</v>
      </c>
      <c r="B35" s="4" t="s">
        <v>198</v>
      </c>
      <c r="C35" s="4" t="s">
        <v>199</v>
      </c>
      <c r="D35" s="4" t="s">
        <v>78</v>
      </c>
      <c r="E35" s="5">
        <v>15169</v>
      </c>
      <c r="F35" s="6">
        <v>89.512269000000003</v>
      </c>
      <c r="G35" s="7">
        <v>1.2446825E-2</v>
      </c>
      <c r="H35" s="69"/>
    </row>
    <row r="36" spans="1:8" ht="25.5" x14ac:dyDescent="0.2">
      <c r="A36" s="3">
        <v>30</v>
      </c>
      <c r="B36" s="4" t="s">
        <v>205</v>
      </c>
      <c r="C36" s="4" t="s">
        <v>206</v>
      </c>
      <c r="D36" s="4" t="s">
        <v>207</v>
      </c>
      <c r="E36" s="5">
        <v>20765</v>
      </c>
      <c r="F36" s="6">
        <v>88.645785000000004</v>
      </c>
      <c r="G36" s="7">
        <v>1.2326339E-2</v>
      </c>
      <c r="H36" s="69"/>
    </row>
    <row r="37" spans="1:8" x14ac:dyDescent="0.2">
      <c r="A37" s="3">
        <v>31</v>
      </c>
      <c r="B37" s="4" t="s">
        <v>467</v>
      </c>
      <c r="C37" s="4" t="s">
        <v>468</v>
      </c>
      <c r="D37" s="4" t="s">
        <v>27</v>
      </c>
      <c r="E37" s="5">
        <v>9582</v>
      </c>
      <c r="F37" s="6">
        <v>87.934014000000005</v>
      </c>
      <c r="G37" s="7">
        <v>1.2227366E-2</v>
      </c>
      <c r="H37" s="69"/>
    </row>
    <row r="38" spans="1:8" x14ac:dyDescent="0.2">
      <c r="A38" s="3">
        <v>32</v>
      </c>
      <c r="B38" s="4" t="s">
        <v>33</v>
      </c>
      <c r="C38" s="4" t="s">
        <v>34</v>
      </c>
      <c r="D38" s="4" t="s">
        <v>27</v>
      </c>
      <c r="E38" s="5">
        <v>3200</v>
      </c>
      <c r="F38" s="6">
        <v>85.695999999999998</v>
      </c>
      <c r="G38" s="7">
        <v>1.1916167E-2</v>
      </c>
      <c r="H38" s="69"/>
    </row>
    <row r="39" spans="1:8" x14ac:dyDescent="0.2">
      <c r="A39" s="3">
        <v>33</v>
      </c>
      <c r="B39" s="4" t="s">
        <v>469</v>
      </c>
      <c r="C39" s="4" t="s">
        <v>470</v>
      </c>
      <c r="D39" s="4" t="s">
        <v>75</v>
      </c>
      <c r="E39" s="5">
        <v>8981</v>
      </c>
      <c r="F39" s="6">
        <v>85.211727999999994</v>
      </c>
      <c r="G39" s="7">
        <v>1.1848828E-2</v>
      </c>
      <c r="H39" s="69"/>
    </row>
    <row r="40" spans="1:8" x14ac:dyDescent="0.2">
      <c r="A40" s="3">
        <v>34</v>
      </c>
      <c r="B40" s="4" t="s">
        <v>208</v>
      </c>
      <c r="C40" s="4" t="s">
        <v>209</v>
      </c>
      <c r="D40" s="4" t="s">
        <v>78</v>
      </c>
      <c r="E40" s="5">
        <v>164647</v>
      </c>
      <c r="F40" s="6">
        <v>82.652794</v>
      </c>
      <c r="G40" s="7">
        <v>1.1493003999999999E-2</v>
      </c>
      <c r="H40" s="69"/>
    </row>
    <row r="41" spans="1:8" x14ac:dyDescent="0.2">
      <c r="A41" s="3">
        <v>35</v>
      </c>
      <c r="B41" s="4" t="s">
        <v>193</v>
      </c>
      <c r="C41" s="4" t="s">
        <v>194</v>
      </c>
      <c r="D41" s="4" t="s">
        <v>195</v>
      </c>
      <c r="E41" s="5">
        <v>16994</v>
      </c>
      <c r="F41" s="6">
        <v>81.724146000000005</v>
      </c>
      <c r="G41" s="7">
        <v>1.1363874E-2</v>
      </c>
      <c r="H41" s="69"/>
    </row>
    <row r="42" spans="1:8" x14ac:dyDescent="0.2">
      <c r="A42" s="3">
        <v>36</v>
      </c>
      <c r="B42" s="4" t="s">
        <v>216</v>
      </c>
      <c r="C42" s="4" t="s">
        <v>217</v>
      </c>
      <c r="D42" s="4" t="s">
        <v>75</v>
      </c>
      <c r="E42" s="5">
        <v>9133</v>
      </c>
      <c r="F42" s="6">
        <v>80.114676000000003</v>
      </c>
      <c r="G42" s="7">
        <v>1.1140074999999999E-2</v>
      </c>
      <c r="H42" s="69"/>
    </row>
    <row r="43" spans="1:8" x14ac:dyDescent="0.2">
      <c r="A43" s="3">
        <v>37</v>
      </c>
      <c r="B43" s="4" t="s">
        <v>212</v>
      </c>
      <c r="C43" s="4" t="s">
        <v>213</v>
      </c>
      <c r="D43" s="4" t="s">
        <v>979</v>
      </c>
      <c r="E43" s="5">
        <v>14588</v>
      </c>
      <c r="F43" s="6">
        <v>80.015180000000001</v>
      </c>
      <c r="G43" s="7">
        <v>1.1126240000000001E-2</v>
      </c>
      <c r="H43" s="69"/>
    </row>
    <row r="44" spans="1:8" x14ac:dyDescent="0.2">
      <c r="A44" s="3">
        <v>38</v>
      </c>
      <c r="B44" s="4" t="s">
        <v>214</v>
      </c>
      <c r="C44" s="4" t="s">
        <v>215</v>
      </c>
      <c r="D44" s="4" t="s">
        <v>979</v>
      </c>
      <c r="E44" s="5">
        <v>7692</v>
      </c>
      <c r="F44" s="6">
        <v>78.485321999999996</v>
      </c>
      <c r="G44" s="7">
        <v>1.0913511000000001E-2</v>
      </c>
      <c r="H44" s="69"/>
    </row>
    <row r="45" spans="1:8" x14ac:dyDescent="0.2">
      <c r="A45" s="3">
        <v>39</v>
      </c>
      <c r="B45" s="4" t="s">
        <v>202</v>
      </c>
      <c r="C45" s="4" t="s">
        <v>203</v>
      </c>
      <c r="D45" s="4" t="s">
        <v>204</v>
      </c>
      <c r="E45" s="5">
        <v>19577</v>
      </c>
      <c r="F45" s="6">
        <v>75.997913999999994</v>
      </c>
      <c r="G45" s="7">
        <v>1.0567633E-2</v>
      </c>
      <c r="H45" s="69"/>
    </row>
    <row r="46" spans="1:8" ht="25.5" x14ac:dyDescent="0.2">
      <c r="A46" s="3">
        <v>40</v>
      </c>
      <c r="B46" s="4" t="s">
        <v>229</v>
      </c>
      <c r="C46" s="4" t="s">
        <v>230</v>
      </c>
      <c r="D46" s="4" t="s">
        <v>75</v>
      </c>
      <c r="E46" s="5">
        <v>3957</v>
      </c>
      <c r="F46" s="6">
        <v>75.125623500000003</v>
      </c>
      <c r="G46" s="7">
        <v>1.0446339000000001E-2</v>
      </c>
      <c r="H46" s="69"/>
    </row>
    <row r="47" spans="1:8" x14ac:dyDescent="0.2">
      <c r="A47" s="3">
        <v>41</v>
      </c>
      <c r="B47" s="4" t="s">
        <v>167</v>
      </c>
      <c r="C47" s="4" t="s">
        <v>168</v>
      </c>
      <c r="D47" s="4" t="s">
        <v>976</v>
      </c>
      <c r="E47" s="5">
        <v>7396</v>
      </c>
      <c r="F47" s="6">
        <v>75.013930000000002</v>
      </c>
      <c r="G47" s="7">
        <v>1.0430808E-2</v>
      </c>
      <c r="H47" s="69"/>
    </row>
    <row r="48" spans="1:8" ht="25.5" x14ac:dyDescent="0.2">
      <c r="A48" s="3">
        <v>42</v>
      </c>
      <c r="B48" s="4" t="s">
        <v>222</v>
      </c>
      <c r="C48" s="4" t="s">
        <v>223</v>
      </c>
      <c r="D48" s="4" t="s">
        <v>207</v>
      </c>
      <c r="E48" s="5">
        <v>15722</v>
      </c>
      <c r="F48" s="6">
        <v>73.335268999999997</v>
      </c>
      <c r="G48" s="7">
        <v>1.0197387E-2</v>
      </c>
      <c r="H48" s="69"/>
    </row>
    <row r="49" spans="1:8" x14ac:dyDescent="0.2">
      <c r="A49" s="3">
        <v>43</v>
      </c>
      <c r="B49" s="4" t="s">
        <v>241</v>
      </c>
      <c r="C49" s="4" t="s">
        <v>242</v>
      </c>
      <c r="D49" s="4" t="s">
        <v>155</v>
      </c>
      <c r="E49" s="5">
        <v>5955</v>
      </c>
      <c r="F49" s="6">
        <v>71.790502500000002</v>
      </c>
      <c r="G49" s="7">
        <v>9.9825850000000004E-3</v>
      </c>
      <c r="H49" s="69"/>
    </row>
    <row r="50" spans="1:8" x14ac:dyDescent="0.2">
      <c r="A50" s="3">
        <v>44</v>
      </c>
      <c r="B50" s="4" t="s">
        <v>225</v>
      </c>
      <c r="C50" s="4" t="s">
        <v>226</v>
      </c>
      <c r="D50" s="4" t="s">
        <v>204</v>
      </c>
      <c r="E50" s="5">
        <v>13902</v>
      </c>
      <c r="F50" s="6">
        <v>70.712523000000004</v>
      </c>
      <c r="G50" s="7">
        <v>9.8326899999999998E-3</v>
      </c>
      <c r="H50" s="69"/>
    </row>
    <row r="51" spans="1:8" x14ac:dyDescent="0.2">
      <c r="A51" s="3">
        <v>45</v>
      </c>
      <c r="B51" s="4" t="s">
        <v>477</v>
      </c>
      <c r="C51" s="4" t="s">
        <v>478</v>
      </c>
      <c r="D51" s="4" t="s">
        <v>204</v>
      </c>
      <c r="E51" s="5">
        <v>14001</v>
      </c>
      <c r="F51" s="6">
        <v>70.70505</v>
      </c>
      <c r="G51" s="7">
        <v>9.8316510000000003E-3</v>
      </c>
      <c r="H51" s="69"/>
    </row>
    <row r="52" spans="1:8" x14ac:dyDescent="0.2">
      <c r="A52" s="3">
        <v>46</v>
      </c>
      <c r="B52" s="4" t="s">
        <v>219</v>
      </c>
      <c r="C52" s="4" t="s">
        <v>220</v>
      </c>
      <c r="D52" s="4" t="s">
        <v>221</v>
      </c>
      <c r="E52" s="5">
        <v>33456</v>
      </c>
      <c r="F52" s="6">
        <v>70.391424000000001</v>
      </c>
      <c r="G52" s="7">
        <v>9.7880410000000008E-3</v>
      </c>
      <c r="H52" s="69"/>
    </row>
    <row r="53" spans="1:8" x14ac:dyDescent="0.2">
      <c r="A53" s="3">
        <v>47</v>
      </c>
      <c r="B53" s="4" t="s">
        <v>178</v>
      </c>
      <c r="C53" s="4" t="s">
        <v>179</v>
      </c>
      <c r="D53" s="4" t="s">
        <v>180</v>
      </c>
      <c r="E53" s="5">
        <v>7374</v>
      </c>
      <c r="F53" s="6">
        <v>69.477828000000002</v>
      </c>
      <c r="G53" s="7">
        <v>9.6610040000000008E-3</v>
      </c>
      <c r="H53" s="69"/>
    </row>
    <row r="54" spans="1:8" x14ac:dyDescent="0.2">
      <c r="A54" s="3">
        <v>48</v>
      </c>
      <c r="B54" s="4" t="s">
        <v>289</v>
      </c>
      <c r="C54" s="4" t="s">
        <v>290</v>
      </c>
      <c r="D54" s="4" t="s">
        <v>27</v>
      </c>
      <c r="E54" s="5">
        <v>20366</v>
      </c>
      <c r="F54" s="6">
        <v>69.010191000000006</v>
      </c>
      <c r="G54" s="7">
        <v>9.5959779999999998E-3</v>
      </c>
      <c r="H54" s="69"/>
    </row>
    <row r="55" spans="1:8" x14ac:dyDescent="0.2">
      <c r="A55" s="3">
        <v>49</v>
      </c>
      <c r="B55" s="4" t="s">
        <v>227</v>
      </c>
      <c r="C55" s="4" t="s">
        <v>228</v>
      </c>
      <c r="D55" s="4" t="s">
        <v>976</v>
      </c>
      <c r="E55" s="5">
        <v>4258</v>
      </c>
      <c r="F55" s="6">
        <v>68.087548999999996</v>
      </c>
      <c r="G55" s="7">
        <v>9.4676840000000005E-3</v>
      </c>
      <c r="H55" s="69"/>
    </row>
    <row r="56" spans="1:8" x14ac:dyDescent="0.2">
      <c r="A56" s="3">
        <v>50</v>
      </c>
      <c r="B56" s="4" t="s">
        <v>295</v>
      </c>
      <c r="C56" s="4" t="s">
        <v>296</v>
      </c>
      <c r="D56" s="4" t="s">
        <v>27</v>
      </c>
      <c r="E56" s="5">
        <v>5663</v>
      </c>
      <c r="F56" s="6">
        <v>66.494945999999999</v>
      </c>
      <c r="G56" s="7">
        <v>9.2462289999999999E-3</v>
      </c>
      <c r="H56" s="69"/>
    </row>
    <row r="57" spans="1:8" ht="25.5" x14ac:dyDescent="0.2">
      <c r="A57" s="3">
        <v>51</v>
      </c>
      <c r="B57" s="4" t="s">
        <v>233</v>
      </c>
      <c r="C57" s="4" t="s">
        <v>234</v>
      </c>
      <c r="D57" s="4" t="s">
        <v>207</v>
      </c>
      <c r="E57" s="5">
        <v>16397</v>
      </c>
      <c r="F57" s="6">
        <v>66.219284500000001</v>
      </c>
      <c r="G57" s="7">
        <v>9.2078980000000008E-3</v>
      </c>
      <c r="H57" s="69"/>
    </row>
    <row r="58" spans="1:8" x14ac:dyDescent="0.2">
      <c r="A58" s="3">
        <v>52</v>
      </c>
      <c r="B58" s="4" t="s">
        <v>247</v>
      </c>
      <c r="C58" s="4" t="s">
        <v>248</v>
      </c>
      <c r="D58" s="4" t="s">
        <v>75</v>
      </c>
      <c r="E58" s="5">
        <v>26481</v>
      </c>
      <c r="F58" s="6">
        <v>66.109816499999994</v>
      </c>
      <c r="G58" s="7">
        <v>9.1926769999999998E-3</v>
      </c>
      <c r="H58" s="69"/>
    </row>
    <row r="59" spans="1:8" x14ac:dyDescent="0.2">
      <c r="A59" s="3">
        <v>53</v>
      </c>
      <c r="B59" s="4" t="s">
        <v>235</v>
      </c>
      <c r="C59" s="4" t="s">
        <v>236</v>
      </c>
      <c r="D59" s="4" t="s">
        <v>160</v>
      </c>
      <c r="E59" s="5">
        <v>17494</v>
      </c>
      <c r="F59" s="6">
        <v>65.681223000000003</v>
      </c>
      <c r="G59" s="7">
        <v>9.13308E-3</v>
      </c>
      <c r="H59" s="69"/>
    </row>
    <row r="60" spans="1:8" x14ac:dyDescent="0.2">
      <c r="A60" s="3">
        <v>54</v>
      </c>
      <c r="B60" s="4" t="s">
        <v>185</v>
      </c>
      <c r="C60" s="4" t="s">
        <v>186</v>
      </c>
      <c r="D60" s="4" t="s">
        <v>16</v>
      </c>
      <c r="E60" s="5">
        <v>22056</v>
      </c>
      <c r="F60" s="6">
        <v>65.087255999999996</v>
      </c>
      <c r="G60" s="7">
        <v>9.0504880000000006E-3</v>
      </c>
      <c r="H60" s="69"/>
    </row>
    <row r="61" spans="1:8" x14ac:dyDescent="0.2">
      <c r="A61" s="3">
        <v>55</v>
      </c>
      <c r="B61" s="4" t="s">
        <v>237</v>
      </c>
      <c r="C61" s="4" t="s">
        <v>238</v>
      </c>
      <c r="D61" s="4" t="s">
        <v>204</v>
      </c>
      <c r="E61" s="5">
        <v>3920</v>
      </c>
      <c r="F61" s="6">
        <v>64.237039999999993</v>
      </c>
      <c r="G61" s="7">
        <v>8.9322640000000005E-3</v>
      </c>
      <c r="H61" s="69"/>
    </row>
    <row r="62" spans="1:8" ht="25.5" x14ac:dyDescent="0.2">
      <c r="A62" s="3">
        <v>56</v>
      </c>
      <c r="B62" s="4" t="s">
        <v>239</v>
      </c>
      <c r="C62" s="4" t="s">
        <v>240</v>
      </c>
      <c r="D62" s="4" t="s">
        <v>980</v>
      </c>
      <c r="E62" s="5">
        <v>63692</v>
      </c>
      <c r="F62" s="6">
        <v>63.755692000000003</v>
      </c>
      <c r="G62" s="7">
        <v>8.8653320000000001E-3</v>
      </c>
      <c r="H62" s="69"/>
    </row>
    <row r="63" spans="1:8" x14ac:dyDescent="0.2">
      <c r="A63" s="3">
        <v>57</v>
      </c>
      <c r="B63" s="4" t="s">
        <v>183</v>
      </c>
      <c r="C63" s="4" t="s">
        <v>184</v>
      </c>
      <c r="D63" s="4" t="s">
        <v>75</v>
      </c>
      <c r="E63" s="5">
        <v>6547</v>
      </c>
      <c r="F63" s="6">
        <v>62.294705</v>
      </c>
      <c r="G63" s="7">
        <v>8.6621790000000008E-3</v>
      </c>
      <c r="H63" s="69"/>
    </row>
    <row r="64" spans="1:8" ht="25.5" x14ac:dyDescent="0.2">
      <c r="A64" s="3">
        <v>58</v>
      </c>
      <c r="B64" s="4" t="s">
        <v>218</v>
      </c>
      <c r="C64" s="4" t="s">
        <v>869</v>
      </c>
      <c r="D64" s="4" t="s">
        <v>45</v>
      </c>
      <c r="E64" s="5">
        <v>28232</v>
      </c>
      <c r="F64" s="6">
        <v>58.694327999999999</v>
      </c>
      <c r="G64" s="7">
        <v>8.1615409999999996E-3</v>
      </c>
      <c r="H64" s="69"/>
    </row>
    <row r="65" spans="1:8" x14ac:dyDescent="0.2">
      <c r="A65" s="3">
        <v>59</v>
      </c>
      <c r="B65" s="4" t="s">
        <v>283</v>
      </c>
      <c r="C65" s="4" t="s">
        <v>284</v>
      </c>
      <c r="D65" s="4" t="s">
        <v>32</v>
      </c>
      <c r="E65" s="5">
        <v>15004</v>
      </c>
      <c r="F65" s="6">
        <v>58.275536000000002</v>
      </c>
      <c r="G65" s="7">
        <v>8.1033070000000006E-3</v>
      </c>
      <c r="H65" s="69"/>
    </row>
    <row r="66" spans="1:8" x14ac:dyDescent="0.2">
      <c r="A66" s="3">
        <v>60</v>
      </c>
      <c r="B66" s="4" t="s">
        <v>56</v>
      </c>
      <c r="C66" s="4" t="s">
        <v>57</v>
      </c>
      <c r="D66" s="4" t="s">
        <v>53</v>
      </c>
      <c r="E66" s="5">
        <v>10971</v>
      </c>
      <c r="F66" s="6">
        <v>55.123789500000001</v>
      </c>
      <c r="G66" s="7">
        <v>7.6650520000000003E-3</v>
      </c>
      <c r="H66" s="69"/>
    </row>
    <row r="67" spans="1:8" x14ac:dyDescent="0.2">
      <c r="A67" s="3">
        <v>61</v>
      </c>
      <c r="B67" s="4" t="s">
        <v>280</v>
      </c>
      <c r="C67" s="4" t="s">
        <v>281</v>
      </c>
      <c r="D67" s="4" t="s">
        <v>175</v>
      </c>
      <c r="E67" s="5">
        <v>7412</v>
      </c>
      <c r="F67" s="6">
        <v>51.694994000000001</v>
      </c>
      <c r="G67" s="7">
        <v>7.1882719999999999E-3</v>
      </c>
      <c r="H67" s="69"/>
    </row>
    <row r="68" spans="1:8" x14ac:dyDescent="0.2">
      <c r="A68" s="3">
        <v>62</v>
      </c>
      <c r="B68" s="4" t="s">
        <v>251</v>
      </c>
      <c r="C68" s="4" t="s">
        <v>252</v>
      </c>
      <c r="D68" s="4" t="s">
        <v>160</v>
      </c>
      <c r="E68" s="5">
        <v>8028</v>
      </c>
      <c r="F68" s="6">
        <v>46.68282</v>
      </c>
      <c r="G68" s="7">
        <v>6.4913210000000004E-3</v>
      </c>
      <c r="H68" s="69"/>
    </row>
    <row r="69" spans="1:8" x14ac:dyDescent="0.2">
      <c r="A69" s="3">
        <v>63</v>
      </c>
      <c r="B69" s="4" t="s">
        <v>253</v>
      </c>
      <c r="C69" s="4" t="s">
        <v>254</v>
      </c>
      <c r="D69" s="4" t="s">
        <v>65</v>
      </c>
      <c r="E69" s="5">
        <v>5369</v>
      </c>
      <c r="F69" s="6">
        <v>45.904949999999999</v>
      </c>
      <c r="G69" s="7">
        <v>6.3831570000000004E-3</v>
      </c>
      <c r="H69" s="69"/>
    </row>
    <row r="70" spans="1:8" x14ac:dyDescent="0.2">
      <c r="A70" s="3">
        <v>64</v>
      </c>
      <c r="B70" s="4" t="s">
        <v>285</v>
      </c>
      <c r="C70" s="4" t="s">
        <v>286</v>
      </c>
      <c r="D70" s="4" t="s">
        <v>160</v>
      </c>
      <c r="E70" s="5">
        <v>6546</v>
      </c>
      <c r="F70" s="6">
        <v>44.332785000000001</v>
      </c>
      <c r="G70" s="7">
        <v>6.1645449999999996E-3</v>
      </c>
      <c r="H70" s="69"/>
    </row>
    <row r="71" spans="1:8" x14ac:dyDescent="0.2">
      <c r="A71" s="3">
        <v>65</v>
      </c>
      <c r="B71" s="4" t="s">
        <v>255</v>
      </c>
      <c r="C71" s="4" t="s">
        <v>256</v>
      </c>
      <c r="D71" s="4" t="s">
        <v>257</v>
      </c>
      <c r="E71" s="5">
        <v>19523</v>
      </c>
      <c r="F71" s="6">
        <v>43.419151999999997</v>
      </c>
      <c r="G71" s="7">
        <v>6.0375029999999996E-3</v>
      </c>
      <c r="H71" s="69"/>
    </row>
    <row r="72" spans="1:8" x14ac:dyDescent="0.2">
      <c r="A72" s="3">
        <v>66</v>
      </c>
      <c r="B72" s="4" t="s">
        <v>262</v>
      </c>
      <c r="C72" s="4" t="s">
        <v>263</v>
      </c>
      <c r="D72" s="4" t="s">
        <v>22</v>
      </c>
      <c r="E72" s="5">
        <v>52374</v>
      </c>
      <c r="F72" s="6">
        <v>42.972867000000001</v>
      </c>
      <c r="G72" s="7">
        <v>5.9754459999999997E-3</v>
      </c>
      <c r="H72" s="69"/>
    </row>
    <row r="73" spans="1:8" x14ac:dyDescent="0.2">
      <c r="A73" s="3">
        <v>67</v>
      </c>
      <c r="B73" s="4" t="s">
        <v>260</v>
      </c>
      <c r="C73" s="4" t="s">
        <v>261</v>
      </c>
      <c r="D73" s="4" t="s">
        <v>204</v>
      </c>
      <c r="E73" s="5">
        <v>792</v>
      </c>
      <c r="F73" s="6">
        <v>42.171624000000001</v>
      </c>
      <c r="G73" s="7">
        <v>5.8640319999999999E-3</v>
      </c>
      <c r="H73" s="69"/>
    </row>
    <row r="74" spans="1:8" x14ac:dyDescent="0.2">
      <c r="A74" s="3">
        <v>68</v>
      </c>
      <c r="B74" s="4" t="s">
        <v>276</v>
      </c>
      <c r="C74" s="4" t="s">
        <v>277</v>
      </c>
      <c r="D74" s="4" t="s">
        <v>204</v>
      </c>
      <c r="E74" s="5">
        <v>12902</v>
      </c>
      <c r="F74" s="6">
        <v>36.544915000000003</v>
      </c>
      <c r="G74" s="7">
        <v>5.0816289999999998E-3</v>
      </c>
      <c r="H74" s="69"/>
    </row>
    <row r="75" spans="1:8" x14ac:dyDescent="0.2">
      <c r="A75" s="3">
        <v>69</v>
      </c>
      <c r="B75" s="4" t="s">
        <v>471</v>
      </c>
      <c r="C75" s="4" t="s">
        <v>472</v>
      </c>
      <c r="D75" s="4" t="s">
        <v>78</v>
      </c>
      <c r="E75" s="5">
        <v>7194</v>
      </c>
      <c r="F75" s="6">
        <v>36.210999000000001</v>
      </c>
      <c r="G75" s="7">
        <v>5.0351980000000003E-3</v>
      </c>
      <c r="H75" s="69"/>
    </row>
    <row r="76" spans="1:8" x14ac:dyDescent="0.2">
      <c r="A76" s="3">
        <v>70</v>
      </c>
      <c r="B76" s="4" t="s">
        <v>249</v>
      </c>
      <c r="C76" s="4" t="s">
        <v>250</v>
      </c>
      <c r="D76" s="4" t="s">
        <v>334</v>
      </c>
      <c r="E76" s="5">
        <v>3918</v>
      </c>
      <c r="F76" s="6">
        <v>36.010337999999997</v>
      </c>
      <c r="G76" s="7">
        <v>5.0072959999999996E-3</v>
      </c>
      <c r="H76" s="69"/>
    </row>
    <row r="77" spans="1:8" x14ac:dyDescent="0.2">
      <c r="A77" s="3">
        <v>71</v>
      </c>
      <c r="B77" s="4" t="s">
        <v>270</v>
      </c>
      <c r="C77" s="4" t="s">
        <v>271</v>
      </c>
      <c r="D77" s="4" t="s">
        <v>144</v>
      </c>
      <c r="E77" s="5">
        <v>6070</v>
      </c>
      <c r="F77" s="6">
        <v>34.756819999999998</v>
      </c>
      <c r="G77" s="7">
        <v>4.8329920000000004E-3</v>
      </c>
      <c r="H77" s="69"/>
    </row>
    <row r="78" spans="1:8" x14ac:dyDescent="0.2">
      <c r="A78" s="3">
        <v>72</v>
      </c>
      <c r="B78" s="4" t="s">
        <v>461</v>
      </c>
      <c r="C78" s="4" t="s">
        <v>462</v>
      </c>
      <c r="D78" s="4" t="s">
        <v>75</v>
      </c>
      <c r="E78" s="5">
        <v>8699</v>
      </c>
      <c r="F78" s="6">
        <v>33.826061500000002</v>
      </c>
      <c r="G78" s="7">
        <v>4.703568E-3</v>
      </c>
      <c r="H78" s="69"/>
    </row>
    <row r="79" spans="1:8" x14ac:dyDescent="0.2">
      <c r="A79" s="3">
        <v>73</v>
      </c>
      <c r="B79" s="4" t="s">
        <v>303</v>
      </c>
      <c r="C79" s="4" t="s">
        <v>304</v>
      </c>
      <c r="D79" s="4" t="s">
        <v>979</v>
      </c>
      <c r="E79" s="5">
        <v>93287</v>
      </c>
      <c r="F79" s="6">
        <v>32.417232499999997</v>
      </c>
      <c r="G79" s="7">
        <v>4.5076680000000003E-3</v>
      </c>
      <c r="H79" s="69"/>
    </row>
    <row r="80" spans="1:8" x14ac:dyDescent="0.2">
      <c r="A80" s="3">
        <v>74</v>
      </c>
      <c r="B80" s="4" t="s">
        <v>274</v>
      </c>
      <c r="C80" s="4" t="s">
        <v>275</v>
      </c>
      <c r="D80" s="4" t="s">
        <v>155</v>
      </c>
      <c r="E80" s="5">
        <v>7455</v>
      </c>
      <c r="F80" s="6">
        <v>28.377457499999998</v>
      </c>
      <c r="G80" s="7">
        <v>3.9459309999999997E-3</v>
      </c>
      <c r="H80" s="69"/>
    </row>
    <row r="81" spans="1:8" x14ac:dyDescent="0.2">
      <c r="A81" s="3">
        <v>75</v>
      </c>
      <c r="B81" s="4" t="s">
        <v>473</v>
      </c>
      <c r="C81" s="4" t="s">
        <v>474</v>
      </c>
      <c r="D81" s="4" t="s">
        <v>976</v>
      </c>
      <c r="E81" s="5">
        <v>29234</v>
      </c>
      <c r="F81" s="6">
        <v>24.717347</v>
      </c>
      <c r="G81" s="7">
        <v>3.4369869999999999E-3</v>
      </c>
      <c r="H81" s="69"/>
    </row>
    <row r="82" spans="1:8" x14ac:dyDescent="0.2">
      <c r="A82" s="3">
        <v>76</v>
      </c>
      <c r="B82" s="4" t="s">
        <v>278</v>
      </c>
      <c r="C82" s="4" t="s">
        <v>279</v>
      </c>
      <c r="D82" s="4" t="s">
        <v>144</v>
      </c>
      <c r="E82" s="5">
        <v>1852</v>
      </c>
      <c r="F82" s="6">
        <v>18.677420000000001</v>
      </c>
      <c r="G82" s="7">
        <v>2.597125E-3</v>
      </c>
      <c r="H82" s="69"/>
    </row>
    <row r="83" spans="1:8" x14ac:dyDescent="0.2">
      <c r="A83" s="1"/>
      <c r="B83" s="1"/>
      <c r="C83" s="2" t="s">
        <v>95</v>
      </c>
      <c r="D83" s="1"/>
      <c r="E83" s="1" t="s">
        <v>96</v>
      </c>
      <c r="F83" s="9">
        <v>6837.8061150000003</v>
      </c>
      <c r="G83" s="10">
        <v>0.95080796300000003</v>
      </c>
      <c r="H83" s="69"/>
    </row>
    <row r="84" spans="1:8" x14ac:dyDescent="0.2">
      <c r="A84" s="1"/>
      <c r="B84" s="1"/>
      <c r="C84" s="11"/>
      <c r="D84" s="1"/>
      <c r="E84" s="1"/>
      <c r="F84" s="12"/>
      <c r="G84" s="12"/>
      <c r="H84" s="69"/>
    </row>
    <row r="85" spans="1:8" x14ac:dyDescent="0.2">
      <c r="A85" s="1"/>
      <c r="B85" s="1"/>
      <c r="C85" s="2" t="s">
        <v>97</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98</v>
      </c>
      <c r="D88" s="1"/>
      <c r="E88" s="1"/>
      <c r="F88" s="1"/>
      <c r="G88" s="1"/>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99</v>
      </c>
      <c r="D91" s="1"/>
      <c r="E91" s="1"/>
      <c r="F91" s="1"/>
      <c r="G91" s="1"/>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101</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102</v>
      </c>
      <c r="D100" s="1"/>
      <c r="E100" s="1"/>
      <c r="F100" s="9">
        <v>6837.8061150000003</v>
      </c>
      <c r="G100" s="10">
        <v>0.95080796300000003</v>
      </c>
      <c r="H100" s="69"/>
    </row>
    <row r="101" spans="1:8" x14ac:dyDescent="0.2">
      <c r="A101" s="1"/>
      <c r="B101" s="1"/>
      <c r="C101" s="11"/>
      <c r="D101" s="1"/>
      <c r="E101" s="1"/>
      <c r="F101" s="12"/>
      <c r="G101" s="12"/>
      <c r="H101" s="69"/>
    </row>
    <row r="102" spans="1:8" x14ac:dyDescent="0.2">
      <c r="A102" s="1"/>
      <c r="B102" s="1"/>
      <c r="C102" s="2" t="s">
        <v>103</v>
      </c>
      <c r="D102" s="1"/>
      <c r="E102" s="1"/>
      <c r="F102" s="12"/>
      <c r="G102" s="12"/>
      <c r="H102" s="69"/>
    </row>
    <row r="103" spans="1:8" ht="25.5" x14ac:dyDescent="0.2">
      <c r="A103" s="1"/>
      <c r="B103" s="1"/>
      <c r="C103" s="2" t="s">
        <v>10</v>
      </c>
      <c r="D103" s="1"/>
      <c r="E103" s="1"/>
      <c r="F103" s="12"/>
      <c r="G103" s="12"/>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104</v>
      </c>
      <c r="D106" s="1"/>
      <c r="E106" s="1"/>
      <c r="F106" s="1"/>
      <c r="G106" s="1"/>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105</v>
      </c>
      <c r="D109" s="1"/>
      <c r="E109" s="1"/>
      <c r="F109" s="1"/>
      <c r="G109" s="1"/>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106</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107</v>
      </c>
      <c r="D115" s="1"/>
      <c r="E115" s="1"/>
      <c r="F115" s="9">
        <v>0</v>
      </c>
      <c r="G115" s="10">
        <v>0</v>
      </c>
      <c r="H115" s="69"/>
    </row>
    <row r="116" spans="1:8" x14ac:dyDescent="0.2">
      <c r="A116" s="1"/>
      <c r="B116" s="1"/>
      <c r="C116" s="11"/>
      <c r="D116" s="1"/>
      <c r="E116" s="1"/>
      <c r="F116" s="12"/>
      <c r="G116" s="12"/>
      <c r="H116" s="69"/>
    </row>
    <row r="117" spans="1:8" x14ac:dyDescent="0.2">
      <c r="A117" s="1"/>
      <c r="B117" s="1"/>
      <c r="C117" s="2" t="s">
        <v>108</v>
      </c>
      <c r="D117" s="1"/>
      <c r="E117" s="1"/>
      <c r="F117" s="12"/>
      <c r="G117" s="12"/>
      <c r="H117" s="69"/>
    </row>
    <row r="118" spans="1:8" x14ac:dyDescent="0.2">
      <c r="A118" s="1"/>
      <c r="B118" s="1"/>
      <c r="C118" s="2" t="s">
        <v>109</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2" t="s">
        <v>110</v>
      </c>
      <c r="D121" s="1"/>
      <c r="E121" s="1"/>
      <c r="F121" s="12"/>
      <c r="G121" s="12"/>
      <c r="H121" s="69"/>
    </row>
    <row r="122" spans="1:8" x14ac:dyDescent="0.2">
      <c r="A122" s="1"/>
      <c r="B122" s="1"/>
      <c r="C122" s="2" t="s">
        <v>95</v>
      </c>
      <c r="D122" s="1"/>
      <c r="E122" s="1" t="s">
        <v>96</v>
      </c>
      <c r="F122" s="13">
        <v>0</v>
      </c>
      <c r="G122" s="14">
        <v>0</v>
      </c>
      <c r="H122" s="69"/>
    </row>
    <row r="123" spans="1:8" x14ac:dyDescent="0.2">
      <c r="A123" s="1"/>
      <c r="B123" s="1"/>
      <c r="C123" s="11"/>
      <c r="D123" s="1"/>
      <c r="E123" s="1"/>
      <c r="F123" s="12"/>
      <c r="G123" s="12"/>
      <c r="H123" s="69"/>
    </row>
    <row r="124" spans="1:8" x14ac:dyDescent="0.2">
      <c r="A124" s="1"/>
      <c r="B124" s="1"/>
      <c r="C124" s="2" t="s">
        <v>111</v>
      </c>
      <c r="D124" s="1"/>
      <c r="E124" s="1"/>
      <c r="F124" s="12"/>
      <c r="G124" s="12"/>
      <c r="H124" s="69"/>
    </row>
    <row r="125" spans="1:8" x14ac:dyDescent="0.2">
      <c r="A125" s="1"/>
      <c r="B125" s="1"/>
      <c r="C125" s="2" t="s">
        <v>95</v>
      </c>
      <c r="D125" s="1"/>
      <c r="E125" s="1" t="s">
        <v>96</v>
      </c>
      <c r="F125" s="13">
        <v>0</v>
      </c>
      <c r="G125" s="14">
        <v>0</v>
      </c>
      <c r="H125" s="69"/>
    </row>
    <row r="126" spans="1:8" x14ac:dyDescent="0.2">
      <c r="A126" s="1"/>
      <c r="B126" s="1"/>
      <c r="C126" s="11"/>
      <c r="D126" s="1"/>
      <c r="E126" s="1"/>
      <c r="F126" s="12"/>
      <c r="G126" s="12"/>
      <c r="H126" s="69"/>
    </row>
    <row r="127" spans="1:8" x14ac:dyDescent="0.2">
      <c r="A127" s="1"/>
      <c r="B127" s="1"/>
      <c r="C127" s="2" t="s">
        <v>112</v>
      </c>
      <c r="D127" s="1"/>
      <c r="E127" s="1"/>
      <c r="F127" s="12"/>
      <c r="G127" s="12"/>
      <c r="H127" s="69"/>
    </row>
    <row r="128" spans="1:8" x14ac:dyDescent="0.2">
      <c r="A128" s="3">
        <v>1</v>
      </c>
      <c r="B128" s="4"/>
      <c r="C128" s="4" t="s">
        <v>113</v>
      </c>
      <c r="D128" s="4"/>
      <c r="E128" s="8"/>
      <c r="F128" s="6">
        <v>244.3461877</v>
      </c>
      <c r="G128" s="7">
        <v>3.3976732000000003E-2</v>
      </c>
      <c r="H128" s="6">
        <v>3.3628721504199861</v>
      </c>
    </row>
    <row r="129" spans="1:8" x14ac:dyDescent="0.2">
      <c r="A129" s="3">
        <v>2</v>
      </c>
      <c r="B129" s="4"/>
      <c r="C129" s="4" t="s">
        <v>114</v>
      </c>
      <c r="D129" s="4"/>
      <c r="E129" s="8"/>
      <c r="F129" s="6">
        <v>94.364293799999999</v>
      </c>
      <c r="G129" s="7">
        <v>1.3121506999999999E-2</v>
      </c>
      <c r="H129" s="6">
        <v>3.4499999999999966</v>
      </c>
    </row>
    <row r="130" spans="1:8" x14ac:dyDescent="0.2">
      <c r="A130" s="1"/>
      <c r="B130" s="1"/>
      <c r="C130" s="2" t="s">
        <v>95</v>
      </c>
      <c r="D130" s="1"/>
      <c r="E130" s="1" t="s">
        <v>96</v>
      </c>
      <c r="F130" s="9">
        <v>338.71048150000001</v>
      </c>
      <c r="G130" s="10">
        <v>4.7098239E-2</v>
      </c>
      <c r="H130" s="69"/>
    </row>
    <row r="131" spans="1:8" x14ac:dyDescent="0.2">
      <c r="A131" s="1"/>
      <c r="B131" s="1"/>
      <c r="C131" s="11"/>
      <c r="D131" s="1"/>
      <c r="E131" s="1"/>
      <c r="F131" s="12"/>
      <c r="G131" s="12"/>
      <c r="H131" s="69"/>
    </row>
    <row r="132" spans="1:8" x14ac:dyDescent="0.2">
      <c r="A132" s="1"/>
      <c r="B132" s="1"/>
      <c r="C132" s="2" t="s">
        <v>115</v>
      </c>
      <c r="D132" s="1"/>
      <c r="E132" s="1"/>
      <c r="F132" s="9">
        <v>338.71048150000001</v>
      </c>
      <c r="G132" s="10">
        <v>4.7098239E-2</v>
      </c>
      <c r="H132" s="69"/>
    </row>
    <row r="133" spans="1:8" x14ac:dyDescent="0.2">
      <c r="A133" s="1"/>
      <c r="B133" s="1"/>
      <c r="C133" s="12"/>
      <c r="D133" s="1"/>
      <c r="E133" s="1"/>
      <c r="F133" s="1"/>
      <c r="G133" s="1"/>
      <c r="H133" s="69"/>
    </row>
    <row r="134" spans="1:8" x14ac:dyDescent="0.2">
      <c r="A134" s="1"/>
      <c r="B134" s="1"/>
      <c r="C134" s="2" t="s">
        <v>116</v>
      </c>
      <c r="D134" s="1"/>
      <c r="E134" s="1"/>
      <c r="F134" s="1"/>
      <c r="G134" s="1"/>
      <c r="H134" s="69"/>
    </row>
    <row r="135" spans="1:8" x14ac:dyDescent="0.2">
      <c r="A135" s="1"/>
      <c r="B135" s="1"/>
      <c r="C135" s="2" t="s">
        <v>117</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2" t="s">
        <v>118</v>
      </c>
      <c r="D138" s="1"/>
      <c r="E138" s="1"/>
      <c r="F138" s="1"/>
      <c r="G138" s="1"/>
      <c r="H138" s="69"/>
    </row>
    <row r="139" spans="1:8" x14ac:dyDescent="0.2">
      <c r="A139" s="1"/>
      <c r="B139" s="1"/>
      <c r="C139" s="2" t="s">
        <v>119</v>
      </c>
      <c r="D139" s="1"/>
      <c r="E139" s="1"/>
      <c r="F139" s="1"/>
      <c r="G139" s="1"/>
      <c r="H139" s="69"/>
    </row>
    <row r="140" spans="1:8" x14ac:dyDescent="0.2">
      <c r="A140" s="1"/>
      <c r="B140" s="1"/>
      <c r="C140" s="2" t="s">
        <v>95</v>
      </c>
      <c r="D140" s="1"/>
      <c r="E140" s="1" t="s">
        <v>96</v>
      </c>
      <c r="F140" s="13">
        <v>0</v>
      </c>
      <c r="G140" s="14">
        <v>0</v>
      </c>
      <c r="H140" s="69"/>
    </row>
    <row r="141" spans="1:8" x14ac:dyDescent="0.2">
      <c r="A141" s="1"/>
      <c r="B141" s="1"/>
      <c r="C141" s="11"/>
      <c r="D141" s="1"/>
      <c r="E141" s="1"/>
      <c r="F141" s="12"/>
      <c r="G141" s="12"/>
      <c r="H141" s="69"/>
    </row>
    <row r="142" spans="1:8" x14ac:dyDescent="0.2">
      <c r="A142" s="1"/>
      <c r="B142" s="1"/>
      <c r="C142" s="11"/>
      <c r="D142" s="1"/>
      <c r="E142" s="1"/>
      <c r="F142" s="12"/>
      <c r="G142" s="12"/>
      <c r="H142" s="69"/>
    </row>
    <row r="143" spans="1:8" ht="25.5" x14ac:dyDescent="0.2">
      <c r="A143" s="1"/>
      <c r="B143" s="1"/>
      <c r="C143" s="2" t="s">
        <v>120</v>
      </c>
      <c r="D143" s="1"/>
      <c r="E143" s="1"/>
      <c r="F143" s="12"/>
      <c r="G143" s="12"/>
      <c r="H143" s="69"/>
    </row>
    <row r="144" spans="1:8" x14ac:dyDescent="0.2">
      <c r="A144" s="1"/>
      <c r="B144" s="1"/>
      <c r="C144" s="2" t="s">
        <v>95</v>
      </c>
      <c r="D144" s="1"/>
      <c r="E144" s="1" t="s">
        <v>96</v>
      </c>
      <c r="F144" s="13">
        <v>0</v>
      </c>
      <c r="G144" s="14">
        <v>0</v>
      </c>
      <c r="H144" s="69"/>
    </row>
    <row r="145" spans="1:8" x14ac:dyDescent="0.2">
      <c r="A145" s="1"/>
      <c r="B145" s="1"/>
      <c r="C145" s="11"/>
      <c r="D145" s="1"/>
      <c r="E145" s="1"/>
      <c r="F145" s="12"/>
      <c r="G145" s="12"/>
      <c r="H145" s="69"/>
    </row>
    <row r="146" spans="1:8" x14ac:dyDescent="0.2">
      <c r="A146" s="1"/>
      <c r="B146" s="4"/>
      <c r="C146" s="4"/>
      <c r="D146" s="2"/>
      <c r="E146" s="1"/>
      <c r="F146" s="4"/>
      <c r="G146" s="8"/>
      <c r="H146" s="69"/>
    </row>
    <row r="147" spans="1:8" x14ac:dyDescent="0.2">
      <c r="A147" s="8"/>
      <c r="B147" s="4"/>
      <c r="C147" s="4" t="s">
        <v>121</v>
      </c>
      <c r="D147" s="4"/>
      <c r="E147" s="8"/>
      <c r="F147" s="6">
        <v>15.05765757</v>
      </c>
      <c r="G147" s="7">
        <v>2.0937920000000001E-3</v>
      </c>
      <c r="H147" s="69"/>
    </row>
    <row r="148" spans="1:8" x14ac:dyDescent="0.2">
      <c r="A148" s="11"/>
      <c r="B148" s="11"/>
      <c r="C148" s="2" t="s">
        <v>122</v>
      </c>
      <c r="D148" s="15"/>
      <c r="E148" s="15"/>
      <c r="F148" s="9">
        <v>7191.5742736700004</v>
      </c>
      <c r="G148" s="10">
        <v>0.99999999699999997</v>
      </c>
      <c r="H148" s="69"/>
    </row>
    <row r="149" spans="1:8" ht="14.1" customHeight="1" x14ac:dyDescent="0.2">
      <c r="A149" s="16"/>
      <c r="B149" s="16"/>
      <c r="C149" s="16"/>
      <c r="D149" s="17"/>
      <c r="E149" s="17"/>
      <c r="F149" s="17"/>
      <c r="G149" s="17"/>
    </row>
    <row r="150" spans="1:8" ht="14.1" customHeight="1" x14ac:dyDescent="0.2">
      <c r="A150" s="18"/>
      <c r="B150" s="176" t="s">
        <v>96</v>
      </c>
      <c r="C150" s="176"/>
      <c r="D150" s="176"/>
      <c r="E150" s="176"/>
      <c r="F150" s="176"/>
      <c r="G150" s="20"/>
    </row>
    <row r="151" spans="1:8" ht="17.100000000000001" customHeight="1" x14ac:dyDescent="0.2">
      <c r="A151" s="18"/>
      <c r="B151" s="176" t="s">
        <v>123</v>
      </c>
      <c r="C151" s="176"/>
      <c r="D151" s="176"/>
      <c r="E151" s="176"/>
      <c r="F151" s="176"/>
      <c r="G151" s="20"/>
    </row>
    <row r="152" spans="1:8" ht="14.1" customHeight="1" x14ac:dyDescent="0.2">
      <c r="A152" s="18"/>
      <c r="B152" s="18"/>
      <c r="C152" s="18"/>
      <c r="D152" s="20"/>
      <c r="E152" s="20"/>
      <c r="F152" s="20"/>
      <c r="G152" s="20"/>
    </row>
    <row r="153" spans="1:8" ht="14.1" customHeight="1" x14ac:dyDescent="0.2">
      <c r="A153" s="18"/>
      <c r="B153" s="174" t="s">
        <v>124</v>
      </c>
      <c r="C153" s="175"/>
      <c r="D153" s="12" t="s">
        <v>96</v>
      </c>
      <c r="E153" s="21"/>
      <c r="F153" s="20"/>
      <c r="G153" s="20"/>
    </row>
    <row r="154" spans="1:8" ht="29.1" customHeight="1" x14ac:dyDescent="0.2">
      <c r="A154" s="18"/>
      <c r="B154" s="172" t="s">
        <v>125</v>
      </c>
      <c r="C154" s="173"/>
      <c r="D154" s="2" t="s">
        <v>126</v>
      </c>
      <c r="E154" s="21"/>
      <c r="F154" s="20"/>
      <c r="G154" s="20"/>
    </row>
    <row r="155" spans="1:8" ht="17.100000000000001" customHeight="1" x14ac:dyDescent="0.2">
      <c r="A155" s="18"/>
      <c r="B155" s="172" t="s">
        <v>127</v>
      </c>
      <c r="C155" s="173"/>
      <c r="D155" s="2" t="s">
        <v>126</v>
      </c>
      <c r="E155" s="21"/>
      <c r="F155" s="20"/>
      <c r="G155" s="20"/>
    </row>
    <row r="156" spans="1:8" ht="17.100000000000001" customHeight="1" x14ac:dyDescent="0.2">
      <c r="A156" s="18"/>
      <c r="B156" s="172" t="s">
        <v>128</v>
      </c>
      <c r="C156" s="173"/>
      <c r="D156" s="12" t="s">
        <v>96</v>
      </c>
      <c r="E156" s="21"/>
      <c r="F156" s="20"/>
      <c r="G156" s="20"/>
    </row>
    <row r="157" spans="1:8" ht="24" customHeight="1" x14ac:dyDescent="0.2">
      <c r="A157" s="22"/>
      <c r="B157" s="23" t="s">
        <v>96</v>
      </c>
      <c r="C157" s="23" t="s">
        <v>129</v>
      </c>
      <c r="D157" s="23" t="s">
        <v>130</v>
      </c>
      <c r="E157" s="22"/>
      <c r="F157" s="22"/>
      <c r="G157" s="22"/>
    </row>
    <row r="158" spans="1:8" ht="18" customHeight="1" x14ac:dyDescent="0.2">
      <c r="A158" s="22"/>
      <c r="B158" s="23" t="s">
        <v>131</v>
      </c>
      <c r="C158" s="23" t="s">
        <v>132</v>
      </c>
      <c r="D158" s="23" t="s">
        <v>133</v>
      </c>
      <c r="E158" s="22"/>
      <c r="F158" s="22"/>
      <c r="G158" s="22"/>
    </row>
    <row r="159" spans="1:8" ht="17.100000000000001" customHeight="1" x14ac:dyDescent="0.2">
      <c r="A159" s="22"/>
      <c r="B159" s="4" t="s">
        <v>134</v>
      </c>
      <c r="C159" s="24">
        <v>18.058</v>
      </c>
      <c r="D159" s="24">
        <v>18.110600000000002</v>
      </c>
      <c r="E159" s="22"/>
      <c r="F159" s="19"/>
      <c r="G159" s="25"/>
    </row>
    <row r="160" spans="1:8" ht="17.100000000000001" customHeight="1" x14ac:dyDescent="0.2">
      <c r="A160" s="22"/>
      <c r="B160" s="4" t="s">
        <v>983</v>
      </c>
      <c r="C160" s="24">
        <v>17.416</v>
      </c>
      <c r="D160" s="24">
        <v>17.4666</v>
      </c>
      <c r="E160" s="22"/>
      <c r="F160" s="19"/>
      <c r="G160" s="25"/>
    </row>
    <row r="161" spans="1:16" ht="17.100000000000001" customHeight="1" x14ac:dyDescent="0.2">
      <c r="A161" s="22"/>
      <c r="B161" s="4" t="s">
        <v>135</v>
      </c>
      <c r="C161" s="24">
        <v>17.711099999999998</v>
      </c>
      <c r="D161" s="24">
        <v>17.7545</v>
      </c>
      <c r="E161" s="22"/>
      <c r="F161" s="19"/>
      <c r="G161" s="25"/>
    </row>
    <row r="162" spans="1:16" ht="17.100000000000001" customHeight="1" x14ac:dyDescent="0.2">
      <c r="A162" s="22"/>
      <c r="B162" s="4" t="s">
        <v>984</v>
      </c>
      <c r="C162" s="24">
        <v>17.070599999999999</v>
      </c>
      <c r="D162" s="24">
        <v>17.112400000000001</v>
      </c>
      <c r="E162" s="22"/>
      <c r="F162" s="19"/>
      <c r="G162" s="25"/>
    </row>
    <row r="163" spans="1:16" ht="14.1" customHeight="1" x14ac:dyDescent="0.2">
      <c r="A163" s="22"/>
      <c r="B163" s="22"/>
      <c r="C163" s="22"/>
      <c r="D163" s="22"/>
      <c r="E163" s="22"/>
      <c r="F163" s="22"/>
      <c r="G163" s="22"/>
    </row>
    <row r="164" spans="1:16" ht="17.100000000000001" customHeight="1" x14ac:dyDescent="0.2">
      <c r="A164" s="22"/>
      <c r="B164" s="172" t="s">
        <v>985</v>
      </c>
      <c r="C164" s="173"/>
      <c r="D164" s="2" t="s">
        <v>126</v>
      </c>
      <c r="E164" s="22"/>
      <c r="F164" s="22"/>
      <c r="G164" s="22"/>
      <c r="I164" s="82"/>
      <c r="J164" s="82"/>
      <c r="K164" s="82"/>
      <c r="L164" s="82"/>
      <c r="M164" s="82"/>
      <c r="N164" s="82"/>
      <c r="O164" s="82"/>
    </row>
    <row r="165" spans="1:16" ht="18" customHeight="1" x14ac:dyDescent="0.2">
      <c r="A165" s="22"/>
      <c r="B165" s="26" t="s">
        <v>136</v>
      </c>
      <c r="C165" s="26" t="s">
        <v>136</v>
      </c>
      <c r="D165" s="26"/>
      <c r="E165" s="22"/>
      <c r="F165" s="22"/>
      <c r="G165" s="22"/>
    </row>
    <row r="166" spans="1:16" s="82" customFormat="1" x14ac:dyDescent="0.2">
      <c r="B166" s="177" t="s">
        <v>936</v>
      </c>
      <c r="C166" s="177"/>
      <c r="D166" s="177"/>
      <c r="E166" s="177"/>
      <c r="F166" s="177"/>
      <c r="I166"/>
      <c r="J166"/>
      <c r="K166"/>
      <c r="L166"/>
      <c r="M166"/>
      <c r="N166"/>
      <c r="O166"/>
      <c r="P166" s="70"/>
    </row>
    <row r="167" spans="1:16" ht="14.1" customHeight="1" x14ac:dyDescent="0.2">
      <c r="A167" s="22"/>
      <c r="B167" s="19"/>
      <c r="C167" s="19"/>
      <c r="D167" s="22"/>
      <c r="E167" s="22"/>
      <c r="F167" s="22"/>
      <c r="G167" s="22"/>
    </row>
    <row r="168" spans="1:16" ht="29.1" customHeight="1" x14ac:dyDescent="0.2">
      <c r="A168" s="22"/>
      <c r="B168" s="172" t="s">
        <v>137</v>
      </c>
      <c r="C168" s="173"/>
      <c r="D168" s="2" t="s">
        <v>126</v>
      </c>
      <c r="E168" s="22"/>
      <c r="F168" s="22"/>
      <c r="G168" s="22"/>
    </row>
    <row r="169" spans="1:16" ht="29.1" customHeight="1" x14ac:dyDescent="0.2">
      <c r="A169" s="22"/>
      <c r="B169" s="172" t="s">
        <v>138</v>
      </c>
      <c r="C169" s="173"/>
      <c r="D169" s="2" t="s">
        <v>126</v>
      </c>
      <c r="E169" s="22"/>
      <c r="F169" s="22"/>
      <c r="G169" s="22"/>
    </row>
    <row r="170" spans="1:16" ht="17.100000000000001" customHeight="1" x14ac:dyDescent="0.2">
      <c r="A170" s="22"/>
      <c r="B170" s="172" t="s">
        <v>139</v>
      </c>
      <c r="C170" s="173"/>
      <c r="D170" s="27">
        <v>0.38532777366179544</v>
      </c>
      <c r="E170" s="22"/>
      <c r="F170" s="19"/>
      <c r="G170" s="25"/>
    </row>
    <row r="171" spans="1:16" ht="17.100000000000001" customHeight="1" x14ac:dyDescent="0.2">
      <c r="A171" s="22"/>
      <c r="B171" s="172" t="s">
        <v>140</v>
      </c>
      <c r="C171" s="173"/>
      <c r="D171" s="2" t="s">
        <v>126</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P170"/>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481</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11268</v>
      </c>
      <c r="F7" s="6">
        <v>124.50013199999999</v>
      </c>
      <c r="G7" s="7">
        <v>3.3377985999999998E-2</v>
      </c>
      <c r="H7" s="69"/>
    </row>
    <row r="8" spans="1:14" x14ac:dyDescent="0.2">
      <c r="A8" s="3">
        <v>2</v>
      </c>
      <c r="B8" s="4" t="s">
        <v>25</v>
      </c>
      <c r="C8" s="4" t="s">
        <v>26</v>
      </c>
      <c r="D8" s="4" t="s">
        <v>27</v>
      </c>
      <c r="E8" s="5">
        <v>7009</v>
      </c>
      <c r="F8" s="6">
        <v>113.0726925</v>
      </c>
      <c r="G8" s="7">
        <v>3.0314336000000001E-2</v>
      </c>
      <c r="H8" s="69"/>
    </row>
    <row r="9" spans="1:14" x14ac:dyDescent="0.2">
      <c r="A9" s="3">
        <v>3</v>
      </c>
      <c r="B9" s="4" t="s">
        <v>142</v>
      </c>
      <c r="C9" s="4" t="s">
        <v>143</v>
      </c>
      <c r="D9" s="4" t="s">
        <v>144</v>
      </c>
      <c r="E9" s="5">
        <v>2845</v>
      </c>
      <c r="F9" s="6">
        <v>106.43145</v>
      </c>
      <c r="G9" s="7">
        <v>2.8533844999999999E-2</v>
      </c>
      <c r="H9" s="69"/>
    </row>
    <row r="10" spans="1:14" x14ac:dyDescent="0.2">
      <c r="A10" s="3">
        <v>4</v>
      </c>
      <c r="B10" s="4" t="s">
        <v>156</v>
      </c>
      <c r="C10" s="4" t="s">
        <v>157</v>
      </c>
      <c r="D10" s="4" t="s">
        <v>27</v>
      </c>
      <c r="E10" s="5">
        <v>12363</v>
      </c>
      <c r="F10" s="6">
        <v>95.924516999999994</v>
      </c>
      <c r="G10" s="7">
        <v>2.5716978000000001E-2</v>
      </c>
      <c r="H10" s="69"/>
    </row>
    <row r="11" spans="1:14" x14ac:dyDescent="0.2">
      <c r="A11" s="3">
        <v>5</v>
      </c>
      <c r="B11" s="4" t="s">
        <v>149</v>
      </c>
      <c r="C11" s="4" t="s">
        <v>150</v>
      </c>
      <c r="D11" s="4" t="s">
        <v>75</v>
      </c>
      <c r="E11" s="5">
        <v>15831</v>
      </c>
      <c r="F11" s="6">
        <v>95.239295999999996</v>
      </c>
      <c r="G11" s="7">
        <v>2.5533272999999999E-2</v>
      </c>
      <c r="H11" s="69"/>
    </row>
    <row r="12" spans="1:14" x14ac:dyDescent="0.2">
      <c r="A12" s="3">
        <v>6</v>
      </c>
      <c r="B12" s="4" t="s">
        <v>79</v>
      </c>
      <c r="C12" s="4" t="s">
        <v>80</v>
      </c>
      <c r="D12" s="4" t="s">
        <v>75</v>
      </c>
      <c r="E12" s="5">
        <v>25351</v>
      </c>
      <c r="F12" s="6">
        <v>94.609932000000001</v>
      </c>
      <c r="G12" s="7">
        <v>2.5364543E-2</v>
      </c>
      <c r="H12" s="69"/>
    </row>
    <row r="13" spans="1:14" x14ac:dyDescent="0.2">
      <c r="A13" s="3">
        <v>7</v>
      </c>
      <c r="B13" s="4" t="s">
        <v>147</v>
      </c>
      <c r="C13" s="4" t="s">
        <v>148</v>
      </c>
      <c r="D13" s="4" t="s">
        <v>78</v>
      </c>
      <c r="E13" s="5">
        <v>77707</v>
      </c>
      <c r="F13" s="6">
        <v>94.219737499999994</v>
      </c>
      <c r="G13" s="7">
        <v>2.5259934000000001E-2</v>
      </c>
      <c r="H13" s="69"/>
    </row>
    <row r="14" spans="1:14" x14ac:dyDescent="0.2">
      <c r="A14" s="3">
        <v>8</v>
      </c>
      <c r="B14" s="4" t="s">
        <v>41</v>
      </c>
      <c r="C14" s="4" t="s">
        <v>42</v>
      </c>
      <c r="D14" s="4" t="s">
        <v>27</v>
      </c>
      <c r="E14" s="5">
        <v>7409</v>
      </c>
      <c r="F14" s="6">
        <v>92.016075499999999</v>
      </c>
      <c r="G14" s="7">
        <v>2.4669140999999999E-2</v>
      </c>
      <c r="H14" s="69"/>
    </row>
    <row r="15" spans="1:14" x14ac:dyDescent="0.2">
      <c r="A15" s="3">
        <v>9</v>
      </c>
      <c r="B15" s="4" t="s">
        <v>165</v>
      </c>
      <c r="C15" s="4" t="s">
        <v>166</v>
      </c>
      <c r="D15" s="4" t="s">
        <v>155</v>
      </c>
      <c r="E15" s="5">
        <v>18355</v>
      </c>
      <c r="F15" s="6">
        <v>90.793007500000002</v>
      </c>
      <c r="G15" s="7">
        <v>2.4341241E-2</v>
      </c>
      <c r="H15" s="69"/>
    </row>
    <row r="16" spans="1:14" ht="25.5" x14ac:dyDescent="0.2">
      <c r="A16" s="3">
        <v>10</v>
      </c>
      <c r="B16" s="4" t="s">
        <v>151</v>
      </c>
      <c r="C16" s="4" t="s">
        <v>152</v>
      </c>
      <c r="D16" s="4" t="s">
        <v>45</v>
      </c>
      <c r="E16" s="5">
        <v>59516</v>
      </c>
      <c r="F16" s="6">
        <v>88.768113999999997</v>
      </c>
      <c r="G16" s="7">
        <v>2.3798375E-2</v>
      </c>
      <c r="H16" s="69"/>
      <c r="J16" s="160" t="s">
        <v>1015</v>
      </c>
    </row>
    <row r="17" spans="1:8" x14ac:dyDescent="0.2">
      <c r="A17" s="3">
        <v>11</v>
      </c>
      <c r="B17" s="4" t="s">
        <v>461</v>
      </c>
      <c r="C17" s="4" t="s">
        <v>462</v>
      </c>
      <c r="D17" s="4" t="s">
        <v>75</v>
      </c>
      <c r="E17" s="5">
        <v>22660</v>
      </c>
      <c r="F17" s="6">
        <v>88.113410000000002</v>
      </c>
      <c r="G17" s="7">
        <v>2.3622852E-2</v>
      </c>
      <c r="H17" s="69"/>
    </row>
    <row r="18" spans="1:8" x14ac:dyDescent="0.2">
      <c r="A18" s="3">
        <v>12</v>
      </c>
      <c r="B18" s="4" t="s">
        <v>153</v>
      </c>
      <c r="C18" s="4" t="s">
        <v>154</v>
      </c>
      <c r="D18" s="4" t="s">
        <v>155</v>
      </c>
      <c r="E18" s="5">
        <v>2021</v>
      </c>
      <c r="F18" s="6">
        <v>83.645148000000006</v>
      </c>
      <c r="G18" s="7">
        <v>2.2424929E-2</v>
      </c>
      <c r="H18" s="69"/>
    </row>
    <row r="19" spans="1:8" x14ac:dyDescent="0.2">
      <c r="A19" s="3">
        <v>13</v>
      </c>
      <c r="B19" s="4" t="s">
        <v>176</v>
      </c>
      <c r="C19" s="4" t="s">
        <v>177</v>
      </c>
      <c r="D19" s="4" t="s">
        <v>78</v>
      </c>
      <c r="E19" s="5">
        <v>9147</v>
      </c>
      <c r="F19" s="6">
        <v>74.035818000000006</v>
      </c>
      <c r="G19" s="7">
        <v>1.9848706000000001E-2</v>
      </c>
      <c r="H19" s="69"/>
    </row>
    <row r="20" spans="1:8" ht="25.5" x14ac:dyDescent="0.2">
      <c r="A20" s="3">
        <v>14</v>
      </c>
      <c r="B20" s="4" t="s">
        <v>37</v>
      </c>
      <c r="C20" s="4" t="s">
        <v>38</v>
      </c>
      <c r="D20" s="4" t="s">
        <v>974</v>
      </c>
      <c r="E20" s="5">
        <v>2108</v>
      </c>
      <c r="F20" s="6">
        <v>68.192746</v>
      </c>
      <c r="G20" s="7">
        <v>1.8282202000000001E-2</v>
      </c>
      <c r="H20" s="69"/>
    </row>
    <row r="21" spans="1:8" x14ac:dyDescent="0.2">
      <c r="A21" s="3">
        <v>15</v>
      </c>
      <c r="B21" s="4" t="s">
        <v>158</v>
      </c>
      <c r="C21" s="4" t="s">
        <v>159</v>
      </c>
      <c r="D21" s="4" t="s">
        <v>160</v>
      </c>
      <c r="E21" s="5">
        <v>4196</v>
      </c>
      <c r="F21" s="6">
        <v>68.082198000000005</v>
      </c>
      <c r="G21" s="7">
        <v>1.8252563999999999E-2</v>
      </c>
      <c r="H21" s="69"/>
    </row>
    <row r="22" spans="1:8" x14ac:dyDescent="0.2">
      <c r="A22" s="3">
        <v>16</v>
      </c>
      <c r="B22" s="4" t="s">
        <v>169</v>
      </c>
      <c r="C22" s="4" t="s">
        <v>170</v>
      </c>
      <c r="D22" s="4" t="s">
        <v>155</v>
      </c>
      <c r="E22" s="5">
        <v>5520</v>
      </c>
      <c r="F22" s="6">
        <v>63.419280000000001</v>
      </c>
      <c r="G22" s="7">
        <v>1.7002455E-2</v>
      </c>
      <c r="H22" s="69"/>
    </row>
    <row r="23" spans="1:8" x14ac:dyDescent="0.2">
      <c r="A23" s="3">
        <v>17</v>
      </c>
      <c r="B23" s="4" t="s">
        <v>173</v>
      </c>
      <c r="C23" s="4" t="s">
        <v>174</v>
      </c>
      <c r="D23" s="4" t="s">
        <v>175</v>
      </c>
      <c r="E23" s="5">
        <v>24683</v>
      </c>
      <c r="F23" s="6">
        <v>62.460331500000002</v>
      </c>
      <c r="G23" s="7">
        <v>1.6745363999999999E-2</v>
      </c>
      <c r="H23" s="69"/>
    </row>
    <row r="24" spans="1:8" x14ac:dyDescent="0.2">
      <c r="A24" s="3">
        <v>18</v>
      </c>
      <c r="B24" s="4" t="s">
        <v>163</v>
      </c>
      <c r="C24" s="4" t="s">
        <v>164</v>
      </c>
      <c r="D24" s="4" t="s">
        <v>975</v>
      </c>
      <c r="E24" s="5">
        <v>14411</v>
      </c>
      <c r="F24" s="6">
        <v>57.680027500000001</v>
      </c>
      <c r="G24" s="7">
        <v>1.5463784E-2</v>
      </c>
      <c r="H24" s="69"/>
    </row>
    <row r="25" spans="1:8" ht="25.5" x14ac:dyDescent="0.2">
      <c r="A25" s="3">
        <v>19</v>
      </c>
      <c r="B25" s="4" t="s">
        <v>463</v>
      </c>
      <c r="C25" s="4" t="s">
        <v>464</v>
      </c>
      <c r="D25" s="4" t="s">
        <v>45</v>
      </c>
      <c r="E25" s="5">
        <v>3630</v>
      </c>
      <c r="F25" s="6">
        <v>55.234079999999999</v>
      </c>
      <c r="G25" s="7">
        <v>1.4808035000000001E-2</v>
      </c>
      <c r="H25" s="69"/>
    </row>
    <row r="26" spans="1:8" x14ac:dyDescent="0.2">
      <c r="A26" s="3">
        <v>20</v>
      </c>
      <c r="B26" s="4" t="s">
        <v>181</v>
      </c>
      <c r="C26" s="4" t="s">
        <v>182</v>
      </c>
      <c r="D26" s="4" t="s">
        <v>155</v>
      </c>
      <c r="E26" s="5">
        <v>5305</v>
      </c>
      <c r="F26" s="6">
        <v>53.710472500000002</v>
      </c>
      <c r="G26" s="7">
        <v>1.4399561999999999E-2</v>
      </c>
      <c r="H26" s="69"/>
    </row>
    <row r="27" spans="1:8" x14ac:dyDescent="0.2">
      <c r="A27" s="3">
        <v>21</v>
      </c>
      <c r="B27" s="4" t="s">
        <v>187</v>
      </c>
      <c r="C27" s="4" t="s">
        <v>188</v>
      </c>
      <c r="D27" s="4" t="s">
        <v>978</v>
      </c>
      <c r="E27" s="5">
        <v>6000</v>
      </c>
      <c r="F27" s="6">
        <v>53.619</v>
      </c>
      <c r="G27" s="7">
        <v>1.4375038999999999E-2</v>
      </c>
      <c r="H27" s="69"/>
    </row>
    <row r="28" spans="1:8" x14ac:dyDescent="0.2">
      <c r="A28" s="3">
        <v>22</v>
      </c>
      <c r="B28" s="4" t="s">
        <v>210</v>
      </c>
      <c r="C28" s="4" t="s">
        <v>211</v>
      </c>
      <c r="D28" s="4" t="s">
        <v>53</v>
      </c>
      <c r="E28" s="5">
        <v>5426</v>
      </c>
      <c r="F28" s="6">
        <v>51.430340999999999</v>
      </c>
      <c r="G28" s="7">
        <v>1.3788267999999999E-2</v>
      </c>
      <c r="H28" s="69"/>
    </row>
    <row r="29" spans="1:8" ht="25.5" x14ac:dyDescent="0.2">
      <c r="A29" s="3">
        <v>23</v>
      </c>
      <c r="B29" s="4" t="s">
        <v>189</v>
      </c>
      <c r="C29" s="4" t="s">
        <v>190</v>
      </c>
      <c r="D29" s="4" t="s">
        <v>974</v>
      </c>
      <c r="E29" s="5">
        <v>22301</v>
      </c>
      <c r="F29" s="6">
        <v>49.218307000000003</v>
      </c>
      <c r="G29" s="7">
        <v>1.3195231E-2</v>
      </c>
      <c r="H29" s="69"/>
    </row>
    <row r="30" spans="1:8" x14ac:dyDescent="0.2">
      <c r="A30" s="3">
        <v>24</v>
      </c>
      <c r="B30" s="4" t="s">
        <v>200</v>
      </c>
      <c r="C30" s="4" t="s">
        <v>201</v>
      </c>
      <c r="D30" s="4" t="s">
        <v>27</v>
      </c>
      <c r="E30" s="5">
        <v>2370</v>
      </c>
      <c r="F30" s="6">
        <v>47.895330000000001</v>
      </c>
      <c r="G30" s="7">
        <v>1.2840546E-2</v>
      </c>
      <c r="H30" s="69"/>
    </row>
    <row r="31" spans="1:8" x14ac:dyDescent="0.2">
      <c r="A31" s="3">
        <v>25</v>
      </c>
      <c r="B31" s="4" t="s">
        <v>161</v>
      </c>
      <c r="C31" s="4" t="s">
        <v>162</v>
      </c>
      <c r="D31" s="4" t="s">
        <v>22</v>
      </c>
      <c r="E31" s="5">
        <v>26190</v>
      </c>
      <c r="F31" s="6">
        <v>47.836035000000003</v>
      </c>
      <c r="G31" s="7">
        <v>1.2824649E-2</v>
      </c>
      <c r="H31" s="69"/>
    </row>
    <row r="32" spans="1:8" x14ac:dyDescent="0.2">
      <c r="A32" s="3">
        <v>26</v>
      </c>
      <c r="B32" s="4" t="s">
        <v>349</v>
      </c>
      <c r="C32" s="4" t="s">
        <v>350</v>
      </c>
      <c r="D32" s="4" t="s">
        <v>160</v>
      </c>
      <c r="E32" s="5">
        <v>1054</v>
      </c>
      <c r="F32" s="6">
        <v>47.140149999999998</v>
      </c>
      <c r="G32" s="7">
        <v>1.2638085E-2</v>
      </c>
      <c r="H32" s="69"/>
    </row>
    <row r="33" spans="1:8" ht="25.5" x14ac:dyDescent="0.2">
      <c r="A33" s="3">
        <v>27</v>
      </c>
      <c r="B33" s="4" t="s">
        <v>205</v>
      </c>
      <c r="C33" s="4" t="s">
        <v>206</v>
      </c>
      <c r="D33" s="4" t="s">
        <v>207</v>
      </c>
      <c r="E33" s="5">
        <v>11014</v>
      </c>
      <c r="F33" s="6">
        <v>47.018765999999999</v>
      </c>
      <c r="G33" s="7">
        <v>1.2605543E-2</v>
      </c>
      <c r="H33" s="69"/>
    </row>
    <row r="34" spans="1:8" x14ac:dyDescent="0.2">
      <c r="A34" s="3">
        <v>28</v>
      </c>
      <c r="B34" s="4" t="s">
        <v>467</v>
      </c>
      <c r="C34" s="4" t="s">
        <v>468</v>
      </c>
      <c r="D34" s="4" t="s">
        <v>27</v>
      </c>
      <c r="E34" s="5">
        <v>5096</v>
      </c>
      <c r="F34" s="6">
        <v>46.765991999999997</v>
      </c>
      <c r="G34" s="7">
        <v>1.2537774999999999E-2</v>
      </c>
      <c r="H34" s="69"/>
    </row>
    <row r="35" spans="1:8" x14ac:dyDescent="0.2">
      <c r="A35" s="3">
        <v>29</v>
      </c>
      <c r="B35" s="4" t="s">
        <v>198</v>
      </c>
      <c r="C35" s="4" t="s">
        <v>199</v>
      </c>
      <c r="D35" s="4" t="s">
        <v>78</v>
      </c>
      <c r="E35" s="5">
        <v>7884</v>
      </c>
      <c r="F35" s="6">
        <v>46.523484000000003</v>
      </c>
      <c r="G35" s="7">
        <v>1.2472759999999999E-2</v>
      </c>
      <c r="H35" s="69"/>
    </row>
    <row r="36" spans="1:8" x14ac:dyDescent="0.2">
      <c r="A36" s="3">
        <v>30</v>
      </c>
      <c r="B36" s="4" t="s">
        <v>178</v>
      </c>
      <c r="C36" s="4" t="s">
        <v>179</v>
      </c>
      <c r="D36" s="4" t="s">
        <v>180</v>
      </c>
      <c r="E36" s="5">
        <v>4863</v>
      </c>
      <c r="F36" s="6">
        <v>45.819186000000002</v>
      </c>
      <c r="G36" s="7">
        <v>1.228394E-2</v>
      </c>
      <c r="H36" s="69"/>
    </row>
    <row r="37" spans="1:8" x14ac:dyDescent="0.2">
      <c r="A37" s="3">
        <v>31</v>
      </c>
      <c r="B37" s="4" t="s">
        <v>469</v>
      </c>
      <c r="C37" s="4" t="s">
        <v>470</v>
      </c>
      <c r="D37" s="4" t="s">
        <v>75</v>
      </c>
      <c r="E37" s="5">
        <v>4749</v>
      </c>
      <c r="F37" s="6">
        <v>45.058512</v>
      </c>
      <c r="G37" s="7">
        <v>1.2080006000000001E-2</v>
      </c>
      <c r="H37" s="69"/>
    </row>
    <row r="38" spans="1:8" ht="25.5" x14ac:dyDescent="0.2">
      <c r="A38" s="3">
        <v>32</v>
      </c>
      <c r="B38" s="4" t="s">
        <v>229</v>
      </c>
      <c r="C38" s="4" t="s">
        <v>230</v>
      </c>
      <c r="D38" s="4" t="s">
        <v>75</v>
      </c>
      <c r="E38" s="5">
        <v>2300</v>
      </c>
      <c r="F38" s="6">
        <v>43.666649999999997</v>
      </c>
      <c r="G38" s="7">
        <v>1.1706853999999999E-2</v>
      </c>
      <c r="H38" s="69"/>
    </row>
    <row r="39" spans="1:8" x14ac:dyDescent="0.2">
      <c r="A39" s="3">
        <v>33</v>
      </c>
      <c r="B39" s="4" t="s">
        <v>208</v>
      </c>
      <c r="C39" s="4" t="s">
        <v>209</v>
      </c>
      <c r="D39" s="4" t="s">
        <v>78</v>
      </c>
      <c r="E39" s="5">
        <v>85069</v>
      </c>
      <c r="F39" s="6">
        <v>42.704638000000003</v>
      </c>
      <c r="G39" s="7">
        <v>1.1448942E-2</v>
      </c>
      <c r="H39" s="69"/>
    </row>
    <row r="40" spans="1:8" x14ac:dyDescent="0.2">
      <c r="A40" s="3">
        <v>34</v>
      </c>
      <c r="B40" s="4" t="s">
        <v>216</v>
      </c>
      <c r="C40" s="4" t="s">
        <v>217</v>
      </c>
      <c r="D40" s="4" t="s">
        <v>75</v>
      </c>
      <c r="E40" s="5">
        <v>4838</v>
      </c>
      <c r="F40" s="6">
        <v>42.438935999999998</v>
      </c>
      <c r="G40" s="7">
        <v>1.1377709E-2</v>
      </c>
      <c r="H40" s="69"/>
    </row>
    <row r="41" spans="1:8" x14ac:dyDescent="0.2">
      <c r="A41" s="3">
        <v>35</v>
      </c>
      <c r="B41" s="4" t="s">
        <v>193</v>
      </c>
      <c r="C41" s="4" t="s">
        <v>194</v>
      </c>
      <c r="D41" s="4" t="s">
        <v>195</v>
      </c>
      <c r="E41" s="5">
        <v>8758</v>
      </c>
      <c r="F41" s="6">
        <v>42.117221999999998</v>
      </c>
      <c r="G41" s="7">
        <v>1.1291458000000001E-2</v>
      </c>
      <c r="H41" s="69"/>
    </row>
    <row r="42" spans="1:8" x14ac:dyDescent="0.2">
      <c r="A42" s="3">
        <v>36</v>
      </c>
      <c r="B42" s="4" t="s">
        <v>212</v>
      </c>
      <c r="C42" s="4" t="s">
        <v>213</v>
      </c>
      <c r="D42" s="4" t="s">
        <v>979</v>
      </c>
      <c r="E42" s="5">
        <v>7565</v>
      </c>
      <c r="F42" s="6">
        <v>41.494025000000001</v>
      </c>
      <c r="G42" s="7">
        <v>1.1124382E-2</v>
      </c>
      <c r="H42" s="69"/>
    </row>
    <row r="43" spans="1:8" x14ac:dyDescent="0.2">
      <c r="A43" s="3">
        <v>37</v>
      </c>
      <c r="B43" s="4" t="s">
        <v>465</v>
      </c>
      <c r="C43" s="4" t="s">
        <v>466</v>
      </c>
      <c r="D43" s="4" t="s">
        <v>48</v>
      </c>
      <c r="E43" s="5">
        <v>6024</v>
      </c>
      <c r="F43" s="6">
        <v>41.363796000000001</v>
      </c>
      <c r="G43" s="7">
        <v>1.1089468E-2</v>
      </c>
      <c r="H43" s="69"/>
    </row>
    <row r="44" spans="1:8" x14ac:dyDescent="0.2">
      <c r="A44" s="3">
        <v>38</v>
      </c>
      <c r="B44" s="4" t="s">
        <v>214</v>
      </c>
      <c r="C44" s="4" t="s">
        <v>215</v>
      </c>
      <c r="D44" s="4" t="s">
        <v>979</v>
      </c>
      <c r="E44" s="5">
        <v>3984</v>
      </c>
      <c r="F44" s="6">
        <v>40.650744000000003</v>
      </c>
      <c r="G44" s="7">
        <v>1.0898301000000001E-2</v>
      </c>
      <c r="H44" s="69"/>
    </row>
    <row r="45" spans="1:8" x14ac:dyDescent="0.2">
      <c r="A45" s="3">
        <v>39</v>
      </c>
      <c r="B45" s="4" t="s">
        <v>202</v>
      </c>
      <c r="C45" s="4" t="s">
        <v>203</v>
      </c>
      <c r="D45" s="4" t="s">
        <v>204</v>
      </c>
      <c r="E45" s="5">
        <v>10421</v>
      </c>
      <c r="F45" s="6">
        <v>40.454321999999998</v>
      </c>
      <c r="G45" s="7">
        <v>1.0845642000000001E-2</v>
      </c>
      <c r="H45" s="69"/>
    </row>
    <row r="46" spans="1:8" x14ac:dyDescent="0.2">
      <c r="A46" s="3">
        <v>40</v>
      </c>
      <c r="B46" s="4" t="s">
        <v>301</v>
      </c>
      <c r="C46" s="4" t="s">
        <v>302</v>
      </c>
      <c r="D46" s="4" t="s">
        <v>27</v>
      </c>
      <c r="E46" s="5">
        <v>5737</v>
      </c>
      <c r="F46" s="6">
        <v>38.862437999999997</v>
      </c>
      <c r="G46" s="7">
        <v>1.0418864E-2</v>
      </c>
      <c r="H46" s="69"/>
    </row>
    <row r="47" spans="1:8" x14ac:dyDescent="0.2">
      <c r="A47" s="3">
        <v>41</v>
      </c>
      <c r="B47" s="4" t="s">
        <v>167</v>
      </c>
      <c r="C47" s="4" t="s">
        <v>168</v>
      </c>
      <c r="D47" s="4" t="s">
        <v>976</v>
      </c>
      <c r="E47" s="5">
        <v>3831</v>
      </c>
      <c r="F47" s="6">
        <v>38.855917499999997</v>
      </c>
      <c r="G47" s="7">
        <v>1.0417116000000001E-2</v>
      </c>
      <c r="H47" s="69"/>
    </row>
    <row r="48" spans="1:8" ht="25.5" x14ac:dyDescent="0.2">
      <c r="A48" s="3">
        <v>42</v>
      </c>
      <c r="B48" s="4" t="s">
        <v>222</v>
      </c>
      <c r="C48" s="4" t="s">
        <v>223</v>
      </c>
      <c r="D48" s="4" t="s">
        <v>207</v>
      </c>
      <c r="E48" s="5">
        <v>8180</v>
      </c>
      <c r="F48" s="6">
        <v>38.155610000000003</v>
      </c>
      <c r="G48" s="7">
        <v>1.0229366E-2</v>
      </c>
      <c r="H48" s="69"/>
    </row>
    <row r="49" spans="1:8" x14ac:dyDescent="0.2">
      <c r="A49" s="3">
        <v>43</v>
      </c>
      <c r="B49" s="4" t="s">
        <v>225</v>
      </c>
      <c r="C49" s="4" t="s">
        <v>226</v>
      </c>
      <c r="D49" s="4" t="s">
        <v>204</v>
      </c>
      <c r="E49" s="5">
        <v>7372</v>
      </c>
      <c r="F49" s="6">
        <v>37.497678000000001</v>
      </c>
      <c r="G49" s="7">
        <v>1.0052976999999999E-2</v>
      </c>
      <c r="H49" s="69"/>
    </row>
    <row r="50" spans="1:8" x14ac:dyDescent="0.2">
      <c r="A50" s="3">
        <v>44</v>
      </c>
      <c r="B50" s="4" t="s">
        <v>219</v>
      </c>
      <c r="C50" s="4" t="s">
        <v>220</v>
      </c>
      <c r="D50" s="4" t="s">
        <v>221</v>
      </c>
      <c r="E50" s="5">
        <v>17729</v>
      </c>
      <c r="F50" s="6">
        <v>37.301816000000002</v>
      </c>
      <c r="G50" s="7">
        <v>1.0000467000000001E-2</v>
      </c>
      <c r="H50" s="69"/>
    </row>
    <row r="51" spans="1:8" x14ac:dyDescent="0.2">
      <c r="A51" s="3">
        <v>45</v>
      </c>
      <c r="B51" s="4" t="s">
        <v>241</v>
      </c>
      <c r="C51" s="4" t="s">
        <v>242</v>
      </c>
      <c r="D51" s="4" t="s">
        <v>155</v>
      </c>
      <c r="E51" s="5">
        <v>3090</v>
      </c>
      <c r="F51" s="6">
        <v>37.251494999999998</v>
      </c>
      <c r="G51" s="7">
        <v>9.9869759999999998E-3</v>
      </c>
      <c r="H51" s="69"/>
    </row>
    <row r="52" spans="1:8" x14ac:dyDescent="0.2">
      <c r="A52" s="3">
        <v>46</v>
      </c>
      <c r="B52" s="4" t="s">
        <v>477</v>
      </c>
      <c r="C52" s="4" t="s">
        <v>478</v>
      </c>
      <c r="D52" s="4" t="s">
        <v>204</v>
      </c>
      <c r="E52" s="5">
        <v>7193</v>
      </c>
      <c r="F52" s="6">
        <v>36.324649999999998</v>
      </c>
      <c r="G52" s="7">
        <v>9.7384930000000008E-3</v>
      </c>
      <c r="H52" s="69"/>
    </row>
    <row r="53" spans="1:8" x14ac:dyDescent="0.2">
      <c r="A53" s="3">
        <v>47</v>
      </c>
      <c r="B53" s="4" t="s">
        <v>295</v>
      </c>
      <c r="C53" s="4" t="s">
        <v>296</v>
      </c>
      <c r="D53" s="4" t="s">
        <v>27</v>
      </c>
      <c r="E53" s="5">
        <v>3044</v>
      </c>
      <c r="F53" s="6">
        <v>35.742648000000003</v>
      </c>
      <c r="G53" s="7">
        <v>9.5824610000000005E-3</v>
      </c>
      <c r="H53" s="69"/>
    </row>
    <row r="54" spans="1:8" x14ac:dyDescent="0.2">
      <c r="A54" s="3">
        <v>48</v>
      </c>
      <c r="B54" s="4" t="s">
        <v>289</v>
      </c>
      <c r="C54" s="4" t="s">
        <v>290</v>
      </c>
      <c r="D54" s="4" t="s">
        <v>27</v>
      </c>
      <c r="E54" s="5">
        <v>10500</v>
      </c>
      <c r="F54" s="6">
        <v>35.579250000000002</v>
      </c>
      <c r="G54" s="7">
        <v>9.5386540000000006E-3</v>
      </c>
      <c r="H54" s="69"/>
    </row>
    <row r="55" spans="1:8" x14ac:dyDescent="0.2">
      <c r="A55" s="3">
        <v>49</v>
      </c>
      <c r="B55" s="4" t="s">
        <v>227</v>
      </c>
      <c r="C55" s="4" t="s">
        <v>228</v>
      </c>
      <c r="D55" s="4" t="s">
        <v>976</v>
      </c>
      <c r="E55" s="5">
        <v>2196</v>
      </c>
      <c r="F55" s="6">
        <v>35.115138000000002</v>
      </c>
      <c r="G55" s="7">
        <v>9.4142280000000002E-3</v>
      </c>
      <c r="H55" s="69"/>
    </row>
    <row r="56" spans="1:8" x14ac:dyDescent="0.2">
      <c r="A56" s="3">
        <v>50</v>
      </c>
      <c r="B56" s="4" t="s">
        <v>247</v>
      </c>
      <c r="C56" s="4" t="s">
        <v>248</v>
      </c>
      <c r="D56" s="4" t="s">
        <v>75</v>
      </c>
      <c r="E56" s="5">
        <v>14021</v>
      </c>
      <c r="F56" s="6">
        <v>35.003426500000003</v>
      </c>
      <c r="G56" s="7">
        <v>9.3842779999999994E-3</v>
      </c>
      <c r="H56" s="69"/>
    </row>
    <row r="57" spans="1:8" x14ac:dyDescent="0.2">
      <c r="A57" s="3">
        <v>51</v>
      </c>
      <c r="B57" s="4" t="s">
        <v>235</v>
      </c>
      <c r="C57" s="4" t="s">
        <v>236</v>
      </c>
      <c r="D57" s="4" t="s">
        <v>160</v>
      </c>
      <c r="E57" s="5">
        <v>9322</v>
      </c>
      <c r="F57" s="6">
        <v>34.999448999999998</v>
      </c>
      <c r="G57" s="7">
        <v>9.3832120000000001E-3</v>
      </c>
      <c r="H57" s="69"/>
    </row>
    <row r="58" spans="1:8" ht="25.5" x14ac:dyDescent="0.2">
      <c r="A58" s="3">
        <v>52</v>
      </c>
      <c r="B58" s="4" t="s">
        <v>233</v>
      </c>
      <c r="C58" s="4" t="s">
        <v>234</v>
      </c>
      <c r="D58" s="4" t="s">
        <v>207</v>
      </c>
      <c r="E58" s="5">
        <v>8568</v>
      </c>
      <c r="F58" s="6">
        <v>34.601868000000003</v>
      </c>
      <c r="G58" s="7">
        <v>9.276622E-3</v>
      </c>
      <c r="H58" s="69"/>
    </row>
    <row r="59" spans="1:8" x14ac:dyDescent="0.2">
      <c r="A59" s="3">
        <v>53</v>
      </c>
      <c r="B59" s="4" t="s">
        <v>237</v>
      </c>
      <c r="C59" s="4" t="s">
        <v>238</v>
      </c>
      <c r="D59" s="4" t="s">
        <v>204</v>
      </c>
      <c r="E59" s="5">
        <v>2084</v>
      </c>
      <c r="F59" s="6">
        <v>34.150508000000002</v>
      </c>
      <c r="G59" s="7">
        <v>9.1556139999999994E-3</v>
      </c>
      <c r="H59" s="69"/>
    </row>
    <row r="60" spans="1:8" x14ac:dyDescent="0.2">
      <c r="A60" s="3">
        <v>54</v>
      </c>
      <c r="B60" s="4" t="s">
        <v>185</v>
      </c>
      <c r="C60" s="4" t="s">
        <v>186</v>
      </c>
      <c r="D60" s="4" t="s">
        <v>16</v>
      </c>
      <c r="E60" s="5">
        <v>11386</v>
      </c>
      <c r="F60" s="6">
        <v>33.600085999999997</v>
      </c>
      <c r="G60" s="7">
        <v>9.0080479999999994E-3</v>
      </c>
      <c r="H60" s="69"/>
    </row>
    <row r="61" spans="1:8" ht="25.5" x14ac:dyDescent="0.2">
      <c r="A61" s="3">
        <v>55</v>
      </c>
      <c r="B61" s="4" t="s">
        <v>239</v>
      </c>
      <c r="C61" s="4" t="s">
        <v>240</v>
      </c>
      <c r="D61" s="4" t="s">
        <v>980</v>
      </c>
      <c r="E61" s="5">
        <v>33148</v>
      </c>
      <c r="F61" s="6">
        <v>33.181148</v>
      </c>
      <c r="G61" s="7">
        <v>8.8957329999999994E-3</v>
      </c>
      <c r="H61" s="69"/>
    </row>
    <row r="62" spans="1:8" x14ac:dyDescent="0.2">
      <c r="A62" s="3">
        <v>56</v>
      </c>
      <c r="B62" s="4" t="s">
        <v>183</v>
      </c>
      <c r="C62" s="4" t="s">
        <v>184</v>
      </c>
      <c r="D62" s="4" t="s">
        <v>75</v>
      </c>
      <c r="E62" s="5">
        <v>3383</v>
      </c>
      <c r="F62" s="6">
        <v>32.189245</v>
      </c>
      <c r="G62" s="7">
        <v>8.6298079999999992E-3</v>
      </c>
      <c r="H62" s="69"/>
    </row>
    <row r="63" spans="1:8" x14ac:dyDescent="0.2">
      <c r="A63" s="3">
        <v>57</v>
      </c>
      <c r="B63" s="4" t="s">
        <v>283</v>
      </c>
      <c r="C63" s="4" t="s">
        <v>284</v>
      </c>
      <c r="D63" s="4" t="s">
        <v>32</v>
      </c>
      <c r="E63" s="5">
        <v>8109</v>
      </c>
      <c r="F63" s="6">
        <v>31.495356000000001</v>
      </c>
      <c r="G63" s="7">
        <v>8.4437790000000002E-3</v>
      </c>
      <c r="H63" s="69"/>
    </row>
    <row r="64" spans="1:8" ht="25.5" x14ac:dyDescent="0.2">
      <c r="A64" s="3">
        <v>58</v>
      </c>
      <c r="B64" s="4" t="s">
        <v>218</v>
      </c>
      <c r="C64" s="4" t="s">
        <v>869</v>
      </c>
      <c r="D64" s="4" t="s">
        <v>45</v>
      </c>
      <c r="E64" s="5">
        <v>14626</v>
      </c>
      <c r="F64" s="6">
        <v>30.407454000000001</v>
      </c>
      <c r="G64" s="7">
        <v>8.1521170000000004E-3</v>
      </c>
      <c r="H64" s="69"/>
    </row>
    <row r="65" spans="1:8" x14ac:dyDescent="0.2">
      <c r="A65" s="3">
        <v>59</v>
      </c>
      <c r="B65" s="4" t="s">
        <v>56</v>
      </c>
      <c r="C65" s="4" t="s">
        <v>57</v>
      </c>
      <c r="D65" s="4" t="s">
        <v>53</v>
      </c>
      <c r="E65" s="5">
        <v>5816</v>
      </c>
      <c r="F65" s="6">
        <v>29.222491999999999</v>
      </c>
      <c r="G65" s="7">
        <v>7.834433E-3</v>
      </c>
      <c r="H65" s="69"/>
    </row>
    <row r="66" spans="1:8" x14ac:dyDescent="0.2">
      <c r="A66" s="3">
        <v>60</v>
      </c>
      <c r="B66" s="4" t="s">
        <v>33</v>
      </c>
      <c r="C66" s="4" t="s">
        <v>34</v>
      </c>
      <c r="D66" s="4" t="s">
        <v>27</v>
      </c>
      <c r="E66" s="5">
        <v>1047</v>
      </c>
      <c r="F66" s="6">
        <v>28.03866</v>
      </c>
      <c r="G66" s="7">
        <v>7.5170519999999998E-3</v>
      </c>
      <c r="H66" s="69"/>
    </row>
    <row r="67" spans="1:8" x14ac:dyDescent="0.2">
      <c r="A67" s="3">
        <v>61</v>
      </c>
      <c r="B67" s="4" t="s">
        <v>280</v>
      </c>
      <c r="C67" s="4" t="s">
        <v>281</v>
      </c>
      <c r="D67" s="4" t="s">
        <v>175</v>
      </c>
      <c r="E67" s="5">
        <v>3829</v>
      </c>
      <c r="F67" s="6">
        <v>26.705360500000001</v>
      </c>
      <c r="G67" s="7">
        <v>7.1596000000000003E-3</v>
      </c>
      <c r="H67" s="69"/>
    </row>
    <row r="68" spans="1:8" x14ac:dyDescent="0.2">
      <c r="A68" s="3">
        <v>62</v>
      </c>
      <c r="B68" s="4" t="s">
        <v>251</v>
      </c>
      <c r="C68" s="4" t="s">
        <v>252</v>
      </c>
      <c r="D68" s="4" t="s">
        <v>160</v>
      </c>
      <c r="E68" s="5">
        <v>4265</v>
      </c>
      <c r="F68" s="6">
        <v>24.800975000000001</v>
      </c>
      <c r="G68" s="7">
        <v>6.649042E-3</v>
      </c>
      <c r="H68" s="69"/>
    </row>
    <row r="69" spans="1:8" x14ac:dyDescent="0.2">
      <c r="A69" s="3">
        <v>63</v>
      </c>
      <c r="B69" s="4" t="s">
        <v>253</v>
      </c>
      <c r="C69" s="4" t="s">
        <v>254</v>
      </c>
      <c r="D69" s="4" t="s">
        <v>65</v>
      </c>
      <c r="E69" s="5">
        <v>2788</v>
      </c>
      <c r="F69" s="6">
        <v>23.837399999999999</v>
      </c>
      <c r="G69" s="7">
        <v>6.3907110000000003E-3</v>
      </c>
      <c r="H69" s="69"/>
    </row>
    <row r="70" spans="1:8" x14ac:dyDescent="0.2">
      <c r="A70" s="3">
        <v>64</v>
      </c>
      <c r="B70" s="4" t="s">
        <v>191</v>
      </c>
      <c r="C70" s="4" t="s">
        <v>192</v>
      </c>
      <c r="D70" s="4" t="s">
        <v>53</v>
      </c>
      <c r="E70" s="5">
        <v>24055</v>
      </c>
      <c r="F70" s="6">
        <v>23.140910000000002</v>
      </c>
      <c r="G70" s="7">
        <v>6.2039850000000004E-3</v>
      </c>
      <c r="H70" s="69"/>
    </row>
    <row r="71" spans="1:8" x14ac:dyDescent="0.2">
      <c r="A71" s="3">
        <v>65</v>
      </c>
      <c r="B71" s="4" t="s">
        <v>255</v>
      </c>
      <c r="C71" s="4" t="s">
        <v>256</v>
      </c>
      <c r="D71" s="4" t="s">
        <v>257</v>
      </c>
      <c r="E71" s="5">
        <v>10365</v>
      </c>
      <c r="F71" s="6">
        <v>23.051760000000002</v>
      </c>
      <c r="G71" s="7">
        <v>6.1800839999999998E-3</v>
      </c>
      <c r="H71" s="69"/>
    </row>
    <row r="72" spans="1:8" x14ac:dyDescent="0.2">
      <c r="A72" s="3">
        <v>66</v>
      </c>
      <c r="B72" s="4" t="s">
        <v>262</v>
      </c>
      <c r="C72" s="4" t="s">
        <v>263</v>
      </c>
      <c r="D72" s="4" t="s">
        <v>22</v>
      </c>
      <c r="E72" s="5">
        <v>27737</v>
      </c>
      <c r="F72" s="6">
        <v>22.758208499999999</v>
      </c>
      <c r="G72" s="7">
        <v>6.1013839999999996E-3</v>
      </c>
      <c r="H72" s="69"/>
    </row>
    <row r="73" spans="1:8" x14ac:dyDescent="0.2">
      <c r="A73" s="3">
        <v>67</v>
      </c>
      <c r="B73" s="4" t="s">
        <v>260</v>
      </c>
      <c r="C73" s="4" t="s">
        <v>261</v>
      </c>
      <c r="D73" s="4" t="s">
        <v>204</v>
      </c>
      <c r="E73" s="5">
        <v>411</v>
      </c>
      <c r="F73" s="6">
        <v>21.884516999999999</v>
      </c>
      <c r="G73" s="7">
        <v>5.8671510000000001E-3</v>
      </c>
      <c r="H73" s="69"/>
    </row>
    <row r="74" spans="1:8" x14ac:dyDescent="0.2">
      <c r="A74" s="3">
        <v>68</v>
      </c>
      <c r="B74" s="4" t="s">
        <v>471</v>
      </c>
      <c r="C74" s="4" t="s">
        <v>472</v>
      </c>
      <c r="D74" s="4" t="s">
        <v>78</v>
      </c>
      <c r="E74" s="5">
        <v>3781</v>
      </c>
      <c r="F74" s="6">
        <v>19.031663500000001</v>
      </c>
      <c r="G74" s="7">
        <v>5.1023129999999998E-3</v>
      </c>
      <c r="H74" s="69"/>
    </row>
    <row r="75" spans="1:8" x14ac:dyDescent="0.2">
      <c r="A75" s="3">
        <v>69</v>
      </c>
      <c r="B75" s="4" t="s">
        <v>276</v>
      </c>
      <c r="C75" s="4" t="s">
        <v>277</v>
      </c>
      <c r="D75" s="4" t="s">
        <v>204</v>
      </c>
      <c r="E75" s="5">
        <v>6683</v>
      </c>
      <c r="F75" s="6">
        <v>18.9295975</v>
      </c>
      <c r="G75" s="7">
        <v>5.0749489999999996E-3</v>
      </c>
      <c r="H75" s="69"/>
    </row>
    <row r="76" spans="1:8" x14ac:dyDescent="0.2">
      <c r="A76" s="3">
        <v>70</v>
      </c>
      <c r="B76" s="4" t="s">
        <v>249</v>
      </c>
      <c r="C76" s="4" t="s">
        <v>250</v>
      </c>
      <c r="D76" s="4" t="s">
        <v>334</v>
      </c>
      <c r="E76" s="5">
        <v>2029</v>
      </c>
      <c r="F76" s="6">
        <v>18.648539</v>
      </c>
      <c r="G76" s="7">
        <v>4.9995990000000004E-3</v>
      </c>
      <c r="H76" s="69"/>
    </row>
    <row r="77" spans="1:8" x14ac:dyDescent="0.2">
      <c r="A77" s="3">
        <v>71</v>
      </c>
      <c r="B77" s="4" t="s">
        <v>270</v>
      </c>
      <c r="C77" s="4" t="s">
        <v>271</v>
      </c>
      <c r="D77" s="4" t="s">
        <v>144</v>
      </c>
      <c r="E77" s="5">
        <v>3145</v>
      </c>
      <c r="F77" s="6">
        <v>18.00827</v>
      </c>
      <c r="G77" s="7">
        <v>4.8279450000000002E-3</v>
      </c>
      <c r="H77" s="69"/>
    </row>
    <row r="78" spans="1:8" x14ac:dyDescent="0.2">
      <c r="A78" s="3">
        <v>72</v>
      </c>
      <c r="B78" s="4" t="s">
        <v>303</v>
      </c>
      <c r="C78" s="4" t="s">
        <v>304</v>
      </c>
      <c r="D78" s="4" t="s">
        <v>979</v>
      </c>
      <c r="E78" s="5">
        <v>47427</v>
      </c>
      <c r="F78" s="6">
        <v>16.4808825</v>
      </c>
      <c r="G78" s="7">
        <v>4.4184589999999996E-3</v>
      </c>
      <c r="H78" s="69"/>
    </row>
    <row r="79" spans="1:8" x14ac:dyDescent="0.2">
      <c r="A79" s="3">
        <v>73</v>
      </c>
      <c r="B79" s="4" t="s">
        <v>274</v>
      </c>
      <c r="C79" s="4" t="s">
        <v>275</v>
      </c>
      <c r="D79" s="4" t="s">
        <v>155</v>
      </c>
      <c r="E79" s="5">
        <v>3956</v>
      </c>
      <c r="F79" s="6">
        <v>15.058514000000001</v>
      </c>
      <c r="G79" s="7">
        <v>4.0371269999999997E-3</v>
      </c>
      <c r="H79" s="69"/>
    </row>
    <row r="80" spans="1:8" x14ac:dyDescent="0.2">
      <c r="A80" s="3">
        <v>74</v>
      </c>
      <c r="B80" s="4" t="s">
        <v>473</v>
      </c>
      <c r="C80" s="4" t="s">
        <v>474</v>
      </c>
      <c r="D80" s="4" t="s">
        <v>976</v>
      </c>
      <c r="E80" s="5">
        <v>15490</v>
      </c>
      <c r="F80" s="6">
        <v>13.096795</v>
      </c>
      <c r="G80" s="7">
        <v>3.5111980000000001E-3</v>
      </c>
      <c r="H80" s="69"/>
    </row>
    <row r="81" spans="1:8" x14ac:dyDescent="0.2">
      <c r="A81" s="3">
        <v>75</v>
      </c>
      <c r="B81" s="4" t="s">
        <v>278</v>
      </c>
      <c r="C81" s="4" t="s">
        <v>279</v>
      </c>
      <c r="D81" s="4" t="s">
        <v>144</v>
      </c>
      <c r="E81" s="5">
        <v>982</v>
      </c>
      <c r="F81" s="6">
        <v>9.9034700000000004</v>
      </c>
      <c r="G81" s="7">
        <v>2.6550810000000001E-3</v>
      </c>
      <c r="H81" s="69"/>
    </row>
    <row r="82" spans="1:8" x14ac:dyDescent="0.2">
      <c r="A82" s="1"/>
      <c r="B82" s="1"/>
      <c r="C82" s="2" t="s">
        <v>95</v>
      </c>
      <c r="D82" s="1"/>
      <c r="E82" s="1" t="s">
        <v>96</v>
      </c>
      <c r="F82" s="9">
        <v>3556.2770970000001</v>
      </c>
      <c r="G82" s="10">
        <v>0.95342362899999999</v>
      </c>
      <c r="H82" s="69"/>
    </row>
    <row r="83" spans="1:8" x14ac:dyDescent="0.2">
      <c r="A83" s="1"/>
      <c r="B83" s="1"/>
      <c r="C83" s="11"/>
      <c r="D83" s="1"/>
      <c r="E83" s="1"/>
      <c r="F83" s="12"/>
      <c r="G83" s="12"/>
      <c r="H83" s="69"/>
    </row>
    <row r="84" spans="1:8" x14ac:dyDescent="0.2">
      <c r="A84" s="1"/>
      <c r="B84" s="1"/>
      <c r="C84" s="2" t="s">
        <v>97</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98</v>
      </c>
      <c r="D87" s="1"/>
      <c r="E87" s="1"/>
      <c r="F87" s="1"/>
      <c r="G87" s="1"/>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99</v>
      </c>
      <c r="D90" s="1"/>
      <c r="E90" s="1"/>
      <c r="F90" s="1"/>
      <c r="G90" s="1"/>
      <c r="H90" s="69"/>
    </row>
    <row r="91" spans="1:8" x14ac:dyDescent="0.2">
      <c r="A91" s="1"/>
      <c r="B91" s="1"/>
      <c r="C91" s="2" t="s">
        <v>95</v>
      </c>
      <c r="D91" s="1"/>
      <c r="E91" s="1" t="s">
        <v>96</v>
      </c>
      <c r="F91" s="13">
        <v>0</v>
      </c>
      <c r="G91" s="14">
        <v>0</v>
      </c>
      <c r="H91" s="69"/>
    </row>
    <row r="92" spans="1:8" x14ac:dyDescent="0.2">
      <c r="A92" s="1"/>
      <c r="B92" s="1"/>
      <c r="C92" s="11"/>
      <c r="D92" s="1"/>
      <c r="E92" s="1"/>
      <c r="F92" s="12"/>
      <c r="G92" s="12"/>
      <c r="H92" s="69"/>
    </row>
    <row r="93" spans="1:8" x14ac:dyDescent="0.2">
      <c r="A93" s="1"/>
      <c r="B93" s="1"/>
      <c r="C93" s="2" t="s">
        <v>100</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101</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102</v>
      </c>
      <c r="D99" s="1"/>
      <c r="E99" s="1"/>
      <c r="F99" s="9">
        <v>3556.2770970000001</v>
      </c>
      <c r="G99" s="10">
        <v>0.95342362899999999</v>
      </c>
      <c r="H99" s="69"/>
    </row>
    <row r="100" spans="1:8" x14ac:dyDescent="0.2">
      <c r="A100" s="1"/>
      <c r="B100" s="1"/>
      <c r="C100" s="11"/>
      <c r="D100" s="1"/>
      <c r="E100" s="1"/>
      <c r="F100" s="12"/>
      <c r="G100" s="12"/>
      <c r="H100" s="69"/>
    </row>
    <row r="101" spans="1:8" x14ac:dyDescent="0.2">
      <c r="A101" s="1"/>
      <c r="B101" s="1"/>
      <c r="C101" s="2" t="s">
        <v>103</v>
      </c>
      <c r="D101" s="1"/>
      <c r="E101" s="1"/>
      <c r="F101" s="12"/>
      <c r="G101" s="12"/>
      <c r="H101" s="69"/>
    </row>
    <row r="102" spans="1:8" ht="25.5" x14ac:dyDescent="0.2">
      <c r="A102" s="1"/>
      <c r="B102" s="1"/>
      <c r="C102" s="2" t="s">
        <v>10</v>
      </c>
      <c r="D102" s="1"/>
      <c r="E102" s="1"/>
      <c r="F102" s="12"/>
      <c r="G102" s="12"/>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2" t="s">
        <v>104</v>
      </c>
      <c r="D105" s="1"/>
      <c r="E105" s="1"/>
      <c r="F105" s="1"/>
      <c r="G105" s="1"/>
      <c r="H105" s="69"/>
    </row>
    <row r="106" spans="1:8" x14ac:dyDescent="0.2">
      <c r="A106" s="1"/>
      <c r="B106" s="1"/>
      <c r="C106" s="2" t="s">
        <v>95</v>
      </c>
      <c r="D106" s="1"/>
      <c r="E106" s="1" t="s">
        <v>96</v>
      </c>
      <c r="F106" s="13">
        <v>0</v>
      </c>
      <c r="G106" s="14">
        <v>0</v>
      </c>
      <c r="H106" s="69"/>
    </row>
    <row r="107" spans="1:8" x14ac:dyDescent="0.2">
      <c r="A107" s="1"/>
      <c r="B107" s="1"/>
      <c r="C107" s="11"/>
      <c r="D107" s="1"/>
      <c r="E107" s="1"/>
      <c r="F107" s="12"/>
      <c r="G107" s="12"/>
      <c r="H107" s="69"/>
    </row>
    <row r="108" spans="1:8" x14ac:dyDescent="0.2">
      <c r="A108" s="1"/>
      <c r="B108" s="1"/>
      <c r="C108" s="2" t="s">
        <v>105</v>
      </c>
      <c r="D108" s="1"/>
      <c r="E108" s="1"/>
      <c r="F108" s="1"/>
      <c r="G108" s="1"/>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106</v>
      </c>
      <c r="D111" s="1"/>
      <c r="E111" s="1"/>
      <c r="F111" s="12"/>
      <c r="G111" s="12"/>
      <c r="H111" s="69"/>
    </row>
    <row r="112" spans="1:8" x14ac:dyDescent="0.2">
      <c r="A112" s="1"/>
      <c r="B112" s="1"/>
      <c r="C112" s="2" t="s">
        <v>95</v>
      </c>
      <c r="D112" s="1"/>
      <c r="E112" s="1" t="s">
        <v>96</v>
      </c>
      <c r="F112" s="13">
        <v>0</v>
      </c>
      <c r="G112" s="14">
        <v>0</v>
      </c>
      <c r="H112" s="69"/>
    </row>
    <row r="113" spans="1:8" x14ac:dyDescent="0.2">
      <c r="A113" s="1"/>
      <c r="B113" s="1"/>
      <c r="C113" s="11"/>
      <c r="D113" s="1"/>
      <c r="E113" s="1"/>
      <c r="F113" s="12"/>
      <c r="G113" s="12"/>
      <c r="H113" s="69"/>
    </row>
    <row r="114" spans="1:8" x14ac:dyDescent="0.2">
      <c r="A114" s="1"/>
      <c r="B114" s="1"/>
      <c r="C114" s="2" t="s">
        <v>107</v>
      </c>
      <c r="D114" s="1"/>
      <c r="E114" s="1"/>
      <c r="F114" s="9">
        <v>0</v>
      </c>
      <c r="G114" s="10">
        <v>0</v>
      </c>
      <c r="H114" s="69"/>
    </row>
    <row r="115" spans="1:8" x14ac:dyDescent="0.2">
      <c r="A115" s="1"/>
      <c r="B115" s="1"/>
      <c r="C115" s="11"/>
      <c r="D115" s="1"/>
      <c r="E115" s="1"/>
      <c r="F115" s="12"/>
      <c r="G115" s="12"/>
      <c r="H115" s="69"/>
    </row>
    <row r="116" spans="1:8" x14ac:dyDescent="0.2">
      <c r="A116" s="1"/>
      <c r="B116" s="1"/>
      <c r="C116" s="2" t="s">
        <v>108</v>
      </c>
      <c r="D116" s="1"/>
      <c r="E116" s="1"/>
      <c r="F116" s="12"/>
      <c r="G116" s="12"/>
      <c r="H116" s="69"/>
    </row>
    <row r="117" spans="1:8" x14ac:dyDescent="0.2">
      <c r="A117" s="1"/>
      <c r="B117" s="1"/>
      <c r="C117" s="2" t="s">
        <v>109</v>
      </c>
      <c r="D117" s="1"/>
      <c r="E117" s="1"/>
      <c r="F117" s="12"/>
      <c r="G117" s="12"/>
      <c r="H117" s="69"/>
    </row>
    <row r="118" spans="1:8" x14ac:dyDescent="0.2">
      <c r="A118" s="1"/>
      <c r="B118" s="1"/>
      <c r="C118" s="2" t="s">
        <v>95</v>
      </c>
      <c r="D118" s="1"/>
      <c r="E118" s="1" t="s">
        <v>96</v>
      </c>
      <c r="F118" s="13">
        <v>0</v>
      </c>
      <c r="G118" s="14">
        <v>0</v>
      </c>
      <c r="H118" s="69"/>
    </row>
    <row r="119" spans="1:8" x14ac:dyDescent="0.2">
      <c r="A119" s="1"/>
      <c r="B119" s="1"/>
      <c r="C119" s="11"/>
      <c r="D119" s="1"/>
      <c r="E119" s="1"/>
      <c r="F119" s="12"/>
      <c r="G119" s="12"/>
      <c r="H119" s="69"/>
    </row>
    <row r="120" spans="1:8" x14ac:dyDescent="0.2">
      <c r="A120" s="1"/>
      <c r="B120" s="1"/>
      <c r="C120" s="2" t="s">
        <v>110</v>
      </c>
      <c r="D120" s="1"/>
      <c r="E120" s="1"/>
      <c r="F120" s="12"/>
      <c r="G120" s="12"/>
      <c r="H120" s="69"/>
    </row>
    <row r="121" spans="1:8" x14ac:dyDescent="0.2">
      <c r="A121" s="1"/>
      <c r="B121" s="1"/>
      <c r="C121" s="2" t="s">
        <v>95</v>
      </c>
      <c r="D121" s="1"/>
      <c r="E121" s="1" t="s">
        <v>96</v>
      </c>
      <c r="F121" s="13">
        <v>0</v>
      </c>
      <c r="G121" s="14">
        <v>0</v>
      </c>
      <c r="H121" s="69"/>
    </row>
    <row r="122" spans="1:8" x14ac:dyDescent="0.2">
      <c r="A122" s="1"/>
      <c r="B122" s="1"/>
      <c r="C122" s="11"/>
      <c r="D122" s="1"/>
      <c r="E122" s="1"/>
      <c r="F122" s="12"/>
      <c r="G122" s="12"/>
      <c r="H122" s="69"/>
    </row>
    <row r="123" spans="1:8" x14ac:dyDescent="0.2">
      <c r="A123" s="1"/>
      <c r="B123" s="1"/>
      <c r="C123" s="2" t="s">
        <v>111</v>
      </c>
      <c r="D123" s="1"/>
      <c r="E123" s="1"/>
      <c r="F123" s="12"/>
      <c r="G123" s="12"/>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112</v>
      </c>
      <c r="D126" s="1"/>
      <c r="E126" s="1"/>
      <c r="F126" s="12"/>
      <c r="G126" s="12"/>
      <c r="H126" s="69"/>
    </row>
    <row r="127" spans="1:8" x14ac:dyDescent="0.2">
      <c r="A127" s="3">
        <v>1</v>
      </c>
      <c r="B127" s="4"/>
      <c r="C127" s="4" t="s">
        <v>113</v>
      </c>
      <c r="D127" s="4"/>
      <c r="E127" s="8"/>
      <c r="F127" s="6">
        <v>121.1278401</v>
      </c>
      <c r="G127" s="7">
        <v>3.2473887999999999E-2</v>
      </c>
      <c r="H127" s="6">
        <v>3.3628721504199861</v>
      </c>
    </row>
    <row r="128" spans="1:8" x14ac:dyDescent="0.2">
      <c r="A128" s="3">
        <v>2</v>
      </c>
      <c r="B128" s="4"/>
      <c r="C128" s="4" t="s">
        <v>114</v>
      </c>
      <c r="D128" s="4"/>
      <c r="E128" s="8"/>
      <c r="F128" s="6">
        <v>46.778429899999999</v>
      </c>
      <c r="G128" s="7">
        <v>1.2541109999999999E-2</v>
      </c>
      <c r="H128" s="6">
        <v>3.4499999999999966</v>
      </c>
    </row>
    <row r="129" spans="1:8" x14ac:dyDescent="0.2">
      <c r="A129" s="1"/>
      <c r="B129" s="1"/>
      <c r="C129" s="2" t="s">
        <v>95</v>
      </c>
      <c r="D129" s="1"/>
      <c r="E129" s="1" t="s">
        <v>96</v>
      </c>
      <c r="F129" s="9">
        <v>167.90627000000001</v>
      </c>
      <c r="G129" s="10">
        <v>4.5014998000000001E-2</v>
      </c>
      <c r="H129" s="69"/>
    </row>
    <row r="130" spans="1:8" x14ac:dyDescent="0.2">
      <c r="A130" s="1"/>
      <c r="B130" s="1"/>
      <c r="C130" s="11"/>
      <c r="D130" s="1"/>
      <c r="E130" s="1"/>
      <c r="F130" s="12"/>
      <c r="G130" s="12"/>
      <c r="H130" s="69"/>
    </row>
    <row r="131" spans="1:8" x14ac:dyDescent="0.2">
      <c r="A131" s="1"/>
      <c r="B131" s="1"/>
      <c r="C131" s="2" t="s">
        <v>115</v>
      </c>
      <c r="D131" s="1"/>
      <c r="E131" s="1"/>
      <c r="F131" s="9">
        <v>167.90627000000001</v>
      </c>
      <c r="G131" s="10">
        <v>4.5014998000000001E-2</v>
      </c>
      <c r="H131" s="69"/>
    </row>
    <row r="132" spans="1:8" x14ac:dyDescent="0.2">
      <c r="A132" s="1"/>
      <c r="B132" s="1"/>
      <c r="C132" s="12"/>
      <c r="D132" s="1"/>
      <c r="E132" s="1"/>
      <c r="F132" s="1"/>
      <c r="G132" s="1"/>
      <c r="H132" s="69"/>
    </row>
    <row r="133" spans="1:8" x14ac:dyDescent="0.2">
      <c r="A133" s="1"/>
      <c r="B133" s="1"/>
      <c r="C133" s="2" t="s">
        <v>116</v>
      </c>
      <c r="D133" s="1"/>
      <c r="E133" s="1"/>
      <c r="F133" s="1"/>
      <c r="G133" s="1"/>
      <c r="H133" s="69"/>
    </row>
    <row r="134" spans="1:8" x14ac:dyDescent="0.2">
      <c r="A134" s="1"/>
      <c r="B134" s="1"/>
      <c r="C134" s="2" t="s">
        <v>117</v>
      </c>
      <c r="D134" s="1"/>
      <c r="E134" s="1"/>
      <c r="F134" s="1"/>
      <c r="G134" s="1"/>
      <c r="H134" s="69"/>
    </row>
    <row r="135" spans="1:8" x14ac:dyDescent="0.2">
      <c r="A135" s="1"/>
      <c r="B135" s="1"/>
      <c r="C135" s="2" t="s">
        <v>95</v>
      </c>
      <c r="D135" s="1"/>
      <c r="E135" s="1" t="s">
        <v>96</v>
      </c>
      <c r="F135" s="13">
        <v>0</v>
      </c>
      <c r="G135" s="14">
        <v>0</v>
      </c>
      <c r="H135" s="69"/>
    </row>
    <row r="136" spans="1:8" x14ac:dyDescent="0.2">
      <c r="A136" s="1"/>
      <c r="B136" s="1"/>
      <c r="C136" s="11"/>
      <c r="D136" s="1"/>
      <c r="E136" s="1"/>
      <c r="F136" s="12"/>
      <c r="G136" s="12"/>
      <c r="H136" s="69"/>
    </row>
    <row r="137" spans="1:8" x14ac:dyDescent="0.2">
      <c r="A137" s="1"/>
      <c r="B137" s="1"/>
      <c r="C137" s="2" t="s">
        <v>118</v>
      </c>
      <c r="D137" s="1"/>
      <c r="E137" s="1"/>
      <c r="F137" s="1"/>
      <c r="G137" s="1"/>
      <c r="H137" s="69"/>
    </row>
    <row r="138" spans="1:8" x14ac:dyDescent="0.2">
      <c r="A138" s="1"/>
      <c r="B138" s="1"/>
      <c r="C138" s="2" t="s">
        <v>119</v>
      </c>
      <c r="D138" s="1"/>
      <c r="E138" s="1"/>
      <c r="F138" s="1"/>
      <c r="G138" s="1"/>
      <c r="H138" s="69"/>
    </row>
    <row r="139" spans="1:8" x14ac:dyDescent="0.2">
      <c r="A139" s="1"/>
      <c r="B139" s="1"/>
      <c r="C139" s="2" t="s">
        <v>95</v>
      </c>
      <c r="D139" s="1"/>
      <c r="E139" s="1" t="s">
        <v>96</v>
      </c>
      <c r="F139" s="13">
        <v>0</v>
      </c>
      <c r="G139" s="14">
        <v>0</v>
      </c>
      <c r="H139" s="69"/>
    </row>
    <row r="140" spans="1:8" x14ac:dyDescent="0.2">
      <c r="A140" s="1"/>
      <c r="B140" s="1"/>
      <c r="C140" s="11"/>
      <c r="D140" s="1"/>
      <c r="E140" s="1"/>
      <c r="F140" s="12"/>
      <c r="G140" s="12"/>
      <c r="H140" s="69"/>
    </row>
    <row r="141" spans="1:8" x14ac:dyDescent="0.2">
      <c r="A141" s="1"/>
      <c r="B141" s="1"/>
      <c r="C141" s="11"/>
      <c r="D141" s="1"/>
      <c r="E141" s="1"/>
      <c r="F141" s="12"/>
      <c r="G141" s="12"/>
      <c r="H141" s="69"/>
    </row>
    <row r="142" spans="1:8" ht="25.5" x14ac:dyDescent="0.2">
      <c r="A142" s="1"/>
      <c r="B142" s="1"/>
      <c r="C142" s="2" t="s">
        <v>120</v>
      </c>
      <c r="D142" s="1"/>
      <c r="E142" s="1"/>
      <c r="F142" s="12"/>
      <c r="G142" s="12"/>
      <c r="H142" s="69"/>
    </row>
    <row r="143" spans="1:8" x14ac:dyDescent="0.2">
      <c r="A143" s="1"/>
      <c r="B143" s="1"/>
      <c r="C143" s="2" t="s">
        <v>95</v>
      </c>
      <c r="D143" s="1"/>
      <c r="E143" s="1" t="s">
        <v>96</v>
      </c>
      <c r="F143" s="13">
        <v>0</v>
      </c>
      <c r="G143" s="14">
        <v>0</v>
      </c>
      <c r="H143" s="69"/>
    </row>
    <row r="144" spans="1:8" x14ac:dyDescent="0.2">
      <c r="A144" s="1"/>
      <c r="B144" s="1"/>
      <c r="C144" s="11"/>
      <c r="D144" s="1"/>
      <c r="E144" s="1"/>
      <c r="F144" s="12"/>
      <c r="G144" s="12"/>
      <c r="H144" s="69"/>
    </row>
    <row r="145" spans="1:8" x14ac:dyDescent="0.2">
      <c r="A145" s="1"/>
      <c r="B145" s="4"/>
      <c r="C145" s="4"/>
      <c r="D145" s="2"/>
      <c r="E145" s="1"/>
      <c r="F145" s="4"/>
      <c r="G145" s="8"/>
      <c r="H145" s="69"/>
    </row>
    <row r="146" spans="1:8" x14ac:dyDescent="0.2">
      <c r="A146" s="8"/>
      <c r="B146" s="4"/>
      <c r="C146" s="4" t="s">
        <v>121</v>
      </c>
      <c r="D146" s="4"/>
      <c r="E146" s="8"/>
      <c r="F146" s="6">
        <v>5.8239220100000004</v>
      </c>
      <c r="G146" s="7">
        <v>1.5613700000000001E-3</v>
      </c>
      <c r="H146" s="69"/>
    </row>
    <row r="147" spans="1:8" x14ac:dyDescent="0.2">
      <c r="A147" s="11"/>
      <c r="B147" s="11"/>
      <c r="C147" s="2" t="s">
        <v>122</v>
      </c>
      <c r="D147" s="15"/>
      <c r="E147" s="15"/>
      <c r="F147" s="9">
        <v>3730.00728901</v>
      </c>
      <c r="G147" s="10">
        <v>0.99999999699999997</v>
      </c>
      <c r="H147" s="69"/>
    </row>
    <row r="148" spans="1:8" ht="14.1" customHeight="1" x14ac:dyDescent="0.2">
      <c r="A148" s="16"/>
      <c r="B148" s="16"/>
      <c r="C148" s="16"/>
      <c r="D148" s="17"/>
      <c r="E148" s="17"/>
      <c r="F148" s="17"/>
      <c r="G148" s="17"/>
    </row>
    <row r="149" spans="1:8" ht="14.1" customHeight="1" x14ac:dyDescent="0.2">
      <c r="A149" s="18"/>
      <c r="B149" s="176" t="s">
        <v>96</v>
      </c>
      <c r="C149" s="176"/>
      <c r="D149" s="176"/>
      <c r="E149" s="176"/>
      <c r="F149" s="176"/>
      <c r="G149" s="20"/>
    </row>
    <row r="150" spans="1:8" ht="14.1" customHeight="1" x14ac:dyDescent="0.2">
      <c r="A150" s="18"/>
      <c r="B150" s="176" t="s">
        <v>96</v>
      </c>
      <c r="C150" s="176"/>
      <c r="D150" s="176"/>
      <c r="E150" s="176"/>
      <c r="F150" s="176"/>
      <c r="G150" s="20"/>
    </row>
    <row r="151" spans="1:8" ht="14.1" customHeight="1" x14ac:dyDescent="0.2">
      <c r="A151" s="18"/>
      <c r="B151" s="18"/>
      <c r="C151" s="18"/>
      <c r="D151" s="20"/>
      <c r="E151" s="20"/>
      <c r="F151" s="20"/>
      <c r="G151" s="20"/>
    </row>
    <row r="152" spans="1:8" ht="14.1" customHeight="1" x14ac:dyDescent="0.2">
      <c r="A152" s="18"/>
      <c r="B152" s="174" t="s">
        <v>124</v>
      </c>
      <c r="C152" s="175"/>
      <c r="D152" s="12" t="s">
        <v>96</v>
      </c>
      <c r="E152" s="21"/>
      <c r="F152" s="20"/>
      <c r="G152" s="20"/>
    </row>
    <row r="153" spans="1:8" ht="29.1" customHeight="1" x14ac:dyDescent="0.2">
      <c r="A153" s="18"/>
      <c r="B153" s="172" t="s">
        <v>125</v>
      </c>
      <c r="C153" s="173"/>
      <c r="D153" s="2" t="s">
        <v>126</v>
      </c>
      <c r="E153" s="21"/>
      <c r="F153" s="20"/>
      <c r="G153" s="20"/>
    </row>
    <row r="154" spans="1:8" ht="17.100000000000001" customHeight="1" x14ac:dyDescent="0.2">
      <c r="A154" s="18"/>
      <c r="B154" s="172" t="s">
        <v>127</v>
      </c>
      <c r="C154" s="173"/>
      <c r="D154" s="2" t="s">
        <v>126</v>
      </c>
      <c r="E154" s="21"/>
      <c r="F154" s="20"/>
      <c r="G154" s="20"/>
    </row>
    <row r="155" spans="1:8" ht="17.100000000000001" customHeight="1" x14ac:dyDescent="0.2">
      <c r="A155" s="18"/>
      <c r="B155" s="172" t="s">
        <v>128</v>
      </c>
      <c r="C155" s="173"/>
      <c r="D155" s="12" t="s">
        <v>96</v>
      </c>
      <c r="E155" s="21"/>
      <c r="F155" s="20"/>
      <c r="G155" s="20"/>
    </row>
    <row r="156" spans="1:8" ht="24" customHeight="1" x14ac:dyDescent="0.2">
      <c r="A156" s="22"/>
      <c r="B156" s="23" t="s">
        <v>96</v>
      </c>
      <c r="C156" s="23" t="s">
        <v>129</v>
      </c>
      <c r="D156" s="23" t="s">
        <v>130</v>
      </c>
      <c r="E156" s="22"/>
      <c r="F156" s="22"/>
      <c r="G156" s="22"/>
    </row>
    <row r="157" spans="1:8" ht="18" customHeight="1" x14ac:dyDescent="0.2">
      <c r="A157" s="22"/>
      <c r="B157" s="23" t="s">
        <v>131</v>
      </c>
      <c r="C157" s="23" t="s">
        <v>132</v>
      </c>
      <c r="D157" s="23" t="s">
        <v>133</v>
      </c>
      <c r="E157" s="22"/>
      <c r="F157" s="22"/>
      <c r="G157" s="22"/>
    </row>
    <row r="158" spans="1:8" ht="17.100000000000001" customHeight="1" x14ac:dyDescent="0.2">
      <c r="A158" s="22"/>
      <c r="B158" s="4" t="s">
        <v>134</v>
      </c>
      <c r="C158" s="24">
        <v>20.288699999999999</v>
      </c>
      <c r="D158" s="24">
        <v>20.404</v>
      </c>
      <c r="E158" s="22"/>
      <c r="F158" s="19"/>
      <c r="G158" s="25"/>
    </row>
    <row r="159" spans="1:8" ht="17.100000000000001" customHeight="1" x14ac:dyDescent="0.2">
      <c r="A159" s="22"/>
      <c r="B159" s="4" t="s">
        <v>983</v>
      </c>
      <c r="C159" s="24">
        <v>19.02</v>
      </c>
      <c r="D159" s="24">
        <v>19.128</v>
      </c>
      <c r="E159" s="22"/>
      <c r="F159" s="19"/>
      <c r="G159" s="25"/>
    </row>
    <row r="160" spans="1:8" ht="17.100000000000001" customHeight="1" x14ac:dyDescent="0.2">
      <c r="A160" s="22"/>
      <c r="B160" s="4" t="s">
        <v>135</v>
      </c>
      <c r="C160" s="24">
        <v>19.940000000000001</v>
      </c>
      <c r="D160" s="24">
        <v>20.0441</v>
      </c>
      <c r="E160" s="22"/>
      <c r="F160" s="19"/>
      <c r="G160" s="25"/>
    </row>
    <row r="161" spans="1:16" ht="17.100000000000001" customHeight="1" x14ac:dyDescent="0.2">
      <c r="A161" s="22"/>
      <c r="B161" s="4" t="s">
        <v>984</v>
      </c>
      <c r="C161" s="24">
        <v>18.674399999999999</v>
      </c>
      <c r="D161" s="24">
        <v>18.771899999999999</v>
      </c>
      <c r="E161" s="22"/>
      <c r="F161" s="19"/>
      <c r="G161" s="25"/>
    </row>
    <row r="162" spans="1:16" ht="14.1" customHeight="1" x14ac:dyDescent="0.2">
      <c r="A162" s="22"/>
      <c r="B162" s="22"/>
      <c r="C162" s="22"/>
      <c r="D162" s="22"/>
      <c r="E162" s="22"/>
      <c r="F162" s="22"/>
      <c r="G162" s="22"/>
      <c r="I162" s="82"/>
      <c r="J162" s="82"/>
      <c r="K162" s="82"/>
      <c r="L162" s="82"/>
      <c r="M162" s="82"/>
      <c r="N162" s="82"/>
      <c r="O162" s="82"/>
    </row>
    <row r="163" spans="1:16" ht="17.100000000000001" customHeight="1" x14ac:dyDescent="0.2">
      <c r="A163" s="22"/>
      <c r="B163" s="172" t="s">
        <v>985</v>
      </c>
      <c r="C163" s="173"/>
      <c r="D163" s="2" t="s">
        <v>126</v>
      </c>
      <c r="E163" s="22"/>
      <c r="F163" s="22"/>
      <c r="G163" s="22"/>
    </row>
    <row r="164" spans="1:16" ht="18" customHeight="1" x14ac:dyDescent="0.2">
      <c r="A164" s="22"/>
      <c r="B164" s="26" t="s">
        <v>136</v>
      </c>
      <c r="C164" s="26" t="s">
        <v>136</v>
      </c>
      <c r="D164" s="26"/>
      <c r="E164" s="22"/>
      <c r="F164" s="22"/>
      <c r="G164" s="22"/>
    </row>
    <row r="165" spans="1:16" s="82" customFormat="1" x14ac:dyDescent="0.2">
      <c r="B165" s="177" t="s">
        <v>936</v>
      </c>
      <c r="C165" s="177"/>
      <c r="D165" s="177"/>
      <c r="E165" s="177"/>
      <c r="F165" s="177"/>
      <c r="I165"/>
      <c r="J165"/>
      <c r="K165"/>
      <c r="L165"/>
      <c r="M165"/>
      <c r="N165"/>
      <c r="O165"/>
      <c r="P165" s="70"/>
    </row>
    <row r="166" spans="1:16" ht="14.1" customHeight="1" x14ac:dyDescent="0.2">
      <c r="A166" s="22"/>
      <c r="B166" s="19"/>
      <c r="C166" s="19"/>
      <c r="D166" s="22"/>
      <c r="E166" s="22"/>
      <c r="F166" s="22"/>
      <c r="G166" s="22"/>
    </row>
    <row r="167" spans="1:16" ht="29.1" customHeight="1" x14ac:dyDescent="0.2">
      <c r="A167" s="22"/>
      <c r="B167" s="172" t="s">
        <v>137</v>
      </c>
      <c r="C167" s="173"/>
      <c r="D167" s="2" t="s">
        <v>126</v>
      </c>
      <c r="E167" s="22"/>
      <c r="F167" s="22"/>
      <c r="G167" s="22"/>
    </row>
    <row r="168" spans="1:16" ht="29.1" customHeight="1" x14ac:dyDescent="0.2">
      <c r="A168" s="22"/>
      <c r="B168" s="172" t="s">
        <v>138</v>
      </c>
      <c r="C168" s="173"/>
      <c r="D168" s="2" t="s">
        <v>126</v>
      </c>
      <c r="E168" s="22"/>
      <c r="F168" s="22"/>
      <c r="G168" s="22"/>
    </row>
    <row r="169" spans="1:16" ht="17.100000000000001" customHeight="1" x14ac:dyDescent="0.2">
      <c r="A169" s="22"/>
      <c r="B169" s="172" t="s">
        <v>139</v>
      </c>
      <c r="C169" s="173"/>
      <c r="D169" s="27">
        <v>0.37607763884086648</v>
      </c>
      <c r="E169" s="22"/>
      <c r="F169" s="19"/>
      <c r="G169" s="25"/>
    </row>
    <row r="170" spans="1:16" ht="17.100000000000001" customHeight="1" x14ac:dyDescent="0.2">
      <c r="A170" s="22"/>
      <c r="B170" s="172" t="s">
        <v>140</v>
      </c>
      <c r="C170" s="173"/>
      <c r="D170" s="2" t="s">
        <v>126</v>
      </c>
      <c r="E170" s="22"/>
      <c r="F170" s="22"/>
      <c r="G170" s="22"/>
    </row>
  </sheetData>
  <mergeCells count="16">
    <mergeCell ref="B170:C170"/>
    <mergeCell ref="B153:C153"/>
    <mergeCell ref="B154:C154"/>
    <mergeCell ref="B155:C155"/>
    <mergeCell ref="B163:C163"/>
    <mergeCell ref="B167:C167"/>
    <mergeCell ref="B168:C168"/>
    <mergeCell ref="B165:F165"/>
    <mergeCell ref="A1:H1"/>
    <mergeCell ref="A2:H2"/>
    <mergeCell ref="A3:H3"/>
    <mergeCell ref="J2:N2"/>
    <mergeCell ref="B169:C169"/>
    <mergeCell ref="B152:C152"/>
    <mergeCell ref="B149:F149"/>
    <mergeCell ref="B150:F150"/>
  </mergeCell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P16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482</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v>
      </c>
      <c r="C7" s="4" t="s">
        <v>42</v>
      </c>
      <c r="D7" s="4" t="s">
        <v>27</v>
      </c>
      <c r="E7" s="5">
        <v>37713</v>
      </c>
      <c r="F7" s="6">
        <v>468.37660349999999</v>
      </c>
      <c r="G7" s="7">
        <v>3.6901290000000003E-2</v>
      </c>
      <c r="H7" s="69"/>
    </row>
    <row r="8" spans="1:14" x14ac:dyDescent="0.2">
      <c r="A8" s="3">
        <v>2</v>
      </c>
      <c r="B8" s="4" t="s">
        <v>25</v>
      </c>
      <c r="C8" s="4" t="s">
        <v>26</v>
      </c>
      <c r="D8" s="4" t="s">
        <v>27</v>
      </c>
      <c r="E8" s="5">
        <v>28091</v>
      </c>
      <c r="F8" s="6">
        <v>453.17805750000002</v>
      </c>
      <c r="G8" s="7">
        <v>3.5703864000000002E-2</v>
      </c>
      <c r="H8" s="69"/>
    </row>
    <row r="9" spans="1:14" ht="25.5" x14ac:dyDescent="0.2">
      <c r="A9" s="3">
        <v>3</v>
      </c>
      <c r="B9" s="4" t="s">
        <v>463</v>
      </c>
      <c r="C9" s="4" t="s">
        <v>464</v>
      </c>
      <c r="D9" s="4" t="s">
        <v>45</v>
      </c>
      <c r="E9" s="5">
        <v>25868</v>
      </c>
      <c r="F9" s="6">
        <v>393.60748799999999</v>
      </c>
      <c r="G9" s="7">
        <v>3.1010566999999999E-2</v>
      </c>
      <c r="H9" s="69"/>
    </row>
    <row r="10" spans="1:14" x14ac:dyDescent="0.2">
      <c r="A10" s="3">
        <v>4</v>
      </c>
      <c r="B10" s="4" t="s">
        <v>142</v>
      </c>
      <c r="C10" s="4" t="s">
        <v>143</v>
      </c>
      <c r="D10" s="4" t="s">
        <v>144</v>
      </c>
      <c r="E10" s="5">
        <v>9882</v>
      </c>
      <c r="F10" s="6">
        <v>369.68561999999997</v>
      </c>
      <c r="G10" s="7">
        <v>2.9125870000000002E-2</v>
      </c>
      <c r="H10" s="69"/>
    </row>
    <row r="11" spans="1:14" x14ac:dyDescent="0.2">
      <c r="A11" s="3">
        <v>5</v>
      </c>
      <c r="B11" s="4" t="s">
        <v>461</v>
      </c>
      <c r="C11" s="4" t="s">
        <v>462</v>
      </c>
      <c r="D11" s="4" t="s">
        <v>75</v>
      </c>
      <c r="E11" s="5">
        <v>90401</v>
      </c>
      <c r="F11" s="6">
        <v>351.52428850000001</v>
      </c>
      <c r="G11" s="7">
        <v>2.7695020000000001E-2</v>
      </c>
      <c r="H11" s="69"/>
    </row>
    <row r="12" spans="1:14" x14ac:dyDescent="0.2">
      <c r="A12" s="3">
        <v>6</v>
      </c>
      <c r="B12" s="4" t="s">
        <v>465</v>
      </c>
      <c r="C12" s="4" t="s">
        <v>466</v>
      </c>
      <c r="D12" s="4" t="s">
        <v>48</v>
      </c>
      <c r="E12" s="5">
        <v>50273</v>
      </c>
      <c r="F12" s="6">
        <v>345.19955449999998</v>
      </c>
      <c r="G12" s="7">
        <v>2.7196722999999999E-2</v>
      </c>
      <c r="H12" s="69"/>
    </row>
    <row r="13" spans="1:14" x14ac:dyDescent="0.2">
      <c r="A13" s="3">
        <v>7</v>
      </c>
      <c r="B13" s="4" t="s">
        <v>147</v>
      </c>
      <c r="C13" s="4" t="s">
        <v>148</v>
      </c>
      <c r="D13" s="4" t="s">
        <v>78</v>
      </c>
      <c r="E13" s="5">
        <v>281219</v>
      </c>
      <c r="F13" s="6">
        <v>340.97803750000003</v>
      </c>
      <c r="G13" s="7">
        <v>2.6864129E-2</v>
      </c>
      <c r="H13" s="69"/>
    </row>
    <row r="14" spans="1:14" x14ac:dyDescent="0.2">
      <c r="A14" s="3">
        <v>8</v>
      </c>
      <c r="B14" s="4" t="s">
        <v>79</v>
      </c>
      <c r="C14" s="4" t="s">
        <v>80</v>
      </c>
      <c r="D14" s="4" t="s">
        <v>75</v>
      </c>
      <c r="E14" s="5">
        <v>86338</v>
      </c>
      <c r="F14" s="6">
        <v>322.213416</v>
      </c>
      <c r="G14" s="7">
        <v>2.5385748E-2</v>
      </c>
      <c r="H14" s="69"/>
    </row>
    <row r="15" spans="1:14" ht="15" x14ac:dyDescent="0.2">
      <c r="A15" s="3">
        <v>9</v>
      </c>
      <c r="B15" s="4" t="s">
        <v>173</v>
      </c>
      <c r="C15" s="4" t="s">
        <v>174</v>
      </c>
      <c r="D15" s="4" t="s">
        <v>175</v>
      </c>
      <c r="E15" s="5">
        <v>127326</v>
      </c>
      <c r="F15" s="6">
        <v>322.198443</v>
      </c>
      <c r="G15" s="7">
        <v>2.5384568999999999E-2</v>
      </c>
      <c r="H15" s="69"/>
      <c r="J15" s="160" t="s">
        <v>1015</v>
      </c>
    </row>
    <row r="16" spans="1:14" x14ac:dyDescent="0.2">
      <c r="A16" s="3">
        <v>10</v>
      </c>
      <c r="B16" s="4" t="s">
        <v>200</v>
      </c>
      <c r="C16" s="4" t="s">
        <v>201</v>
      </c>
      <c r="D16" s="4" t="s">
        <v>27</v>
      </c>
      <c r="E16" s="5">
        <v>15895</v>
      </c>
      <c r="F16" s="6">
        <v>321.22205500000001</v>
      </c>
      <c r="G16" s="7">
        <v>2.5307643000000001E-2</v>
      </c>
      <c r="H16" s="69"/>
    </row>
    <row r="17" spans="1:8" ht="25.5" x14ac:dyDescent="0.2">
      <c r="A17" s="3">
        <v>11</v>
      </c>
      <c r="B17" s="4" t="s">
        <v>151</v>
      </c>
      <c r="C17" s="4" t="s">
        <v>152</v>
      </c>
      <c r="D17" s="4" t="s">
        <v>45</v>
      </c>
      <c r="E17" s="5">
        <v>202669</v>
      </c>
      <c r="F17" s="6">
        <v>302.28081350000002</v>
      </c>
      <c r="G17" s="7">
        <v>2.3815348E-2</v>
      </c>
      <c r="H17" s="69"/>
    </row>
    <row r="18" spans="1:8" x14ac:dyDescent="0.2">
      <c r="A18" s="3">
        <v>12</v>
      </c>
      <c r="B18" s="4" t="s">
        <v>212</v>
      </c>
      <c r="C18" s="4" t="s">
        <v>213</v>
      </c>
      <c r="D18" s="4" t="s">
        <v>979</v>
      </c>
      <c r="E18" s="5">
        <v>54458</v>
      </c>
      <c r="F18" s="6">
        <v>298.70213000000001</v>
      </c>
      <c r="G18" s="7">
        <v>2.3533399999999999E-2</v>
      </c>
      <c r="H18" s="69"/>
    </row>
    <row r="19" spans="1:8" x14ac:dyDescent="0.2">
      <c r="A19" s="3">
        <v>13</v>
      </c>
      <c r="B19" s="4" t="s">
        <v>176</v>
      </c>
      <c r="C19" s="4" t="s">
        <v>177</v>
      </c>
      <c r="D19" s="4" t="s">
        <v>78</v>
      </c>
      <c r="E19" s="5">
        <v>31556</v>
      </c>
      <c r="F19" s="6">
        <v>255.414264</v>
      </c>
      <c r="G19" s="7">
        <v>2.0122943000000001E-2</v>
      </c>
      <c r="H19" s="69"/>
    </row>
    <row r="20" spans="1:8" x14ac:dyDescent="0.2">
      <c r="A20" s="3">
        <v>14</v>
      </c>
      <c r="B20" s="4" t="s">
        <v>158</v>
      </c>
      <c r="C20" s="4" t="s">
        <v>159</v>
      </c>
      <c r="D20" s="4" t="s">
        <v>160</v>
      </c>
      <c r="E20" s="5">
        <v>15563</v>
      </c>
      <c r="F20" s="6">
        <v>252.51745650000001</v>
      </c>
      <c r="G20" s="7">
        <v>1.9894716999999999E-2</v>
      </c>
      <c r="H20" s="69"/>
    </row>
    <row r="21" spans="1:8" ht="25.5" x14ac:dyDescent="0.2">
      <c r="A21" s="3">
        <v>15</v>
      </c>
      <c r="B21" s="4" t="s">
        <v>189</v>
      </c>
      <c r="C21" s="4" t="s">
        <v>190</v>
      </c>
      <c r="D21" s="4" t="s">
        <v>974</v>
      </c>
      <c r="E21" s="5">
        <v>112163</v>
      </c>
      <c r="F21" s="6">
        <v>247.54374100000001</v>
      </c>
      <c r="G21" s="7">
        <v>1.950286E-2</v>
      </c>
      <c r="H21" s="69"/>
    </row>
    <row r="22" spans="1:8" x14ac:dyDescent="0.2">
      <c r="A22" s="3">
        <v>16</v>
      </c>
      <c r="B22" s="4" t="s">
        <v>295</v>
      </c>
      <c r="C22" s="4" t="s">
        <v>296</v>
      </c>
      <c r="D22" s="4" t="s">
        <v>27</v>
      </c>
      <c r="E22" s="5">
        <v>20083</v>
      </c>
      <c r="F22" s="6">
        <v>235.81458599999999</v>
      </c>
      <c r="G22" s="7">
        <v>1.8578772E-2</v>
      </c>
      <c r="H22" s="69"/>
    </row>
    <row r="23" spans="1:8" x14ac:dyDescent="0.2">
      <c r="A23" s="3">
        <v>17</v>
      </c>
      <c r="B23" s="4" t="s">
        <v>156</v>
      </c>
      <c r="C23" s="4" t="s">
        <v>157</v>
      </c>
      <c r="D23" s="4" t="s">
        <v>27</v>
      </c>
      <c r="E23" s="5">
        <v>30000</v>
      </c>
      <c r="F23" s="6">
        <v>232.77</v>
      </c>
      <c r="G23" s="7">
        <v>1.8338903E-2</v>
      </c>
      <c r="H23" s="69"/>
    </row>
    <row r="24" spans="1:8" x14ac:dyDescent="0.2">
      <c r="A24" s="3">
        <v>18</v>
      </c>
      <c r="B24" s="4" t="s">
        <v>169</v>
      </c>
      <c r="C24" s="4" t="s">
        <v>170</v>
      </c>
      <c r="D24" s="4" t="s">
        <v>155</v>
      </c>
      <c r="E24" s="5">
        <v>19400</v>
      </c>
      <c r="F24" s="6">
        <v>222.88659999999999</v>
      </c>
      <c r="G24" s="7">
        <v>1.7560234000000001E-2</v>
      </c>
      <c r="H24" s="69"/>
    </row>
    <row r="25" spans="1:8" x14ac:dyDescent="0.2">
      <c r="A25" s="3">
        <v>19</v>
      </c>
      <c r="B25" s="4" t="s">
        <v>187</v>
      </c>
      <c r="C25" s="4" t="s">
        <v>188</v>
      </c>
      <c r="D25" s="4" t="s">
        <v>978</v>
      </c>
      <c r="E25" s="5">
        <v>24745</v>
      </c>
      <c r="F25" s="6">
        <v>221.1336925</v>
      </c>
      <c r="G25" s="7">
        <v>1.7422131E-2</v>
      </c>
      <c r="H25" s="69"/>
    </row>
    <row r="26" spans="1:8" x14ac:dyDescent="0.2">
      <c r="A26" s="3">
        <v>20</v>
      </c>
      <c r="B26" s="4" t="s">
        <v>163</v>
      </c>
      <c r="C26" s="4" t="s">
        <v>164</v>
      </c>
      <c r="D26" s="4" t="s">
        <v>975</v>
      </c>
      <c r="E26" s="5">
        <v>50602</v>
      </c>
      <c r="F26" s="6">
        <v>202.534505</v>
      </c>
      <c r="G26" s="7">
        <v>1.5956784000000002E-2</v>
      </c>
      <c r="H26" s="69"/>
    </row>
    <row r="27" spans="1:8" x14ac:dyDescent="0.2">
      <c r="A27" s="3">
        <v>21</v>
      </c>
      <c r="B27" s="4" t="s">
        <v>165</v>
      </c>
      <c r="C27" s="4" t="s">
        <v>166</v>
      </c>
      <c r="D27" s="4" t="s">
        <v>155</v>
      </c>
      <c r="E27" s="5">
        <v>40028</v>
      </c>
      <c r="F27" s="6">
        <v>197.998502</v>
      </c>
      <c r="G27" s="7">
        <v>1.5599412999999999E-2</v>
      </c>
      <c r="H27" s="69"/>
    </row>
    <row r="28" spans="1:8" x14ac:dyDescent="0.2">
      <c r="A28" s="3">
        <v>22</v>
      </c>
      <c r="B28" s="4" t="s">
        <v>181</v>
      </c>
      <c r="C28" s="4" t="s">
        <v>182</v>
      </c>
      <c r="D28" s="4" t="s">
        <v>155</v>
      </c>
      <c r="E28" s="5">
        <v>19362</v>
      </c>
      <c r="F28" s="6">
        <v>196.03056900000001</v>
      </c>
      <c r="G28" s="7">
        <v>1.5444368E-2</v>
      </c>
      <c r="H28" s="69"/>
    </row>
    <row r="29" spans="1:8" x14ac:dyDescent="0.2">
      <c r="A29" s="3">
        <v>23</v>
      </c>
      <c r="B29" s="4" t="s">
        <v>483</v>
      </c>
      <c r="C29" s="4" t="s">
        <v>484</v>
      </c>
      <c r="D29" s="4" t="s">
        <v>204</v>
      </c>
      <c r="E29" s="5">
        <v>2436</v>
      </c>
      <c r="F29" s="6">
        <v>193.452504</v>
      </c>
      <c r="G29" s="7">
        <v>1.5241253999999999E-2</v>
      </c>
      <c r="H29" s="69"/>
    </row>
    <row r="30" spans="1:8" x14ac:dyDescent="0.2">
      <c r="A30" s="3">
        <v>24</v>
      </c>
      <c r="B30" s="4" t="s">
        <v>210</v>
      </c>
      <c r="C30" s="4" t="s">
        <v>211</v>
      </c>
      <c r="D30" s="4" t="s">
        <v>53</v>
      </c>
      <c r="E30" s="5">
        <v>19637</v>
      </c>
      <c r="F30" s="6">
        <v>186.12930449999999</v>
      </c>
      <c r="G30" s="7">
        <v>1.4664292000000001E-2</v>
      </c>
      <c r="H30" s="69"/>
    </row>
    <row r="31" spans="1:8" x14ac:dyDescent="0.2">
      <c r="A31" s="3">
        <v>25</v>
      </c>
      <c r="B31" s="4" t="s">
        <v>289</v>
      </c>
      <c r="C31" s="4" t="s">
        <v>290</v>
      </c>
      <c r="D31" s="4" t="s">
        <v>27</v>
      </c>
      <c r="E31" s="5">
        <v>54288</v>
      </c>
      <c r="F31" s="6">
        <v>183.95488800000001</v>
      </c>
      <c r="G31" s="7">
        <v>1.4492980000000001E-2</v>
      </c>
      <c r="H31" s="69"/>
    </row>
    <row r="32" spans="1:8" ht="25.5" x14ac:dyDescent="0.2">
      <c r="A32" s="3">
        <v>26</v>
      </c>
      <c r="B32" s="4" t="s">
        <v>229</v>
      </c>
      <c r="C32" s="4" t="s">
        <v>230</v>
      </c>
      <c r="D32" s="4" t="s">
        <v>75</v>
      </c>
      <c r="E32" s="5">
        <v>9500</v>
      </c>
      <c r="F32" s="6">
        <v>180.36224999999999</v>
      </c>
      <c r="G32" s="7">
        <v>1.4209932E-2</v>
      </c>
      <c r="H32" s="69"/>
    </row>
    <row r="33" spans="1:8" x14ac:dyDescent="0.2">
      <c r="A33" s="3">
        <v>27</v>
      </c>
      <c r="B33" s="4" t="s">
        <v>161</v>
      </c>
      <c r="C33" s="4" t="s">
        <v>162</v>
      </c>
      <c r="D33" s="4" t="s">
        <v>22</v>
      </c>
      <c r="E33" s="5">
        <v>98212</v>
      </c>
      <c r="F33" s="6">
        <v>179.384218</v>
      </c>
      <c r="G33" s="7">
        <v>1.4132877E-2</v>
      </c>
      <c r="H33" s="69"/>
    </row>
    <row r="34" spans="1:8" ht="25.5" x14ac:dyDescent="0.2">
      <c r="A34" s="3">
        <v>28</v>
      </c>
      <c r="B34" s="4" t="s">
        <v>485</v>
      </c>
      <c r="C34" s="4" t="s">
        <v>486</v>
      </c>
      <c r="D34" s="4" t="s">
        <v>207</v>
      </c>
      <c r="E34" s="5">
        <v>20000</v>
      </c>
      <c r="F34" s="6">
        <v>176.59</v>
      </c>
      <c r="G34" s="7">
        <v>1.3912733E-2</v>
      </c>
      <c r="H34" s="69"/>
    </row>
    <row r="35" spans="1:8" x14ac:dyDescent="0.2">
      <c r="A35" s="3">
        <v>29</v>
      </c>
      <c r="B35" s="4" t="s">
        <v>467</v>
      </c>
      <c r="C35" s="4" t="s">
        <v>468</v>
      </c>
      <c r="D35" s="4" t="s">
        <v>27</v>
      </c>
      <c r="E35" s="5">
        <v>19126</v>
      </c>
      <c r="F35" s="6">
        <v>175.51930200000001</v>
      </c>
      <c r="G35" s="7">
        <v>1.3828378000000001E-2</v>
      </c>
      <c r="H35" s="69"/>
    </row>
    <row r="36" spans="1:8" x14ac:dyDescent="0.2">
      <c r="A36" s="3">
        <v>30</v>
      </c>
      <c r="B36" s="4" t="s">
        <v>145</v>
      </c>
      <c r="C36" s="4" t="s">
        <v>146</v>
      </c>
      <c r="D36" s="4" t="s">
        <v>27</v>
      </c>
      <c r="E36" s="5">
        <v>15638</v>
      </c>
      <c r="F36" s="6">
        <v>172.78426200000001</v>
      </c>
      <c r="G36" s="7">
        <v>1.3612895999999999E-2</v>
      </c>
      <c r="H36" s="69"/>
    </row>
    <row r="37" spans="1:8" x14ac:dyDescent="0.2">
      <c r="A37" s="3">
        <v>31</v>
      </c>
      <c r="B37" s="4" t="s">
        <v>386</v>
      </c>
      <c r="C37" s="4" t="s">
        <v>387</v>
      </c>
      <c r="D37" s="4" t="s">
        <v>75</v>
      </c>
      <c r="E37" s="5">
        <v>8109</v>
      </c>
      <c r="F37" s="6">
        <v>165.56956199999999</v>
      </c>
      <c r="G37" s="7">
        <v>1.3044482E-2</v>
      </c>
      <c r="H37" s="69"/>
    </row>
    <row r="38" spans="1:8" x14ac:dyDescent="0.2">
      <c r="A38" s="3">
        <v>32</v>
      </c>
      <c r="B38" s="4" t="s">
        <v>198</v>
      </c>
      <c r="C38" s="4" t="s">
        <v>199</v>
      </c>
      <c r="D38" s="4" t="s">
        <v>78</v>
      </c>
      <c r="E38" s="5">
        <v>27174</v>
      </c>
      <c r="F38" s="6">
        <v>160.35377399999999</v>
      </c>
      <c r="G38" s="7">
        <v>1.2633554E-2</v>
      </c>
      <c r="H38" s="69"/>
    </row>
    <row r="39" spans="1:8" x14ac:dyDescent="0.2">
      <c r="A39" s="3">
        <v>33</v>
      </c>
      <c r="B39" s="4" t="s">
        <v>208</v>
      </c>
      <c r="C39" s="4" t="s">
        <v>209</v>
      </c>
      <c r="D39" s="4" t="s">
        <v>78</v>
      </c>
      <c r="E39" s="5">
        <v>311961</v>
      </c>
      <c r="F39" s="6">
        <v>156.604422</v>
      </c>
      <c r="G39" s="7">
        <v>1.2338159E-2</v>
      </c>
      <c r="H39" s="69"/>
    </row>
    <row r="40" spans="1:8" x14ac:dyDescent="0.2">
      <c r="A40" s="3">
        <v>34</v>
      </c>
      <c r="B40" s="4" t="s">
        <v>33</v>
      </c>
      <c r="C40" s="4" t="s">
        <v>34</v>
      </c>
      <c r="D40" s="4" t="s">
        <v>27</v>
      </c>
      <c r="E40" s="5">
        <v>5688</v>
      </c>
      <c r="F40" s="6">
        <v>152.32463999999999</v>
      </c>
      <c r="G40" s="7">
        <v>1.2000973999999999E-2</v>
      </c>
      <c r="H40" s="69"/>
    </row>
    <row r="41" spans="1:8" x14ac:dyDescent="0.2">
      <c r="A41" s="3">
        <v>35</v>
      </c>
      <c r="B41" s="4" t="s">
        <v>193</v>
      </c>
      <c r="C41" s="4" t="s">
        <v>194</v>
      </c>
      <c r="D41" s="4" t="s">
        <v>195</v>
      </c>
      <c r="E41" s="5">
        <v>29888</v>
      </c>
      <c r="F41" s="6">
        <v>143.731392</v>
      </c>
      <c r="G41" s="7">
        <v>1.1323951000000001E-2</v>
      </c>
      <c r="H41" s="69"/>
    </row>
    <row r="42" spans="1:8" x14ac:dyDescent="0.2">
      <c r="A42" s="3">
        <v>36</v>
      </c>
      <c r="B42" s="4" t="s">
        <v>225</v>
      </c>
      <c r="C42" s="4" t="s">
        <v>226</v>
      </c>
      <c r="D42" s="4" t="s">
        <v>204</v>
      </c>
      <c r="E42" s="5">
        <v>27841</v>
      </c>
      <c r="F42" s="6">
        <v>141.6132465</v>
      </c>
      <c r="G42" s="7">
        <v>1.1157072000000001E-2</v>
      </c>
      <c r="H42" s="69"/>
    </row>
    <row r="43" spans="1:8" x14ac:dyDescent="0.2">
      <c r="A43" s="3">
        <v>37</v>
      </c>
      <c r="B43" s="4" t="s">
        <v>487</v>
      </c>
      <c r="C43" s="4" t="s">
        <v>488</v>
      </c>
      <c r="D43" s="4" t="s">
        <v>16</v>
      </c>
      <c r="E43" s="5">
        <v>108924</v>
      </c>
      <c r="F43" s="6">
        <v>140.78426999999999</v>
      </c>
      <c r="G43" s="7">
        <v>1.1091761E-2</v>
      </c>
      <c r="H43" s="69"/>
    </row>
    <row r="44" spans="1:8" x14ac:dyDescent="0.2">
      <c r="A44" s="3">
        <v>38</v>
      </c>
      <c r="B44" s="4" t="s">
        <v>477</v>
      </c>
      <c r="C44" s="4" t="s">
        <v>478</v>
      </c>
      <c r="D44" s="4" t="s">
        <v>204</v>
      </c>
      <c r="E44" s="5">
        <v>27833</v>
      </c>
      <c r="F44" s="6">
        <v>140.55664999999999</v>
      </c>
      <c r="G44" s="7">
        <v>1.1073827E-2</v>
      </c>
      <c r="H44" s="69"/>
    </row>
    <row r="45" spans="1:8" x14ac:dyDescent="0.2">
      <c r="A45" s="3">
        <v>39</v>
      </c>
      <c r="B45" s="4" t="s">
        <v>214</v>
      </c>
      <c r="C45" s="4" t="s">
        <v>215</v>
      </c>
      <c r="D45" s="4" t="s">
        <v>979</v>
      </c>
      <c r="E45" s="5">
        <v>13632</v>
      </c>
      <c r="F45" s="6">
        <v>139.094112</v>
      </c>
      <c r="G45" s="7">
        <v>1.0958601E-2</v>
      </c>
      <c r="H45" s="69"/>
    </row>
    <row r="46" spans="1:8" ht="25.5" x14ac:dyDescent="0.2">
      <c r="A46" s="3">
        <v>40</v>
      </c>
      <c r="B46" s="4" t="s">
        <v>222</v>
      </c>
      <c r="C46" s="4" t="s">
        <v>223</v>
      </c>
      <c r="D46" s="4" t="s">
        <v>207</v>
      </c>
      <c r="E46" s="5">
        <v>28703</v>
      </c>
      <c r="F46" s="6">
        <v>133.8851435</v>
      </c>
      <c r="G46" s="7">
        <v>1.0548208999999999E-2</v>
      </c>
      <c r="H46" s="69"/>
    </row>
    <row r="47" spans="1:8" x14ac:dyDescent="0.2">
      <c r="A47" s="3">
        <v>41</v>
      </c>
      <c r="B47" s="4" t="s">
        <v>178</v>
      </c>
      <c r="C47" s="4" t="s">
        <v>179</v>
      </c>
      <c r="D47" s="4" t="s">
        <v>180</v>
      </c>
      <c r="E47" s="5">
        <v>14087</v>
      </c>
      <c r="F47" s="6">
        <v>132.72771399999999</v>
      </c>
      <c r="G47" s="7">
        <v>1.0457021E-2</v>
      </c>
      <c r="H47" s="69"/>
    </row>
    <row r="48" spans="1:8" x14ac:dyDescent="0.2">
      <c r="A48" s="3">
        <v>42</v>
      </c>
      <c r="B48" s="4" t="s">
        <v>167</v>
      </c>
      <c r="C48" s="4" t="s">
        <v>168</v>
      </c>
      <c r="D48" s="4" t="s">
        <v>976</v>
      </c>
      <c r="E48" s="5">
        <v>12968</v>
      </c>
      <c r="F48" s="6">
        <v>131.52794</v>
      </c>
      <c r="G48" s="7">
        <v>1.0362496000000001E-2</v>
      </c>
      <c r="H48" s="69"/>
    </row>
    <row r="49" spans="1:8" x14ac:dyDescent="0.2">
      <c r="A49" s="3">
        <v>43</v>
      </c>
      <c r="B49" s="4" t="s">
        <v>247</v>
      </c>
      <c r="C49" s="4" t="s">
        <v>248</v>
      </c>
      <c r="D49" s="4" t="s">
        <v>75</v>
      </c>
      <c r="E49" s="5">
        <v>51244</v>
      </c>
      <c r="F49" s="6">
        <v>127.930646</v>
      </c>
      <c r="G49" s="7">
        <v>1.0079081E-2</v>
      </c>
      <c r="H49" s="69"/>
    </row>
    <row r="50" spans="1:8" x14ac:dyDescent="0.2">
      <c r="A50" s="3">
        <v>44</v>
      </c>
      <c r="B50" s="4" t="s">
        <v>237</v>
      </c>
      <c r="C50" s="4" t="s">
        <v>238</v>
      </c>
      <c r="D50" s="4" t="s">
        <v>204</v>
      </c>
      <c r="E50" s="5">
        <v>7795</v>
      </c>
      <c r="F50" s="6">
        <v>127.736665</v>
      </c>
      <c r="G50" s="7">
        <v>1.0063798000000001E-2</v>
      </c>
      <c r="H50" s="69"/>
    </row>
    <row r="51" spans="1:8" x14ac:dyDescent="0.2">
      <c r="A51" s="3">
        <v>45</v>
      </c>
      <c r="B51" s="4" t="s">
        <v>235</v>
      </c>
      <c r="C51" s="4" t="s">
        <v>236</v>
      </c>
      <c r="D51" s="4" t="s">
        <v>160</v>
      </c>
      <c r="E51" s="5">
        <v>33876</v>
      </c>
      <c r="F51" s="6">
        <v>127.187442</v>
      </c>
      <c r="G51" s="7">
        <v>1.0020527E-2</v>
      </c>
      <c r="H51" s="69"/>
    </row>
    <row r="52" spans="1:8" ht="25.5" x14ac:dyDescent="0.2">
      <c r="A52" s="3">
        <v>46</v>
      </c>
      <c r="B52" s="4" t="s">
        <v>233</v>
      </c>
      <c r="C52" s="4" t="s">
        <v>234</v>
      </c>
      <c r="D52" s="4" t="s">
        <v>207</v>
      </c>
      <c r="E52" s="5">
        <v>30368</v>
      </c>
      <c r="F52" s="6">
        <v>122.64116799999999</v>
      </c>
      <c r="G52" s="7">
        <v>9.6623469999999999E-3</v>
      </c>
      <c r="H52" s="69"/>
    </row>
    <row r="53" spans="1:8" x14ac:dyDescent="0.2">
      <c r="A53" s="3">
        <v>47</v>
      </c>
      <c r="B53" s="4" t="s">
        <v>227</v>
      </c>
      <c r="C53" s="4" t="s">
        <v>228</v>
      </c>
      <c r="D53" s="4" t="s">
        <v>976</v>
      </c>
      <c r="E53" s="5">
        <v>7527</v>
      </c>
      <c r="F53" s="6">
        <v>120.3604935</v>
      </c>
      <c r="G53" s="7">
        <v>9.4826630000000005E-3</v>
      </c>
      <c r="H53" s="69"/>
    </row>
    <row r="54" spans="1:8" ht="25.5" x14ac:dyDescent="0.2">
      <c r="A54" s="3">
        <v>48</v>
      </c>
      <c r="B54" s="4" t="s">
        <v>339</v>
      </c>
      <c r="C54" s="4" t="s">
        <v>340</v>
      </c>
      <c r="D54" s="4" t="s">
        <v>75</v>
      </c>
      <c r="E54" s="5">
        <v>26486</v>
      </c>
      <c r="F54" s="6">
        <v>118.723495</v>
      </c>
      <c r="G54" s="7">
        <v>9.3536910000000008E-3</v>
      </c>
      <c r="H54" s="69"/>
    </row>
    <row r="55" spans="1:8" ht="25.5" x14ac:dyDescent="0.2">
      <c r="A55" s="3">
        <v>49</v>
      </c>
      <c r="B55" s="4" t="s">
        <v>239</v>
      </c>
      <c r="C55" s="4" t="s">
        <v>240</v>
      </c>
      <c r="D55" s="4" t="s">
        <v>980</v>
      </c>
      <c r="E55" s="5">
        <v>115940</v>
      </c>
      <c r="F55" s="6">
        <v>116.05594000000001</v>
      </c>
      <c r="G55" s="7">
        <v>9.1435260000000008E-3</v>
      </c>
      <c r="H55" s="69"/>
    </row>
    <row r="56" spans="1:8" x14ac:dyDescent="0.2">
      <c r="A56" s="3">
        <v>50</v>
      </c>
      <c r="B56" s="4" t="s">
        <v>219</v>
      </c>
      <c r="C56" s="4" t="s">
        <v>220</v>
      </c>
      <c r="D56" s="4" t="s">
        <v>221</v>
      </c>
      <c r="E56" s="5">
        <v>54852</v>
      </c>
      <c r="F56" s="6">
        <v>115.408608</v>
      </c>
      <c r="G56" s="7">
        <v>9.0925260000000001E-3</v>
      </c>
      <c r="H56" s="69"/>
    </row>
    <row r="57" spans="1:8" x14ac:dyDescent="0.2">
      <c r="A57" s="3">
        <v>51</v>
      </c>
      <c r="B57" s="4" t="s">
        <v>216</v>
      </c>
      <c r="C57" s="4" t="s">
        <v>217</v>
      </c>
      <c r="D57" s="4" t="s">
        <v>75</v>
      </c>
      <c r="E57" s="5">
        <v>13147</v>
      </c>
      <c r="F57" s="6">
        <v>115.325484</v>
      </c>
      <c r="G57" s="7">
        <v>9.0859770000000003E-3</v>
      </c>
      <c r="H57" s="69"/>
    </row>
    <row r="58" spans="1:8" x14ac:dyDescent="0.2">
      <c r="A58" s="3">
        <v>52</v>
      </c>
      <c r="B58" s="4" t="s">
        <v>185</v>
      </c>
      <c r="C58" s="4" t="s">
        <v>186</v>
      </c>
      <c r="D58" s="4" t="s">
        <v>16</v>
      </c>
      <c r="E58" s="5">
        <v>38906</v>
      </c>
      <c r="F58" s="6">
        <v>114.811606</v>
      </c>
      <c r="G58" s="7">
        <v>9.0454909999999993E-3</v>
      </c>
      <c r="H58" s="69"/>
    </row>
    <row r="59" spans="1:8" x14ac:dyDescent="0.2">
      <c r="A59" s="3">
        <v>53</v>
      </c>
      <c r="B59" s="4" t="s">
        <v>183</v>
      </c>
      <c r="C59" s="4" t="s">
        <v>184</v>
      </c>
      <c r="D59" s="4" t="s">
        <v>75</v>
      </c>
      <c r="E59" s="5">
        <v>11620</v>
      </c>
      <c r="F59" s="6">
        <v>110.5643</v>
      </c>
      <c r="G59" s="7">
        <v>8.7108649999999999E-3</v>
      </c>
      <c r="H59" s="69"/>
    </row>
    <row r="60" spans="1:8" x14ac:dyDescent="0.2">
      <c r="A60" s="3">
        <v>54</v>
      </c>
      <c r="B60" s="4" t="s">
        <v>489</v>
      </c>
      <c r="C60" s="4" t="s">
        <v>490</v>
      </c>
      <c r="D60" s="4" t="s">
        <v>204</v>
      </c>
      <c r="E60" s="5">
        <v>2024</v>
      </c>
      <c r="F60" s="6">
        <v>105.176148</v>
      </c>
      <c r="G60" s="7">
        <v>8.2863559999999999E-3</v>
      </c>
      <c r="H60" s="69"/>
    </row>
    <row r="61" spans="1:8" ht="25.5" x14ac:dyDescent="0.2">
      <c r="A61" s="3">
        <v>55</v>
      </c>
      <c r="B61" s="4" t="s">
        <v>218</v>
      </c>
      <c r="C61" s="4" t="s">
        <v>869</v>
      </c>
      <c r="D61" s="4" t="s">
        <v>45</v>
      </c>
      <c r="E61" s="5">
        <v>50508</v>
      </c>
      <c r="F61" s="6">
        <v>105.00613199999999</v>
      </c>
      <c r="G61" s="7">
        <v>8.272962E-3</v>
      </c>
      <c r="H61" s="69"/>
    </row>
    <row r="62" spans="1:8" x14ac:dyDescent="0.2">
      <c r="A62" s="3">
        <v>56</v>
      </c>
      <c r="B62" s="4" t="s">
        <v>491</v>
      </c>
      <c r="C62" s="4" t="s">
        <v>492</v>
      </c>
      <c r="D62" s="4" t="s">
        <v>48</v>
      </c>
      <c r="E62" s="5">
        <v>103230</v>
      </c>
      <c r="F62" s="6">
        <v>101.68155</v>
      </c>
      <c r="G62" s="7">
        <v>8.0110330000000007E-3</v>
      </c>
      <c r="H62" s="69"/>
    </row>
    <row r="63" spans="1:8" x14ac:dyDescent="0.2">
      <c r="A63" s="3">
        <v>57</v>
      </c>
      <c r="B63" s="4" t="s">
        <v>493</v>
      </c>
      <c r="C63" s="4" t="s">
        <v>494</v>
      </c>
      <c r="D63" s="4" t="s">
        <v>53</v>
      </c>
      <c r="E63" s="5">
        <v>138600</v>
      </c>
      <c r="F63" s="6">
        <v>101.5938</v>
      </c>
      <c r="G63" s="7">
        <v>8.0041190000000005E-3</v>
      </c>
      <c r="H63" s="69"/>
    </row>
    <row r="64" spans="1:8" x14ac:dyDescent="0.2">
      <c r="A64" s="3">
        <v>58</v>
      </c>
      <c r="B64" s="4" t="s">
        <v>241</v>
      </c>
      <c r="C64" s="4" t="s">
        <v>242</v>
      </c>
      <c r="D64" s="4" t="s">
        <v>155</v>
      </c>
      <c r="E64" s="5">
        <v>8261</v>
      </c>
      <c r="F64" s="6">
        <v>99.5904855</v>
      </c>
      <c r="G64" s="7">
        <v>7.8462870000000004E-3</v>
      </c>
      <c r="H64" s="69"/>
    </row>
    <row r="65" spans="1:8" x14ac:dyDescent="0.2">
      <c r="A65" s="3">
        <v>59</v>
      </c>
      <c r="B65" s="4" t="s">
        <v>251</v>
      </c>
      <c r="C65" s="4" t="s">
        <v>252</v>
      </c>
      <c r="D65" s="4" t="s">
        <v>160</v>
      </c>
      <c r="E65" s="5">
        <v>16139</v>
      </c>
      <c r="F65" s="6">
        <v>93.848285000000004</v>
      </c>
      <c r="G65" s="7">
        <v>7.3938850000000002E-3</v>
      </c>
      <c r="H65" s="69"/>
    </row>
    <row r="66" spans="1:8" x14ac:dyDescent="0.2">
      <c r="A66" s="3">
        <v>60</v>
      </c>
      <c r="B66" s="4" t="s">
        <v>471</v>
      </c>
      <c r="C66" s="4" t="s">
        <v>472</v>
      </c>
      <c r="D66" s="4" t="s">
        <v>78</v>
      </c>
      <c r="E66" s="5">
        <v>17966</v>
      </c>
      <c r="F66" s="6">
        <v>90.431860999999998</v>
      </c>
      <c r="G66" s="7">
        <v>7.1247200000000002E-3</v>
      </c>
      <c r="H66" s="69"/>
    </row>
    <row r="67" spans="1:8" x14ac:dyDescent="0.2">
      <c r="A67" s="3">
        <v>61</v>
      </c>
      <c r="B67" s="4" t="s">
        <v>280</v>
      </c>
      <c r="C67" s="4" t="s">
        <v>281</v>
      </c>
      <c r="D67" s="4" t="s">
        <v>175</v>
      </c>
      <c r="E67" s="5">
        <v>12942</v>
      </c>
      <c r="F67" s="6">
        <v>90.263979000000006</v>
      </c>
      <c r="G67" s="7">
        <v>7.1114940000000003E-3</v>
      </c>
      <c r="H67" s="69"/>
    </row>
    <row r="68" spans="1:8" x14ac:dyDescent="0.2">
      <c r="A68" s="3">
        <v>62</v>
      </c>
      <c r="B68" s="4" t="s">
        <v>253</v>
      </c>
      <c r="C68" s="4" t="s">
        <v>254</v>
      </c>
      <c r="D68" s="4" t="s">
        <v>65</v>
      </c>
      <c r="E68" s="5">
        <v>9697</v>
      </c>
      <c r="F68" s="6">
        <v>82.909350000000003</v>
      </c>
      <c r="G68" s="7">
        <v>6.5320550000000002E-3</v>
      </c>
      <c r="H68" s="69"/>
    </row>
    <row r="69" spans="1:8" x14ac:dyDescent="0.2">
      <c r="A69" s="3">
        <v>63</v>
      </c>
      <c r="B69" s="4" t="s">
        <v>255</v>
      </c>
      <c r="C69" s="4" t="s">
        <v>256</v>
      </c>
      <c r="D69" s="4" t="s">
        <v>257</v>
      </c>
      <c r="E69" s="5">
        <v>36994</v>
      </c>
      <c r="F69" s="6">
        <v>82.274655999999993</v>
      </c>
      <c r="G69" s="7">
        <v>6.482051E-3</v>
      </c>
      <c r="H69" s="69"/>
    </row>
    <row r="70" spans="1:8" x14ac:dyDescent="0.2">
      <c r="A70" s="3">
        <v>64</v>
      </c>
      <c r="B70" s="4" t="s">
        <v>260</v>
      </c>
      <c r="C70" s="4" t="s">
        <v>261</v>
      </c>
      <c r="D70" s="4" t="s">
        <v>204</v>
      </c>
      <c r="E70" s="5">
        <v>1438</v>
      </c>
      <c r="F70" s="6">
        <v>76.569186000000002</v>
      </c>
      <c r="G70" s="7">
        <v>6.0325420000000001E-3</v>
      </c>
      <c r="H70" s="69"/>
    </row>
    <row r="71" spans="1:8" x14ac:dyDescent="0.2">
      <c r="A71" s="3">
        <v>65</v>
      </c>
      <c r="B71" s="4" t="s">
        <v>276</v>
      </c>
      <c r="C71" s="4" t="s">
        <v>277</v>
      </c>
      <c r="D71" s="4" t="s">
        <v>204</v>
      </c>
      <c r="E71" s="5">
        <v>23079</v>
      </c>
      <c r="F71" s="6">
        <v>65.371267500000002</v>
      </c>
      <c r="G71" s="7">
        <v>5.1503089999999996E-3</v>
      </c>
      <c r="H71" s="69"/>
    </row>
    <row r="72" spans="1:8" x14ac:dyDescent="0.2">
      <c r="A72" s="3">
        <v>66</v>
      </c>
      <c r="B72" s="4" t="s">
        <v>249</v>
      </c>
      <c r="C72" s="4" t="s">
        <v>250</v>
      </c>
      <c r="D72" s="4" t="s">
        <v>334</v>
      </c>
      <c r="E72" s="5">
        <v>7010</v>
      </c>
      <c r="F72" s="6">
        <v>64.428910000000002</v>
      </c>
      <c r="G72" s="7">
        <v>5.0760650000000003E-3</v>
      </c>
      <c r="H72" s="69"/>
    </row>
    <row r="73" spans="1:8" x14ac:dyDescent="0.2">
      <c r="A73" s="3">
        <v>67</v>
      </c>
      <c r="B73" s="4" t="s">
        <v>270</v>
      </c>
      <c r="C73" s="4" t="s">
        <v>271</v>
      </c>
      <c r="D73" s="4" t="s">
        <v>144</v>
      </c>
      <c r="E73" s="5">
        <v>10835</v>
      </c>
      <c r="F73" s="6">
        <v>62.04121</v>
      </c>
      <c r="G73" s="7">
        <v>4.8879479999999996E-3</v>
      </c>
      <c r="H73" s="69"/>
    </row>
    <row r="74" spans="1:8" x14ac:dyDescent="0.2">
      <c r="A74" s="3">
        <v>68</v>
      </c>
      <c r="B74" s="4" t="s">
        <v>469</v>
      </c>
      <c r="C74" s="4" t="s">
        <v>470</v>
      </c>
      <c r="D74" s="4" t="s">
        <v>75</v>
      </c>
      <c r="E74" s="5">
        <v>6000</v>
      </c>
      <c r="F74" s="6">
        <v>56.927999999999997</v>
      </c>
      <c r="G74" s="7">
        <v>4.4851020000000004E-3</v>
      </c>
      <c r="H74" s="69"/>
    </row>
    <row r="75" spans="1:8" x14ac:dyDescent="0.2">
      <c r="A75" s="3">
        <v>69</v>
      </c>
      <c r="B75" s="4" t="s">
        <v>274</v>
      </c>
      <c r="C75" s="4" t="s">
        <v>275</v>
      </c>
      <c r="D75" s="4" t="s">
        <v>155</v>
      </c>
      <c r="E75" s="5">
        <v>14362</v>
      </c>
      <c r="F75" s="6">
        <v>54.668953000000002</v>
      </c>
      <c r="G75" s="7">
        <v>4.3071209999999997E-3</v>
      </c>
      <c r="H75" s="69"/>
    </row>
    <row r="76" spans="1:8" x14ac:dyDescent="0.2">
      <c r="A76" s="3">
        <v>70</v>
      </c>
      <c r="B76" s="4" t="s">
        <v>191</v>
      </c>
      <c r="C76" s="4" t="s">
        <v>192</v>
      </c>
      <c r="D76" s="4" t="s">
        <v>53</v>
      </c>
      <c r="E76" s="5">
        <v>54714</v>
      </c>
      <c r="F76" s="6">
        <v>52.634867999999997</v>
      </c>
      <c r="G76" s="7">
        <v>4.1468649999999996E-3</v>
      </c>
      <c r="H76" s="69"/>
    </row>
    <row r="77" spans="1:8" x14ac:dyDescent="0.2">
      <c r="A77" s="1"/>
      <c r="B77" s="1"/>
      <c r="C77" s="2" t="s">
        <v>95</v>
      </c>
      <c r="D77" s="4">
        <v>0</v>
      </c>
      <c r="E77" s="1" t="s">
        <v>96</v>
      </c>
      <c r="F77" s="9">
        <v>12442.924505999999</v>
      </c>
      <c r="G77" s="10">
        <v>0.98032215099999997</v>
      </c>
      <c r="H77" s="69"/>
    </row>
    <row r="78" spans="1:8" x14ac:dyDescent="0.2">
      <c r="A78" s="1"/>
      <c r="B78" s="1"/>
      <c r="C78" s="11"/>
      <c r="D78" s="1"/>
      <c r="E78" s="1"/>
      <c r="F78" s="12"/>
      <c r="G78" s="12"/>
      <c r="H78" s="69"/>
    </row>
    <row r="79" spans="1:8" x14ac:dyDescent="0.2">
      <c r="A79" s="1"/>
      <c r="B79" s="1"/>
      <c r="C79" s="2" t="s">
        <v>97</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98</v>
      </c>
      <c r="D82" s="1"/>
      <c r="E82" s="1"/>
      <c r="F82" s="1"/>
      <c r="G82" s="1"/>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99</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100</v>
      </c>
      <c r="D88" s="1"/>
      <c r="E88" s="1"/>
      <c r="F88" s="12"/>
      <c r="G88" s="12"/>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101</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102</v>
      </c>
      <c r="D94" s="1"/>
      <c r="E94" s="1"/>
      <c r="F94" s="9">
        <v>12442.924505999999</v>
      </c>
      <c r="G94" s="10">
        <v>0.98032215099999997</v>
      </c>
      <c r="H94" s="69"/>
    </row>
    <row r="95" spans="1:8" x14ac:dyDescent="0.2">
      <c r="A95" s="1"/>
      <c r="B95" s="1"/>
      <c r="C95" s="11"/>
      <c r="D95" s="1"/>
      <c r="E95" s="1"/>
      <c r="F95" s="12"/>
      <c r="G95" s="12"/>
      <c r="H95" s="69"/>
    </row>
    <row r="96" spans="1:8" x14ac:dyDescent="0.2">
      <c r="A96" s="1"/>
      <c r="B96" s="1"/>
      <c r="C96" s="2" t="s">
        <v>103</v>
      </c>
      <c r="D96" s="1"/>
      <c r="E96" s="1"/>
      <c r="F96" s="12"/>
      <c r="G96" s="12"/>
      <c r="H96" s="69"/>
    </row>
    <row r="97" spans="1:8" ht="25.5" x14ac:dyDescent="0.2">
      <c r="A97" s="1"/>
      <c r="B97" s="1"/>
      <c r="C97" s="2" t="s">
        <v>10</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104</v>
      </c>
      <c r="D100" s="1"/>
      <c r="E100" s="1"/>
      <c r="F100" s="1"/>
      <c r="G100" s="1"/>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105</v>
      </c>
      <c r="D103" s="1"/>
      <c r="E103" s="1"/>
      <c r="F103" s="1"/>
      <c r="G103" s="1"/>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106</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107</v>
      </c>
      <c r="D109" s="1"/>
      <c r="E109" s="1"/>
      <c r="F109" s="9">
        <v>0</v>
      </c>
      <c r="G109" s="10">
        <v>0</v>
      </c>
      <c r="H109" s="69"/>
    </row>
    <row r="110" spans="1:8" x14ac:dyDescent="0.2">
      <c r="A110" s="1"/>
      <c r="B110" s="1"/>
      <c r="C110" s="11"/>
      <c r="D110" s="1"/>
      <c r="E110" s="1"/>
      <c r="F110" s="12"/>
      <c r="G110" s="12"/>
      <c r="H110" s="69"/>
    </row>
    <row r="111" spans="1:8" x14ac:dyDescent="0.2">
      <c r="A111" s="1"/>
      <c r="B111" s="1"/>
      <c r="C111" s="2" t="s">
        <v>108</v>
      </c>
      <c r="D111" s="1"/>
      <c r="E111" s="1"/>
      <c r="F111" s="12"/>
      <c r="G111" s="12"/>
      <c r="H111" s="69"/>
    </row>
    <row r="112" spans="1:8" x14ac:dyDescent="0.2">
      <c r="A112" s="1"/>
      <c r="B112" s="1"/>
      <c r="C112" s="2" t="s">
        <v>109</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110</v>
      </c>
      <c r="D115" s="1"/>
      <c r="E115" s="1"/>
      <c r="F115" s="12"/>
      <c r="G115" s="12"/>
      <c r="H115" s="69"/>
    </row>
    <row r="116" spans="1:8" x14ac:dyDescent="0.2">
      <c r="A116" s="1"/>
      <c r="B116" s="1"/>
      <c r="C116" s="2" t="s">
        <v>95</v>
      </c>
      <c r="D116" s="1"/>
      <c r="E116" s="1" t="s">
        <v>96</v>
      </c>
      <c r="F116" s="13">
        <v>0</v>
      </c>
      <c r="G116" s="14">
        <v>0</v>
      </c>
      <c r="H116" s="69"/>
    </row>
    <row r="117" spans="1:8" x14ac:dyDescent="0.2">
      <c r="A117" s="1"/>
      <c r="B117" s="1"/>
      <c r="C117" s="11"/>
      <c r="D117" s="1"/>
      <c r="E117" s="1"/>
      <c r="F117" s="12"/>
      <c r="G117" s="12"/>
      <c r="H117" s="69"/>
    </row>
    <row r="118" spans="1:8" x14ac:dyDescent="0.2">
      <c r="A118" s="1"/>
      <c r="B118" s="1"/>
      <c r="C118" s="2" t="s">
        <v>111</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2" t="s">
        <v>112</v>
      </c>
      <c r="D121" s="1"/>
      <c r="E121" s="1"/>
      <c r="F121" s="12"/>
      <c r="G121" s="12"/>
      <c r="H121" s="69"/>
    </row>
    <row r="122" spans="1:8" x14ac:dyDescent="0.2">
      <c r="A122" s="3">
        <v>1</v>
      </c>
      <c r="B122" s="4"/>
      <c r="C122" s="4" t="s">
        <v>113</v>
      </c>
      <c r="D122" s="4"/>
      <c r="E122" s="8"/>
      <c r="F122" s="6">
        <v>188.54312909999999</v>
      </c>
      <c r="G122" s="7">
        <v>1.4854467E-2</v>
      </c>
      <c r="H122" s="6">
        <v>3.3628721504199861</v>
      </c>
    </row>
    <row r="123" spans="1:8" x14ac:dyDescent="0.2">
      <c r="A123" s="3">
        <v>2</v>
      </c>
      <c r="B123" s="4"/>
      <c r="C123" s="4" t="s">
        <v>114</v>
      </c>
      <c r="D123" s="4"/>
      <c r="E123" s="8"/>
      <c r="F123" s="6">
        <v>72.813691899999995</v>
      </c>
      <c r="G123" s="7">
        <v>5.7366639999999998E-3</v>
      </c>
      <c r="H123" s="6">
        <v>3.4499999999999966</v>
      </c>
    </row>
    <row r="124" spans="1:8" x14ac:dyDescent="0.2">
      <c r="A124" s="1"/>
      <c r="B124" s="1"/>
      <c r="C124" s="2" t="s">
        <v>95</v>
      </c>
      <c r="D124" s="1"/>
      <c r="E124" s="1" t="s">
        <v>96</v>
      </c>
      <c r="F124" s="9">
        <v>261.35682100000002</v>
      </c>
      <c r="G124" s="10">
        <v>2.0591130999999999E-2</v>
      </c>
      <c r="H124" s="69"/>
    </row>
    <row r="125" spans="1:8" x14ac:dyDescent="0.2">
      <c r="A125" s="1"/>
      <c r="B125" s="1"/>
      <c r="C125" s="11"/>
      <c r="D125" s="1"/>
      <c r="E125" s="1"/>
      <c r="F125" s="12"/>
      <c r="G125" s="12"/>
      <c r="H125" s="69"/>
    </row>
    <row r="126" spans="1:8" x14ac:dyDescent="0.2">
      <c r="A126" s="1"/>
      <c r="B126" s="1"/>
      <c r="C126" s="2" t="s">
        <v>115</v>
      </c>
      <c r="D126" s="1"/>
      <c r="E126" s="1"/>
      <c r="F126" s="9">
        <v>261.35682100000002</v>
      </c>
      <c r="G126" s="10">
        <v>2.0591130999999999E-2</v>
      </c>
      <c r="H126" s="69"/>
    </row>
    <row r="127" spans="1:8" x14ac:dyDescent="0.2">
      <c r="A127" s="1"/>
      <c r="B127" s="1"/>
      <c r="C127" s="12"/>
      <c r="D127" s="1"/>
      <c r="E127" s="1"/>
      <c r="F127" s="1"/>
      <c r="G127" s="1"/>
      <c r="H127" s="69"/>
    </row>
    <row r="128" spans="1:8" x14ac:dyDescent="0.2">
      <c r="A128" s="1"/>
      <c r="B128" s="1"/>
      <c r="C128" s="2" t="s">
        <v>116</v>
      </c>
      <c r="D128" s="1"/>
      <c r="E128" s="1"/>
      <c r="F128" s="1"/>
      <c r="G128" s="1"/>
      <c r="H128" s="69"/>
    </row>
    <row r="129" spans="1:8" x14ac:dyDescent="0.2">
      <c r="A129" s="1"/>
      <c r="B129" s="1"/>
      <c r="C129" s="2" t="s">
        <v>117</v>
      </c>
      <c r="D129" s="1"/>
      <c r="E129" s="1"/>
      <c r="F129" s="1"/>
      <c r="G129" s="1"/>
      <c r="H129" s="69"/>
    </row>
    <row r="130" spans="1:8" x14ac:dyDescent="0.2">
      <c r="A130" s="1"/>
      <c r="B130" s="1"/>
      <c r="C130" s="2" t="s">
        <v>95</v>
      </c>
      <c r="D130" s="1"/>
      <c r="E130" s="1" t="s">
        <v>96</v>
      </c>
      <c r="F130" s="13">
        <v>0</v>
      </c>
      <c r="G130" s="14">
        <v>0</v>
      </c>
      <c r="H130" s="69"/>
    </row>
    <row r="131" spans="1:8" x14ac:dyDescent="0.2">
      <c r="A131" s="1"/>
      <c r="B131" s="1"/>
      <c r="C131" s="11"/>
      <c r="D131" s="1"/>
      <c r="E131" s="1"/>
      <c r="F131" s="12"/>
      <c r="G131" s="12"/>
      <c r="H131" s="69"/>
    </row>
    <row r="132" spans="1:8" x14ac:dyDescent="0.2">
      <c r="A132" s="1"/>
      <c r="B132" s="1"/>
      <c r="C132" s="2" t="s">
        <v>118</v>
      </c>
      <c r="D132" s="1"/>
      <c r="E132" s="1"/>
      <c r="F132" s="1"/>
      <c r="G132" s="1"/>
      <c r="H132" s="69"/>
    </row>
    <row r="133" spans="1:8" x14ac:dyDescent="0.2">
      <c r="A133" s="1"/>
      <c r="B133" s="1"/>
      <c r="C133" s="2" t="s">
        <v>119</v>
      </c>
      <c r="D133" s="1"/>
      <c r="E133" s="1"/>
      <c r="F133" s="1"/>
      <c r="G133" s="1"/>
      <c r="H133" s="69"/>
    </row>
    <row r="134" spans="1:8" x14ac:dyDescent="0.2">
      <c r="A134" s="1"/>
      <c r="B134" s="1"/>
      <c r="C134" s="2" t="s">
        <v>95</v>
      </c>
      <c r="D134" s="1"/>
      <c r="E134" s="1" t="s">
        <v>96</v>
      </c>
      <c r="F134" s="13">
        <v>0</v>
      </c>
      <c r="G134" s="14">
        <v>0</v>
      </c>
      <c r="H134" s="69"/>
    </row>
    <row r="135" spans="1:8" x14ac:dyDescent="0.2">
      <c r="A135" s="1"/>
      <c r="B135" s="1"/>
      <c r="C135" s="11"/>
      <c r="D135" s="1"/>
      <c r="E135" s="1"/>
      <c r="F135" s="12"/>
      <c r="G135" s="12"/>
      <c r="H135" s="69"/>
    </row>
    <row r="136" spans="1:8" x14ac:dyDescent="0.2">
      <c r="A136" s="1"/>
      <c r="B136" s="1"/>
      <c r="C136" s="11"/>
      <c r="D136" s="1"/>
      <c r="E136" s="1"/>
      <c r="F136" s="12"/>
      <c r="G136" s="12"/>
      <c r="H136" s="69"/>
    </row>
    <row r="137" spans="1:8" ht="25.5" x14ac:dyDescent="0.2">
      <c r="A137" s="1"/>
      <c r="B137" s="1"/>
      <c r="C137" s="2" t="s">
        <v>120</v>
      </c>
      <c r="D137" s="1"/>
      <c r="E137" s="1"/>
      <c r="F137" s="12"/>
      <c r="G137" s="12"/>
      <c r="H137" s="69"/>
    </row>
    <row r="138" spans="1:8" x14ac:dyDescent="0.2">
      <c r="A138" s="1"/>
      <c r="B138" s="1"/>
      <c r="C138" s="2" t="s">
        <v>95</v>
      </c>
      <c r="D138" s="1"/>
      <c r="E138" s="1" t="s">
        <v>96</v>
      </c>
      <c r="F138" s="13">
        <v>0</v>
      </c>
      <c r="G138" s="14">
        <v>0</v>
      </c>
      <c r="H138" s="69"/>
    </row>
    <row r="139" spans="1:8" x14ac:dyDescent="0.2">
      <c r="A139" s="1"/>
      <c r="B139" s="1"/>
      <c r="C139" s="11"/>
      <c r="D139" s="1"/>
      <c r="E139" s="1"/>
      <c r="F139" s="12"/>
      <c r="G139" s="12"/>
      <c r="H139" s="69"/>
    </row>
    <row r="140" spans="1:8" x14ac:dyDescent="0.2">
      <c r="A140" s="1"/>
      <c r="B140" s="4"/>
      <c r="C140" s="4"/>
      <c r="D140" s="2"/>
      <c r="E140" s="1"/>
      <c r="F140" s="4"/>
      <c r="G140" s="8"/>
      <c r="H140" s="69"/>
    </row>
    <row r="141" spans="1:8" x14ac:dyDescent="0.2">
      <c r="A141" s="8"/>
      <c r="B141" s="4"/>
      <c r="C141" s="4" t="s">
        <v>121</v>
      </c>
      <c r="D141" s="4"/>
      <c r="E141" s="8"/>
      <c r="F141" s="6">
        <v>-11.59204456</v>
      </c>
      <c r="G141" s="7">
        <v>-9.1328500000000001E-4</v>
      </c>
      <c r="H141" s="69"/>
    </row>
    <row r="142" spans="1:8" x14ac:dyDescent="0.2">
      <c r="A142" s="11"/>
      <c r="B142" s="11"/>
      <c r="C142" s="2" t="s">
        <v>122</v>
      </c>
      <c r="D142" s="15"/>
      <c r="E142" s="15"/>
      <c r="F142" s="9">
        <v>12692.68928244</v>
      </c>
      <c r="G142" s="10">
        <v>0.99999999699999997</v>
      </c>
      <c r="H142" s="69"/>
    </row>
    <row r="143" spans="1:8" ht="14.1" customHeight="1" x14ac:dyDescent="0.2">
      <c r="A143" s="16"/>
      <c r="B143" s="16"/>
      <c r="C143" s="16"/>
      <c r="D143" s="17"/>
      <c r="E143" s="17"/>
      <c r="F143" s="17"/>
      <c r="G143" s="17"/>
    </row>
    <row r="144" spans="1:8" ht="14.1" customHeight="1" x14ac:dyDescent="0.2">
      <c r="A144" s="18"/>
      <c r="B144" s="176" t="s">
        <v>96</v>
      </c>
      <c r="C144" s="176"/>
      <c r="D144" s="176"/>
      <c r="E144" s="176"/>
      <c r="F144" s="176"/>
      <c r="G144" s="20"/>
    </row>
    <row r="145" spans="1:16" ht="14.1" customHeight="1" x14ac:dyDescent="0.2">
      <c r="A145" s="18"/>
      <c r="B145" s="176" t="s">
        <v>96</v>
      </c>
      <c r="C145" s="176"/>
      <c r="D145" s="176"/>
      <c r="E145" s="176"/>
      <c r="F145" s="176"/>
      <c r="G145" s="20"/>
    </row>
    <row r="146" spans="1:16" ht="14.1" customHeight="1" x14ac:dyDescent="0.2">
      <c r="A146" s="18"/>
      <c r="B146" s="18"/>
      <c r="C146" s="18"/>
      <c r="D146" s="20"/>
      <c r="E146" s="20"/>
      <c r="F146" s="20"/>
      <c r="G146" s="20"/>
    </row>
    <row r="147" spans="1:16" ht="14.1" customHeight="1" x14ac:dyDescent="0.2">
      <c r="A147" s="18"/>
      <c r="B147" s="174" t="s">
        <v>124</v>
      </c>
      <c r="C147" s="175"/>
      <c r="D147" s="12" t="s">
        <v>96</v>
      </c>
      <c r="E147" s="21"/>
      <c r="F147" s="20"/>
      <c r="G147" s="20"/>
    </row>
    <row r="148" spans="1:16" ht="29.1" customHeight="1" x14ac:dyDescent="0.2">
      <c r="A148" s="18"/>
      <c r="B148" s="172" t="s">
        <v>125</v>
      </c>
      <c r="C148" s="173"/>
      <c r="D148" s="2" t="s">
        <v>126</v>
      </c>
      <c r="E148" s="21"/>
      <c r="F148" s="20"/>
      <c r="G148" s="20"/>
    </row>
    <row r="149" spans="1:16" ht="17.100000000000001" customHeight="1" x14ac:dyDescent="0.2">
      <c r="A149" s="18"/>
      <c r="B149" s="172" t="s">
        <v>127</v>
      </c>
      <c r="C149" s="173"/>
      <c r="D149" s="2" t="s">
        <v>126</v>
      </c>
      <c r="E149" s="21"/>
      <c r="F149" s="20"/>
      <c r="G149" s="20"/>
    </row>
    <row r="150" spans="1:16" ht="17.100000000000001" customHeight="1" x14ac:dyDescent="0.2">
      <c r="A150" s="18"/>
      <c r="B150" s="172" t="s">
        <v>128</v>
      </c>
      <c r="C150" s="173"/>
      <c r="D150" s="12" t="s">
        <v>96</v>
      </c>
      <c r="E150" s="21"/>
      <c r="F150" s="20"/>
      <c r="G150" s="20"/>
    </row>
    <row r="151" spans="1:16" ht="24" customHeight="1" x14ac:dyDescent="0.2">
      <c r="A151" s="22"/>
      <c r="B151" s="23" t="s">
        <v>96</v>
      </c>
      <c r="C151" s="23" t="s">
        <v>129</v>
      </c>
      <c r="D151" s="23" t="s">
        <v>130</v>
      </c>
      <c r="E151" s="22"/>
      <c r="F151" s="22"/>
      <c r="G151" s="22"/>
    </row>
    <row r="152" spans="1:16" ht="18" customHeight="1" x14ac:dyDescent="0.2">
      <c r="A152" s="22"/>
      <c r="B152" s="23" t="s">
        <v>131</v>
      </c>
      <c r="C152" s="23" t="s">
        <v>132</v>
      </c>
      <c r="D152" s="23" t="s">
        <v>133</v>
      </c>
      <c r="E152" s="22"/>
      <c r="F152" s="22"/>
      <c r="G152" s="22"/>
    </row>
    <row r="153" spans="1:16" ht="17.100000000000001" customHeight="1" x14ac:dyDescent="0.2">
      <c r="A153" s="22"/>
      <c r="B153" s="4" t="s">
        <v>134</v>
      </c>
      <c r="C153" s="24">
        <v>20.047899999999998</v>
      </c>
      <c r="D153" s="24">
        <v>19.977</v>
      </c>
      <c r="E153" s="22"/>
      <c r="F153" s="19"/>
      <c r="G153" s="25"/>
    </row>
    <row r="154" spans="1:16" ht="17.100000000000001" customHeight="1" x14ac:dyDescent="0.2">
      <c r="A154" s="22"/>
      <c r="B154" s="4" t="s">
        <v>983</v>
      </c>
      <c r="C154" s="24">
        <v>18.8169</v>
      </c>
      <c r="D154" s="24">
        <v>18.750399999999999</v>
      </c>
      <c r="E154" s="22"/>
      <c r="F154" s="19"/>
      <c r="G154" s="25"/>
    </row>
    <row r="155" spans="1:16" ht="17.100000000000001" customHeight="1" x14ac:dyDescent="0.2">
      <c r="A155" s="22"/>
      <c r="B155" s="4" t="s">
        <v>135</v>
      </c>
      <c r="C155" s="24">
        <v>19.7559</v>
      </c>
      <c r="D155" s="24">
        <v>19.679300000000001</v>
      </c>
      <c r="E155" s="22"/>
      <c r="F155" s="19"/>
      <c r="G155" s="25"/>
    </row>
    <row r="156" spans="1:16" ht="17.100000000000001" customHeight="1" x14ac:dyDescent="0.2">
      <c r="A156" s="22"/>
      <c r="B156" s="4" t="s">
        <v>984</v>
      </c>
      <c r="C156" s="24">
        <v>18.5273</v>
      </c>
      <c r="D156" s="24">
        <v>18.455500000000001</v>
      </c>
      <c r="E156" s="22"/>
      <c r="F156" s="19"/>
      <c r="G156" s="25"/>
      <c r="I156" s="82"/>
      <c r="J156" s="82"/>
      <c r="K156" s="82"/>
      <c r="L156" s="82"/>
      <c r="M156" s="82"/>
      <c r="N156" s="82"/>
      <c r="O156" s="82"/>
    </row>
    <row r="157" spans="1:16" ht="14.1" customHeight="1" x14ac:dyDescent="0.2">
      <c r="A157" s="22"/>
      <c r="B157" s="22"/>
      <c r="C157" s="22"/>
      <c r="D157" s="22"/>
      <c r="E157" s="22"/>
      <c r="F157" s="22"/>
      <c r="G157" s="22"/>
    </row>
    <row r="158" spans="1:16" ht="17.100000000000001" customHeight="1" x14ac:dyDescent="0.2">
      <c r="A158" s="22"/>
      <c r="B158" s="172" t="s">
        <v>985</v>
      </c>
      <c r="C158" s="173"/>
      <c r="D158" s="2" t="s">
        <v>126</v>
      </c>
      <c r="E158" s="22"/>
      <c r="F158" s="22"/>
      <c r="G158" s="22"/>
    </row>
    <row r="159" spans="1:16" ht="18" customHeight="1" x14ac:dyDescent="0.2">
      <c r="A159" s="22"/>
      <c r="B159" s="26" t="s">
        <v>136</v>
      </c>
      <c r="C159" s="26" t="s">
        <v>136</v>
      </c>
      <c r="D159" s="26"/>
      <c r="E159" s="22"/>
      <c r="F159" s="22"/>
      <c r="G159" s="22"/>
    </row>
    <row r="160" spans="1:16" s="82" customFormat="1" x14ac:dyDescent="0.2">
      <c r="B160" s="177" t="s">
        <v>936</v>
      </c>
      <c r="C160" s="177"/>
      <c r="D160" s="177"/>
      <c r="E160" s="177"/>
      <c r="F160" s="177"/>
      <c r="I160"/>
      <c r="J160"/>
      <c r="K160"/>
      <c r="L160"/>
      <c r="M160"/>
      <c r="N160"/>
      <c r="O160"/>
      <c r="P160" s="70"/>
    </row>
    <row r="161" spans="1:7" ht="14.1" customHeight="1" x14ac:dyDescent="0.2">
      <c r="A161" s="22"/>
      <c r="B161" s="19"/>
      <c r="C161" s="19"/>
      <c r="D161" s="22"/>
      <c r="E161" s="22"/>
      <c r="F161" s="22"/>
      <c r="G161" s="22"/>
    </row>
    <row r="162" spans="1:7" ht="29.1" customHeight="1" x14ac:dyDescent="0.2">
      <c r="A162" s="22"/>
      <c r="B162" s="172" t="s">
        <v>137</v>
      </c>
      <c r="C162" s="173"/>
      <c r="D162" s="2" t="s">
        <v>126</v>
      </c>
      <c r="E162" s="22"/>
      <c r="F162" s="22"/>
      <c r="G162" s="22"/>
    </row>
    <row r="163" spans="1:7" ht="29.1" customHeight="1" x14ac:dyDescent="0.2">
      <c r="A163" s="22"/>
      <c r="B163" s="172" t="s">
        <v>138</v>
      </c>
      <c r="C163" s="173"/>
      <c r="D163" s="2" t="s">
        <v>126</v>
      </c>
      <c r="E163" s="22"/>
      <c r="F163" s="22"/>
      <c r="G163" s="22"/>
    </row>
    <row r="164" spans="1:7" ht="17.100000000000001" customHeight="1" x14ac:dyDescent="0.2">
      <c r="A164" s="22"/>
      <c r="B164" s="172" t="s">
        <v>139</v>
      </c>
      <c r="C164" s="173"/>
      <c r="D164" s="27">
        <v>0.50204228305978427</v>
      </c>
      <c r="E164" s="22"/>
      <c r="F164" s="19"/>
      <c r="G164" s="25"/>
    </row>
    <row r="165" spans="1:7" ht="17.100000000000001" customHeight="1" x14ac:dyDescent="0.2">
      <c r="A165" s="22"/>
      <c r="B165" s="172" t="s">
        <v>140</v>
      </c>
      <c r="C165" s="173"/>
      <c r="D165" s="2" t="s">
        <v>126</v>
      </c>
      <c r="E165" s="22"/>
      <c r="F165" s="22"/>
      <c r="G165" s="22"/>
    </row>
  </sheetData>
  <mergeCells count="16">
    <mergeCell ref="B165:C165"/>
    <mergeCell ref="B148:C148"/>
    <mergeCell ref="B149:C149"/>
    <mergeCell ref="B150:C150"/>
    <mergeCell ref="B158:C158"/>
    <mergeCell ref="B162:C162"/>
    <mergeCell ref="B163:C163"/>
    <mergeCell ref="B160:F160"/>
    <mergeCell ref="A1:H1"/>
    <mergeCell ref="A2:H2"/>
    <mergeCell ref="A3:H3"/>
    <mergeCell ref="J2:N2"/>
    <mergeCell ref="B164:C164"/>
    <mergeCell ref="B147:C147"/>
    <mergeCell ref="B144:F144"/>
    <mergeCell ref="B145:F145"/>
  </mergeCell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P126"/>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 customWidth="1"/>
  </cols>
  <sheetData>
    <row r="1" spans="1:14" ht="18" customHeight="1" x14ac:dyDescent="0.2">
      <c r="A1" s="167" t="s">
        <v>0</v>
      </c>
      <c r="B1" s="167"/>
      <c r="C1" s="167"/>
      <c r="D1" s="167"/>
      <c r="E1" s="167"/>
      <c r="F1" s="167"/>
      <c r="G1" s="167"/>
      <c r="H1" s="167"/>
    </row>
    <row r="2" spans="1:14" ht="17.100000000000001" customHeight="1" x14ac:dyDescent="0.2">
      <c r="A2" s="168" t="s">
        <v>495</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412</v>
      </c>
      <c r="C7" s="4" t="s">
        <v>413</v>
      </c>
      <c r="D7" s="4" t="s">
        <v>155</v>
      </c>
      <c r="E7" s="5">
        <v>781936</v>
      </c>
      <c r="F7" s="6">
        <v>13391.826904</v>
      </c>
      <c r="G7" s="7">
        <v>9.8913345999999999E-2</v>
      </c>
      <c r="H7" s="69"/>
    </row>
    <row r="8" spans="1:14" x14ac:dyDescent="0.2">
      <c r="A8" s="3">
        <v>2</v>
      </c>
      <c r="B8" s="4" t="s">
        <v>20</v>
      </c>
      <c r="C8" s="4" t="s">
        <v>21</v>
      </c>
      <c r="D8" s="4" t="s">
        <v>22</v>
      </c>
      <c r="E8" s="5">
        <v>1716502</v>
      </c>
      <c r="F8" s="6">
        <v>12261.832037</v>
      </c>
      <c r="G8" s="7">
        <v>9.0567093000000001E-2</v>
      </c>
      <c r="H8" s="69"/>
    </row>
    <row r="9" spans="1:14" x14ac:dyDescent="0.2">
      <c r="A9" s="3">
        <v>3</v>
      </c>
      <c r="B9" s="4" t="s">
        <v>410</v>
      </c>
      <c r="C9" s="4" t="s">
        <v>411</v>
      </c>
      <c r="D9" s="4" t="s">
        <v>22</v>
      </c>
      <c r="E9" s="5">
        <v>780385</v>
      </c>
      <c r="F9" s="6">
        <v>11655.440167500001</v>
      </c>
      <c r="G9" s="7">
        <v>8.6088224000000005E-2</v>
      </c>
      <c r="H9" s="69"/>
    </row>
    <row r="10" spans="1:14" x14ac:dyDescent="0.2">
      <c r="A10" s="3">
        <v>4</v>
      </c>
      <c r="B10" s="4" t="s">
        <v>11</v>
      </c>
      <c r="C10" s="4" t="s">
        <v>12</v>
      </c>
      <c r="D10" s="4" t="s">
        <v>13</v>
      </c>
      <c r="E10" s="5">
        <v>471874</v>
      </c>
      <c r="F10" s="6">
        <v>8327.3964149999993</v>
      </c>
      <c r="G10" s="7">
        <v>6.1506966000000003E-2</v>
      </c>
      <c r="H10" s="69"/>
    </row>
    <row r="11" spans="1:14" x14ac:dyDescent="0.2">
      <c r="A11" s="3">
        <v>5</v>
      </c>
      <c r="B11" s="4" t="s">
        <v>14</v>
      </c>
      <c r="C11" s="4" t="s">
        <v>15</v>
      </c>
      <c r="D11" s="4" t="s">
        <v>16</v>
      </c>
      <c r="E11" s="5">
        <v>335199</v>
      </c>
      <c r="F11" s="6">
        <v>8062.8767459999999</v>
      </c>
      <c r="G11" s="7">
        <v>5.9553198000000002E-2</v>
      </c>
      <c r="H11" s="69"/>
    </row>
    <row r="12" spans="1:14" x14ac:dyDescent="0.2">
      <c r="A12" s="3">
        <v>6</v>
      </c>
      <c r="B12" s="4" t="s">
        <v>416</v>
      </c>
      <c r="C12" s="4" t="s">
        <v>417</v>
      </c>
      <c r="D12" s="4" t="s">
        <v>22</v>
      </c>
      <c r="E12" s="5">
        <v>1616281</v>
      </c>
      <c r="F12" s="6">
        <v>7443.7821455000003</v>
      </c>
      <c r="G12" s="7">
        <v>5.4980504999999999E-2</v>
      </c>
      <c r="H12" s="69"/>
    </row>
    <row r="13" spans="1:14" x14ac:dyDescent="0.2">
      <c r="A13" s="3">
        <v>7</v>
      </c>
      <c r="B13" s="4" t="s">
        <v>420</v>
      </c>
      <c r="C13" s="4" t="s">
        <v>421</v>
      </c>
      <c r="D13" s="4" t="s">
        <v>155</v>
      </c>
      <c r="E13" s="5">
        <v>193388</v>
      </c>
      <c r="F13" s="6">
        <v>6824.9526020000003</v>
      </c>
      <c r="G13" s="7">
        <v>5.0409769E-2</v>
      </c>
      <c r="H13" s="69"/>
    </row>
    <row r="14" spans="1:14" ht="25.5" x14ac:dyDescent="0.2">
      <c r="A14" s="3">
        <v>8</v>
      </c>
      <c r="B14" s="4" t="s">
        <v>414</v>
      </c>
      <c r="C14" s="4" t="s">
        <v>415</v>
      </c>
      <c r="D14" s="4" t="s">
        <v>78</v>
      </c>
      <c r="E14" s="5">
        <v>227621</v>
      </c>
      <c r="F14" s="6">
        <v>6084.536951</v>
      </c>
      <c r="G14" s="7">
        <v>4.4940986000000002E-2</v>
      </c>
      <c r="H14" s="69"/>
    </row>
    <row r="15" spans="1:14" x14ac:dyDescent="0.2">
      <c r="A15" s="3">
        <v>9</v>
      </c>
      <c r="B15" s="4" t="s">
        <v>380</v>
      </c>
      <c r="C15" s="4" t="s">
        <v>381</v>
      </c>
      <c r="D15" s="4" t="s">
        <v>155</v>
      </c>
      <c r="E15" s="5">
        <v>531547</v>
      </c>
      <c r="F15" s="6">
        <v>6052.4599154999996</v>
      </c>
      <c r="G15" s="7">
        <v>4.4704062000000003E-2</v>
      </c>
      <c r="H15" s="69"/>
    </row>
    <row r="16" spans="1:14" ht="15" x14ac:dyDescent="0.2">
      <c r="A16" s="3">
        <v>10</v>
      </c>
      <c r="B16" s="4" t="s">
        <v>326</v>
      </c>
      <c r="C16" s="4" t="s">
        <v>327</v>
      </c>
      <c r="D16" s="4" t="s">
        <v>22</v>
      </c>
      <c r="E16" s="5">
        <v>901060</v>
      </c>
      <c r="F16" s="6">
        <v>5907.7998900000002</v>
      </c>
      <c r="G16" s="7">
        <v>4.3635589000000002E-2</v>
      </c>
      <c r="H16" s="69"/>
      <c r="J16" s="160" t="s">
        <v>1016</v>
      </c>
    </row>
    <row r="17" spans="1:8" x14ac:dyDescent="0.2">
      <c r="A17" s="3">
        <v>11</v>
      </c>
      <c r="B17" s="4" t="s">
        <v>384</v>
      </c>
      <c r="C17" s="4" t="s">
        <v>385</v>
      </c>
      <c r="D17" s="4" t="s">
        <v>982</v>
      </c>
      <c r="E17" s="5">
        <v>26816</v>
      </c>
      <c r="F17" s="6">
        <v>4622.367776</v>
      </c>
      <c r="G17" s="7">
        <v>3.4141261999999999E-2</v>
      </c>
      <c r="H17" s="69"/>
    </row>
    <row r="18" spans="1:8" x14ac:dyDescent="0.2">
      <c r="A18" s="3">
        <v>12</v>
      </c>
      <c r="B18" s="4" t="s">
        <v>17</v>
      </c>
      <c r="C18" s="4" t="s">
        <v>18</v>
      </c>
      <c r="D18" s="4" t="s">
        <v>19</v>
      </c>
      <c r="E18" s="5">
        <v>587991</v>
      </c>
      <c r="F18" s="6">
        <v>4282.0444575000001</v>
      </c>
      <c r="G18" s="7">
        <v>3.1627599999999999E-2</v>
      </c>
      <c r="H18" s="69"/>
    </row>
    <row r="19" spans="1:8" ht="25.5" x14ac:dyDescent="0.2">
      <c r="A19" s="3">
        <v>13</v>
      </c>
      <c r="B19" s="4" t="s">
        <v>322</v>
      </c>
      <c r="C19" s="4" t="s">
        <v>323</v>
      </c>
      <c r="D19" s="4" t="s">
        <v>207</v>
      </c>
      <c r="E19" s="5">
        <v>446265</v>
      </c>
      <c r="F19" s="6">
        <v>3978.2293424999998</v>
      </c>
      <c r="G19" s="7">
        <v>2.9383592E-2</v>
      </c>
      <c r="H19" s="69"/>
    </row>
    <row r="20" spans="1:8" x14ac:dyDescent="0.2">
      <c r="A20" s="3">
        <v>14</v>
      </c>
      <c r="B20" s="4" t="s">
        <v>39</v>
      </c>
      <c r="C20" s="4" t="s">
        <v>40</v>
      </c>
      <c r="D20" s="4" t="s">
        <v>16</v>
      </c>
      <c r="E20" s="5">
        <v>1017395</v>
      </c>
      <c r="F20" s="6">
        <v>3764.3615</v>
      </c>
      <c r="G20" s="7">
        <v>2.7803943000000001E-2</v>
      </c>
      <c r="H20" s="69"/>
    </row>
    <row r="21" spans="1:8" x14ac:dyDescent="0.2">
      <c r="A21" s="3">
        <v>15</v>
      </c>
      <c r="B21" s="4" t="s">
        <v>337</v>
      </c>
      <c r="C21" s="4" t="s">
        <v>338</v>
      </c>
      <c r="D21" s="4" t="s">
        <v>78</v>
      </c>
      <c r="E21" s="5">
        <v>208642</v>
      </c>
      <c r="F21" s="6">
        <v>2934.9670139999998</v>
      </c>
      <c r="G21" s="7">
        <v>2.1677953999999999E-2</v>
      </c>
      <c r="H21" s="69"/>
    </row>
    <row r="22" spans="1:8" ht="25.5" x14ac:dyDescent="0.2">
      <c r="A22" s="3">
        <v>16</v>
      </c>
      <c r="B22" s="4" t="s">
        <v>426</v>
      </c>
      <c r="C22" s="4" t="s">
        <v>427</v>
      </c>
      <c r="D22" s="4" t="s">
        <v>207</v>
      </c>
      <c r="E22" s="5">
        <v>111297</v>
      </c>
      <c r="F22" s="6">
        <v>2579.3636234999999</v>
      </c>
      <c r="G22" s="7">
        <v>1.9051433E-2</v>
      </c>
      <c r="H22" s="69"/>
    </row>
    <row r="23" spans="1:8" x14ac:dyDescent="0.2">
      <c r="A23" s="3">
        <v>17</v>
      </c>
      <c r="B23" s="4" t="s">
        <v>81</v>
      </c>
      <c r="C23" s="4" t="s">
        <v>82</v>
      </c>
      <c r="D23" s="4" t="s">
        <v>83</v>
      </c>
      <c r="E23" s="5">
        <v>2034820</v>
      </c>
      <c r="F23" s="6">
        <v>2435.6795400000001</v>
      </c>
      <c r="G23" s="7">
        <v>1.7990168000000001E-2</v>
      </c>
      <c r="H23" s="69"/>
    </row>
    <row r="24" spans="1:8" ht="25.5" x14ac:dyDescent="0.2">
      <c r="A24" s="3">
        <v>18</v>
      </c>
      <c r="B24" s="4" t="s">
        <v>23</v>
      </c>
      <c r="C24" s="4" t="s">
        <v>24</v>
      </c>
      <c r="D24" s="4" t="s">
        <v>974</v>
      </c>
      <c r="E24" s="5">
        <v>31653</v>
      </c>
      <c r="F24" s="6">
        <v>2353.0048875000002</v>
      </c>
      <c r="G24" s="7">
        <v>1.7379525E-2</v>
      </c>
      <c r="H24" s="69"/>
    </row>
    <row r="25" spans="1:8" x14ac:dyDescent="0.2">
      <c r="A25" s="3">
        <v>19</v>
      </c>
      <c r="B25" s="4" t="s">
        <v>84</v>
      </c>
      <c r="C25" s="4" t="s">
        <v>85</v>
      </c>
      <c r="D25" s="4" t="s">
        <v>70</v>
      </c>
      <c r="E25" s="5">
        <v>458430</v>
      </c>
      <c r="F25" s="6">
        <v>2219.947275</v>
      </c>
      <c r="G25" s="7">
        <v>1.6396747999999999E-2</v>
      </c>
      <c r="H25" s="69"/>
    </row>
    <row r="26" spans="1:8" ht="25.5" x14ac:dyDescent="0.2">
      <c r="A26" s="3">
        <v>20</v>
      </c>
      <c r="B26" s="4" t="s">
        <v>404</v>
      </c>
      <c r="C26" s="4" t="s">
        <v>405</v>
      </c>
      <c r="D26" s="4" t="s">
        <v>207</v>
      </c>
      <c r="E26" s="5">
        <v>256497</v>
      </c>
      <c r="F26" s="6">
        <v>1997.085642</v>
      </c>
      <c r="G26" s="7">
        <v>1.475067E-2</v>
      </c>
      <c r="H26" s="69"/>
    </row>
    <row r="27" spans="1:8" x14ac:dyDescent="0.2">
      <c r="A27" s="3">
        <v>21</v>
      </c>
      <c r="B27" s="4" t="s">
        <v>306</v>
      </c>
      <c r="C27" s="4" t="s">
        <v>307</v>
      </c>
      <c r="D27" s="4" t="s">
        <v>155</v>
      </c>
      <c r="E27" s="5">
        <v>43660</v>
      </c>
      <c r="F27" s="6">
        <v>1889.84493</v>
      </c>
      <c r="G27" s="7">
        <v>1.395858E-2</v>
      </c>
      <c r="H27" s="69"/>
    </row>
    <row r="28" spans="1:8" x14ac:dyDescent="0.2">
      <c r="A28" s="3">
        <v>22</v>
      </c>
      <c r="B28" s="4" t="s">
        <v>424</v>
      </c>
      <c r="C28" s="4" t="s">
        <v>425</v>
      </c>
      <c r="D28" s="4" t="s">
        <v>204</v>
      </c>
      <c r="E28" s="5">
        <v>249272</v>
      </c>
      <c r="F28" s="6">
        <v>1878.513792</v>
      </c>
      <c r="G28" s="7">
        <v>1.3874887000000001E-2</v>
      </c>
      <c r="H28" s="69"/>
    </row>
    <row r="29" spans="1:8" x14ac:dyDescent="0.2">
      <c r="A29" s="3">
        <v>23</v>
      </c>
      <c r="B29" s="4" t="s">
        <v>365</v>
      </c>
      <c r="C29" s="4" t="s">
        <v>366</v>
      </c>
      <c r="D29" s="4" t="s">
        <v>367</v>
      </c>
      <c r="E29" s="5">
        <v>52495</v>
      </c>
      <c r="F29" s="6">
        <v>1506.3440250000001</v>
      </c>
      <c r="G29" s="7">
        <v>1.1126005E-2</v>
      </c>
      <c r="H29" s="69"/>
    </row>
    <row r="30" spans="1:8" x14ac:dyDescent="0.2">
      <c r="A30" s="3">
        <v>24</v>
      </c>
      <c r="B30" s="4" t="s">
        <v>441</v>
      </c>
      <c r="C30" s="4" t="s">
        <v>442</v>
      </c>
      <c r="D30" s="4" t="s">
        <v>22</v>
      </c>
      <c r="E30" s="5">
        <v>73240</v>
      </c>
      <c r="F30" s="6">
        <v>1436.8955599999999</v>
      </c>
      <c r="G30" s="7">
        <v>1.0613051E-2</v>
      </c>
      <c r="H30" s="69"/>
    </row>
    <row r="31" spans="1:8" x14ac:dyDescent="0.2">
      <c r="A31" s="3">
        <v>25</v>
      </c>
      <c r="B31" s="4" t="s">
        <v>456</v>
      </c>
      <c r="C31" s="4" t="s">
        <v>457</v>
      </c>
      <c r="D31" s="4" t="s">
        <v>160</v>
      </c>
      <c r="E31" s="5">
        <v>637374</v>
      </c>
      <c r="F31" s="6">
        <v>1337.5293389999999</v>
      </c>
      <c r="G31" s="7">
        <v>9.8791230000000001E-3</v>
      </c>
      <c r="H31" s="69"/>
    </row>
    <row r="32" spans="1:8" ht="25.5" x14ac:dyDescent="0.2">
      <c r="A32" s="3">
        <v>26</v>
      </c>
      <c r="B32" s="4" t="s">
        <v>496</v>
      </c>
      <c r="C32" s="4" t="s">
        <v>497</v>
      </c>
      <c r="D32" s="4" t="s">
        <v>207</v>
      </c>
      <c r="E32" s="5">
        <v>200000</v>
      </c>
      <c r="F32" s="6">
        <v>1189.9000000000001</v>
      </c>
      <c r="G32" s="7">
        <v>8.7887179999999992E-3</v>
      </c>
      <c r="H32" s="69"/>
    </row>
    <row r="33" spans="1:8" x14ac:dyDescent="0.2">
      <c r="A33" s="3">
        <v>27</v>
      </c>
      <c r="B33" s="4" t="s">
        <v>308</v>
      </c>
      <c r="C33" s="4" t="s">
        <v>309</v>
      </c>
      <c r="D33" s="4" t="s">
        <v>175</v>
      </c>
      <c r="E33" s="5">
        <v>20574</v>
      </c>
      <c r="F33" s="6">
        <v>1170.1976850000001</v>
      </c>
      <c r="G33" s="7">
        <v>8.6431949999999994E-3</v>
      </c>
      <c r="H33" s="69"/>
    </row>
    <row r="34" spans="1:8" x14ac:dyDescent="0.2">
      <c r="A34" s="3">
        <v>28</v>
      </c>
      <c r="B34" s="4" t="s">
        <v>454</v>
      </c>
      <c r="C34" s="4" t="s">
        <v>455</v>
      </c>
      <c r="D34" s="4" t="s">
        <v>204</v>
      </c>
      <c r="E34" s="5">
        <v>82273</v>
      </c>
      <c r="F34" s="6">
        <v>799.11764900000003</v>
      </c>
      <c r="G34" s="7">
        <v>5.9023610000000001E-3</v>
      </c>
      <c r="H34" s="69"/>
    </row>
    <row r="35" spans="1:8" x14ac:dyDescent="0.2">
      <c r="A35" s="3">
        <v>29</v>
      </c>
      <c r="B35" s="4" t="s">
        <v>439</v>
      </c>
      <c r="C35" s="4" t="s">
        <v>440</v>
      </c>
      <c r="D35" s="4" t="s">
        <v>204</v>
      </c>
      <c r="E35" s="5">
        <v>14345</v>
      </c>
      <c r="F35" s="6">
        <v>699.86386000000005</v>
      </c>
      <c r="G35" s="7">
        <v>5.1692630000000003E-3</v>
      </c>
      <c r="H35" s="69"/>
    </row>
    <row r="36" spans="1:8" ht="25.5" x14ac:dyDescent="0.2">
      <c r="A36" s="3">
        <v>30</v>
      </c>
      <c r="B36" s="4" t="s">
        <v>445</v>
      </c>
      <c r="C36" s="4" t="s">
        <v>930</v>
      </c>
      <c r="D36" s="72" t="s">
        <v>19</v>
      </c>
      <c r="E36" s="5">
        <v>41999</v>
      </c>
      <c r="F36" s="6">
        <v>164.132092</v>
      </c>
      <c r="G36" s="7">
        <v>1.2122960000000001E-3</v>
      </c>
      <c r="H36" s="69"/>
    </row>
    <row r="37" spans="1:8" x14ac:dyDescent="0.2">
      <c r="A37" s="1"/>
      <c r="B37" s="1"/>
      <c r="C37" s="2" t="s">
        <v>95</v>
      </c>
      <c r="D37" s="1"/>
      <c r="E37" s="1" t="s">
        <v>96</v>
      </c>
      <c r="F37" s="9">
        <v>129252.29376350001</v>
      </c>
      <c r="G37" s="10">
        <v>0.95467011199999985</v>
      </c>
      <c r="H37" s="69"/>
    </row>
    <row r="38" spans="1:8" x14ac:dyDescent="0.2">
      <c r="A38" s="1"/>
      <c r="B38" s="1"/>
      <c r="C38" s="11"/>
      <c r="D38" s="1"/>
      <c r="E38" s="1"/>
      <c r="F38" s="12"/>
      <c r="G38" s="12"/>
      <c r="H38" s="69"/>
    </row>
    <row r="39" spans="1:8" x14ac:dyDescent="0.2">
      <c r="A39" s="1"/>
      <c r="B39" s="1"/>
      <c r="C39" s="2" t="s">
        <v>97</v>
      </c>
      <c r="D39" s="1"/>
      <c r="E39" s="1"/>
      <c r="F39" s="1"/>
      <c r="G39" s="1"/>
      <c r="H39" s="69"/>
    </row>
    <row r="40" spans="1:8" x14ac:dyDescent="0.2">
      <c r="A40" s="1"/>
      <c r="B40" s="1"/>
      <c r="C40" s="2" t="s">
        <v>95</v>
      </c>
      <c r="D40" s="1"/>
      <c r="E40" s="1" t="s">
        <v>96</v>
      </c>
      <c r="F40" s="13">
        <v>0</v>
      </c>
      <c r="G40" s="14">
        <v>0</v>
      </c>
      <c r="H40" s="69"/>
    </row>
    <row r="41" spans="1:8" x14ac:dyDescent="0.2">
      <c r="A41" s="1"/>
      <c r="B41" s="1"/>
      <c r="C41" s="11"/>
      <c r="D41" s="1"/>
      <c r="E41" s="1"/>
      <c r="F41" s="12"/>
      <c r="G41" s="12"/>
      <c r="H41" s="69"/>
    </row>
    <row r="42" spans="1:8" x14ac:dyDescent="0.2">
      <c r="A42" s="1"/>
      <c r="B42" s="1"/>
      <c r="C42" s="2" t="s">
        <v>98</v>
      </c>
      <c r="D42" s="1"/>
      <c r="E42" s="1"/>
      <c r="F42" s="1"/>
      <c r="G42" s="1"/>
      <c r="H42" s="69"/>
    </row>
    <row r="43" spans="1:8" x14ac:dyDescent="0.2">
      <c r="A43" s="1"/>
      <c r="B43" s="1"/>
      <c r="C43" s="2" t="s">
        <v>95</v>
      </c>
      <c r="D43" s="1"/>
      <c r="E43" s="1" t="s">
        <v>96</v>
      </c>
      <c r="F43" s="13">
        <v>0</v>
      </c>
      <c r="G43" s="14">
        <v>0</v>
      </c>
      <c r="H43" s="69"/>
    </row>
    <row r="44" spans="1:8" x14ac:dyDescent="0.2">
      <c r="A44" s="1"/>
      <c r="B44" s="1"/>
      <c r="C44" s="11"/>
      <c r="D44" s="1"/>
      <c r="E44" s="1"/>
      <c r="F44" s="12"/>
      <c r="G44" s="12"/>
      <c r="H44" s="69"/>
    </row>
    <row r="45" spans="1:8" x14ac:dyDescent="0.2">
      <c r="A45" s="1"/>
      <c r="B45" s="1"/>
      <c r="C45" s="2" t="s">
        <v>99</v>
      </c>
      <c r="D45" s="1"/>
      <c r="E45" s="1"/>
      <c r="F45" s="1"/>
      <c r="G45" s="1"/>
      <c r="H45" s="69"/>
    </row>
    <row r="46" spans="1:8" x14ac:dyDescent="0.2">
      <c r="A46" s="1"/>
      <c r="B46" s="1"/>
      <c r="C46" s="2" t="s">
        <v>95</v>
      </c>
      <c r="D46" s="1"/>
      <c r="E46" s="1" t="s">
        <v>96</v>
      </c>
      <c r="F46" s="9">
        <v>0</v>
      </c>
      <c r="G46" s="10">
        <v>0</v>
      </c>
      <c r="H46" s="69"/>
    </row>
    <row r="47" spans="1:8" x14ac:dyDescent="0.2">
      <c r="A47" s="1"/>
      <c r="B47" s="1"/>
      <c r="C47" s="11"/>
      <c r="D47" s="1"/>
      <c r="E47" s="1"/>
      <c r="F47" s="12"/>
      <c r="G47" s="12"/>
      <c r="H47" s="69"/>
    </row>
    <row r="48" spans="1:8" x14ac:dyDescent="0.2">
      <c r="A48" s="1"/>
      <c r="B48" s="1"/>
      <c r="C48" s="2" t="s">
        <v>100</v>
      </c>
      <c r="D48" s="1"/>
      <c r="E48" s="1"/>
      <c r="F48" s="12"/>
      <c r="G48" s="12"/>
      <c r="H48" s="69"/>
    </row>
    <row r="49" spans="1:8" x14ac:dyDescent="0.2">
      <c r="A49" s="1"/>
      <c r="B49" s="1"/>
      <c r="C49" s="2" t="s">
        <v>95</v>
      </c>
      <c r="D49" s="1"/>
      <c r="E49" s="1" t="s">
        <v>96</v>
      </c>
      <c r="F49" s="13">
        <v>0</v>
      </c>
      <c r="G49" s="14">
        <v>0</v>
      </c>
      <c r="H49" s="69"/>
    </row>
    <row r="50" spans="1:8" x14ac:dyDescent="0.2">
      <c r="A50" s="1"/>
      <c r="B50" s="1"/>
      <c r="C50" s="11"/>
      <c r="D50" s="1"/>
      <c r="E50" s="1"/>
      <c r="F50" s="12"/>
      <c r="G50" s="12"/>
      <c r="H50" s="69"/>
    </row>
    <row r="51" spans="1:8" x14ac:dyDescent="0.2">
      <c r="A51" s="1"/>
      <c r="B51" s="1"/>
      <c r="C51" s="2" t="s">
        <v>101</v>
      </c>
      <c r="D51" s="1"/>
      <c r="E51" s="1"/>
      <c r="F51" s="12"/>
      <c r="G51" s="12"/>
      <c r="H51" s="69"/>
    </row>
    <row r="52" spans="1:8" x14ac:dyDescent="0.2">
      <c r="A52" s="1"/>
      <c r="B52" s="1"/>
      <c r="C52" s="2" t="s">
        <v>95</v>
      </c>
      <c r="D52" s="1"/>
      <c r="E52" s="1" t="s">
        <v>96</v>
      </c>
      <c r="F52" s="13">
        <v>0</v>
      </c>
      <c r="G52" s="14">
        <v>0</v>
      </c>
      <c r="H52" s="69"/>
    </row>
    <row r="53" spans="1:8" x14ac:dyDescent="0.2">
      <c r="A53" s="1"/>
      <c r="B53" s="1"/>
      <c r="C53" s="11"/>
      <c r="D53" s="1"/>
      <c r="E53" s="1"/>
      <c r="F53" s="12"/>
      <c r="G53" s="12"/>
      <c r="H53" s="69"/>
    </row>
    <row r="54" spans="1:8" x14ac:dyDescent="0.2">
      <c r="A54" s="1"/>
      <c r="B54" s="1"/>
      <c r="C54" s="2" t="s">
        <v>102</v>
      </c>
      <c r="D54" s="1"/>
      <c r="E54" s="1"/>
      <c r="F54" s="9">
        <v>129252.2937635</v>
      </c>
      <c r="G54" s="10">
        <v>0.95467011199999996</v>
      </c>
      <c r="H54" s="69"/>
    </row>
    <row r="55" spans="1:8" x14ac:dyDescent="0.2">
      <c r="A55" s="1"/>
      <c r="B55" s="1"/>
      <c r="C55" s="11"/>
      <c r="D55" s="1"/>
      <c r="E55" s="1"/>
      <c r="F55" s="12"/>
      <c r="G55" s="12"/>
      <c r="H55" s="69"/>
    </row>
    <row r="56" spans="1:8" x14ac:dyDescent="0.2">
      <c r="A56" s="1"/>
      <c r="B56" s="1"/>
      <c r="C56" s="2" t="s">
        <v>103</v>
      </c>
      <c r="D56" s="1"/>
      <c r="E56" s="1"/>
      <c r="F56" s="12"/>
      <c r="G56" s="12"/>
      <c r="H56" s="69"/>
    </row>
    <row r="57" spans="1:8" ht="25.5" x14ac:dyDescent="0.2">
      <c r="A57" s="1"/>
      <c r="B57" s="1"/>
      <c r="C57" s="2" t="s">
        <v>10</v>
      </c>
      <c r="D57" s="1"/>
      <c r="E57" s="1"/>
      <c r="F57" s="12"/>
      <c r="G57" s="12"/>
      <c r="H57" s="69"/>
    </row>
    <row r="58" spans="1:8" x14ac:dyDescent="0.2">
      <c r="A58" s="1"/>
      <c r="B58" s="1"/>
      <c r="C58" s="2" t="s">
        <v>95</v>
      </c>
      <c r="D58" s="1"/>
      <c r="E58" s="1" t="s">
        <v>96</v>
      </c>
      <c r="F58" s="13">
        <v>0</v>
      </c>
      <c r="G58" s="14">
        <v>0</v>
      </c>
      <c r="H58" s="69"/>
    </row>
    <row r="59" spans="1:8" x14ac:dyDescent="0.2">
      <c r="A59" s="1"/>
      <c r="B59" s="1"/>
      <c r="C59" s="11"/>
      <c r="D59" s="1"/>
      <c r="E59" s="1"/>
      <c r="F59" s="12"/>
      <c r="G59" s="12"/>
      <c r="H59" s="69"/>
    </row>
    <row r="60" spans="1:8" x14ac:dyDescent="0.2">
      <c r="A60" s="1"/>
      <c r="B60" s="1"/>
      <c r="C60" s="2" t="s">
        <v>104</v>
      </c>
      <c r="D60" s="1"/>
      <c r="E60" s="1"/>
      <c r="F60" s="1"/>
      <c r="G60" s="1"/>
      <c r="H60" s="69"/>
    </row>
    <row r="61" spans="1:8" x14ac:dyDescent="0.2">
      <c r="A61" s="1"/>
      <c r="B61" s="1"/>
      <c r="C61" s="2" t="s">
        <v>95</v>
      </c>
      <c r="D61" s="1"/>
      <c r="E61" s="1" t="s">
        <v>96</v>
      </c>
      <c r="F61" s="13">
        <v>0</v>
      </c>
      <c r="G61" s="14">
        <v>0</v>
      </c>
      <c r="H61" s="69"/>
    </row>
    <row r="62" spans="1:8" x14ac:dyDescent="0.2">
      <c r="A62" s="1"/>
      <c r="B62" s="1"/>
      <c r="C62" s="11"/>
      <c r="D62" s="1"/>
      <c r="E62" s="1"/>
      <c r="F62" s="12"/>
      <c r="G62" s="12"/>
      <c r="H62" s="69"/>
    </row>
    <row r="63" spans="1:8" x14ac:dyDescent="0.2">
      <c r="A63" s="1"/>
      <c r="B63" s="1"/>
      <c r="C63" s="2" t="s">
        <v>105</v>
      </c>
      <c r="D63" s="1"/>
      <c r="E63" s="1"/>
      <c r="F63" s="1"/>
      <c r="G63" s="1"/>
      <c r="H63" s="69"/>
    </row>
    <row r="64" spans="1:8" x14ac:dyDescent="0.2">
      <c r="A64" s="1"/>
      <c r="B64" s="1"/>
      <c r="C64" s="2" t="s">
        <v>95</v>
      </c>
      <c r="D64" s="1"/>
      <c r="E64" s="1" t="s">
        <v>96</v>
      </c>
      <c r="F64" s="13">
        <v>0</v>
      </c>
      <c r="G64" s="14">
        <v>0</v>
      </c>
      <c r="H64" s="69"/>
    </row>
    <row r="65" spans="1:8" x14ac:dyDescent="0.2">
      <c r="A65" s="1"/>
      <c r="B65" s="1"/>
      <c r="C65" s="11"/>
      <c r="D65" s="1"/>
      <c r="E65" s="1"/>
      <c r="F65" s="12"/>
      <c r="G65" s="12"/>
      <c r="H65" s="69"/>
    </row>
    <row r="66" spans="1:8" x14ac:dyDescent="0.2">
      <c r="A66" s="1"/>
      <c r="B66" s="1"/>
      <c r="C66" s="2" t="s">
        <v>106</v>
      </c>
      <c r="D66" s="1"/>
      <c r="E66" s="1"/>
      <c r="F66" s="12"/>
      <c r="G66" s="12"/>
      <c r="H66" s="69"/>
    </row>
    <row r="67" spans="1:8" x14ac:dyDescent="0.2">
      <c r="A67" s="1"/>
      <c r="B67" s="1"/>
      <c r="C67" s="2" t="s">
        <v>95</v>
      </c>
      <c r="D67" s="1"/>
      <c r="E67" s="1" t="s">
        <v>96</v>
      </c>
      <c r="F67" s="13">
        <v>0</v>
      </c>
      <c r="G67" s="14">
        <v>0</v>
      </c>
      <c r="H67" s="69"/>
    </row>
    <row r="68" spans="1:8" x14ac:dyDescent="0.2">
      <c r="A68" s="1"/>
      <c r="B68" s="1"/>
      <c r="C68" s="11"/>
      <c r="D68" s="1"/>
      <c r="E68" s="1"/>
      <c r="F68" s="12"/>
      <c r="G68" s="12"/>
      <c r="H68" s="69"/>
    </row>
    <row r="69" spans="1:8" x14ac:dyDescent="0.2">
      <c r="A69" s="1"/>
      <c r="B69" s="1"/>
      <c r="C69" s="2" t="s">
        <v>107</v>
      </c>
      <c r="D69" s="1"/>
      <c r="E69" s="1"/>
      <c r="F69" s="9">
        <v>0</v>
      </c>
      <c r="G69" s="10">
        <v>0</v>
      </c>
      <c r="H69" s="69"/>
    </row>
    <row r="70" spans="1:8" x14ac:dyDescent="0.2">
      <c r="A70" s="1"/>
      <c r="B70" s="1"/>
      <c r="C70" s="11"/>
      <c r="D70" s="1"/>
      <c r="E70" s="1"/>
      <c r="F70" s="12"/>
      <c r="G70" s="12"/>
      <c r="H70" s="69"/>
    </row>
    <row r="71" spans="1:8" x14ac:dyDescent="0.2">
      <c r="A71" s="1"/>
      <c r="B71" s="1"/>
      <c r="C71" s="2" t="s">
        <v>108</v>
      </c>
      <c r="D71" s="1"/>
      <c r="E71" s="1"/>
      <c r="F71" s="12"/>
      <c r="G71" s="12"/>
      <c r="H71" s="69"/>
    </row>
    <row r="72" spans="1:8" x14ac:dyDescent="0.2">
      <c r="A72" s="1"/>
      <c r="B72" s="1"/>
      <c r="C72" s="2" t="s">
        <v>109</v>
      </c>
      <c r="D72" s="1"/>
      <c r="E72" s="1"/>
      <c r="F72" s="12"/>
      <c r="G72" s="12"/>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110</v>
      </c>
      <c r="D75" s="1"/>
      <c r="E75" s="1"/>
      <c r="F75" s="12"/>
      <c r="G75" s="12"/>
      <c r="H75" s="69"/>
    </row>
    <row r="76" spans="1:8" x14ac:dyDescent="0.2">
      <c r="A76" s="1"/>
      <c r="B76" s="1"/>
      <c r="C76" s="2" t="s">
        <v>95</v>
      </c>
      <c r="D76" s="1"/>
      <c r="E76" s="1" t="s">
        <v>96</v>
      </c>
      <c r="F76" s="13">
        <v>0</v>
      </c>
      <c r="G76" s="14">
        <v>0</v>
      </c>
      <c r="H76" s="69"/>
    </row>
    <row r="77" spans="1:8" x14ac:dyDescent="0.2">
      <c r="A77" s="1"/>
      <c r="B77" s="1"/>
      <c r="C77" s="11"/>
      <c r="D77" s="1"/>
      <c r="E77" s="1"/>
      <c r="F77" s="12"/>
      <c r="G77" s="12"/>
      <c r="H77" s="69"/>
    </row>
    <row r="78" spans="1:8" x14ac:dyDescent="0.2">
      <c r="A78" s="1"/>
      <c r="B78" s="1"/>
      <c r="C78" s="2" t="s">
        <v>111</v>
      </c>
      <c r="D78" s="1"/>
      <c r="E78" s="1"/>
      <c r="F78" s="12"/>
      <c r="G78" s="12"/>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112</v>
      </c>
      <c r="D81" s="1"/>
      <c r="E81" s="1"/>
      <c r="F81" s="12"/>
      <c r="G81" s="12"/>
      <c r="H81" s="69"/>
    </row>
    <row r="82" spans="1:8" x14ac:dyDescent="0.2">
      <c r="A82" s="3">
        <v>1</v>
      </c>
      <c r="B82" s="4"/>
      <c r="C82" s="4" t="s">
        <v>113</v>
      </c>
      <c r="D82" s="4"/>
      <c r="E82" s="8"/>
      <c r="F82" s="6">
        <v>3827.8275297</v>
      </c>
      <c r="G82" s="7">
        <v>2.8272709E-2</v>
      </c>
      <c r="H82" s="6">
        <v>3.3628721504199861</v>
      </c>
    </row>
    <row r="83" spans="1:8" x14ac:dyDescent="0.2">
      <c r="A83" s="3">
        <v>2</v>
      </c>
      <c r="B83" s="4"/>
      <c r="C83" s="4" t="s">
        <v>114</v>
      </c>
      <c r="D83" s="4"/>
      <c r="E83" s="8"/>
      <c r="F83" s="6">
        <v>1478.2719929</v>
      </c>
      <c r="G83" s="7">
        <v>1.0918662000000001E-2</v>
      </c>
      <c r="H83" s="6">
        <v>3.4499999999999966</v>
      </c>
    </row>
    <row r="84" spans="1:8" x14ac:dyDescent="0.2">
      <c r="A84" s="1"/>
      <c r="B84" s="1"/>
      <c r="C84" s="2" t="s">
        <v>95</v>
      </c>
      <c r="D84" s="1"/>
      <c r="E84" s="1" t="s">
        <v>96</v>
      </c>
      <c r="F84" s="9">
        <v>5306.0995225999995</v>
      </c>
      <c r="G84" s="10">
        <v>3.9191371000000003E-2</v>
      </c>
      <c r="H84" s="69"/>
    </row>
    <row r="85" spans="1:8" x14ac:dyDescent="0.2">
      <c r="A85" s="1"/>
      <c r="B85" s="1"/>
      <c r="C85" s="11"/>
      <c r="D85" s="1"/>
      <c r="E85" s="1"/>
      <c r="F85" s="12"/>
      <c r="G85" s="12"/>
      <c r="H85" s="69"/>
    </row>
    <row r="86" spans="1:8" x14ac:dyDescent="0.2">
      <c r="A86" s="1"/>
      <c r="B86" s="1"/>
      <c r="C86" s="2" t="s">
        <v>115</v>
      </c>
      <c r="D86" s="1"/>
      <c r="E86" s="1"/>
      <c r="F86" s="9">
        <v>5306.0995225999995</v>
      </c>
      <c r="G86" s="10">
        <v>3.9191371000000003E-2</v>
      </c>
      <c r="H86" s="69"/>
    </row>
    <row r="87" spans="1:8" x14ac:dyDescent="0.2">
      <c r="A87" s="1"/>
      <c r="B87" s="1"/>
      <c r="C87" s="12"/>
      <c r="D87" s="1"/>
      <c r="E87" s="1"/>
      <c r="F87" s="1"/>
      <c r="G87" s="1"/>
      <c r="H87" s="69"/>
    </row>
    <row r="88" spans="1:8" x14ac:dyDescent="0.2">
      <c r="A88" s="1"/>
      <c r="B88" s="1"/>
      <c r="C88" s="2" t="s">
        <v>116</v>
      </c>
      <c r="D88" s="1"/>
      <c r="E88" s="1"/>
      <c r="F88" s="1"/>
      <c r="G88" s="1"/>
      <c r="H88" s="69"/>
    </row>
    <row r="89" spans="1:8" x14ac:dyDescent="0.2">
      <c r="A89" s="1"/>
      <c r="B89" s="1"/>
      <c r="C89" s="2" t="s">
        <v>117</v>
      </c>
      <c r="D89" s="1"/>
      <c r="E89" s="1"/>
      <c r="F89" s="1"/>
      <c r="G89" s="1"/>
      <c r="H89" s="69"/>
    </row>
    <row r="90" spans="1:8" x14ac:dyDescent="0.2">
      <c r="A90" s="1"/>
      <c r="B90" s="1"/>
      <c r="C90" s="2" t="s">
        <v>95</v>
      </c>
      <c r="D90" s="1"/>
      <c r="E90" s="1" t="s">
        <v>96</v>
      </c>
      <c r="F90" s="13">
        <v>0</v>
      </c>
      <c r="G90" s="14">
        <v>0</v>
      </c>
      <c r="H90" s="69"/>
    </row>
    <row r="91" spans="1:8" x14ac:dyDescent="0.2">
      <c r="A91" s="1"/>
      <c r="B91" s="1"/>
      <c r="C91" s="11"/>
      <c r="D91" s="1"/>
      <c r="E91" s="1"/>
      <c r="F91" s="12"/>
      <c r="G91" s="12"/>
      <c r="H91" s="69"/>
    </row>
    <row r="92" spans="1:8" x14ac:dyDescent="0.2">
      <c r="A92" s="1"/>
      <c r="B92" s="1"/>
      <c r="C92" s="2" t="s">
        <v>118</v>
      </c>
      <c r="D92" s="1"/>
      <c r="E92" s="1"/>
      <c r="F92" s="1"/>
      <c r="G92" s="1"/>
      <c r="H92" s="69"/>
    </row>
    <row r="93" spans="1:8" x14ac:dyDescent="0.2">
      <c r="A93" s="1"/>
      <c r="B93" s="1"/>
      <c r="C93" s="2" t="s">
        <v>119</v>
      </c>
      <c r="D93" s="1"/>
      <c r="E93" s="1"/>
      <c r="F93" s="1"/>
      <c r="G93" s="1"/>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11"/>
      <c r="D96" s="1"/>
      <c r="E96" s="1"/>
      <c r="F96" s="12"/>
      <c r="G96" s="12"/>
      <c r="H96" s="69"/>
    </row>
    <row r="97" spans="1:8" ht="25.5" x14ac:dyDescent="0.2">
      <c r="A97" s="1"/>
      <c r="B97" s="1"/>
      <c r="C97" s="2" t="s">
        <v>120</v>
      </c>
      <c r="D97" s="1"/>
      <c r="E97" s="1"/>
      <c r="F97" s="12"/>
      <c r="G97" s="12"/>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4"/>
      <c r="C100" s="4"/>
      <c r="D100" s="2"/>
      <c r="E100" s="1"/>
      <c r="F100" s="4"/>
      <c r="G100" s="8"/>
      <c r="H100" s="69"/>
    </row>
    <row r="101" spans="1:8" x14ac:dyDescent="0.2">
      <c r="A101" s="8"/>
      <c r="B101" s="4"/>
      <c r="C101" s="4" t="s">
        <v>121</v>
      </c>
      <c r="D101" s="4"/>
      <c r="E101" s="8"/>
      <c r="F101" s="6">
        <v>831.09064548999595</v>
      </c>
      <c r="G101" s="7">
        <v>6.1385199999999997E-3</v>
      </c>
      <c r="H101" s="69"/>
    </row>
    <row r="102" spans="1:8" x14ac:dyDescent="0.2">
      <c r="A102" s="11"/>
      <c r="B102" s="11"/>
      <c r="C102" s="2" t="s">
        <v>122</v>
      </c>
      <c r="D102" s="15"/>
      <c r="E102" s="15"/>
      <c r="F102" s="9">
        <v>135389.48393158999</v>
      </c>
      <c r="G102" s="10">
        <v>1</v>
      </c>
      <c r="H102" s="69"/>
    </row>
    <row r="103" spans="1:8" ht="14.1" customHeight="1" x14ac:dyDescent="0.2">
      <c r="A103" s="16"/>
      <c r="B103" s="16"/>
      <c r="C103" s="16"/>
      <c r="D103" s="17"/>
      <c r="E103" s="17"/>
      <c r="F103" s="17"/>
      <c r="G103" s="17"/>
    </row>
    <row r="104" spans="1:8" ht="14.1" customHeight="1" x14ac:dyDescent="0.2">
      <c r="A104" s="18"/>
      <c r="B104" s="176" t="s">
        <v>96</v>
      </c>
      <c r="C104" s="176"/>
      <c r="D104" s="176"/>
      <c r="E104" s="176"/>
      <c r="F104" s="176"/>
      <c r="G104" s="20"/>
    </row>
    <row r="105" spans="1:8" ht="14.1" customHeight="1" x14ac:dyDescent="0.2">
      <c r="A105" s="18"/>
      <c r="B105" s="176" t="s">
        <v>96</v>
      </c>
      <c r="C105" s="176"/>
      <c r="D105" s="176"/>
      <c r="E105" s="176"/>
      <c r="F105" s="176"/>
      <c r="G105" s="20"/>
    </row>
    <row r="106" spans="1:8" ht="14.1" customHeight="1" x14ac:dyDescent="0.2">
      <c r="A106" s="18"/>
      <c r="B106" s="18"/>
      <c r="C106" s="18"/>
      <c r="D106" s="20"/>
      <c r="E106" s="20"/>
      <c r="F106" s="20"/>
      <c r="G106" s="20"/>
    </row>
    <row r="107" spans="1:8" ht="14.1" customHeight="1" x14ac:dyDescent="0.2">
      <c r="A107" s="18"/>
      <c r="B107" s="174" t="s">
        <v>124</v>
      </c>
      <c r="C107" s="175"/>
      <c r="D107" s="12" t="s">
        <v>96</v>
      </c>
      <c r="E107" s="21"/>
      <c r="F107" s="20"/>
      <c r="G107" s="20"/>
    </row>
    <row r="108" spans="1:8" ht="29.1" customHeight="1" x14ac:dyDescent="0.2">
      <c r="A108" s="18"/>
      <c r="B108" s="172" t="s">
        <v>125</v>
      </c>
      <c r="C108" s="173"/>
      <c r="D108" s="2" t="s">
        <v>126</v>
      </c>
      <c r="E108" s="21"/>
      <c r="F108" s="20"/>
      <c r="G108" s="20"/>
    </row>
    <row r="109" spans="1:8" ht="17.100000000000001" customHeight="1" x14ac:dyDescent="0.2">
      <c r="A109" s="18"/>
      <c r="B109" s="172" t="s">
        <v>127</v>
      </c>
      <c r="C109" s="173"/>
      <c r="D109" s="2" t="s">
        <v>126</v>
      </c>
      <c r="E109" s="21"/>
      <c r="F109" s="20"/>
      <c r="G109" s="20"/>
    </row>
    <row r="110" spans="1:8" ht="17.100000000000001" customHeight="1" x14ac:dyDescent="0.2">
      <c r="A110" s="18"/>
      <c r="B110" s="172" t="s">
        <v>128</v>
      </c>
      <c r="C110" s="173"/>
      <c r="D110" s="12" t="s">
        <v>96</v>
      </c>
      <c r="E110" s="21"/>
      <c r="F110" s="20"/>
      <c r="G110" s="20"/>
    </row>
    <row r="111" spans="1:8" ht="24" customHeight="1" x14ac:dyDescent="0.2">
      <c r="A111" s="22"/>
      <c r="B111" s="23" t="s">
        <v>96</v>
      </c>
      <c r="C111" s="23" t="s">
        <v>129</v>
      </c>
      <c r="D111" s="23" t="s">
        <v>130</v>
      </c>
      <c r="E111" s="22"/>
      <c r="F111" s="22"/>
      <c r="G111" s="22"/>
    </row>
    <row r="112" spans="1:8" ht="18" customHeight="1" x14ac:dyDescent="0.2">
      <c r="A112" s="22"/>
      <c r="B112" s="23" t="s">
        <v>131</v>
      </c>
      <c r="C112" s="23" t="s">
        <v>132</v>
      </c>
      <c r="D112" s="23" t="s">
        <v>133</v>
      </c>
      <c r="E112" s="22"/>
      <c r="F112" s="22"/>
      <c r="G112" s="22"/>
    </row>
    <row r="113" spans="1:16" ht="17.100000000000001" customHeight="1" x14ac:dyDescent="0.2">
      <c r="A113" s="22"/>
      <c r="B113" s="4" t="s">
        <v>134</v>
      </c>
      <c r="C113" s="24">
        <v>292.74329999999998</v>
      </c>
      <c r="D113" s="24">
        <v>282.64260000000002</v>
      </c>
      <c r="E113" s="22"/>
      <c r="F113" s="19"/>
      <c r="G113" s="25"/>
    </row>
    <row r="114" spans="1:16" ht="17.100000000000001" customHeight="1" x14ac:dyDescent="0.2">
      <c r="A114" s="22"/>
      <c r="B114" s="4" t="s">
        <v>983</v>
      </c>
      <c r="C114" s="24">
        <v>19.342300000000002</v>
      </c>
      <c r="D114" s="24">
        <v>18.674900000000001</v>
      </c>
      <c r="E114" s="22"/>
      <c r="F114" s="19"/>
      <c r="G114" s="25"/>
    </row>
    <row r="115" spans="1:16" ht="29.1" customHeight="1" x14ac:dyDescent="0.2">
      <c r="A115" s="22"/>
      <c r="B115" s="4" t="s">
        <v>408</v>
      </c>
      <c r="C115" s="24">
        <v>299.20859999999999</v>
      </c>
      <c r="D115" s="24">
        <v>288.88459999999998</v>
      </c>
      <c r="E115" s="22"/>
      <c r="F115" s="19"/>
      <c r="G115" s="25"/>
    </row>
    <row r="116" spans="1:16" ht="17.100000000000001" customHeight="1" x14ac:dyDescent="0.2">
      <c r="A116" s="22"/>
      <c r="B116" s="4" t="s">
        <v>135</v>
      </c>
      <c r="C116" s="24">
        <v>273.99209999999999</v>
      </c>
      <c r="D116" s="24">
        <v>264.32549999999998</v>
      </c>
      <c r="E116" s="22"/>
      <c r="F116" s="19"/>
      <c r="G116" s="25"/>
    </row>
    <row r="117" spans="1:16" ht="17.100000000000001" customHeight="1" x14ac:dyDescent="0.2">
      <c r="A117" s="22"/>
      <c r="B117" s="4" t="s">
        <v>984</v>
      </c>
      <c r="C117" s="24">
        <v>17.891300000000001</v>
      </c>
      <c r="D117" s="24">
        <v>17.260100000000001</v>
      </c>
      <c r="E117" s="22"/>
      <c r="F117" s="19"/>
      <c r="G117" s="25"/>
    </row>
    <row r="118" spans="1:16" ht="14.1" customHeight="1" x14ac:dyDescent="0.2">
      <c r="A118" s="22"/>
      <c r="B118" s="22"/>
      <c r="C118" s="22"/>
      <c r="D118" s="22"/>
      <c r="E118" s="22"/>
      <c r="F118" s="22"/>
      <c r="G118" s="22"/>
    </row>
    <row r="119" spans="1:16" ht="17.100000000000001" customHeight="1" x14ac:dyDescent="0.2">
      <c r="A119" s="22"/>
      <c r="B119" s="172" t="s">
        <v>985</v>
      </c>
      <c r="C119" s="173"/>
      <c r="D119" s="2" t="s">
        <v>126</v>
      </c>
      <c r="E119" s="22"/>
      <c r="F119" s="22"/>
      <c r="G119" s="22"/>
    </row>
    <row r="120" spans="1:16" ht="18" customHeight="1" x14ac:dyDescent="0.2">
      <c r="A120" s="22"/>
      <c r="B120" s="26" t="s">
        <v>136</v>
      </c>
      <c r="C120" s="26" t="s">
        <v>136</v>
      </c>
      <c r="D120" s="26"/>
      <c r="E120" s="22"/>
      <c r="F120" s="22"/>
      <c r="G120" s="22"/>
    </row>
    <row r="121" spans="1:16" s="82" customFormat="1" x14ac:dyDescent="0.2">
      <c r="B121" s="177" t="s">
        <v>936</v>
      </c>
      <c r="C121" s="177"/>
      <c r="D121" s="177"/>
      <c r="E121" s="177"/>
      <c r="F121" s="177"/>
      <c r="P121" s="70"/>
    </row>
    <row r="122" spans="1:16" ht="14.1" customHeight="1" x14ac:dyDescent="0.2">
      <c r="A122" s="22"/>
      <c r="B122" s="19"/>
      <c r="C122" s="19"/>
      <c r="D122" s="22"/>
      <c r="E122" s="22"/>
      <c r="F122" s="22"/>
      <c r="G122" s="22"/>
    </row>
    <row r="123" spans="1:16" ht="29.1" customHeight="1" x14ac:dyDescent="0.2">
      <c r="A123" s="22"/>
      <c r="B123" s="172" t="s">
        <v>137</v>
      </c>
      <c r="C123" s="173"/>
      <c r="D123" s="2" t="s">
        <v>126</v>
      </c>
      <c r="E123" s="22"/>
      <c r="F123" s="22"/>
      <c r="G123" s="22"/>
    </row>
    <row r="124" spans="1:16" ht="29.1" customHeight="1" x14ac:dyDescent="0.2">
      <c r="A124" s="22"/>
      <c r="B124" s="172" t="s">
        <v>138</v>
      </c>
      <c r="C124" s="173"/>
      <c r="D124" s="2" t="s">
        <v>126</v>
      </c>
      <c r="E124" s="22"/>
      <c r="F124" s="22"/>
      <c r="G124" s="22"/>
    </row>
    <row r="125" spans="1:16" ht="17.100000000000001" customHeight="1" x14ac:dyDescent="0.2">
      <c r="A125" s="22"/>
      <c r="B125" s="172" t="s">
        <v>139</v>
      </c>
      <c r="C125" s="173"/>
      <c r="D125" s="27">
        <v>0.42786912259901022</v>
      </c>
      <c r="E125" s="22"/>
      <c r="F125" s="19"/>
      <c r="G125" s="25"/>
    </row>
    <row r="126" spans="1:16" ht="17.100000000000001" customHeight="1" x14ac:dyDescent="0.2">
      <c r="A126" s="22"/>
      <c r="B126" s="172" t="s">
        <v>140</v>
      </c>
      <c r="C126" s="173"/>
      <c r="D126" s="2" t="s">
        <v>126</v>
      </c>
      <c r="E126" s="22"/>
      <c r="F126" s="22"/>
      <c r="G126" s="22"/>
    </row>
  </sheetData>
  <mergeCells count="16">
    <mergeCell ref="B126:C126"/>
    <mergeCell ref="B108:C108"/>
    <mergeCell ref="B109:C109"/>
    <mergeCell ref="B110:C110"/>
    <mergeCell ref="B119:C119"/>
    <mergeCell ref="B123:C123"/>
    <mergeCell ref="B124:C124"/>
    <mergeCell ref="B121:F121"/>
    <mergeCell ref="A1:H1"/>
    <mergeCell ref="A2:H2"/>
    <mergeCell ref="A3:H3"/>
    <mergeCell ref="J2:N2"/>
    <mergeCell ref="B125:C125"/>
    <mergeCell ref="B107:C107"/>
    <mergeCell ref="B104:F104"/>
    <mergeCell ref="B105:F105"/>
  </mergeCell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P15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498</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12358</v>
      </c>
      <c r="F7" s="6">
        <v>136.543542</v>
      </c>
      <c r="G7" s="7">
        <v>3.4772297000000001E-2</v>
      </c>
      <c r="H7" s="69"/>
    </row>
    <row r="8" spans="1:14" x14ac:dyDescent="0.2">
      <c r="A8" s="3">
        <v>2</v>
      </c>
      <c r="B8" s="4" t="s">
        <v>41</v>
      </c>
      <c r="C8" s="4" t="s">
        <v>42</v>
      </c>
      <c r="D8" s="4" t="s">
        <v>27</v>
      </c>
      <c r="E8" s="5">
        <v>10772</v>
      </c>
      <c r="F8" s="6">
        <v>133.78285399999999</v>
      </c>
      <c r="G8" s="7">
        <v>3.4069257999999998E-2</v>
      </c>
      <c r="H8" s="69"/>
    </row>
    <row r="9" spans="1:14" x14ac:dyDescent="0.2">
      <c r="A9" s="3">
        <v>3</v>
      </c>
      <c r="B9" s="4" t="s">
        <v>461</v>
      </c>
      <c r="C9" s="4" t="s">
        <v>462</v>
      </c>
      <c r="D9" s="4" t="s">
        <v>75</v>
      </c>
      <c r="E9" s="5">
        <v>33367</v>
      </c>
      <c r="F9" s="6">
        <v>129.7475795</v>
      </c>
      <c r="G9" s="7">
        <v>3.3041631000000002E-2</v>
      </c>
      <c r="H9" s="69"/>
    </row>
    <row r="10" spans="1:14" x14ac:dyDescent="0.2">
      <c r="A10" s="3">
        <v>4</v>
      </c>
      <c r="B10" s="4" t="s">
        <v>142</v>
      </c>
      <c r="C10" s="4" t="s">
        <v>143</v>
      </c>
      <c r="D10" s="4" t="s">
        <v>144</v>
      </c>
      <c r="E10" s="5">
        <v>3284</v>
      </c>
      <c r="F10" s="6">
        <v>122.85444</v>
      </c>
      <c r="G10" s="7">
        <v>3.1286217999999998E-2</v>
      </c>
      <c r="H10" s="69"/>
    </row>
    <row r="11" spans="1:14" x14ac:dyDescent="0.2">
      <c r="A11" s="3">
        <v>5</v>
      </c>
      <c r="B11" s="4" t="s">
        <v>147</v>
      </c>
      <c r="C11" s="4" t="s">
        <v>148</v>
      </c>
      <c r="D11" s="4" t="s">
        <v>78</v>
      </c>
      <c r="E11" s="5">
        <v>99622</v>
      </c>
      <c r="F11" s="6">
        <v>120.791675</v>
      </c>
      <c r="G11" s="7">
        <v>3.0760913000000001E-2</v>
      </c>
      <c r="H11" s="69"/>
    </row>
    <row r="12" spans="1:14" x14ac:dyDescent="0.2">
      <c r="A12" s="3">
        <v>6</v>
      </c>
      <c r="B12" s="4" t="s">
        <v>301</v>
      </c>
      <c r="C12" s="4" t="s">
        <v>302</v>
      </c>
      <c r="D12" s="4" t="s">
        <v>27</v>
      </c>
      <c r="E12" s="5">
        <v>17031</v>
      </c>
      <c r="F12" s="6">
        <v>115.367994</v>
      </c>
      <c r="G12" s="7">
        <v>2.9379714000000001E-2</v>
      </c>
      <c r="H12" s="69"/>
    </row>
    <row r="13" spans="1:14" x14ac:dyDescent="0.2">
      <c r="A13" s="3">
        <v>7</v>
      </c>
      <c r="B13" s="4" t="s">
        <v>156</v>
      </c>
      <c r="C13" s="4" t="s">
        <v>157</v>
      </c>
      <c r="D13" s="4" t="s">
        <v>27</v>
      </c>
      <c r="E13" s="5">
        <v>14615</v>
      </c>
      <c r="F13" s="6">
        <v>113.397785</v>
      </c>
      <c r="G13" s="7">
        <v>2.8877977999999999E-2</v>
      </c>
      <c r="H13" s="69"/>
    </row>
    <row r="14" spans="1:14" x14ac:dyDescent="0.2">
      <c r="A14" s="3">
        <v>8</v>
      </c>
      <c r="B14" s="4" t="s">
        <v>149</v>
      </c>
      <c r="C14" s="4" t="s">
        <v>150</v>
      </c>
      <c r="D14" s="4" t="s">
        <v>75</v>
      </c>
      <c r="E14" s="5">
        <v>18339</v>
      </c>
      <c r="F14" s="6">
        <v>110.32742399999999</v>
      </c>
      <c r="G14" s="7">
        <v>2.8096078E-2</v>
      </c>
      <c r="H14" s="69"/>
    </row>
    <row r="15" spans="1:14" ht="25.5" x14ac:dyDescent="0.2">
      <c r="A15" s="3">
        <v>9</v>
      </c>
      <c r="B15" s="4" t="s">
        <v>151</v>
      </c>
      <c r="C15" s="4" t="s">
        <v>152</v>
      </c>
      <c r="D15" s="4" t="s">
        <v>45</v>
      </c>
      <c r="E15" s="5">
        <v>70289</v>
      </c>
      <c r="F15" s="6">
        <v>104.8360435</v>
      </c>
      <c r="G15" s="7">
        <v>2.6697637999999999E-2</v>
      </c>
      <c r="H15" s="69"/>
    </row>
    <row r="16" spans="1:14" ht="15" x14ac:dyDescent="0.2">
      <c r="A16" s="3">
        <v>10</v>
      </c>
      <c r="B16" s="4" t="s">
        <v>79</v>
      </c>
      <c r="C16" s="4" t="s">
        <v>80</v>
      </c>
      <c r="D16" s="4" t="s">
        <v>75</v>
      </c>
      <c r="E16" s="5">
        <v>27960</v>
      </c>
      <c r="F16" s="6">
        <v>104.34672</v>
      </c>
      <c r="G16" s="7">
        <v>2.6573026E-2</v>
      </c>
      <c r="H16" s="69"/>
      <c r="J16" s="160" t="s">
        <v>1013</v>
      </c>
    </row>
    <row r="17" spans="1:8" x14ac:dyDescent="0.2">
      <c r="A17" s="3">
        <v>11</v>
      </c>
      <c r="B17" s="4" t="s">
        <v>25</v>
      </c>
      <c r="C17" s="4" t="s">
        <v>26</v>
      </c>
      <c r="D17" s="4" t="s">
        <v>27</v>
      </c>
      <c r="E17" s="5">
        <v>5633</v>
      </c>
      <c r="F17" s="6">
        <v>90.874372500000007</v>
      </c>
      <c r="G17" s="7">
        <v>2.3142146999999998E-2</v>
      </c>
      <c r="H17" s="69"/>
    </row>
    <row r="18" spans="1:8" x14ac:dyDescent="0.2">
      <c r="A18" s="3">
        <v>12</v>
      </c>
      <c r="B18" s="4" t="s">
        <v>153</v>
      </c>
      <c r="C18" s="4" t="s">
        <v>154</v>
      </c>
      <c r="D18" s="4" t="s">
        <v>155</v>
      </c>
      <c r="E18" s="5">
        <v>2123</v>
      </c>
      <c r="F18" s="6">
        <v>87.866724000000005</v>
      </c>
      <c r="G18" s="7">
        <v>2.2376216000000001E-2</v>
      </c>
      <c r="H18" s="69"/>
    </row>
    <row r="19" spans="1:8" x14ac:dyDescent="0.2">
      <c r="A19" s="3">
        <v>13</v>
      </c>
      <c r="B19" s="4" t="s">
        <v>165</v>
      </c>
      <c r="C19" s="4" t="s">
        <v>166</v>
      </c>
      <c r="D19" s="4" t="s">
        <v>155</v>
      </c>
      <c r="E19" s="5">
        <v>17635</v>
      </c>
      <c r="F19" s="6">
        <v>87.231527499999999</v>
      </c>
      <c r="G19" s="7">
        <v>2.2214457E-2</v>
      </c>
      <c r="H19" s="69"/>
    </row>
    <row r="20" spans="1:8" x14ac:dyDescent="0.2">
      <c r="A20" s="3">
        <v>14</v>
      </c>
      <c r="B20" s="4" t="s">
        <v>176</v>
      </c>
      <c r="C20" s="4" t="s">
        <v>177</v>
      </c>
      <c r="D20" s="4" t="s">
        <v>78</v>
      </c>
      <c r="E20" s="5">
        <v>10466</v>
      </c>
      <c r="F20" s="6">
        <v>84.711804000000001</v>
      </c>
      <c r="G20" s="7">
        <v>2.1572781999999999E-2</v>
      </c>
      <c r="H20" s="69"/>
    </row>
    <row r="21" spans="1:8" ht="25.5" x14ac:dyDescent="0.2">
      <c r="A21" s="3">
        <v>15</v>
      </c>
      <c r="B21" s="4" t="s">
        <v>37</v>
      </c>
      <c r="C21" s="4" t="s">
        <v>38</v>
      </c>
      <c r="D21" s="4" t="s">
        <v>974</v>
      </c>
      <c r="E21" s="5">
        <v>2520</v>
      </c>
      <c r="F21" s="6">
        <v>81.520740000000004</v>
      </c>
      <c r="G21" s="7">
        <v>2.0760141999999999E-2</v>
      </c>
      <c r="H21" s="69"/>
    </row>
    <row r="22" spans="1:8" x14ac:dyDescent="0.2">
      <c r="A22" s="3">
        <v>16</v>
      </c>
      <c r="B22" s="4" t="s">
        <v>173</v>
      </c>
      <c r="C22" s="4" t="s">
        <v>174</v>
      </c>
      <c r="D22" s="4" t="s">
        <v>175</v>
      </c>
      <c r="E22" s="5">
        <v>28774</v>
      </c>
      <c r="F22" s="6">
        <v>72.812607</v>
      </c>
      <c r="G22" s="7">
        <v>1.8542521999999999E-2</v>
      </c>
      <c r="H22" s="69"/>
    </row>
    <row r="23" spans="1:8" x14ac:dyDescent="0.2">
      <c r="A23" s="3">
        <v>17</v>
      </c>
      <c r="B23" s="4" t="s">
        <v>178</v>
      </c>
      <c r="C23" s="4" t="s">
        <v>179</v>
      </c>
      <c r="D23" s="4" t="s">
        <v>180</v>
      </c>
      <c r="E23" s="5">
        <v>7639</v>
      </c>
      <c r="F23" s="6">
        <v>71.974658000000005</v>
      </c>
      <c r="G23" s="7">
        <v>1.8329129E-2</v>
      </c>
      <c r="H23" s="69"/>
    </row>
    <row r="24" spans="1:8" x14ac:dyDescent="0.2">
      <c r="A24" s="3">
        <v>18</v>
      </c>
      <c r="B24" s="4" t="s">
        <v>191</v>
      </c>
      <c r="C24" s="4" t="s">
        <v>192</v>
      </c>
      <c r="D24" s="4" t="s">
        <v>53</v>
      </c>
      <c r="E24" s="5">
        <v>72425</v>
      </c>
      <c r="F24" s="6">
        <v>69.672849999999997</v>
      </c>
      <c r="G24" s="7">
        <v>1.7742948000000001E-2</v>
      </c>
      <c r="H24" s="69"/>
    </row>
    <row r="25" spans="1:8" x14ac:dyDescent="0.2">
      <c r="A25" s="3">
        <v>19</v>
      </c>
      <c r="B25" s="4" t="s">
        <v>163</v>
      </c>
      <c r="C25" s="4" t="s">
        <v>164</v>
      </c>
      <c r="D25" s="4" t="s">
        <v>975</v>
      </c>
      <c r="E25" s="5">
        <v>17100</v>
      </c>
      <c r="F25" s="6">
        <v>68.442750000000004</v>
      </c>
      <c r="G25" s="7">
        <v>1.7429690000000001E-2</v>
      </c>
      <c r="H25" s="69"/>
    </row>
    <row r="26" spans="1:8" x14ac:dyDescent="0.2">
      <c r="A26" s="3">
        <v>20</v>
      </c>
      <c r="B26" s="4" t="s">
        <v>56</v>
      </c>
      <c r="C26" s="4" t="s">
        <v>57</v>
      </c>
      <c r="D26" s="4" t="s">
        <v>53</v>
      </c>
      <c r="E26" s="5">
        <v>13250</v>
      </c>
      <c r="F26" s="6">
        <v>66.574624999999997</v>
      </c>
      <c r="G26" s="7">
        <v>1.6953952000000001E-2</v>
      </c>
      <c r="H26" s="69"/>
    </row>
    <row r="27" spans="1:8" x14ac:dyDescent="0.2">
      <c r="A27" s="3">
        <v>21</v>
      </c>
      <c r="B27" s="4" t="s">
        <v>210</v>
      </c>
      <c r="C27" s="4" t="s">
        <v>211</v>
      </c>
      <c r="D27" s="4" t="s">
        <v>53</v>
      </c>
      <c r="E27" s="5">
        <v>6936</v>
      </c>
      <c r="F27" s="6">
        <v>65.742875999999995</v>
      </c>
      <c r="G27" s="7">
        <v>1.6742138E-2</v>
      </c>
      <c r="H27" s="69"/>
    </row>
    <row r="28" spans="1:8" ht="25.5" x14ac:dyDescent="0.2">
      <c r="A28" s="3">
        <v>22</v>
      </c>
      <c r="B28" s="4" t="s">
        <v>463</v>
      </c>
      <c r="C28" s="4" t="s">
        <v>464</v>
      </c>
      <c r="D28" s="4" t="s">
        <v>45</v>
      </c>
      <c r="E28" s="5">
        <v>4269</v>
      </c>
      <c r="F28" s="6">
        <v>64.957104000000001</v>
      </c>
      <c r="G28" s="7">
        <v>1.6542032000000002E-2</v>
      </c>
      <c r="H28" s="69"/>
    </row>
    <row r="29" spans="1:8" x14ac:dyDescent="0.2">
      <c r="A29" s="3">
        <v>23</v>
      </c>
      <c r="B29" s="4" t="s">
        <v>225</v>
      </c>
      <c r="C29" s="4" t="s">
        <v>226</v>
      </c>
      <c r="D29" s="4" t="s">
        <v>204</v>
      </c>
      <c r="E29" s="5">
        <v>12470</v>
      </c>
      <c r="F29" s="6">
        <v>63.428654999999999</v>
      </c>
      <c r="G29" s="7">
        <v>1.6152796000000001E-2</v>
      </c>
      <c r="H29" s="69"/>
    </row>
    <row r="30" spans="1:8" x14ac:dyDescent="0.2">
      <c r="A30" s="3">
        <v>24</v>
      </c>
      <c r="B30" s="4" t="s">
        <v>198</v>
      </c>
      <c r="C30" s="4" t="s">
        <v>199</v>
      </c>
      <c r="D30" s="4" t="s">
        <v>78</v>
      </c>
      <c r="E30" s="5">
        <v>10566</v>
      </c>
      <c r="F30" s="6">
        <v>62.349966000000002</v>
      </c>
      <c r="G30" s="7">
        <v>1.5878096000000001E-2</v>
      </c>
      <c r="H30" s="69"/>
    </row>
    <row r="31" spans="1:8" ht="25.5" x14ac:dyDescent="0.2">
      <c r="A31" s="3">
        <v>25</v>
      </c>
      <c r="B31" s="4" t="s">
        <v>205</v>
      </c>
      <c r="C31" s="4" t="s">
        <v>206</v>
      </c>
      <c r="D31" s="4" t="s">
        <v>207</v>
      </c>
      <c r="E31" s="5">
        <v>14444</v>
      </c>
      <c r="F31" s="6">
        <v>61.661436000000002</v>
      </c>
      <c r="G31" s="7">
        <v>1.5702754999999999E-2</v>
      </c>
      <c r="H31" s="69"/>
    </row>
    <row r="32" spans="1:8" x14ac:dyDescent="0.2">
      <c r="A32" s="3">
        <v>26</v>
      </c>
      <c r="B32" s="4" t="s">
        <v>181</v>
      </c>
      <c r="C32" s="4" t="s">
        <v>182</v>
      </c>
      <c r="D32" s="4" t="s">
        <v>155</v>
      </c>
      <c r="E32" s="5">
        <v>6040</v>
      </c>
      <c r="F32" s="6">
        <v>61.151980000000002</v>
      </c>
      <c r="G32" s="7">
        <v>1.5573016E-2</v>
      </c>
      <c r="H32" s="69"/>
    </row>
    <row r="33" spans="1:8" x14ac:dyDescent="0.2">
      <c r="A33" s="3">
        <v>27</v>
      </c>
      <c r="B33" s="4" t="s">
        <v>216</v>
      </c>
      <c r="C33" s="4" t="s">
        <v>217</v>
      </c>
      <c r="D33" s="4" t="s">
        <v>75</v>
      </c>
      <c r="E33" s="5">
        <v>6741</v>
      </c>
      <c r="F33" s="6">
        <v>59.132052000000002</v>
      </c>
      <c r="G33" s="7">
        <v>1.505862E-2</v>
      </c>
      <c r="H33" s="69"/>
    </row>
    <row r="34" spans="1:8" x14ac:dyDescent="0.2">
      <c r="A34" s="3">
        <v>28</v>
      </c>
      <c r="B34" s="4" t="s">
        <v>212</v>
      </c>
      <c r="C34" s="4" t="s">
        <v>213</v>
      </c>
      <c r="D34" s="4" t="s">
        <v>979</v>
      </c>
      <c r="E34" s="5">
        <v>10548</v>
      </c>
      <c r="F34" s="6">
        <v>57.855780000000003</v>
      </c>
      <c r="G34" s="7">
        <v>1.4733603E-2</v>
      </c>
      <c r="H34" s="69"/>
    </row>
    <row r="35" spans="1:8" x14ac:dyDescent="0.2">
      <c r="A35" s="3">
        <v>29</v>
      </c>
      <c r="B35" s="4" t="s">
        <v>208</v>
      </c>
      <c r="C35" s="4" t="s">
        <v>209</v>
      </c>
      <c r="D35" s="4" t="s">
        <v>78</v>
      </c>
      <c r="E35" s="5">
        <v>114515</v>
      </c>
      <c r="F35" s="6">
        <v>57.486530000000002</v>
      </c>
      <c r="G35" s="7">
        <v>1.4639569999999999E-2</v>
      </c>
      <c r="H35" s="69"/>
    </row>
    <row r="36" spans="1:8" x14ac:dyDescent="0.2">
      <c r="A36" s="3">
        <v>30</v>
      </c>
      <c r="B36" s="4" t="s">
        <v>283</v>
      </c>
      <c r="C36" s="4" t="s">
        <v>284</v>
      </c>
      <c r="D36" s="4" t="s">
        <v>32</v>
      </c>
      <c r="E36" s="5">
        <v>14751</v>
      </c>
      <c r="F36" s="6">
        <v>57.292884000000001</v>
      </c>
      <c r="G36" s="7">
        <v>1.4590255999999999E-2</v>
      </c>
      <c r="H36" s="69"/>
    </row>
    <row r="37" spans="1:8" x14ac:dyDescent="0.2">
      <c r="A37" s="3">
        <v>31</v>
      </c>
      <c r="B37" s="4" t="s">
        <v>237</v>
      </c>
      <c r="C37" s="4" t="s">
        <v>238</v>
      </c>
      <c r="D37" s="4" t="s">
        <v>204</v>
      </c>
      <c r="E37" s="5">
        <v>3496</v>
      </c>
      <c r="F37" s="6">
        <v>57.288952000000002</v>
      </c>
      <c r="G37" s="7">
        <v>1.4589253999999999E-2</v>
      </c>
      <c r="H37" s="69"/>
    </row>
    <row r="38" spans="1:8" x14ac:dyDescent="0.2">
      <c r="A38" s="3">
        <v>32</v>
      </c>
      <c r="B38" s="4" t="s">
        <v>187</v>
      </c>
      <c r="C38" s="4" t="s">
        <v>188</v>
      </c>
      <c r="D38" s="4" t="s">
        <v>978</v>
      </c>
      <c r="E38" s="5">
        <v>6263</v>
      </c>
      <c r="F38" s="6">
        <v>55.969299499999998</v>
      </c>
      <c r="G38" s="7">
        <v>1.4253190000000001E-2</v>
      </c>
      <c r="H38" s="69"/>
    </row>
    <row r="39" spans="1:8" ht="25.5" x14ac:dyDescent="0.2">
      <c r="A39" s="3">
        <v>33</v>
      </c>
      <c r="B39" s="4" t="s">
        <v>233</v>
      </c>
      <c r="C39" s="4" t="s">
        <v>234</v>
      </c>
      <c r="D39" s="4" t="s">
        <v>207</v>
      </c>
      <c r="E39" s="5">
        <v>13540</v>
      </c>
      <c r="F39" s="6">
        <v>54.681289999999997</v>
      </c>
      <c r="G39" s="7">
        <v>1.3925185E-2</v>
      </c>
      <c r="H39" s="69"/>
    </row>
    <row r="40" spans="1:8" x14ac:dyDescent="0.2">
      <c r="A40" s="3">
        <v>34</v>
      </c>
      <c r="B40" s="4" t="s">
        <v>202</v>
      </c>
      <c r="C40" s="4" t="s">
        <v>203</v>
      </c>
      <c r="D40" s="4" t="s">
        <v>204</v>
      </c>
      <c r="E40" s="5">
        <v>13550</v>
      </c>
      <c r="F40" s="6">
        <v>52.601100000000002</v>
      </c>
      <c r="G40" s="7">
        <v>1.3395442E-2</v>
      </c>
      <c r="H40" s="69"/>
    </row>
    <row r="41" spans="1:8" x14ac:dyDescent="0.2">
      <c r="A41" s="3">
        <v>35</v>
      </c>
      <c r="B41" s="4" t="s">
        <v>349</v>
      </c>
      <c r="C41" s="4" t="s">
        <v>350</v>
      </c>
      <c r="D41" s="4" t="s">
        <v>160</v>
      </c>
      <c r="E41" s="5">
        <v>1151</v>
      </c>
      <c r="F41" s="6">
        <v>51.478475000000003</v>
      </c>
      <c r="G41" s="7">
        <v>1.3109552999999999E-2</v>
      </c>
      <c r="H41" s="69"/>
    </row>
    <row r="42" spans="1:8" ht="25.5" x14ac:dyDescent="0.2">
      <c r="A42" s="3">
        <v>36</v>
      </c>
      <c r="B42" s="4" t="s">
        <v>239</v>
      </c>
      <c r="C42" s="4" t="s">
        <v>240</v>
      </c>
      <c r="D42" s="4" t="s">
        <v>980</v>
      </c>
      <c r="E42" s="5">
        <v>49629</v>
      </c>
      <c r="F42" s="6">
        <v>49.678629000000001</v>
      </c>
      <c r="G42" s="7">
        <v>1.2651203E-2</v>
      </c>
      <c r="H42" s="69"/>
    </row>
    <row r="43" spans="1:8" x14ac:dyDescent="0.2">
      <c r="A43" s="3">
        <v>37</v>
      </c>
      <c r="B43" s="4" t="s">
        <v>219</v>
      </c>
      <c r="C43" s="4" t="s">
        <v>220</v>
      </c>
      <c r="D43" s="4" t="s">
        <v>221</v>
      </c>
      <c r="E43" s="5">
        <v>23472</v>
      </c>
      <c r="F43" s="6">
        <v>49.385088000000003</v>
      </c>
      <c r="G43" s="7">
        <v>1.2576449E-2</v>
      </c>
      <c r="H43" s="69"/>
    </row>
    <row r="44" spans="1:8" x14ac:dyDescent="0.2">
      <c r="A44" s="3">
        <v>38</v>
      </c>
      <c r="B44" s="4" t="s">
        <v>255</v>
      </c>
      <c r="C44" s="4" t="s">
        <v>256</v>
      </c>
      <c r="D44" s="4" t="s">
        <v>257</v>
      </c>
      <c r="E44" s="5">
        <v>20978</v>
      </c>
      <c r="F44" s="6">
        <v>46.655071999999997</v>
      </c>
      <c r="G44" s="7">
        <v>1.1881221000000001E-2</v>
      </c>
      <c r="H44" s="69"/>
    </row>
    <row r="45" spans="1:8" x14ac:dyDescent="0.2">
      <c r="A45" s="3">
        <v>39</v>
      </c>
      <c r="B45" s="4" t="s">
        <v>214</v>
      </c>
      <c r="C45" s="4" t="s">
        <v>215</v>
      </c>
      <c r="D45" s="4" t="s">
        <v>979</v>
      </c>
      <c r="E45" s="5">
        <v>4452</v>
      </c>
      <c r="F45" s="6">
        <v>45.425981999999998</v>
      </c>
      <c r="G45" s="7">
        <v>1.1568220000000001E-2</v>
      </c>
      <c r="H45" s="69"/>
    </row>
    <row r="46" spans="1:8" ht="25.5" x14ac:dyDescent="0.2">
      <c r="A46" s="3">
        <v>40</v>
      </c>
      <c r="B46" s="4" t="s">
        <v>222</v>
      </c>
      <c r="C46" s="4" t="s">
        <v>223</v>
      </c>
      <c r="D46" s="4" t="s">
        <v>207</v>
      </c>
      <c r="E46" s="5">
        <v>9101</v>
      </c>
      <c r="F46" s="6">
        <v>42.451614499999998</v>
      </c>
      <c r="G46" s="7">
        <v>1.0810765E-2</v>
      </c>
      <c r="H46" s="69"/>
    </row>
    <row r="47" spans="1:8" x14ac:dyDescent="0.2">
      <c r="A47" s="3">
        <v>41</v>
      </c>
      <c r="B47" s="4" t="s">
        <v>235</v>
      </c>
      <c r="C47" s="4" t="s">
        <v>236</v>
      </c>
      <c r="D47" s="4" t="s">
        <v>160</v>
      </c>
      <c r="E47" s="5">
        <v>11027</v>
      </c>
      <c r="F47" s="6">
        <v>41.400871500000001</v>
      </c>
      <c r="G47" s="7">
        <v>1.0543182E-2</v>
      </c>
      <c r="H47" s="69"/>
    </row>
    <row r="48" spans="1:8" x14ac:dyDescent="0.2">
      <c r="A48" s="3">
        <v>42</v>
      </c>
      <c r="B48" s="4" t="s">
        <v>227</v>
      </c>
      <c r="C48" s="4" t="s">
        <v>228</v>
      </c>
      <c r="D48" s="4" t="s">
        <v>976</v>
      </c>
      <c r="E48" s="5">
        <v>2499</v>
      </c>
      <c r="F48" s="6">
        <v>39.960259499999999</v>
      </c>
      <c r="G48" s="7">
        <v>1.0176314000000001E-2</v>
      </c>
      <c r="H48" s="69"/>
    </row>
    <row r="49" spans="1:8" x14ac:dyDescent="0.2">
      <c r="A49" s="3">
        <v>43</v>
      </c>
      <c r="B49" s="4" t="s">
        <v>477</v>
      </c>
      <c r="C49" s="4" t="s">
        <v>478</v>
      </c>
      <c r="D49" s="4" t="s">
        <v>204</v>
      </c>
      <c r="E49" s="5">
        <v>7830</v>
      </c>
      <c r="F49" s="6">
        <v>39.541499999999999</v>
      </c>
      <c r="G49" s="7">
        <v>1.0069672999999999E-2</v>
      </c>
      <c r="H49" s="69"/>
    </row>
    <row r="50" spans="1:8" x14ac:dyDescent="0.2">
      <c r="A50" s="3">
        <v>44</v>
      </c>
      <c r="B50" s="4" t="s">
        <v>295</v>
      </c>
      <c r="C50" s="4" t="s">
        <v>296</v>
      </c>
      <c r="D50" s="4" t="s">
        <v>27</v>
      </c>
      <c r="E50" s="5">
        <v>3361</v>
      </c>
      <c r="F50" s="6">
        <v>39.464861999999997</v>
      </c>
      <c r="G50" s="7">
        <v>1.0050155999999999E-2</v>
      </c>
      <c r="H50" s="69"/>
    </row>
    <row r="51" spans="1:8" x14ac:dyDescent="0.2">
      <c r="A51" s="3">
        <v>45</v>
      </c>
      <c r="B51" s="4" t="s">
        <v>465</v>
      </c>
      <c r="C51" s="4" t="s">
        <v>466</v>
      </c>
      <c r="D51" s="4" t="s">
        <v>48</v>
      </c>
      <c r="E51" s="5">
        <v>5730</v>
      </c>
      <c r="F51" s="6">
        <v>39.345044999999999</v>
      </c>
      <c r="G51" s="7">
        <v>1.0019643E-2</v>
      </c>
      <c r="H51" s="69"/>
    </row>
    <row r="52" spans="1:8" x14ac:dyDescent="0.2">
      <c r="A52" s="3">
        <v>46</v>
      </c>
      <c r="B52" s="4" t="s">
        <v>183</v>
      </c>
      <c r="C52" s="4" t="s">
        <v>184</v>
      </c>
      <c r="D52" s="4" t="s">
        <v>75</v>
      </c>
      <c r="E52" s="5">
        <v>4052</v>
      </c>
      <c r="F52" s="6">
        <v>38.554780000000001</v>
      </c>
      <c r="G52" s="7">
        <v>9.8183939999999994E-3</v>
      </c>
      <c r="H52" s="69"/>
    </row>
    <row r="53" spans="1:8" x14ac:dyDescent="0.2">
      <c r="A53" s="3">
        <v>47</v>
      </c>
      <c r="B53" s="4" t="s">
        <v>200</v>
      </c>
      <c r="C53" s="4" t="s">
        <v>201</v>
      </c>
      <c r="D53" s="4" t="s">
        <v>27</v>
      </c>
      <c r="E53" s="5">
        <v>1901</v>
      </c>
      <c r="F53" s="6">
        <v>38.417309000000003</v>
      </c>
      <c r="G53" s="7">
        <v>9.7833850000000003E-3</v>
      </c>
      <c r="H53" s="69"/>
    </row>
    <row r="54" spans="1:8" ht="25.5" x14ac:dyDescent="0.2">
      <c r="A54" s="3">
        <v>48</v>
      </c>
      <c r="B54" s="4" t="s">
        <v>189</v>
      </c>
      <c r="C54" s="4" t="s">
        <v>190</v>
      </c>
      <c r="D54" s="4" t="s">
        <v>974</v>
      </c>
      <c r="E54" s="5">
        <v>17243</v>
      </c>
      <c r="F54" s="6">
        <v>38.055301</v>
      </c>
      <c r="G54" s="7">
        <v>9.6911959999999991E-3</v>
      </c>
      <c r="H54" s="69"/>
    </row>
    <row r="55" spans="1:8" ht="25.5" x14ac:dyDescent="0.2">
      <c r="A55" s="3">
        <v>49</v>
      </c>
      <c r="B55" s="4" t="s">
        <v>218</v>
      </c>
      <c r="C55" s="4" t="s">
        <v>869</v>
      </c>
      <c r="D55" s="4" t="s">
        <v>45</v>
      </c>
      <c r="E55" s="5">
        <v>17679</v>
      </c>
      <c r="F55" s="6">
        <v>36.754640999999999</v>
      </c>
      <c r="G55" s="7">
        <v>9.3599689999999992E-3</v>
      </c>
      <c r="H55" s="69"/>
    </row>
    <row r="56" spans="1:8" x14ac:dyDescent="0.2">
      <c r="A56" s="3">
        <v>50</v>
      </c>
      <c r="B56" s="4" t="s">
        <v>262</v>
      </c>
      <c r="C56" s="4" t="s">
        <v>263</v>
      </c>
      <c r="D56" s="4" t="s">
        <v>22</v>
      </c>
      <c r="E56" s="5">
        <v>44477</v>
      </c>
      <c r="F56" s="6">
        <v>36.493378499999999</v>
      </c>
      <c r="G56" s="7">
        <v>9.2934349999999992E-3</v>
      </c>
      <c r="H56" s="69"/>
    </row>
    <row r="57" spans="1:8" x14ac:dyDescent="0.2">
      <c r="A57" s="3">
        <v>51</v>
      </c>
      <c r="B57" s="4" t="s">
        <v>161</v>
      </c>
      <c r="C57" s="4" t="s">
        <v>162</v>
      </c>
      <c r="D57" s="4" t="s">
        <v>22</v>
      </c>
      <c r="E57" s="5">
        <v>19874</v>
      </c>
      <c r="F57" s="6">
        <v>36.299861</v>
      </c>
      <c r="G57" s="7">
        <v>9.2441539999999992E-3</v>
      </c>
      <c r="H57" s="69"/>
    </row>
    <row r="58" spans="1:8" x14ac:dyDescent="0.2">
      <c r="A58" s="3">
        <v>52</v>
      </c>
      <c r="B58" s="4" t="s">
        <v>467</v>
      </c>
      <c r="C58" s="4" t="s">
        <v>468</v>
      </c>
      <c r="D58" s="4" t="s">
        <v>27</v>
      </c>
      <c r="E58" s="5">
        <v>3895</v>
      </c>
      <c r="F58" s="6">
        <v>35.744414999999996</v>
      </c>
      <c r="G58" s="7">
        <v>9.1027039999999997E-3</v>
      </c>
      <c r="H58" s="69"/>
    </row>
    <row r="59" spans="1:8" x14ac:dyDescent="0.2">
      <c r="A59" s="3">
        <v>53</v>
      </c>
      <c r="B59" s="4" t="s">
        <v>253</v>
      </c>
      <c r="C59" s="4" t="s">
        <v>254</v>
      </c>
      <c r="D59" s="4" t="s">
        <v>65</v>
      </c>
      <c r="E59" s="5">
        <v>3908</v>
      </c>
      <c r="F59" s="6">
        <v>33.413400000000003</v>
      </c>
      <c r="G59" s="7">
        <v>8.5090849999999996E-3</v>
      </c>
      <c r="H59" s="69"/>
    </row>
    <row r="60" spans="1:8" x14ac:dyDescent="0.2">
      <c r="A60" s="3">
        <v>54</v>
      </c>
      <c r="B60" s="4" t="s">
        <v>167</v>
      </c>
      <c r="C60" s="4" t="s">
        <v>168</v>
      </c>
      <c r="D60" s="4" t="s">
        <v>976</v>
      </c>
      <c r="E60" s="5">
        <v>3250</v>
      </c>
      <c r="F60" s="6">
        <v>32.963124999999998</v>
      </c>
      <c r="G60" s="7">
        <v>8.3944180000000007E-3</v>
      </c>
      <c r="H60" s="69"/>
    </row>
    <row r="61" spans="1:8" x14ac:dyDescent="0.2">
      <c r="A61" s="3">
        <v>55</v>
      </c>
      <c r="B61" s="4" t="s">
        <v>251</v>
      </c>
      <c r="C61" s="4" t="s">
        <v>252</v>
      </c>
      <c r="D61" s="4" t="s">
        <v>160</v>
      </c>
      <c r="E61" s="5">
        <v>5643</v>
      </c>
      <c r="F61" s="6">
        <v>32.814045</v>
      </c>
      <c r="G61" s="7">
        <v>8.3564529999999998E-3</v>
      </c>
      <c r="H61" s="69"/>
    </row>
    <row r="62" spans="1:8" x14ac:dyDescent="0.2">
      <c r="A62" s="3">
        <v>56</v>
      </c>
      <c r="B62" s="4" t="s">
        <v>471</v>
      </c>
      <c r="C62" s="4" t="s">
        <v>472</v>
      </c>
      <c r="D62" s="4" t="s">
        <v>78</v>
      </c>
      <c r="E62" s="5">
        <v>6433</v>
      </c>
      <c r="F62" s="6">
        <v>32.380505499999998</v>
      </c>
      <c r="G62" s="7">
        <v>8.2460480000000006E-3</v>
      </c>
      <c r="H62" s="69"/>
    </row>
    <row r="63" spans="1:8" x14ac:dyDescent="0.2">
      <c r="A63" s="3">
        <v>57</v>
      </c>
      <c r="B63" s="4" t="s">
        <v>260</v>
      </c>
      <c r="C63" s="4" t="s">
        <v>261</v>
      </c>
      <c r="D63" s="4" t="s">
        <v>204</v>
      </c>
      <c r="E63" s="5">
        <v>596</v>
      </c>
      <c r="F63" s="6">
        <v>31.735212000000001</v>
      </c>
      <c r="G63" s="7">
        <v>8.0817170000000004E-3</v>
      </c>
      <c r="H63" s="69"/>
    </row>
    <row r="64" spans="1:8" x14ac:dyDescent="0.2">
      <c r="A64" s="3">
        <v>58</v>
      </c>
      <c r="B64" s="4" t="s">
        <v>278</v>
      </c>
      <c r="C64" s="4" t="s">
        <v>279</v>
      </c>
      <c r="D64" s="4" t="s">
        <v>144</v>
      </c>
      <c r="E64" s="5">
        <v>2348</v>
      </c>
      <c r="F64" s="6">
        <v>23.679580000000001</v>
      </c>
      <c r="G64" s="7">
        <v>6.0302619999999998E-3</v>
      </c>
      <c r="H64" s="69"/>
    </row>
    <row r="65" spans="1:8" x14ac:dyDescent="0.2">
      <c r="A65" s="3">
        <v>59</v>
      </c>
      <c r="B65" s="4" t="s">
        <v>276</v>
      </c>
      <c r="C65" s="4" t="s">
        <v>277</v>
      </c>
      <c r="D65" s="4" t="s">
        <v>204</v>
      </c>
      <c r="E65" s="5">
        <v>8117</v>
      </c>
      <c r="F65" s="6">
        <v>22.9914025</v>
      </c>
      <c r="G65" s="7">
        <v>5.8550110000000002E-3</v>
      </c>
      <c r="H65" s="69"/>
    </row>
    <row r="66" spans="1:8" x14ac:dyDescent="0.2">
      <c r="A66" s="3">
        <v>60</v>
      </c>
      <c r="B66" s="4" t="s">
        <v>270</v>
      </c>
      <c r="C66" s="4" t="s">
        <v>271</v>
      </c>
      <c r="D66" s="4" t="s">
        <v>144</v>
      </c>
      <c r="E66" s="5">
        <v>3797</v>
      </c>
      <c r="F66" s="6">
        <v>21.741622</v>
      </c>
      <c r="G66" s="7">
        <v>5.5367400000000001E-3</v>
      </c>
      <c r="H66" s="69"/>
    </row>
    <row r="67" spans="1:8" x14ac:dyDescent="0.2">
      <c r="A67" s="3">
        <v>61</v>
      </c>
      <c r="B67" s="4" t="s">
        <v>249</v>
      </c>
      <c r="C67" s="4" t="s">
        <v>250</v>
      </c>
      <c r="D67" s="4" t="s">
        <v>334</v>
      </c>
      <c r="E67" s="5">
        <v>2232</v>
      </c>
      <c r="F67" s="6">
        <v>20.514312</v>
      </c>
      <c r="G67" s="7">
        <v>5.2241930000000002E-3</v>
      </c>
      <c r="H67" s="69"/>
    </row>
    <row r="68" spans="1:8" x14ac:dyDescent="0.2">
      <c r="A68" s="3">
        <v>62</v>
      </c>
      <c r="B68" s="4" t="s">
        <v>274</v>
      </c>
      <c r="C68" s="4" t="s">
        <v>275</v>
      </c>
      <c r="D68" s="4" t="s">
        <v>155</v>
      </c>
      <c r="E68" s="5">
        <v>4487</v>
      </c>
      <c r="F68" s="6">
        <v>17.079765500000001</v>
      </c>
      <c r="G68" s="7">
        <v>4.349548E-3</v>
      </c>
      <c r="H68" s="69"/>
    </row>
    <row r="69" spans="1:8" x14ac:dyDescent="0.2">
      <c r="A69" s="3">
        <v>63</v>
      </c>
      <c r="B69" s="4" t="s">
        <v>473</v>
      </c>
      <c r="C69" s="4" t="s">
        <v>474</v>
      </c>
      <c r="D69" s="4" t="s">
        <v>976</v>
      </c>
      <c r="E69" s="5">
        <v>5902</v>
      </c>
      <c r="F69" s="6">
        <v>4.9901410000000004</v>
      </c>
      <c r="G69" s="7">
        <v>1.270794E-3</v>
      </c>
      <c r="H69" s="69"/>
    </row>
    <row r="70" spans="1:8" x14ac:dyDescent="0.2">
      <c r="A70" s="3">
        <v>64</v>
      </c>
      <c r="B70" s="4" t="s">
        <v>289</v>
      </c>
      <c r="C70" s="4" t="s">
        <v>290</v>
      </c>
      <c r="D70" s="4" t="s">
        <v>27</v>
      </c>
      <c r="E70" s="5">
        <v>11</v>
      </c>
      <c r="F70" s="6">
        <v>3.7273500000000001E-2</v>
      </c>
      <c r="G70" s="8" t="s">
        <v>94</v>
      </c>
      <c r="H70" s="69"/>
    </row>
    <row r="71" spans="1:8" x14ac:dyDescent="0.2">
      <c r="A71" s="1"/>
      <c r="B71" s="1"/>
      <c r="C71" s="2" t="s">
        <v>95</v>
      </c>
      <c r="D71" s="1"/>
      <c r="E71" s="1" t="s">
        <v>96</v>
      </c>
      <c r="F71" s="9">
        <v>3824.7260875000002</v>
      </c>
      <c r="G71" s="10">
        <v>0.97400806600000001</v>
      </c>
      <c r="H71" s="69"/>
    </row>
    <row r="72" spans="1:8" x14ac:dyDescent="0.2">
      <c r="A72" s="1"/>
      <c r="B72" s="1"/>
      <c r="C72" s="11"/>
      <c r="D72" s="1"/>
      <c r="E72" s="1"/>
      <c r="F72" s="12"/>
      <c r="G72" s="12"/>
      <c r="H72" s="69"/>
    </row>
    <row r="73" spans="1:8" x14ac:dyDescent="0.2">
      <c r="A73" s="1"/>
      <c r="B73" s="1"/>
      <c r="C73" s="2" t="s">
        <v>97</v>
      </c>
      <c r="D73" s="1"/>
      <c r="E73" s="1"/>
      <c r="F73" s="1"/>
      <c r="G73" s="1"/>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98</v>
      </c>
      <c r="D76" s="1"/>
      <c r="E76" s="1"/>
      <c r="F76" s="1"/>
      <c r="G76" s="1"/>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99</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100</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101</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102</v>
      </c>
      <c r="D88" s="1"/>
      <c r="E88" s="1"/>
      <c r="F88" s="9">
        <v>3824.7260875000002</v>
      </c>
      <c r="G88" s="10">
        <v>0.97400806600000001</v>
      </c>
      <c r="H88" s="69"/>
    </row>
    <row r="89" spans="1:8" x14ac:dyDescent="0.2">
      <c r="A89" s="1"/>
      <c r="B89" s="1"/>
      <c r="C89" s="11"/>
      <c r="D89" s="1"/>
      <c r="E89" s="1"/>
      <c r="F89" s="12"/>
      <c r="G89" s="12"/>
      <c r="H89" s="69"/>
    </row>
    <row r="90" spans="1:8" x14ac:dyDescent="0.2">
      <c r="A90" s="1"/>
      <c r="B90" s="1"/>
      <c r="C90" s="2" t="s">
        <v>103</v>
      </c>
      <c r="D90" s="1"/>
      <c r="E90" s="1"/>
      <c r="F90" s="12"/>
      <c r="G90" s="12"/>
      <c r="H90" s="69"/>
    </row>
    <row r="91" spans="1:8" ht="25.5" x14ac:dyDescent="0.2">
      <c r="A91" s="1"/>
      <c r="B91" s="1"/>
      <c r="C91" s="2" t="s">
        <v>10</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104</v>
      </c>
      <c r="D94" s="1"/>
      <c r="E94" s="1"/>
      <c r="F94" s="1"/>
      <c r="G94" s="1"/>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105</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106</v>
      </c>
      <c r="D100" s="1"/>
      <c r="E100" s="1"/>
      <c r="F100" s="12"/>
      <c r="G100" s="12"/>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107</v>
      </c>
      <c r="D103" s="1"/>
      <c r="E103" s="1"/>
      <c r="F103" s="9">
        <v>0</v>
      </c>
      <c r="G103" s="10">
        <v>0</v>
      </c>
      <c r="H103" s="69"/>
    </row>
    <row r="104" spans="1:8" x14ac:dyDescent="0.2">
      <c r="A104" s="1"/>
      <c r="B104" s="1"/>
      <c r="C104" s="11"/>
      <c r="D104" s="1"/>
      <c r="E104" s="1"/>
      <c r="F104" s="12"/>
      <c r="G104" s="12"/>
      <c r="H104" s="69"/>
    </row>
    <row r="105" spans="1:8" x14ac:dyDescent="0.2">
      <c r="A105" s="1"/>
      <c r="B105" s="1"/>
      <c r="C105" s="2" t="s">
        <v>108</v>
      </c>
      <c r="D105" s="1"/>
      <c r="E105" s="1"/>
      <c r="F105" s="12"/>
      <c r="G105" s="12"/>
      <c r="H105" s="69"/>
    </row>
    <row r="106" spans="1:8" x14ac:dyDescent="0.2">
      <c r="A106" s="1"/>
      <c r="B106" s="1"/>
      <c r="C106" s="2" t="s">
        <v>109</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110</v>
      </c>
      <c r="D109" s="1"/>
      <c r="E109" s="1"/>
      <c r="F109" s="12"/>
      <c r="G109" s="12"/>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111</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112</v>
      </c>
      <c r="D115" s="1"/>
      <c r="E115" s="1"/>
      <c r="F115" s="12"/>
      <c r="G115" s="12"/>
      <c r="H115" s="69"/>
    </row>
    <row r="116" spans="1:8" x14ac:dyDescent="0.2">
      <c r="A116" s="3">
        <v>1</v>
      </c>
      <c r="B116" s="4"/>
      <c r="C116" s="4" t="s">
        <v>113</v>
      </c>
      <c r="D116" s="4"/>
      <c r="E116" s="8"/>
      <c r="F116" s="6">
        <v>90.2458855</v>
      </c>
      <c r="G116" s="7">
        <v>2.2982096E-2</v>
      </c>
      <c r="H116" s="6">
        <v>3.3628721504199861</v>
      </c>
    </row>
    <row r="117" spans="1:8" x14ac:dyDescent="0.2">
      <c r="A117" s="3">
        <v>2</v>
      </c>
      <c r="B117" s="4"/>
      <c r="C117" s="4" t="s">
        <v>114</v>
      </c>
      <c r="D117" s="4"/>
      <c r="E117" s="8"/>
      <c r="F117" s="6">
        <v>34.852084400000003</v>
      </c>
      <c r="G117" s="7">
        <v>8.8754620000000006E-3</v>
      </c>
      <c r="H117" s="6">
        <v>3.4499999999999966</v>
      </c>
    </row>
    <row r="118" spans="1:8" x14ac:dyDescent="0.2">
      <c r="A118" s="1"/>
      <c r="B118" s="1"/>
      <c r="C118" s="2" t="s">
        <v>95</v>
      </c>
      <c r="D118" s="1"/>
      <c r="E118" s="1" t="s">
        <v>96</v>
      </c>
      <c r="F118" s="9">
        <v>125.0979699</v>
      </c>
      <c r="G118" s="10">
        <v>3.1857558000000001E-2</v>
      </c>
      <c r="H118" s="69"/>
    </row>
    <row r="119" spans="1:8" x14ac:dyDescent="0.2">
      <c r="A119" s="1"/>
      <c r="B119" s="1"/>
      <c r="C119" s="11"/>
      <c r="D119" s="1"/>
      <c r="E119" s="1"/>
      <c r="F119" s="12"/>
      <c r="G119" s="12"/>
      <c r="H119" s="69"/>
    </row>
    <row r="120" spans="1:8" x14ac:dyDescent="0.2">
      <c r="A120" s="1"/>
      <c r="B120" s="1"/>
      <c r="C120" s="2" t="s">
        <v>115</v>
      </c>
      <c r="D120" s="1"/>
      <c r="E120" s="1"/>
      <c r="F120" s="9">
        <v>125.0979699</v>
      </c>
      <c r="G120" s="10">
        <v>3.1857558000000001E-2</v>
      </c>
      <c r="H120" s="69"/>
    </row>
    <row r="121" spans="1:8" x14ac:dyDescent="0.2">
      <c r="A121" s="1"/>
      <c r="B121" s="1"/>
      <c r="C121" s="12"/>
      <c r="D121" s="1"/>
      <c r="E121" s="1"/>
      <c r="F121" s="1"/>
      <c r="G121" s="1"/>
      <c r="H121" s="69"/>
    </row>
    <row r="122" spans="1:8" x14ac:dyDescent="0.2">
      <c r="A122" s="1"/>
      <c r="B122" s="1"/>
      <c r="C122" s="2" t="s">
        <v>116</v>
      </c>
      <c r="D122" s="1"/>
      <c r="E122" s="1"/>
      <c r="F122" s="1"/>
      <c r="G122" s="1"/>
      <c r="H122" s="69"/>
    </row>
    <row r="123" spans="1:8" x14ac:dyDescent="0.2">
      <c r="A123" s="1"/>
      <c r="B123" s="1"/>
      <c r="C123" s="2" t="s">
        <v>117</v>
      </c>
      <c r="D123" s="1"/>
      <c r="E123" s="1"/>
      <c r="F123" s="1"/>
      <c r="G123" s="1"/>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118</v>
      </c>
      <c r="D126" s="1"/>
      <c r="E126" s="1"/>
      <c r="F126" s="1"/>
      <c r="G126" s="1"/>
      <c r="H126" s="69"/>
    </row>
    <row r="127" spans="1:8" x14ac:dyDescent="0.2">
      <c r="A127" s="1"/>
      <c r="B127" s="1"/>
      <c r="C127" s="2" t="s">
        <v>119</v>
      </c>
      <c r="D127" s="1"/>
      <c r="E127" s="1"/>
      <c r="F127" s="1"/>
      <c r="G127" s="1"/>
      <c r="H127" s="69"/>
    </row>
    <row r="128" spans="1:8" x14ac:dyDescent="0.2">
      <c r="A128" s="1"/>
      <c r="B128" s="1"/>
      <c r="C128" s="2" t="s">
        <v>95</v>
      </c>
      <c r="D128" s="1"/>
      <c r="E128" s="1" t="s">
        <v>96</v>
      </c>
      <c r="F128" s="13">
        <v>0</v>
      </c>
      <c r="G128" s="14">
        <v>0</v>
      </c>
      <c r="H128" s="69"/>
    </row>
    <row r="129" spans="1:8" x14ac:dyDescent="0.2">
      <c r="A129" s="1"/>
      <c r="B129" s="1"/>
      <c r="C129" s="11"/>
      <c r="D129" s="1"/>
      <c r="E129" s="1"/>
      <c r="F129" s="12"/>
      <c r="G129" s="12"/>
      <c r="H129" s="69"/>
    </row>
    <row r="130" spans="1:8" x14ac:dyDescent="0.2">
      <c r="A130" s="1"/>
      <c r="B130" s="1"/>
      <c r="C130" s="11"/>
      <c r="D130" s="1"/>
      <c r="E130" s="1"/>
      <c r="F130" s="12"/>
      <c r="G130" s="12"/>
      <c r="H130" s="69"/>
    </row>
    <row r="131" spans="1:8" ht="25.5" x14ac:dyDescent="0.2">
      <c r="A131" s="1"/>
      <c r="B131" s="1"/>
      <c r="C131" s="2" t="s">
        <v>120</v>
      </c>
      <c r="D131" s="1"/>
      <c r="E131" s="1"/>
      <c r="F131" s="12"/>
      <c r="G131" s="12"/>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4"/>
      <c r="C134" s="4"/>
      <c r="D134" s="2"/>
      <c r="E134" s="1"/>
      <c r="F134" s="4"/>
      <c r="G134" s="8"/>
      <c r="H134" s="69"/>
    </row>
    <row r="135" spans="1:8" x14ac:dyDescent="0.2">
      <c r="A135" s="8"/>
      <c r="B135" s="4"/>
      <c r="C135" s="4" t="s">
        <v>121</v>
      </c>
      <c r="D135" s="4"/>
      <c r="E135" s="8"/>
      <c r="F135" s="6">
        <v>-23.033077590000001</v>
      </c>
      <c r="G135" s="7">
        <v>-5.8656239999999998E-3</v>
      </c>
      <c r="H135" s="69"/>
    </row>
    <row r="136" spans="1:8" x14ac:dyDescent="0.2">
      <c r="A136" s="11"/>
      <c r="B136" s="11"/>
      <c r="C136" s="2" t="s">
        <v>122</v>
      </c>
      <c r="D136" s="15"/>
      <c r="E136" s="15"/>
      <c r="F136" s="9">
        <v>3926.79097981</v>
      </c>
      <c r="G136" s="10">
        <v>1</v>
      </c>
      <c r="H136" s="69"/>
    </row>
    <row r="137" spans="1:8" ht="14.1" customHeight="1" x14ac:dyDescent="0.2">
      <c r="A137" s="16"/>
      <c r="B137" s="16"/>
      <c r="C137" s="16"/>
      <c r="D137" s="17"/>
      <c r="E137" s="17"/>
      <c r="F137" s="17"/>
      <c r="G137" s="17"/>
    </row>
    <row r="138" spans="1:8" ht="14.1" customHeight="1" x14ac:dyDescent="0.2">
      <c r="A138" s="18"/>
      <c r="B138" s="176" t="s">
        <v>96</v>
      </c>
      <c r="C138" s="176"/>
      <c r="D138" s="176"/>
      <c r="E138" s="176"/>
      <c r="F138" s="176"/>
      <c r="G138" s="20"/>
    </row>
    <row r="139" spans="1:8" ht="17.100000000000001" customHeight="1" x14ac:dyDescent="0.2">
      <c r="A139" s="18"/>
      <c r="B139" s="176" t="s">
        <v>123</v>
      </c>
      <c r="C139" s="176"/>
      <c r="D139" s="176"/>
      <c r="E139" s="176"/>
      <c r="F139" s="176"/>
      <c r="G139" s="20"/>
    </row>
    <row r="140" spans="1:8" ht="14.1" customHeight="1" x14ac:dyDescent="0.2">
      <c r="A140" s="18"/>
      <c r="B140" s="18"/>
      <c r="C140" s="18"/>
      <c r="D140" s="20"/>
      <c r="E140" s="20"/>
      <c r="F140" s="20"/>
      <c r="G140" s="20"/>
    </row>
    <row r="141" spans="1:8" ht="14.1" customHeight="1" x14ac:dyDescent="0.2">
      <c r="A141" s="18"/>
      <c r="B141" s="174" t="s">
        <v>124</v>
      </c>
      <c r="C141" s="175"/>
      <c r="D141" s="12" t="s">
        <v>96</v>
      </c>
      <c r="E141" s="21"/>
      <c r="F141" s="20"/>
      <c r="G141" s="20"/>
    </row>
    <row r="142" spans="1:8" ht="29.1" customHeight="1" x14ac:dyDescent="0.2">
      <c r="A142" s="18"/>
      <c r="B142" s="172" t="s">
        <v>125</v>
      </c>
      <c r="C142" s="173"/>
      <c r="D142" s="2" t="s">
        <v>126</v>
      </c>
      <c r="E142" s="21"/>
      <c r="F142" s="20"/>
      <c r="G142" s="20"/>
    </row>
    <row r="143" spans="1:8" ht="17.100000000000001" customHeight="1" x14ac:dyDescent="0.2">
      <c r="A143" s="18"/>
      <c r="B143" s="172" t="s">
        <v>127</v>
      </c>
      <c r="C143" s="173"/>
      <c r="D143" s="2" t="s">
        <v>126</v>
      </c>
      <c r="E143" s="21"/>
      <c r="F143" s="20"/>
      <c r="G143" s="20"/>
    </row>
    <row r="144" spans="1:8" ht="17.100000000000001" customHeight="1" x14ac:dyDescent="0.2">
      <c r="A144" s="18"/>
      <c r="B144" s="172" t="s">
        <v>128</v>
      </c>
      <c r="C144" s="173"/>
      <c r="D144" s="12" t="s">
        <v>96</v>
      </c>
      <c r="E144" s="21"/>
      <c r="F144" s="20"/>
      <c r="G144" s="20"/>
    </row>
    <row r="145" spans="1:16" ht="24" customHeight="1" x14ac:dyDescent="0.2">
      <c r="A145" s="22"/>
      <c r="B145" s="23" t="s">
        <v>96</v>
      </c>
      <c r="C145" s="23" t="s">
        <v>129</v>
      </c>
      <c r="D145" s="23" t="s">
        <v>130</v>
      </c>
      <c r="E145" s="22"/>
      <c r="F145" s="22"/>
      <c r="G145" s="22"/>
    </row>
    <row r="146" spans="1:16" ht="18" customHeight="1" x14ac:dyDescent="0.2">
      <c r="A146" s="22"/>
      <c r="B146" s="23" t="s">
        <v>131</v>
      </c>
      <c r="C146" s="23" t="s">
        <v>132</v>
      </c>
      <c r="D146" s="23" t="s">
        <v>133</v>
      </c>
      <c r="E146" s="22"/>
      <c r="F146" s="22"/>
      <c r="G146" s="22"/>
    </row>
    <row r="147" spans="1:16" ht="17.100000000000001" customHeight="1" x14ac:dyDescent="0.2">
      <c r="A147" s="22"/>
      <c r="B147" s="4" t="s">
        <v>134</v>
      </c>
      <c r="C147" s="24">
        <v>15.2775</v>
      </c>
      <c r="D147" s="24">
        <v>15.2921</v>
      </c>
      <c r="E147" s="22"/>
      <c r="F147" s="19"/>
      <c r="G147" s="25"/>
    </row>
    <row r="148" spans="1:16" ht="17.100000000000001" customHeight="1" x14ac:dyDescent="0.2">
      <c r="A148" s="22"/>
      <c r="B148" s="4" t="s">
        <v>983</v>
      </c>
      <c r="C148" s="24">
        <v>15.2774</v>
      </c>
      <c r="D148" s="24">
        <v>15.2921</v>
      </c>
      <c r="E148" s="22"/>
      <c r="F148" s="19"/>
      <c r="G148" s="25"/>
    </row>
    <row r="149" spans="1:16" ht="17.100000000000001" customHeight="1" x14ac:dyDescent="0.2">
      <c r="A149" s="22"/>
      <c r="B149" s="4" t="s">
        <v>135</v>
      </c>
      <c r="C149" s="24">
        <v>14.922499999999999</v>
      </c>
      <c r="D149" s="24">
        <v>14.931900000000001</v>
      </c>
      <c r="E149" s="22"/>
      <c r="F149" s="19"/>
      <c r="G149" s="25"/>
    </row>
    <row r="150" spans="1:16" ht="17.100000000000001" customHeight="1" x14ac:dyDescent="0.2">
      <c r="A150" s="22"/>
      <c r="B150" s="4" t="s">
        <v>984</v>
      </c>
      <c r="C150" s="24">
        <v>14.922499999999999</v>
      </c>
      <c r="D150" s="24">
        <v>14.931900000000001</v>
      </c>
      <c r="E150" s="22"/>
      <c r="F150" s="19"/>
      <c r="G150" s="25"/>
    </row>
    <row r="151" spans="1:16" ht="14.1" customHeight="1" x14ac:dyDescent="0.2">
      <c r="A151" s="22"/>
      <c r="B151" s="22"/>
      <c r="C151" s="22"/>
      <c r="D151" s="22"/>
      <c r="E151" s="22"/>
      <c r="F151" s="22"/>
      <c r="G151" s="22"/>
    </row>
    <row r="152" spans="1:16" ht="17.100000000000001" customHeight="1" x14ac:dyDescent="0.2">
      <c r="A152" s="22"/>
      <c r="B152" s="172" t="s">
        <v>985</v>
      </c>
      <c r="C152" s="173"/>
      <c r="D152" s="2" t="s">
        <v>126</v>
      </c>
      <c r="E152" s="22"/>
      <c r="F152" s="22"/>
      <c r="G152" s="22"/>
    </row>
    <row r="153" spans="1:16" ht="18" customHeight="1" x14ac:dyDescent="0.2">
      <c r="A153" s="22"/>
      <c r="B153" s="26" t="s">
        <v>136</v>
      </c>
      <c r="C153" s="26" t="s">
        <v>136</v>
      </c>
      <c r="D153" s="26"/>
      <c r="E153" s="22"/>
      <c r="F153" s="22"/>
      <c r="G153" s="22"/>
    </row>
    <row r="154" spans="1:16" s="82" customFormat="1" x14ac:dyDescent="0.2">
      <c r="B154" s="177" t="s">
        <v>936</v>
      </c>
      <c r="C154" s="177"/>
      <c r="D154" s="177"/>
      <c r="E154" s="177"/>
      <c r="F154" s="177"/>
      <c r="I154"/>
      <c r="J154"/>
      <c r="K154"/>
      <c r="L154"/>
      <c r="M154"/>
      <c r="N154"/>
      <c r="O154"/>
      <c r="P154" s="70"/>
    </row>
    <row r="155" spans="1:16" ht="14.1" customHeight="1" x14ac:dyDescent="0.2">
      <c r="A155" s="22"/>
      <c r="B155" s="19"/>
      <c r="C155" s="19"/>
      <c r="D155" s="22"/>
      <c r="E155" s="22"/>
      <c r="F155" s="22"/>
      <c r="G155" s="22"/>
      <c r="I155" s="82"/>
      <c r="J155" s="82"/>
      <c r="K155" s="82"/>
      <c r="L155" s="82"/>
      <c r="M155" s="82"/>
      <c r="N155" s="82"/>
      <c r="O155" s="82"/>
    </row>
    <row r="156" spans="1:16" ht="29.1" customHeight="1" x14ac:dyDescent="0.2">
      <c r="A156" s="22"/>
      <c r="B156" s="172" t="s">
        <v>137</v>
      </c>
      <c r="C156" s="173"/>
      <c r="D156" s="2" t="s">
        <v>126</v>
      </c>
      <c r="E156" s="22"/>
      <c r="F156" s="22"/>
      <c r="G156" s="22"/>
    </row>
    <row r="157" spans="1:16" ht="29.1" customHeight="1" x14ac:dyDescent="0.2">
      <c r="A157" s="22"/>
      <c r="B157" s="172" t="s">
        <v>138</v>
      </c>
      <c r="C157" s="173"/>
      <c r="D157" s="2" t="s">
        <v>126</v>
      </c>
      <c r="E157" s="22"/>
      <c r="F157" s="22"/>
      <c r="G157" s="22"/>
    </row>
    <row r="158" spans="1:16" ht="17.100000000000001" customHeight="1" x14ac:dyDescent="0.2">
      <c r="A158" s="22"/>
      <c r="B158" s="172" t="s">
        <v>139</v>
      </c>
      <c r="C158" s="173"/>
      <c r="D158" s="27">
        <v>0.29122886365553446</v>
      </c>
      <c r="E158" s="22"/>
      <c r="F158" s="19"/>
      <c r="G158" s="25"/>
    </row>
    <row r="159" spans="1:16" ht="17.100000000000001" customHeight="1" x14ac:dyDescent="0.2">
      <c r="A159" s="22"/>
      <c r="B159" s="172" t="s">
        <v>140</v>
      </c>
      <c r="C159" s="173"/>
      <c r="D159" s="2" t="s">
        <v>126</v>
      </c>
      <c r="E159" s="22"/>
      <c r="F159" s="22"/>
      <c r="G159" s="22"/>
    </row>
  </sheetData>
  <mergeCells count="16">
    <mergeCell ref="B159:C159"/>
    <mergeCell ref="B142:C142"/>
    <mergeCell ref="B143:C143"/>
    <mergeCell ref="B144:C144"/>
    <mergeCell ref="B152:C152"/>
    <mergeCell ref="B156:C156"/>
    <mergeCell ref="B157:C157"/>
    <mergeCell ref="B154:F154"/>
    <mergeCell ref="A1:H1"/>
    <mergeCell ref="A2:H2"/>
    <mergeCell ref="A3:H3"/>
    <mergeCell ref="J2:N2"/>
    <mergeCell ref="B158:C158"/>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P16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499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7188</v>
      </c>
      <c r="F7" s="6">
        <v>79.420212000000006</v>
      </c>
      <c r="G7" s="7">
        <v>3.2297239999999998E-2</v>
      </c>
      <c r="H7" s="69"/>
    </row>
    <row r="8" spans="1:14" x14ac:dyDescent="0.2">
      <c r="A8" s="3">
        <v>2</v>
      </c>
      <c r="B8" s="4" t="s">
        <v>461</v>
      </c>
      <c r="C8" s="4" t="s">
        <v>462</v>
      </c>
      <c r="D8" s="4" t="s">
        <v>75</v>
      </c>
      <c r="E8" s="5">
        <v>19247</v>
      </c>
      <c r="F8" s="6">
        <v>74.841959500000002</v>
      </c>
      <c r="G8" s="7">
        <v>3.0435436E-2</v>
      </c>
      <c r="H8" s="69"/>
    </row>
    <row r="9" spans="1:14" x14ac:dyDescent="0.2">
      <c r="A9" s="3">
        <v>3</v>
      </c>
      <c r="B9" s="4" t="s">
        <v>41</v>
      </c>
      <c r="C9" s="4" t="s">
        <v>42</v>
      </c>
      <c r="D9" s="4" t="s">
        <v>27</v>
      </c>
      <c r="E9" s="5">
        <v>5966</v>
      </c>
      <c r="F9" s="6">
        <v>74.094736999999995</v>
      </c>
      <c r="G9" s="7">
        <v>3.0131568000000001E-2</v>
      </c>
      <c r="H9" s="69"/>
    </row>
    <row r="10" spans="1:14" x14ac:dyDescent="0.2">
      <c r="A10" s="3">
        <v>4</v>
      </c>
      <c r="B10" s="4" t="s">
        <v>147</v>
      </c>
      <c r="C10" s="4" t="s">
        <v>148</v>
      </c>
      <c r="D10" s="4" t="s">
        <v>78</v>
      </c>
      <c r="E10" s="5">
        <v>59758</v>
      </c>
      <c r="F10" s="6">
        <v>72.456575000000001</v>
      </c>
      <c r="G10" s="7">
        <v>2.9465389000000002E-2</v>
      </c>
      <c r="H10" s="69"/>
    </row>
    <row r="11" spans="1:14" x14ac:dyDescent="0.2">
      <c r="A11" s="3">
        <v>5</v>
      </c>
      <c r="B11" s="4" t="s">
        <v>79</v>
      </c>
      <c r="C11" s="4" t="s">
        <v>80</v>
      </c>
      <c r="D11" s="4" t="s">
        <v>75</v>
      </c>
      <c r="E11" s="5">
        <v>18797</v>
      </c>
      <c r="F11" s="6">
        <v>70.150403999999995</v>
      </c>
      <c r="G11" s="7">
        <v>2.8527555E-2</v>
      </c>
      <c r="H11" s="69"/>
    </row>
    <row r="12" spans="1:14" x14ac:dyDescent="0.2">
      <c r="A12" s="3">
        <v>6</v>
      </c>
      <c r="B12" s="4" t="s">
        <v>142</v>
      </c>
      <c r="C12" s="4" t="s">
        <v>143</v>
      </c>
      <c r="D12" s="4" t="s">
        <v>144</v>
      </c>
      <c r="E12" s="5">
        <v>1808</v>
      </c>
      <c r="F12" s="6">
        <v>67.637280000000004</v>
      </c>
      <c r="G12" s="7">
        <v>2.7505561000000001E-2</v>
      </c>
      <c r="H12" s="69"/>
    </row>
    <row r="13" spans="1:14" x14ac:dyDescent="0.2">
      <c r="A13" s="3">
        <v>7</v>
      </c>
      <c r="B13" s="4" t="s">
        <v>156</v>
      </c>
      <c r="C13" s="4" t="s">
        <v>157</v>
      </c>
      <c r="D13" s="4" t="s">
        <v>27</v>
      </c>
      <c r="E13" s="5">
        <v>8617</v>
      </c>
      <c r="F13" s="6">
        <v>66.859302999999997</v>
      </c>
      <c r="G13" s="7">
        <v>2.7189187E-2</v>
      </c>
      <c r="H13" s="69"/>
    </row>
    <row r="14" spans="1:14" x14ac:dyDescent="0.2">
      <c r="A14" s="3">
        <v>8</v>
      </c>
      <c r="B14" s="4" t="s">
        <v>149</v>
      </c>
      <c r="C14" s="4" t="s">
        <v>150</v>
      </c>
      <c r="D14" s="4" t="s">
        <v>75</v>
      </c>
      <c r="E14" s="5">
        <v>11075</v>
      </c>
      <c r="F14" s="6">
        <v>66.627200000000002</v>
      </c>
      <c r="G14" s="7">
        <v>2.7094798999999999E-2</v>
      </c>
      <c r="H14" s="69"/>
    </row>
    <row r="15" spans="1:14" ht="25.5" x14ac:dyDescent="0.2">
      <c r="A15" s="3">
        <v>9</v>
      </c>
      <c r="B15" s="4" t="s">
        <v>151</v>
      </c>
      <c r="C15" s="4" t="s">
        <v>152</v>
      </c>
      <c r="D15" s="4" t="s">
        <v>45</v>
      </c>
      <c r="E15" s="5">
        <v>41594</v>
      </c>
      <c r="F15" s="6">
        <v>62.037450999999997</v>
      </c>
      <c r="G15" s="7">
        <v>2.5228318999999999E-2</v>
      </c>
      <c r="H15" s="69"/>
    </row>
    <row r="16" spans="1:14" ht="15" x14ac:dyDescent="0.2">
      <c r="A16" s="3">
        <v>10</v>
      </c>
      <c r="B16" s="4" t="s">
        <v>301</v>
      </c>
      <c r="C16" s="4" t="s">
        <v>302</v>
      </c>
      <c r="D16" s="4" t="s">
        <v>27</v>
      </c>
      <c r="E16" s="5">
        <v>8948</v>
      </c>
      <c r="F16" s="6">
        <v>60.613751999999998</v>
      </c>
      <c r="G16" s="7">
        <v>2.4649353999999998E-2</v>
      </c>
      <c r="H16" s="69"/>
      <c r="J16" s="160" t="s">
        <v>1013</v>
      </c>
    </row>
    <row r="17" spans="1:8" x14ac:dyDescent="0.2">
      <c r="A17" s="3">
        <v>11</v>
      </c>
      <c r="B17" s="4" t="s">
        <v>165</v>
      </c>
      <c r="C17" s="4" t="s">
        <v>166</v>
      </c>
      <c r="D17" s="4" t="s">
        <v>155</v>
      </c>
      <c r="E17" s="5">
        <v>12193</v>
      </c>
      <c r="F17" s="6">
        <v>60.3126745</v>
      </c>
      <c r="G17" s="7">
        <v>2.4526916999999999E-2</v>
      </c>
      <c r="H17" s="69"/>
    </row>
    <row r="18" spans="1:8" x14ac:dyDescent="0.2">
      <c r="A18" s="3">
        <v>12</v>
      </c>
      <c r="B18" s="4" t="s">
        <v>176</v>
      </c>
      <c r="C18" s="4" t="s">
        <v>177</v>
      </c>
      <c r="D18" s="4" t="s">
        <v>78</v>
      </c>
      <c r="E18" s="5">
        <v>7031</v>
      </c>
      <c r="F18" s="6">
        <v>56.908914000000003</v>
      </c>
      <c r="G18" s="7">
        <v>2.3142734000000002E-2</v>
      </c>
      <c r="H18" s="69"/>
    </row>
    <row r="19" spans="1:8" x14ac:dyDescent="0.2">
      <c r="A19" s="3">
        <v>13</v>
      </c>
      <c r="B19" s="4" t="s">
        <v>465</v>
      </c>
      <c r="C19" s="4" t="s">
        <v>466</v>
      </c>
      <c r="D19" s="4" t="s">
        <v>48</v>
      </c>
      <c r="E19" s="5">
        <v>8180</v>
      </c>
      <c r="F19" s="6">
        <v>56.167969999999997</v>
      </c>
      <c r="G19" s="7">
        <v>2.2841420000000001E-2</v>
      </c>
      <c r="H19" s="69"/>
    </row>
    <row r="20" spans="1:8" x14ac:dyDescent="0.2">
      <c r="A20" s="3">
        <v>14</v>
      </c>
      <c r="B20" s="4" t="s">
        <v>153</v>
      </c>
      <c r="C20" s="4" t="s">
        <v>154</v>
      </c>
      <c r="D20" s="4" t="s">
        <v>155</v>
      </c>
      <c r="E20" s="5">
        <v>1308</v>
      </c>
      <c r="F20" s="6">
        <v>54.135503999999997</v>
      </c>
      <c r="G20" s="7">
        <v>2.2014892000000001E-2</v>
      </c>
      <c r="H20" s="69"/>
    </row>
    <row r="21" spans="1:8" x14ac:dyDescent="0.2">
      <c r="A21" s="3">
        <v>15</v>
      </c>
      <c r="B21" s="4" t="s">
        <v>25</v>
      </c>
      <c r="C21" s="4" t="s">
        <v>26</v>
      </c>
      <c r="D21" s="4" t="s">
        <v>27</v>
      </c>
      <c r="E21" s="5">
        <v>3169</v>
      </c>
      <c r="F21" s="6">
        <v>51.123892499999997</v>
      </c>
      <c r="G21" s="7">
        <v>2.0790182000000001E-2</v>
      </c>
      <c r="H21" s="69"/>
    </row>
    <row r="22" spans="1:8" ht="25.5" x14ac:dyDescent="0.2">
      <c r="A22" s="3">
        <v>16</v>
      </c>
      <c r="B22" s="4" t="s">
        <v>37</v>
      </c>
      <c r="C22" s="4" t="s">
        <v>38</v>
      </c>
      <c r="D22" s="4" t="s">
        <v>974</v>
      </c>
      <c r="E22" s="5">
        <v>1515</v>
      </c>
      <c r="F22" s="6">
        <v>49.0094925</v>
      </c>
      <c r="G22" s="7">
        <v>1.9930334000000001E-2</v>
      </c>
      <c r="H22" s="69"/>
    </row>
    <row r="23" spans="1:8" ht="25.5" x14ac:dyDescent="0.2">
      <c r="A23" s="3">
        <v>17</v>
      </c>
      <c r="B23" s="4" t="s">
        <v>205</v>
      </c>
      <c r="C23" s="4" t="s">
        <v>206</v>
      </c>
      <c r="D23" s="4" t="s">
        <v>207</v>
      </c>
      <c r="E23" s="5">
        <v>9664</v>
      </c>
      <c r="F23" s="6">
        <v>41.255616000000003</v>
      </c>
      <c r="G23" s="7">
        <v>1.6777120999999999E-2</v>
      </c>
      <c r="H23" s="69"/>
    </row>
    <row r="24" spans="1:8" x14ac:dyDescent="0.2">
      <c r="A24" s="3">
        <v>18</v>
      </c>
      <c r="B24" s="4" t="s">
        <v>210</v>
      </c>
      <c r="C24" s="4" t="s">
        <v>211</v>
      </c>
      <c r="D24" s="4" t="s">
        <v>53</v>
      </c>
      <c r="E24" s="5">
        <v>4329</v>
      </c>
      <c r="F24" s="6">
        <v>41.0324265</v>
      </c>
      <c r="G24" s="7">
        <v>1.6686359000000001E-2</v>
      </c>
      <c r="H24" s="69"/>
    </row>
    <row r="25" spans="1:8" x14ac:dyDescent="0.2">
      <c r="A25" s="3">
        <v>19</v>
      </c>
      <c r="B25" s="4" t="s">
        <v>163</v>
      </c>
      <c r="C25" s="4" t="s">
        <v>164</v>
      </c>
      <c r="D25" s="4" t="s">
        <v>975</v>
      </c>
      <c r="E25" s="5">
        <v>10223</v>
      </c>
      <c r="F25" s="6">
        <v>40.917557500000001</v>
      </c>
      <c r="G25" s="7">
        <v>1.6639646000000001E-2</v>
      </c>
      <c r="H25" s="69"/>
    </row>
    <row r="26" spans="1:8" x14ac:dyDescent="0.2">
      <c r="A26" s="3">
        <v>20</v>
      </c>
      <c r="B26" s="4" t="s">
        <v>219</v>
      </c>
      <c r="C26" s="4" t="s">
        <v>220</v>
      </c>
      <c r="D26" s="4" t="s">
        <v>221</v>
      </c>
      <c r="E26" s="5">
        <v>19346</v>
      </c>
      <c r="F26" s="6">
        <v>40.703983999999998</v>
      </c>
      <c r="G26" s="7">
        <v>1.6552793E-2</v>
      </c>
      <c r="H26" s="69"/>
    </row>
    <row r="27" spans="1:8" x14ac:dyDescent="0.2">
      <c r="A27" s="3">
        <v>21</v>
      </c>
      <c r="B27" s="4" t="s">
        <v>173</v>
      </c>
      <c r="C27" s="4" t="s">
        <v>174</v>
      </c>
      <c r="D27" s="4" t="s">
        <v>175</v>
      </c>
      <c r="E27" s="5">
        <v>15930</v>
      </c>
      <c r="F27" s="6">
        <v>40.310865</v>
      </c>
      <c r="G27" s="7">
        <v>1.6392925999999999E-2</v>
      </c>
      <c r="H27" s="69"/>
    </row>
    <row r="28" spans="1:8" x14ac:dyDescent="0.2">
      <c r="A28" s="3">
        <v>22</v>
      </c>
      <c r="B28" s="4" t="s">
        <v>216</v>
      </c>
      <c r="C28" s="4" t="s">
        <v>217</v>
      </c>
      <c r="D28" s="4" t="s">
        <v>75</v>
      </c>
      <c r="E28" s="5">
        <v>4578</v>
      </c>
      <c r="F28" s="6">
        <v>40.158216000000003</v>
      </c>
      <c r="G28" s="7">
        <v>1.6330850000000001E-2</v>
      </c>
      <c r="H28" s="69"/>
    </row>
    <row r="29" spans="1:8" x14ac:dyDescent="0.2">
      <c r="A29" s="3">
        <v>23</v>
      </c>
      <c r="B29" s="4" t="s">
        <v>191</v>
      </c>
      <c r="C29" s="4" t="s">
        <v>192</v>
      </c>
      <c r="D29" s="4" t="s">
        <v>53</v>
      </c>
      <c r="E29" s="5">
        <v>41705</v>
      </c>
      <c r="F29" s="6">
        <v>40.12021</v>
      </c>
      <c r="G29" s="7">
        <v>1.6315394E-2</v>
      </c>
      <c r="H29" s="69"/>
    </row>
    <row r="30" spans="1:8" x14ac:dyDescent="0.2">
      <c r="A30" s="3">
        <v>24</v>
      </c>
      <c r="B30" s="4" t="s">
        <v>178</v>
      </c>
      <c r="C30" s="4" t="s">
        <v>179</v>
      </c>
      <c r="D30" s="4" t="s">
        <v>180</v>
      </c>
      <c r="E30" s="5">
        <v>4210</v>
      </c>
      <c r="F30" s="6">
        <v>39.666620000000002</v>
      </c>
      <c r="G30" s="7">
        <v>1.6130935999999998E-2</v>
      </c>
      <c r="H30" s="69"/>
    </row>
    <row r="31" spans="1:8" x14ac:dyDescent="0.2">
      <c r="A31" s="3">
        <v>25</v>
      </c>
      <c r="B31" s="4" t="s">
        <v>56</v>
      </c>
      <c r="C31" s="4" t="s">
        <v>57</v>
      </c>
      <c r="D31" s="4" t="s">
        <v>53</v>
      </c>
      <c r="E31" s="5">
        <v>7883</v>
      </c>
      <c r="F31" s="6">
        <v>39.608133500000001</v>
      </c>
      <c r="G31" s="7">
        <v>1.6107152E-2</v>
      </c>
      <c r="H31" s="69"/>
    </row>
    <row r="32" spans="1:8" ht="25.5" x14ac:dyDescent="0.2">
      <c r="A32" s="3">
        <v>26</v>
      </c>
      <c r="B32" s="4" t="s">
        <v>463</v>
      </c>
      <c r="C32" s="4" t="s">
        <v>464</v>
      </c>
      <c r="D32" s="4" t="s">
        <v>45</v>
      </c>
      <c r="E32" s="5">
        <v>2596</v>
      </c>
      <c r="F32" s="6">
        <v>39.500736000000003</v>
      </c>
      <c r="G32" s="7">
        <v>1.6063477E-2</v>
      </c>
      <c r="H32" s="69"/>
    </row>
    <row r="33" spans="1:8" x14ac:dyDescent="0.2">
      <c r="A33" s="3">
        <v>27</v>
      </c>
      <c r="B33" s="4" t="s">
        <v>169</v>
      </c>
      <c r="C33" s="4" t="s">
        <v>170</v>
      </c>
      <c r="D33" s="4" t="s">
        <v>155</v>
      </c>
      <c r="E33" s="5">
        <v>3437</v>
      </c>
      <c r="F33" s="6">
        <v>39.487693</v>
      </c>
      <c r="G33" s="7">
        <v>1.6058172999999999E-2</v>
      </c>
      <c r="H33" s="69"/>
    </row>
    <row r="34" spans="1:8" x14ac:dyDescent="0.2">
      <c r="A34" s="3">
        <v>28</v>
      </c>
      <c r="B34" s="4" t="s">
        <v>187</v>
      </c>
      <c r="C34" s="4" t="s">
        <v>188</v>
      </c>
      <c r="D34" s="4" t="s">
        <v>978</v>
      </c>
      <c r="E34" s="5">
        <v>4291</v>
      </c>
      <c r="F34" s="6">
        <v>38.346521500000001</v>
      </c>
      <c r="G34" s="7">
        <v>1.5594101000000001E-2</v>
      </c>
      <c r="H34" s="69"/>
    </row>
    <row r="35" spans="1:8" x14ac:dyDescent="0.2">
      <c r="A35" s="3">
        <v>29</v>
      </c>
      <c r="B35" s="4" t="s">
        <v>181</v>
      </c>
      <c r="C35" s="4" t="s">
        <v>182</v>
      </c>
      <c r="D35" s="4" t="s">
        <v>155</v>
      </c>
      <c r="E35" s="5">
        <v>3661</v>
      </c>
      <c r="F35" s="6">
        <v>37.065794500000003</v>
      </c>
      <c r="G35" s="7">
        <v>1.5073277E-2</v>
      </c>
      <c r="H35" s="69"/>
    </row>
    <row r="36" spans="1:8" x14ac:dyDescent="0.2">
      <c r="A36" s="3">
        <v>30</v>
      </c>
      <c r="B36" s="4" t="s">
        <v>225</v>
      </c>
      <c r="C36" s="4" t="s">
        <v>226</v>
      </c>
      <c r="D36" s="4" t="s">
        <v>204</v>
      </c>
      <c r="E36" s="5">
        <v>7139</v>
      </c>
      <c r="F36" s="6">
        <v>36.312523499999998</v>
      </c>
      <c r="G36" s="7">
        <v>1.4766949999999999E-2</v>
      </c>
      <c r="H36" s="69"/>
    </row>
    <row r="37" spans="1:8" x14ac:dyDescent="0.2">
      <c r="A37" s="3">
        <v>31</v>
      </c>
      <c r="B37" s="4" t="s">
        <v>200</v>
      </c>
      <c r="C37" s="4" t="s">
        <v>201</v>
      </c>
      <c r="D37" s="4" t="s">
        <v>27</v>
      </c>
      <c r="E37" s="5">
        <v>1619</v>
      </c>
      <c r="F37" s="6">
        <v>32.718370999999998</v>
      </c>
      <c r="G37" s="7">
        <v>1.3305342E-2</v>
      </c>
      <c r="H37" s="69"/>
    </row>
    <row r="38" spans="1:8" x14ac:dyDescent="0.2">
      <c r="A38" s="3">
        <v>32</v>
      </c>
      <c r="B38" s="4" t="s">
        <v>198</v>
      </c>
      <c r="C38" s="4" t="s">
        <v>199</v>
      </c>
      <c r="D38" s="4" t="s">
        <v>78</v>
      </c>
      <c r="E38" s="5">
        <v>5370</v>
      </c>
      <c r="F38" s="6">
        <v>31.688369999999999</v>
      </c>
      <c r="G38" s="7">
        <v>1.2886478999999999E-2</v>
      </c>
      <c r="H38" s="69"/>
    </row>
    <row r="39" spans="1:8" x14ac:dyDescent="0.2">
      <c r="A39" s="3">
        <v>33</v>
      </c>
      <c r="B39" s="4" t="s">
        <v>349</v>
      </c>
      <c r="C39" s="4" t="s">
        <v>350</v>
      </c>
      <c r="D39" s="4" t="s">
        <v>160</v>
      </c>
      <c r="E39" s="5">
        <v>700</v>
      </c>
      <c r="F39" s="6">
        <v>31.307500000000001</v>
      </c>
      <c r="G39" s="7">
        <v>1.2731592999999999E-2</v>
      </c>
      <c r="H39" s="69"/>
    </row>
    <row r="40" spans="1:8" ht="25.5" x14ac:dyDescent="0.2">
      <c r="A40" s="3">
        <v>34</v>
      </c>
      <c r="B40" s="4" t="s">
        <v>239</v>
      </c>
      <c r="C40" s="4" t="s">
        <v>240</v>
      </c>
      <c r="D40" s="4" t="s">
        <v>980</v>
      </c>
      <c r="E40" s="5">
        <v>31221</v>
      </c>
      <c r="F40" s="6">
        <v>31.252220999999999</v>
      </c>
      <c r="G40" s="7">
        <v>1.2709112999999999E-2</v>
      </c>
      <c r="H40" s="69"/>
    </row>
    <row r="41" spans="1:8" ht="25.5" x14ac:dyDescent="0.2">
      <c r="A41" s="3">
        <v>35</v>
      </c>
      <c r="B41" s="4" t="s">
        <v>233</v>
      </c>
      <c r="C41" s="4" t="s">
        <v>234</v>
      </c>
      <c r="D41" s="4" t="s">
        <v>207</v>
      </c>
      <c r="E41" s="5">
        <v>7639</v>
      </c>
      <c r="F41" s="6">
        <v>30.850101500000001</v>
      </c>
      <c r="G41" s="7">
        <v>1.2545585999999999E-2</v>
      </c>
      <c r="H41" s="69"/>
    </row>
    <row r="42" spans="1:8" x14ac:dyDescent="0.2">
      <c r="A42" s="3">
        <v>36</v>
      </c>
      <c r="B42" s="4" t="s">
        <v>214</v>
      </c>
      <c r="C42" s="4" t="s">
        <v>215</v>
      </c>
      <c r="D42" s="4" t="s">
        <v>979</v>
      </c>
      <c r="E42" s="5">
        <v>3000</v>
      </c>
      <c r="F42" s="6">
        <v>30.610499999999998</v>
      </c>
      <c r="G42" s="7">
        <v>1.2448149E-2</v>
      </c>
      <c r="H42" s="69"/>
    </row>
    <row r="43" spans="1:8" x14ac:dyDescent="0.2">
      <c r="A43" s="3">
        <v>37</v>
      </c>
      <c r="B43" s="4" t="s">
        <v>283</v>
      </c>
      <c r="C43" s="4" t="s">
        <v>284</v>
      </c>
      <c r="D43" s="4" t="s">
        <v>32</v>
      </c>
      <c r="E43" s="5">
        <v>7838</v>
      </c>
      <c r="F43" s="6">
        <v>30.442792000000001</v>
      </c>
      <c r="G43" s="7">
        <v>1.2379948999999999E-2</v>
      </c>
      <c r="H43" s="69"/>
    </row>
    <row r="44" spans="1:8" x14ac:dyDescent="0.2">
      <c r="A44" s="3">
        <v>38</v>
      </c>
      <c r="B44" s="4" t="s">
        <v>237</v>
      </c>
      <c r="C44" s="4" t="s">
        <v>238</v>
      </c>
      <c r="D44" s="4" t="s">
        <v>204</v>
      </c>
      <c r="E44" s="5">
        <v>1815</v>
      </c>
      <c r="F44" s="6">
        <v>29.742405000000002</v>
      </c>
      <c r="G44" s="7">
        <v>1.2095128E-2</v>
      </c>
      <c r="H44" s="69"/>
    </row>
    <row r="45" spans="1:8" x14ac:dyDescent="0.2">
      <c r="A45" s="3">
        <v>39</v>
      </c>
      <c r="B45" s="4" t="s">
        <v>208</v>
      </c>
      <c r="C45" s="4" t="s">
        <v>209</v>
      </c>
      <c r="D45" s="4" t="s">
        <v>78</v>
      </c>
      <c r="E45" s="5">
        <v>59112</v>
      </c>
      <c r="F45" s="6">
        <v>29.674223999999999</v>
      </c>
      <c r="G45" s="7">
        <v>1.2067401E-2</v>
      </c>
      <c r="H45" s="69"/>
    </row>
    <row r="46" spans="1:8" x14ac:dyDescent="0.2">
      <c r="A46" s="3">
        <v>40</v>
      </c>
      <c r="B46" s="4" t="s">
        <v>212</v>
      </c>
      <c r="C46" s="4" t="s">
        <v>213</v>
      </c>
      <c r="D46" s="4" t="s">
        <v>979</v>
      </c>
      <c r="E46" s="5">
        <v>5290</v>
      </c>
      <c r="F46" s="6">
        <v>29.015650000000001</v>
      </c>
      <c r="G46" s="7">
        <v>1.1799583000000001E-2</v>
      </c>
      <c r="H46" s="69"/>
    </row>
    <row r="47" spans="1:8" x14ac:dyDescent="0.2">
      <c r="A47" s="3">
        <v>41</v>
      </c>
      <c r="B47" s="4" t="s">
        <v>202</v>
      </c>
      <c r="C47" s="4" t="s">
        <v>203</v>
      </c>
      <c r="D47" s="4" t="s">
        <v>204</v>
      </c>
      <c r="E47" s="5">
        <v>7291</v>
      </c>
      <c r="F47" s="6">
        <v>28.303661999999999</v>
      </c>
      <c r="G47" s="7">
        <v>1.1510044000000001E-2</v>
      </c>
      <c r="H47" s="69"/>
    </row>
    <row r="48" spans="1:8" x14ac:dyDescent="0.2">
      <c r="A48" s="3">
        <v>42</v>
      </c>
      <c r="B48" s="4" t="s">
        <v>295</v>
      </c>
      <c r="C48" s="4" t="s">
        <v>296</v>
      </c>
      <c r="D48" s="4" t="s">
        <v>27</v>
      </c>
      <c r="E48" s="5">
        <v>2237</v>
      </c>
      <c r="F48" s="6">
        <v>26.266853999999999</v>
      </c>
      <c r="G48" s="7">
        <v>1.0681751E-2</v>
      </c>
      <c r="H48" s="69"/>
    </row>
    <row r="49" spans="1:8" x14ac:dyDescent="0.2">
      <c r="A49" s="3">
        <v>43</v>
      </c>
      <c r="B49" s="4" t="s">
        <v>260</v>
      </c>
      <c r="C49" s="4" t="s">
        <v>261</v>
      </c>
      <c r="D49" s="4" t="s">
        <v>204</v>
      </c>
      <c r="E49" s="5">
        <v>472</v>
      </c>
      <c r="F49" s="6">
        <v>25.132584000000001</v>
      </c>
      <c r="G49" s="7">
        <v>1.0220485E-2</v>
      </c>
      <c r="H49" s="69"/>
    </row>
    <row r="50" spans="1:8" ht="25.5" x14ac:dyDescent="0.2">
      <c r="A50" s="3">
        <v>44</v>
      </c>
      <c r="B50" s="4" t="s">
        <v>222</v>
      </c>
      <c r="C50" s="4" t="s">
        <v>223</v>
      </c>
      <c r="D50" s="4" t="s">
        <v>207</v>
      </c>
      <c r="E50" s="5">
        <v>5379</v>
      </c>
      <c r="F50" s="6">
        <v>25.090345500000002</v>
      </c>
      <c r="G50" s="7">
        <v>1.0203307999999999E-2</v>
      </c>
      <c r="H50" s="69"/>
    </row>
    <row r="51" spans="1:8" x14ac:dyDescent="0.2">
      <c r="A51" s="3">
        <v>45</v>
      </c>
      <c r="B51" s="4" t="s">
        <v>235</v>
      </c>
      <c r="C51" s="4" t="s">
        <v>236</v>
      </c>
      <c r="D51" s="4" t="s">
        <v>160</v>
      </c>
      <c r="E51" s="5">
        <v>6538</v>
      </c>
      <c r="F51" s="6">
        <v>24.546921000000001</v>
      </c>
      <c r="G51" s="7">
        <v>9.9823180000000004E-3</v>
      </c>
      <c r="H51" s="69"/>
    </row>
    <row r="52" spans="1:8" x14ac:dyDescent="0.2">
      <c r="A52" s="3">
        <v>46</v>
      </c>
      <c r="B52" s="4" t="s">
        <v>227</v>
      </c>
      <c r="C52" s="4" t="s">
        <v>228</v>
      </c>
      <c r="D52" s="4" t="s">
        <v>976</v>
      </c>
      <c r="E52" s="5">
        <v>1516</v>
      </c>
      <c r="F52" s="6">
        <v>24.241598</v>
      </c>
      <c r="G52" s="7">
        <v>9.8581539999999992E-3</v>
      </c>
      <c r="H52" s="69"/>
    </row>
    <row r="53" spans="1:8" x14ac:dyDescent="0.2">
      <c r="A53" s="3">
        <v>47</v>
      </c>
      <c r="B53" s="4" t="s">
        <v>251</v>
      </c>
      <c r="C53" s="4" t="s">
        <v>252</v>
      </c>
      <c r="D53" s="4" t="s">
        <v>160</v>
      </c>
      <c r="E53" s="5">
        <v>4161</v>
      </c>
      <c r="F53" s="6">
        <v>24.196214999999999</v>
      </c>
      <c r="G53" s="7">
        <v>9.8396990000000004E-3</v>
      </c>
      <c r="H53" s="69"/>
    </row>
    <row r="54" spans="1:8" ht="25.5" x14ac:dyDescent="0.2">
      <c r="A54" s="3">
        <v>48</v>
      </c>
      <c r="B54" s="4" t="s">
        <v>189</v>
      </c>
      <c r="C54" s="4" t="s">
        <v>190</v>
      </c>
      <c r="D54" s="4" t="s">
        <v>974</v>
      </c>
      <c r="E54" s="5">
        <v>10628</v>
      </c>
      <c r="F54" s="6">
        <v>23.455995999999999</v>
      </c>
      <c r="G54" s="7">
        <v>9.5386789999999996E-3</v>
      </c>
      <c r="H54" s="69"/>
    </row>
    <row r="55" spans="1:8" x14ac:dyDescent="0.2">
      <c r="A55" s="3">
        <v>49</v>
      </c>
      <c r="B55" s="4" t="s">
        <v>183</v>
      </c>
      <c r="C55" s="4" t="s">
        <v>184</v>
      </c>
      <c r="D55" s="4" t="s">
        <v>75</v>
      </c>
      <c r="E55" s="5">
        <v>2393</v>
      </c>
      <c r="F55" s="6">
        <v>22.769394999999999</v>
      </c>
      <c r="G55" s="7">
        <v>9.2594640000000002E-3</v>
      </c>
      <c r="H55" s="69"/>
    </row>
    <row r="56" spans="1:8" x14ac:dyDescent="0.2">
      <c r="A56" s="3">
        <v>50</v>
      </c>
      <c r="B56" s="4" t="s">
        <v>477</v>
      </c>
      <c r="C56" s="4" t="s">
        <v>478</v>
      </c>
      <c r="D56" s="4" t="s">
        <v>204</v>
      </c>
      <c r="E56" s="5">
        <v>4476</v>
      </c>
      <c r="F56" s="6">
        <v>22.6038</v>
      </c>
      <c r="G56" s="7">
        <v>9.192123E-3</v>
      </c>
      <c r="H56" s="69"/>
    </row>
    <row r="57" spans="1:8" x14ac:dyDescent="0.2">
      <c r="A57" s="3">
        <v>51</v>
      </c>
      <c r="B57" s="4" t="s">
        <v>255</v>
      </c>
      <c r="C57" s="4" t="s">
        <v>256</v>
      </c>
      <c r="D57" s="4" t="s">
        <v>257</v>
      </c>
      <c r="E57" s="5">
        <v>10050</v>
      </c>
      <c r="F57" s="6">
        <v>22.351199999999999</v>
      </c>
      <c r="G57" s="7">
        <v>9.0893999999999992E-3</v>
      </c>
      <c r="H57" s="69"/>
    </row>
    <row r="58" spans="1:8" x14ac:dyDescent="0.2">
      <c r="A58" s="3">
        <v>52</v>
      </c>
      <c r="B58" s="4" t="s">
        <v>161</v>
      </c>
      <c r="C58" s="4" t="s">
        <v>162</v>
      </c>
      <c r="D58" s="4" t="s">
        <v>22</v>
      </c>
      <c r="E58" s="5">
        <v>12062</v>
      </c>
      <c r="F58" s="6">
        <v>22.031243</v>
      </c>
      <c r="G58" s="7">
        <v>8.9592850000000009E-3</v>
      </c>
      <c r="H58" s="69"/>
    </row>
    <row r="59" spans="1:8" ht="25.5" x14ac:dyDescent="0.2">
      <c r="A59" s="3">
        <v>53</v>
      </c>
      <c r="B59" s="4" t="s">
        <v>218</v>
      </c>
      <c r="C59" s="4" t="s">
        <v>869</v>
      </c>
      <c r="D59" s="4" t="s">
        <v>45</v>
      </c>
      <c r="E59" s="5">
        <v>10454</v>
      </c>
      <c r="F59" s="6">
        <v>21.733865999999999</v>
      </c>
      <c r="G59" s="7">
        <v>8.8383530000000002E-3</v>
      </c>
      <c r="H59" s="69"/>
    </row>
    <row r="60" spans="1:8" x14ac:dyDescent="0.2">
      <c r="A60" s="3">
        <v>54</v>
      </c>
      <c r="B60" s="4" t="s">
        <v>167</v>
      </c>
      <c r="C60" s="4" t="s">
        <v>168</v>
      </c>
      <c r="D60" s="4" t="s">
        <v>976</v>
      </c>
      <c r="E60" s="5">
        <v>2121</v>
      </c>
      <c r="F60" s="6">
        <v>21.512242499999999</v>
      </c>
      <c r="G60" s="7">
        <v>8.7482270000000008E-3</v>
      </c>
      <c r="H60" s="69"/>
    </row>
    <row r="61" spans="1:8" x14ac:dyDescent="0.2">
      <c r="A61" s="3">
        <v>55</v>
      </c>
      <c r="B61" s="4" t="s">
        <v>467</v>
      </c>
      <c r="C61" s="4" t="s">
        <v>468</v>
      </c>
      <c r="D61" s="4" t="s">
        <v>27</v>
      </c>
      <c r="E61" s="5">
        <v>2300</v>
      </c>
      <c r="F61" s="6">
        <v>21.107099999999999</v>
      </c>
      <c r="G61" s="7">
        <v>8.5834710000000005E-3</v>
      </c>
      <c r="H61" s="69"/>
    </row>
    <row r="62" spans="1:8" x14ac:dyDescent="0.2">
      <c r="A62" s="3">
        <v>56</v>
      </c>
      <c r="B62" s="4" t="s">
        <v>253</v>
      </c>
      <c r="C62" s="4" t="s">
        <v>254</v>
      </c>
      <c r="D62" s="4" t="s">
        <v>65</v>
      </c>
      <c r="E62" s="5">
        <v>2336</v>
      </c>
      <c r="F62" s="6">
        <v>19.972799999999999</v>
      </c>
      <c r="G62" s="7">
        <v>8.1221929999999998E-3</v>
      </c>
      <c r="H62" s="69"/>
    </row>
    <row r="63" spans="1:8" x14ac:dyDescent="0.2">
      <c r="A63" s="3">
        <v>57</v>
      </c>
      <c r="B63" s="4" t="s">
        <v>262</v>
      </c>
      <c r="C63" s="4" t="s">
        <v>263</v>
      </c>
      <c r="D63" s="4" t="s">
        <v>22</v>
      </c>
      <c r="E63" s="5">
        <v>24172</v>
      </c>
      <c r="F63" s="6">
        <v>19.833126</v>
      </c>
      <c r="G63" s="7">
        <v>8.0653930000000006E-3</v>
      </c>
      <c r="H63" s="69"/>
    </row>
    <row r="64" spans="1:8" x14ac:dyDescent="0.2">
      <c r="A64" s="3">
        <v>58</v>
      </c>
      <c r="B64" s="4" t="s">
        <v>471</v>
      </c>
      <c r="C64" s="4" t="s">
        <v>472</v>
      </c>
      <c r="D64" s="4" t="s">
        <v>78</v>
      </c>
      <c r="E64" s="5">
        <v>3328</v>
      </c>
      <c r="F64" s="6">
        <v>16.751487999999998</v>
      </c>
      <c r="G64" s="7">
        <v>6.8122060000000003E-3</v>
      </c>
      <c r="H64" s="69"/>
    </row>
    <row r="65" spans="1:8" x14ac:dyDescent="0.2">
      <c r="A65" s="3">
        <v>59</v>
      </c>
      <c r="B65" s="4" t="s">
        <v>276</v>
      </c>
      <c r="C65" s="4" t="s">
        <v>277</v>
      </c>
      <c r="D65" s="4" t="s">
        <v>204</v>
      </c>
      <c r="E65" s="5">
        <v>5225</v>
      </c>
      <c r="F65" s="6">
        <v>14.7998125</v>
      </c>
      <c r="G65" s="7">
        <v>6.018532E-3</v>
      </c>
      <c r="H65" s="69"/>
    </row>
    <row r="66" spans="1:8" x14ac:dyDescent="0.2">
      <c r="A66" s="3">
        <v>60</v>
      </c>
      <c r="B66" s="4" t="s">
        <v>249</v>
      </c>
      <c r="C66" s="4" t="s">
        <v>250</v>
      </c>
      <c r="D66" s="4" t="s">
        <v>334</v>
      </c>
      <c r="E66" s="5">
        <v>1566</v>
      </c>
      <c r="F66" s="6">
        <v>14.393106</v>
      </c>
      <c r="G66" s="7">
        <v>5.8531399999999997E-3</v>
      </c>
      <c r="H66" s="69"/>
    </row>
    <row r="67" spans="1:8" x14ac:dyDescent="0.2">
      <c r="A67" s="3">
        <v>61</v>
      </c>
      <c r="B67" s="4" t="s">
        <v>270</v>
      </c>
      <c r="C67" s="4" t="s">
        <v>271</v>
      </c>
      <c r="D67" s="4" t="s">
        <v>144</v>
      </c>
      <c r="E67" s="5">
        <v>2245</v>
      </c>
      <c r="F67" s="6">
        <v>12.85487</v>
      </c>
      <c r="G67" s="7">
        <v>5.2275969999999996E-3</v>
      </c>
      <c r="H67" s="69"/>
    </row>
    <row r="68" spans="1:8" x14ac:dyDescent="0.2">
      <c r="A68" s="3">
        <v>62</v>
      </c>
      <c r="B68" s="4" t="s">
        <v>278</v>
      </c>
      <c r="C68" s="4" t="s">
        <v>279</v>
      </c>
      <c r="D68" s="4" t="s">
        <v>144</v>
      </c>
      <c r="E68" s="5">
        <v>1125</v>
      </c>
      <c r="F68" s="6">
        <v>11.345625</v>
      </c>
      <c r="G68" s="7">
        <v>4.6138430000000003E-3</v>
      </c>
      <c r="H68" s="69"/>
    </row>
    <row r="69" spans="1:8" x14ac:dyDescent="0.2">
      <c r="A69" s="3">
        <v>63</v>
      </c>
      <c r="B69" s="4" t="s">
        <v>274</v>
      </c>
      <c r="C69" s="4" t="s">
        <v>275</v>
      </c>
      <c r="D69" s="4" t="s">
        <v>155</v>
      </c>
      <c r="E69" s="5">
        <v>2733</v>
      </c>
      <c r="F69" s="6">
        <v>10.403164500000001</v>
      </c>
      <c r="G69" s="7">
        <v>4.2305789999999999E-3</v>
      </c>
      <c r="H69" s="69"/>
    </row>
    <row r="70" spans="1:8" x14ac:dyDescent="0.2">
      <c r="A70" s="3">
        <v>64</v>
      </c>
      <c r="B70" s="4" t="s">
        <v>247</v>
      </c>
      <c r="C70" s="4" t="s">
        <v>248</v>
      </c>
      <c r="D70" s="4" t="s">
        <v>75</v>
      </c>
      <c r="E70" s="5">
        <v>2084</v>
      </c>
      <c r="F70" s="6">
        <v>5.2027060000000001</v>
      </c>
      <c r="G70" s="7">
        <v>2.1157469999999999E-3</v>
      </c>
      <c r="H70" s="69"/>
    </row>
    <row r="71" spans="1:8" x14ac:dyDescent="0.2">
      <c r="A71" s="3">
        <v>65</v>
      </c>
      <c r="B71" s="4" t="s">
        <v>473</v>
      </c>
      <c r="C71" s="4" t="s">
        <v>474</v>
      </c>
      <c r="D71" s="4" t="s">
        <v>976</v>
      </c>
      <c r="E71" s="5">
        <v>4799</v>
      </c>
      <c r="F71" s="6">
        <v>4.0575545000000002</v>
      </c>
      <c r="G71" s="7">
        <v>1.650056E-3</v>
      </c>
      <c r="H71" s="69"/>
    </row>
    <row r="72" spans="1:8" x14ac:dyDescent="0.2">
      <c r="A72" s="3">
        <v>66</v>
      </c>
      <c r="B72" s="4" t="s">
        <v>289</v>
      </c>
      <c r="C72" s="4" t="s">
        <v>290</v>
      </c>
      <c r="D72" s="4" t="s">
        <v>27</v>
      </c>
      <c r="E72" s="5">
        <v>8</v>
      </c>
      <c r="F72" s="6">
        <v>2.7108E-2</v>
      </c>
      <c r="G72" s="8" t="s">
        <v>94</v>
      </c>
      <c r="H72" s="69"/>
    </row>
    <row r="73" spans="1:8" x14ac:dyDescent="0.2">
      <c r="A73" s="1"/>
      <c r="B73" s="1"/>
      <c r="C73" s="2" t="s">
        <v>95</v>
      </c>
      <c r="D73" s="1"/>
      <c r="E73" s="1" t="s">
        <v>96</v>
      </c>
      <c r="F73" s="9">
        <v>2369.1707350000001</v>
      </c>
      <c r="G73" s="10">
        <v>0.963453436</v>
      </c>
      <c r="H73" s="69"/>
    </row>
    <row r="74" spans="1:8" x14ac:dyDescent="0.2">
      <c r="A74" s="1"/>
      <c r="B74" s="1"/>
      <c r="C74" s="11"/>
      <c r="D74" s="1"/>
      <c r="E74" s="1"/>
      <c r="F74" s="12"/>
      <c r="G74" s="12"/>
      <c r="H74" s="69"/>
    </row>
    <row r="75" spans="1:8" x14ac:dyDescent="0.2">
      <c r="A75" s="1"/>
      <c r="B75" s="1"/>
      <c r="C75" s="2" t="s">
        <v>97</v>
      </c>
      <c r="D75" s="1"/>
      <c r="E75" s="1"/>
      <c r="F75" s="1"/>
      <c r="G75" s="1"/>
      <c r="H75" s="69"/>
    </row>
    <row r="76" spans="1:8" x14ac:dyDescent="0.2">
      <c r="A76" s="1"/>
      <c r="B76" s="1"/>
      <c r="C76" s="2" t="s">
        <v>95</v>
      </c>
      <c r="D76" s="1"/>
      <c r="E76" s="1" t="s">
        <v>96</v>
      </c>
      <c r="F76" s="13">
        <v>0</v>
      </c>
      <c r="G76" s="14">
        <v>0</v>
      </c>
      <c r="H76" s="69"/>
    </row>
    <row r="77" spans="1:8" x14ac:dyDescent="0.2">
      <c r="A77" s="1"/>
      <c r="B77" s="1"/>
      <c r="C77" s="11"/>
      <c r="D77" s="1"/>
      <c r="E77" s="1"/>
      <c r="F77" s="12"/>
      <c r="G77" s="12"/>
      <c r="H77" s="69"/>
    </row>
    <row r="78" spans="1:8" x14ac:dyDescent="0.2">
      <c r="A78" s="1"/>
      <c r="B78" s="1"/>
      <c r="C78" s="2" t="s">
        <v>98</v>
      </c>
      <c r="D78" s="1"/>
      <c r="E78" s="1"/>
      <c r="F78" s="1"/>
      <c r="G78" s="1"/>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99</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100</v>
      </c>
      <c r="D84" s="1"/>
      <c r="E84" s="1"/>
      <c r="F84" s="12"/>
      <c r="G84" s="12"/>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101</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102</v>
      </c>
      <c r="D90" s="1"/>
      <c r="E90" s="1"/>
      <c r="F90" s="9">
        <v>2369.1707350000001</v>
      </c>
      <c r="G90" s="10">
        <v>0.963453436</v>
      </c>
      <c r="H90" s="69"/>
    </row>
    <row r="91" spans="1:8" x14ac:dyDescent="0.2">
      <c r="A91" s="1"/>
      <c r="B91" s="1"/>
      <c r="C91" s="11"/>
      <c r="D91" s="1"/>
      <c r="E91" s="1"/>
      <c r="F91" s="12"/>
      <c r="G91" s="12"/>
      <c r="H91" s="69"/>
    </row>
    <row r="92" spans="1:8" x14ac:dyDescent="0.2">
      <c r="A92" s="1"/>
      <c r="B92" s="1"/>
      <c r="C92" s="2" t="s">
        <v>103</v>
      </c>
      <c r="D92" s="1"/>
      <c r="E92" s="1"/>
      <c r="F92" s="12"/>
      <c r="G92" s="12"/>
      <c r="H92" s="69"/>
    </row>
    <row r="93" spans="1:8" ht="25.5" x14ac:dyDescent="0.2">
      <c r="A93" s="1"/>
      <c r="B93" s="1"/>
      <c r="C93" s="2" t="s">
        <v>10</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104</v>
      </c>
      <c r="D96" s="1"/>
      <c r="E96" s="1"/>
      <c r="F96" s="1"/>
      <c r="G96" s="1"/>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105</v>
      </c>
      <c r="D99" s="1"/>
      <c r="E99" s="1"/>
      <c r="F99" s="1"/>
      <c r="G99" s="1"/>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106</v>
      </c>
      <c r="D102" s="1"/>
      <c r="E102" s="1"/>
      <c r="F102" s="12"/>
      <c r="G102" s="12"/>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2" t="s">
        <v>107</v>
      </c>
      <c r="D105" s="1"/>
      <c r="E105" s="1"/>
      <c r="F105" s="9">
        <v>0</v>
      </c>
      <c r="G105" s="10">
        <v>0</v>
      </c>
      <c r="H105" s="69"/>
    </row>
    <row r="106" spans="1:8" x14ac:dyDescent="0.2">
      <c r="A106" s="1"/>
      <c r="B106" s="1"/>
      <c r="C106" s="11"/>
      <c r="D106" s="1"/>
      <c r="E106" s="1"/>
      <c r="F106" s="12"/>
      <c r="G106" s="12"/>
      <c r="H106" s="69"/>
    </row>
    <row r="107" spans="1:8" x14ac:dyDescent="0.2">
      <c r="A107" s="1"/>
      <c r="B107" s="1"/>
      <c r="C107" s="2" t="s">
        <v>108</v>
      </c>
      <c r="D107" s="1"/>
      <c r="E107" s="1"/>
      <c r="F107" s="12"/>
      <c r="G107" s="12"/>
      <c r="H107" s="69"/>
    </row>
    <row r="108" spans="1:8" x14ac:dyDescent="0.2">
      <c r="A108" s="1"/>
      <c r="B108" s="1"/>
      <c r="C108" s="2" t="s">
        <v>109</v>
      </c>
      <c r="D108" s="1"/>
      <c r="E108" s="1"/>
      <c r="F108" s="12"/>
      <c r="G108" s="12"/>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110</v>
      </c>
      <c r="D111" s="1"/>
      <c r="E111" s="1"/>
      <c r="F111" s="12"/>
      <c r="G111" s="12"/>
      <c r="H111" s="69"/>
    </row>
    <row r="112" spans="1:8" x14ac:dyDescent="0.2">
      <c r="A112" s="1"/>
      <c r="B112" s="1"/>
      <c r="C112" s="2" t="s">
        <v>95</v>
      </c>
      <c r="D112" s="1"/>
      <c r="E112" s="1" t="s">
        <v>96</v>
      </c>
      <c r="F112" s="13">
        <v>0</v>
      </c>
      <c r="G112" s="14">
        <v>0</v>
      </c>
      <c r="H112" s="69"/>
    </row>
    <row r="113" spans="1:8" x14ac:dyDescent="0.2">
      <c r="A113" s="1"/>
      <c r="B113" s="1"/>
      <c r="C113" s="11"/>
      <c r="D113" s="1"/>
      <c r="E113" s="1"/>
      <c r="F113" s="12"/>
      <c r="G113" s="12"/>
      <c r="H113" s="69"/>
    </row>
    <row r="114" spans="1:8" x14ac:dyDescent="0.2">
      <c r="A114" s="1"/>
      <c r="B114" s="1"/>
      <c r="C114" s="2" t="s">
        <v>111</v>
      </c>
      <c r="D114" s="1"/>
      <c r="E114" s="1"/>
      <c r="F114" s="12"/>
      <c r="G114" s="12"/>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2" t="s">
        <v>112</v>
      </c>
      <c r="D117" s="1"/>
      <c r="E117" s="1"/>
      <c r="F117" s="12"/>
      <c r="G117" s="12"/>
      <c r="H117" s="69"/>
    </row>
    <row r="118" spans="1:8" x14ac:dyDescent="0.2">
      <c r="A118" s="3">
        <v>1</v>
      </c>
      <c r="B118" s="4"/>
      <c r="C118" s="4" t="s">
        <v>113</v>
      </c>
      <c r="D118" s="4"/>
      <c r="E118" s="8"/>
      <c r="F118" s="6">
        <v>57.404611299999999</v>
      </c>
      <c r="G118" s="7">
        <v>2.3344316E-2</v>
      </c>
      <c r="H118" s="6">
        <v>3.3628721504199861</v>
      </c>
    </row>
    <row r="119" spans="1:8" x14ac:dyDescent="0.2">
      <c r="A119" s="3">
        <v>2</v>
      </c>
      <c r="B119" s="4"/>
      <c r="C119" s="4" t="s">
        <v>114</v>
      </c>
      <c r="D119" s="4"/>
      <c r="E119" s="8"/>
      <c r="F119" s="6">
        <v>22.169121100000002</v>
      </c>
      <c r="G119" s="7">
        <v>9.0153549999999992E-3</v>
      </c>
      <c r="H119" s="6">
        <v>3.4499999999999966</v>
      </c>
    </row>
    <row r="120" spans="1:8" x14ac:dyDescent="0.2">
      <c r="A120" s="1"/>
      <c r="B120" s="1"/>
      <c r="C120" s="2" t="s">
        <v>95</v>
      </c>
      <c r="D120" s="1"/>
      <c r="E120" s="1" t="s">
        <v>96</v>
      </c>
      <c r="F120" s="9">
        <v>79.573732399999997</v>
      </c>
      <c r="G120" s="10">
        <v>3.2359671E-2</v>
      </c>
      <c r="H120" s="69"/>
    </row>
    <row r="121" spans="1:8" x14ac:dyDescent="0.2">
      <c r="A121" s="1"/>
      <c r="B121" s="1"/>
      <c r="C121" s="11"/>
      <c r="D121" s="1"/>
      <c r="E121" s="1"/>
      <c r="F121" s="12"/>
      <c r="G121" s="12"/>
      <c r="H121" s="69"/>
    </row>
    <row r="122" spans="1:8" x14ac:dyDescent="0.2">
      <c r="A122" s="1"/>
      <c r="B122" s="1"/>
      <c r="C122" s="2" t="s">
        <v>115</v>
      </c>
      <c r="D122" s="1"/>
      <c r="E122" s="1"/>
      <c r="F122" s="9">
        <v>79.573732399999997</v>
      </c>
      <c r="G122" s="10">
        <v>3.2359671E-2</v>
      </c>
      <c r="H122" s="69"/>
    </row>
    <row r="123" spans="1:8" x14ac:dyDescent="0.2">
      <c r="A123" s="1"/>
      <c r="B123" s="1"/>
      <c r="C123" s="12"/>
      <c r="D123" s="1"/>
      <c r="E123" s="1"/>
      <c r="F123" s="1"/>
      <c r="G123" s="1"/>
      <c r="H123" s="69"/>
    </row>
    <row r="124" spans="1:8" x14ac:dyDescent="0.2">
      <c r="A124" s="1"/>
      <c r="B124" s="1"/>
      <c r="C124" s="2" t="s">
        <v>116</v>
      </c>
      <c r="D124" s="1"/>
      <c r="E124" s="1"/>
      <c r="F124" s="1"/>
      <c r="G124" s="1"/>
      <c r="H124" s="69"/>
    </row>
    <row r="125" spans="1:8" x14ac:dyDescent="0.2">
      <c r="A125" s="1"/>
      <c r="B125" s="1"/>
      <c r="C125" s="2" t="s">
        <v>117</v>
      </c>
      <c r="D125" s="1"/>
      <c r="E125" s="1"/>
      <c r="F125" s="1"/>
      <c r="G125" s="1"/>
      <c r="H125" s="69"/>
    </row>
    <row r="126" spans="1:8" x14ac:dyDescent="0.2">
      <c r="A126" s="1"/>
      <c r="B126" s="1"/>
      <c r="C126" s="2" t="s">
        <v>95</v>
      </c>
      <c r="D126" s="1"/>
      <c r="E126" s="1" t="s">
        <v>96</v>
      </c>
      <c r="F126" s="13">
        <v>0</v>
      </c>
      <c r="G126" s="14">
        <v>0</v>
      </c>
      <c r="H126" s="69"/>
    </row>
    <row r="127" spans="1:8" x14ac:dyDescent="0.2">
      <c r="A127" s="1"/>
      <c r="B127" s="1"/>
      <c r="C127" s="11"/>
      <c r="D127" s="1"/>
      <c r="E127" s="1"/>
      <c r="F127" s="12"/>
      <c r="G127" s="12"/>
      <c r="H127" s="69"/>
    </row>
    <row r="128" spans="1:8" x14ac:dyDescent="0.2">
      <c r="A128" s="1"/>
      <c r="B128" s="1"/>
      <c r="C128" s="2" t="s">
        <v>118</v>
      </c>
      <c r="D128" s="1"/>
      <c r="E128" s="1"/>
      <c r="F128" s="1"/>
      <c r="G128" s="1"/>
      <c r="H128" s="69"/>
    </row>
    <row r="129" spans="1:8" x14ac:dyDescent="0.2">
      <c r="A129" s="1"/>
      <c r="B129" s="1"/>
      <c r="C129" s="2" t="s">
        <v>119</v>
      </c>
      <c r="D129" s="1"/>
      <c r="E129" s="1"/>
      <c r="F129" s="1"/>
      <c r="G129" s="1"/>
      <c r="H129" s="69"/>
    </row>
    <row r="130" spans="1:8" x14ac:dyDescent="0.2">
      <c r="A130" s="1"/>
      <c r="B130" s="1"/>
      <c r="C130" s="2" t="s">
        <v>95</v>
      </c>
      <c r="D130" s="1"/>
      <c r="E130" s="1" t="s">
        <v>96</v>
      </c>
      <c r="F130" s="13">
        <v>0</v>
      </c>
      <c r="G130" s="14">
        <v>0</v>
      </c>
      <c r="H130" s="69"/>
    </row>
    <row r="131" spans="1:8" x14ac:dyDescent="0.2">
      <c r="A131" s="1"/>
      <c r="B131" s="1"/>
      <c r="C131" s="11"/>
      <c r="D131" s="1"/>
      <c r="E131" s="1"/>
      <c r="F131" s="12"/>
      <c r="G131" s="12"/>
      <c r="H131" s="69"/>
    </row>
    <row r="132" spans="1:8" x14ac:dyDescent="0.2">
      <c r="A132" s="1"/>
      <c r="B132" s="1"/>
      <c r="C132" s="11"/>
      <c r="D132" s="1"/>
      <c r="E132" s="1"/>
      <c r="F132" s="12"/>
      <c r="G132" s="12"/>
      <c r="H132" s="69"/>
    </row>
    <row r="133" spans="1:8" ht="25.5" x14ac:dyDescent="0.2">
      <c r="A133" s="1"/>
      <c r="B133" s="1"/>
      <c r="C133" s="2" t="s">
        <v>120</v>
      </c>
      <c r="D133" s="1"/>
      <c r="E133" s="1"/>
      <c r="F133" s="12"/>
      <c r="G133" s="12"/>
      <c r="H133" s="69"/>
    </row>
    <row r="134" spans="1:8" x14ac:dyDescent="0.2">
      <c r="A134" s="1"/>
      <c r="B134" s="1"/>
      <c r="C134" s="2" t="s">
        <v>95</v>
      </c>
      <c r="D134" s="1"/>
      <c r="E134" s="1" t="s">
        <v>96</v>
      </c>
      <c r="F134" s="13">
        <v>0</v>
      </c>
      <c r="G134" s="14">
        <v>0</v>
      </c>
      <c r="H134" s="69"/>
    </row>
    <row r="135" spans="1:8" x14ac:dyDescent="0.2">
      <c r="A135" s="1"/>
      <c r="B135" s="1"/>
      <c r="C135" s="11"/>
      <c r="D135" s="1"/>
      <c r="E135" s="1"/>
      <c r="F135" s="12"/>
      <c r="G135" s="12"/>
      <c r="H135" s="69"/>
    </row>
    <row r="136" spans="1:8" x14ac:dyDescent="0.2">
      <c r="A136" s="1"/>
      <c r="B136" s="4"/>
      <c r="C136" s="4"/>
      <c r="D136" s="2"/>
      <c r="E136" s="1"/>
      <c r="F136" s="4"/>
      <c r="G136" s="8"/>
      <c r="H136" s="69"/>
    </row>
    <row r="137" spans="1:8" x14ac:dyDescent="0.2">
      <c r="A137" s="8"/>
      <c r="B137" s="4"/>
      <c r="C137" s="4" t="s">
        <v>121</v>
      </c>
      <c r="D137" s="4"/>
      <c r="E137" s="8"/>
      <c r="F137" s="6">
        <v>10.295734489999999</v>
      </c>
      <c r="G137" s="7">
        <v>4.1868909999999999E-3</v>
      </c>
      <c r="H137" s="69"/>
    </row>
    <row r="138" spans="1:8" x14ac:dyDescent="0.2">
      <c r="A138" s="11"/>
      <c r="B138" s="11"/>
      <c r="C138" s="2" t="s">
        <v>122</v>
      </c>
      <c r="D138" s="15"/>
      <c r="E138" s="15"/>
      <c r="F138" s="9">
        <v>2459.0402018899999</v>
      </c>
      <c r="G138" s="10">
        <v>0.99999999799999995</v>
      </c>
      <c r="H138" s="69"/>
    </row>
    <row r="139" spans="1:8" ht="14.1" customHeight="1" x14ac:dyDescent="0.2">
      <c r="A139" s="16"/>
      <c r="B139" s="16"/>
      <c r="C139" s="16"/>
      <c r="D139" s="17"/>
      <c r="E139" s="17"/>
      <c r="F139" s="17"/>
      <c r="G139" s="17"/>
    </row>
    <row r="140" spans="1:8" ht="14.1" customHeight="1" x14ac:dyDescent="0.2">
      <c r="A140" s="18"/>
      <c r="B140" s="176" t="s">
        <v>96</v>
      </c>
      <c r="C140" s="176"/>
      <c r="D140" s="176"/>
      <c r="E140" s="176"/>
      <c r="F140" s="176"/>
      <c r="G140" s="20"/>
    </row>
    <row r="141" spans="1:8" ht="17.100000000000001" customHeight="1" x14ac:dyDescent="0.2">
      <c r="A141" s="18"/>
      <c r="B141" s="176" t="s">
        <v>123</v>
      </c>
      <c r="C141" s="176"/>
      <c r="D141" s="176"/>
      <c r="E141" s="176"/>
      <c r="F141" s="176"/>
      <c r="G141" s="20"/>
    </row>
    <row r="142" spans="1:8" ht="14.1" customHeight="1" x14ac:dyDescent="0.2">
      <c r="A142" s="18"/>
      <c r="B142" s="18"/>
      <c r="C142" s="18"/>
      <c r="D142" s="20"/>
      <c r="E142" s="20"/>
      <c r="F142" s="20"/>
      <c r="G142" s="20"/>
    </row>
    <row r="143" spans="1:8" ht="14.1" customHeight="1" x14ac:dyDescent="0.2">
      <c r="A143" s="18"/>
      <c r="B143" s="174" t="s">
        <v>124</v>
      </c>
      <c r="C143" s="175"/>
      <c r="D143" s="12" t="s">
        <v>96</v>
      </c>
      <c r="E143" s="21"/>
      <c r="F143" s="20"/>
      <c r="G143" s="20"/>
    </row>
    <row r="144" spans="1:8" ht="29.1" customHeight="1" x14ac:dyDescent="0.2">
      <c r="A144" s="18"/>
      <c r="B144" s="172" t="s">
        <v>125</v>
      </c>
      <c r="C144" s="173"/>
      <c r="D144" s="2" t="s">
        <v>126</v>
      </c>
      <c r="E144" s="21"/>
      <c r="F144" s="20"/>
      <c r="G144" s="20"/>
    </row>
    <row r="145" spans="1:16" ht="17.100000000000001" customHeight="1" x14ac:dyDescent="0.2">
      <c r="A145" s="18"/>
      <c r="B145" s="172" t="s">
        <v>127</v>
      </c>
      <c r="C145" s="173"/>
      <c r="D145" s="2" t="s">
        <v>126</v>
      </c>
      <c r="E145" s="21"/>
      <c r="F145" s="20"/>
      <c r="G145" s="20"/>
    </row>
    <row r="146" spans="1:16" ht="17.100000000000001" customHeight="1" x14ac:dyDescent="0.2">
      <c r="A146" s="18"/>
      <c r="B146" s="172" t="s">
        <v>128</v>
      </c>
      <c r="C146" s="173"/>
      <c r="D146" s="12" t="s">
        <v>96</v>
      </c>
      <c r="E146" s="21"/>
      <c r="F146" s="20"/>
      <c r="G146" s="20"/>
    </row>
    <row r="147" spans="1:16" ht="24" customHeight="1" x14ac:dyDescent="0.2">
      <c r="A147" s="22"/>
      <c r="B147" s="23" t="s">
        <v>96</v>
      </c>
      <c r="C147" s="23" t="s">
        <v>129</v>
      </c>
      <c r="D147" s="23" t="s">
        <v>130</v>
      </c>
      <c r="E147" s="22"/>
      <c r="F147" s="22"/>
      <c r="G147" s="22"/>
    </row>
    <row r="148" spans="1:16" ht="18" customHeight="1" x14ac:dyDescent="0.2">
      <c r="A148" s="22"/>
      <c r="B148" s="23" t="s">
        <v>131</v>
      </c>
      <c r="C148" s="23" t="s">
        <v>132</v>
      </c>
      <c r="D148" s="23" t="s">
        <v>133</v>
      </c>
      <c r="E148" s="22"/>
      <c r="F148" s="22"/>
      <c r="G148" s="22"/>
    </row>
    <row r="149" spans="1:16" ht="17.100000000000001" customHeight="1" x14ac:dyDescent="0.2">
      <c r="A149" s="22"/>
      <c r="B149" s="4" t="s">
        <v>134</v>
      </c>
      <c r="C149" s="24">
        <v>17.4999</v>
      </c>
      <c r="D149" s="24">
        <v>17.597100000000001</v>
      </c>
      <c r="E149" s="22"/>
      <c r="F149" s="19"/>
      <c r="G149" s="25"/>
    </row>
    <row r="150" spans="1:16" ht="17.100000000000001" customHeight="1" x14ac:dyDescent="0.2">
      <c r="A150" s="22"/>
      <c r="B150" s="4" t="s">
        <v>983</v>
      </c>
      <c r="C150" s="24">
        <v>16.898900000000001</v>
      </c>
      <c r="D150" s="24">
        <v>16.992799999999999</v>
      </c>
      <c r="E150" s="22"/>
      <c r="F150" s="19"/>
      <c r="G150" s="25"/>
    </row>
    <row r="151" spans="1:16" ht="17.100000000000001" customHeight="1" x14ac:dyDescent="0.2">
      <c r="A151" s="22"/>
      <c r="B151" s="4" t="s">
        <v>135</v>
      </c>
      <c r="C151" s="24">
        <v>17.292999999999999</v>
      </c>
      <c r="D151" s="24">
        <v>17.3874</v>
      </c>
      <c r="E151" s="22"/>
      <c r="F151" s="19"/>
      <c r="G151" s="25"/>
    </row>
    <row r="152" spans="1:16" ht="17.100000000000001" customHeight="1" x14ac:dyDescent="0.2">
      <c r="A152" s="22"/>
      <c r="B152" s="4" t="s">
        <v>984</v>
      </c>
      <c r="C152" s="24">
        <v>16.693000000000001</v>
      </c>
      <c r="D152" s="24">
        <v>16.784099999999999</v>
      </c>
      <c r="E152" s="22"/>
      <c r="F152" s="19"/>
      <c r="G152" s="25"/>
    </row>
    <row r="153" spans="1:16" ht="14.1" customHeight="1" x14ac:dyDescent="0.2">
      <c r="A153" s="22"/>
      <c r="B153" s="22"/>
      <c r="C153" s="22"/>
      <c r="D153" s="22"/>
      <c r="E153" s="22"/>
      <c r="F153" s="22"/>
      <c r="G153" s="22"/>
    </row>
    <row r="154" spans="1:16" ht="17.100000000000001" customHeight="1" x14ac:dyDescent="0.2">
      <c r="A154" s="22"/>
      <c r="B154" s="172" t="s">
        <v>985</v>
      </c>
      <c r="C154" s="173"/>
      <c r="D154" s="2" t="s">
        <v>126</v>
      </c>
      <c r="E154" s="22"/>
      <c r="F154" s="22"/>
      <c r="G154" s="22"/>
    </row>
    <row r="155" spans="1:16" ht="18" customHeight="1" x14ac:dyDescent="0.2">
      <c r="A155" s="22"/>
      <c r="B155" s="26" t="s">
        <v>136</v>
      </c>
      <c r="C155" s="26" t="s">
        <v>136</v>
      </c>
      <c r="D155" s="26"/>
      <c r="E155" s="22"/>
      <c r="F155" s="22"/>
      <c r="G155" s="22"/>
      <c r="I155" s="82"/>
      <c r="J155" s="82"/>
      <c r="K155" s="82"/>
      <c r="L155" s="82"/>
      <c r="M155" s="82"/>
      <c r="N155" s="82"/>
      <c r="O155" s="82"/>
    </row>
    <row r="156" spans="1:16" s="82" customFormat="1" x14ac:dyDescent="0.2">
      <c r="B156" s="177" t="s">
        <v>936</v>
      </c>
      <c r="C156" s="177"/>
      <c r="D156" s="177"/>
      <c r="E156" s="177"/>
      <c r="F156" s="177"/>
      <c r="I156"/>
      <c r="J156"/>
      <c r="K156"/>
      <c r="L156"/>
      <c r="M156"/>
      <c r="N156"/>
      <c r="O156"/>
      <c r="P156" s="70"/>
    </row>
    <row r="157" spans="1:16" ht="14.1" customHeight="1" x14ac:dyDescent="0.2">
      <c r="A157" s="22"/>
      <c r="B157" s="19"/>
      <c r="C157" s="19"/>
      <c r="D157" s="22"/>
      <c r="E157" s="22"/>
      <c r="F157" s="22"/>
      <c r="G157" s="22"/>
    </row>
    <row r="158" spans="1:16" ht="29.1" customHeight="1" x14ac:dyDescent="0.2">
      <c r="A158" s="22"/>
      <c r="B158" s="172" t="s">
        <v>137</v>
      </c>
      <c r="C158" s="173"/>
      <c r="D158" s="2" t="s">
        <v>126</v>
      </c>
      <c r="E158" s="22"/>
      <c r="F158" s="22"/>
      <c r="G158" s="22"/>
    </row>
    <row r="159" spans="1:16" ht="29.1" customHeight="1" x14ac:dyDescent="0.2">
      <c r="A159" s="22"/>
      <c r="B159" s="172" t="s">
        <v>138</v>
      </c>
      <c r="C159" s="173"/>
      <c r="D159" s="2" t="s">
        <v>126</v>
      </c>
      <c r="E159" s="22"/>
      <c r="F159" s="22"/>
      <c r="G159" s="22"/>
    </row>
    <row r="160" spans="1:16" ht="17.100000000000001" customHeight="1" x14ac:dyDescent="0.2">
      <c r="A160" s="22"/>
      <c r="B160" s="172" t="s">
        <v>139</v>
      </c>
      <c r="C160" s="173"/>
      <c r="D160" s="27">
        <v>0.31787620500630048</v>
      </c>
      <c r="E160" s="22"/>
      <c r="F160" s="19"/>
      <c r="G160" s="25"/>
    </row>
    <row r="161" spans="1:7" ht="17.100000000000001" customHeight="1" x14ac:dyDescent="0.2">
      <c r="A161" s="22"/>
      <c r="B161" s="172" t="s">
        <v>140</v>
      </c>
      <c r="C161" s="173"/>
      <c r="D161" s="2" t="s">
        <v>126</v>
      </c>
      <c r="E161" s="22"/>
      <c r="F161" s="22"/>
      <c r="G161" s="22"/>
    </row>
  </sheetData>
  <mergeCells count="16">
    <mergeCell ref="B161:C161"/>
    <mergeCell ref="B144:C144"/>
    <mergeCell ref="B145:C145"/>
    <mergeCell ref="B146:C146"/>
    <mergeCell ref="B154:C154"/>
    <mergeCell ref="B158:C158"/>
    <mergeCell ref="B159:C159"/>
    <mergeCell ref="B156:F156"/>
    <mergeCell ref="A1:H1"/>
    <mergeCell ref="A2:H2"/>
    <mergeCell ref="A3:H3"/>
    <mergeCell ref="J2:N2"/>
    <mergeCell ref="B160:C160"/>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P13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500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412</v>
      </c>
      <c r="C7" s="4" t="s">
        <v>413</v>
      </c>
      <c r="D7" s="4" t="s">
        <v>155</v>
      </c>
      <c r="E7" s="5">
        <v>8300</v>
      </c>
      <c r="F7" s="6">
        <v>142.14994999999999</v>
      </c>
      <c r="G7" s="7">
        <v>8.0218037000000006E-2</v>
      </c>
      <c r="H7" s="69"/>
    </row>
    <row r="8" spans="1:14" x14ac:dyDescent="0.2">
      <c r="A8" s="3">
        <v>2</v>
      </c>
      <c r="B8" s="4" t="s">
        <v>20</v>
      </c>
      <c r="C8" s="4" t="s">
        <v>21</v>
      </c>
      <c r="D8" s="4" t="s">
        <v>22</v>
      </c>
      <c r="E8" s="5">
        <v>19709</v>
      </c>
      <c r="F8" s="6">
        <v>140.79124150000001</v>
      </c>
      <c r="G8" s="7">
        <v>7.9451290999999993E-2</v>
      </c>
      <c r="H8" s="69"/>
    </row>
    <row r="9" spans="1:14" x14ac:dyDescent="0.2">
      <c r="A9" s="3">
        <v>3</v>
      </c>
      <c r="B9" s="4" t="s">
        <v>14</v>
      </c>
      <c r="C9" s="4" t="s">
        <v>15</v>
      </c>
      <c r="D9" s="4" t="s">
        <v>16</v>
      </c>
      <c r="E9" s="5">
        <v>5610</v>
      </c>
      <c r="F9" s="6">
        <v>134.94293999999999</v>
      </c>
      <c r="G9" s="7">
        <v>7.6150978999999994E-2</v>
      </c>
      <c r="H9" s="69"/>
    </row>
    <row r="10" spans="1:14" x14ac:dyDescent="0.2">
      <c r="A10" s="3">
        <v>4</v>
      </c>
      <c r="B10" s="4" t="s">
        <v>410</v>
      </c>
      <c r="C10" s="4" t="s">
        <v>411</v>
      </c>
      <c r="D10" s="4" t="s">
        <v>22</v>
      </c>
      <c r="E10" s="5">
        <v>7350</v>
      </c>
      <c r="F10" s="6">
        <v>109.775925</v>
      </c>
      <c r="G10" s="7">
        <v>6.1948732999999999E-2</v>
      </c>
      <c r="H10" s="69"/>
    </row>
    <row r="11" spans="1:14" ht="25.5" x14ac:dyDescent="0.2">
      <c r="A11" s="3">
        <v>5</v>
      </c>
      <c r="B11" s="4" t="s">
        <v>414</v>
      </c>
      <c r="C11" s="4" t="s">
        <v>415</v>
      </c>
      <c r="D11" s="4" t="s">
        <v>78</v>
      </c>
      <c r="E11" s="5">
        <v>3376</v>
      </c>
      <c r="F11" s="6">
        <v>90.243855999999994</v>
      </c>
      <c r="G11" s="7">
        <v>5.0926398999999997E-2</v>
      </c>
      <c r="H11" s="69"/>
    </row>
    <row r="12" spans="1:14" x14ac:dyDescent="0.2">
      <c r="A12" s="3">
        <v>6</v>
      </c>
      <c r="B12" s="4" t="s">
        <v>416</v>
      </c>
      <c r="C12" s="4" t="s">
        <v>417</v>
      </c>
      <c r="D12" s="4" t="s">
        <v>22</v>
      </c>
      <c r="E12" s="5">
        <v>16051</v>
      </c>
      <c r="F12" s="6">
        <v>73.922880500000005</v>
      </c>
      <c r="G12" s="7">
        <v>4.1716148000000002E-2</v>
      </c>
      <c r="H12" s="69"/>
    </row>
    <row r="13" spans="1:14" ht="25.5" x14ac:dyDescent="0.2">
      <c r="A13" s="3">
        <v>7</v>
      </c>
      <c r="B13" s="4" t="s">
        <v>322</v>
      </c>
      <c r="C13" s="4" t="s">
        <v>323</v>
      </c>
      <c r="D13" s="4" t="s">
        <v>207</v>
      </c>
      <c r="E13" s="5">
        <v>7963</v>
      </c>
      <c r="F13" s="6">
        <v>70.986163500000004</v>
      </c>
      <c r="G13" s="7">
        <v>4.0058901000000001E-2</v>
      </c>
      <c r="H13" s="69"/>
    </row>
    <row r="14" spans="1:14" x14ac:dyDescent="0.2">
      <c r="A14" s="3">
        <v>8</v>
      </c>
      <c r="B14" s="4" t="s">
        <v>11</v>
      </c>
      <c r="C14" s="4" t="s">
        <v>12</v>
      </c>
      <c r="D14" s="4" t="s">
        <v>13</v>
      </c>
      <c r="E14" s="5">
        <v>3340</v>
      </c>
      <c r="F14" s="6">
        <v>58.94265</v>
      </c>
      <c r="G14" s="7">
        <v>3.3262506999999997E-2</v>
      </c>
      <c r="H14" s="69"/>
    </row>
    <row r="15" spans="1:14" ht="15" x14ac:dyDescent="0.2">
      <c r="A15" s="3">
        <v>9</v>
      </c>
      <c r="B15" s="4" t="s">
        <v>142</v>
      </c>
      <c r="C15" s="4" t="s">
        <v>143</v>
      </c>
      <c r="D15" s="4" t="s">
        <v>144</v>
      </c>
      <c r="E15" s="5">
        <v>1505</v>
      </c>
      <c r="F15" s="6">
        <v>56.302050000000001</v>
      </c>
      <c r="G15" s="7">
        <v>3.1772363999999997E-2</v>
      </c>
      <c r="H15" s="69"/>
      <c r="J15" s="160" t="s">
        <v>1013</v>
      </c>
    </row>
    <row r="16" spans="1:14" ht="25.5" x14ac:dyDescent="0.2">
      <c r="A16" s="3">
        <v>10</v>
      </c>
      <c r="B16" s="4" t="s">
        <v>23</v>
      </c>
      <c r="C16" s="4" t="s">
        <v>24</v>
      </c>
      <c r="D16" s="4" t="s">
        <v>974</v>
      </c>
      <c r="E16" s="5">
        <v>746</v>
      </c>
      <c r="F16" s="6">
        <v>55.455775000000003</v>
      </c>
      <c r="G16" s="7">
        <v>3.1294794000000001E-2</v>
      </c>
      <c r="H16" s="69"/>
    </row>
    <row r="17" spans="1:8" x14ac:dyDescent="0.2">
      <c r="A17" s="3">
        <v>11</v>
      </c>
      <c r="B17" s="4" t="s">
        <v>326</v>
      </c>
      <c r="C17" s="4" t="s">
        <v>327</v>
      </c>
      <c r="D17" s="4" t="s">
        <v>22</v>
      </c>
      <c r="E17" s="5">
        <v>8341</v>
      </c>
      <c r="F17" s="6">
        <v>54.687766500000002</v>
      </c>
      <c r="G17" s="7">
        <v>3.0861392000000001E-2</v>
      </c>
      <c r="H17" s="69"/>
    </row>
    <row r="18" spans="1:8" x14ac:dyDescent="0.2">
      <c r="A18" s="3">
        <v>12</v>
      </c>
      <c r="B18" s="4" t="s">
        <v>17</v>
      </c>
      <c r="C18" s="4" t="s">
        <v>18</v>
      </c>
      <c r="D18" s="4" t="s">
        <v>19</v>
      </c>
      <c r="E18" s="5">
        <v>6757</v>
      </c>
      <c r="F18" s="6">
        <v>49.207852500000001</v>
      </c>
      <c r="G18" s="7">
        <v>2.7768968000000002E-2</v>
      </c>
      <c r="H18" s="69"/>
    </row>
    <row r="19" spans="1:8" x14ac:dyDescent="0.2">
      <c r="A19" s="3">
        <v>13</v>
      </c>
      <c r="B19" s="4" t="s">
        <v>173</v>
      </c>
      <c r="C19" s="4" t="s">
        <v>174</v>
      </c>
      <c r="D19" s="4" t="s">
        <v>175</v>
      </c>
      <c r="E19" s="5">
        <v>16375</v>
      </c>
      <c r="F19" s="6">
        <v>41.436937499999999</v>
      </c>
      <c r="G19" s="7">
        <v>2.3383686000000001E-2</v>
      </c>
      <c r="H19" s="69"/>
    </row>
    <row r="20" spans="1:8" x14ac:dyDescent="0.2">
      <c r="A20" s="3">
        <v>14</v>
      </c>
      <c r="B20" s="4" t="s">
        <v>501</v>
      </c>
      <c r="C20" s="4" t="s">
        <v>502</v>
      </c>
      <c r="D20" s="4" t="s">
        <v>83</v>
      </c>
      <c r="E20" s="5">
        <v>9000</v>
      </c>
      <c r="F20" s="6">
        <v>41.274000000000001</v>
      </c>
      <c r="G20" s="7">
        <v>2.3291737E-2</v>
      </c>
      <c r="H20" s="69"/>
    </row>
    <row r="21" spans="1:8" x14ac:dyDescent="0.2">
      <c r="A21" s="3">
        <v>15</v>
      </c>
      <c r="B21" s="4" t="s">
        <v>418</v>
      </c>
      <c r="C21" s="4" t="s">
        <v>419</v>
      </c>
      <c r="D21" s="4" t="s">
        <v>982</v>
      </c>
      <c r="E21" s="5">
        <v>3200</v>
      </c>
      <c r="F21" s="6">
        <v>37.137599999999999</v>
      </c>
      <c r="G21" s="7">
        <v>2.0957485000000001E-2</v>
      </c>
      <c r="H21" s="69"/>
    </row>
    <row r="22" spans="1:8" ht="25.5" x14ac:dyDescent="0.2">
      <c r="A22" s="3">
        <v>16</v>
      </c>
      <c r="B22" s="4" t="s">
        <v>503</v>
      </c>
      <c r="C22" s="4" t="s">
        <v>504</v>
      </c>
      <c r="D22" s="4" t="s">
        <v>974</v>
      </c>
      <c r="E22" s="5">
        <v>2750</v>
      </c>
      <c r="F22" s="6">
        <v>37.100250000000003</v>
      </c>
      <c r="G22" s="7">
        <v>2.0936407000000001E-2</v>
      </c>
      <c r="H22" s="69"/>
    </row>
    <row r="23" spans="1:8" x14ac:dyDescent="0.2">
      <c r="A23" s="3">
        <v>17</v>
      </c>
      <c r="B23" s="4" t="s">
        <v>420</v>
      </c>
      <c r="C23" s="4" t="s">
        <v>421</v>
      </c>
      <c r="D23" s="4" t="s">
        <v>155</v>
      </c>
      <c r="E23" s="5">
        <v>969</v>
      </c>
      <c r="F23" s="6">
        <v>34.197463499999998</v>
      </c>
      <c r="G23" s="7">
        <v>1.9298307000000001E-2</v>
      </c>
      <c r="H23" s="69"/>
    </row>
    <row r="24" spans="1:8" x14ac:dyDescent="0.2">
      <c r="A24" s="3">
        <v>18</v>
      </c>
      <c r="B24" s="4" t="s">
        <v>380</v>
      </c>
      <c r="C24" s="4" t="s">
        <v>381</v>
      </c>
      <c r="D24" s="4" t="s">
        <v>155</v>
      </c>
      <c r="E24" s="5">
        <v>3000</v>
      </c>
      <c r="F24" s="6">
        <v>34.159500000000001</v>
      </c>
      <c r="G24" s="7">
        <v>1.9276884000000001E-2</v>
      </c>
      <c r="H24" s="69"/>
    </row>
    <row r="25" spans="1:8" x14ac:dyDescent="0.2">
      <c r="A25" s="3">
        <v>19</v>
      </c>
      <c r="B25" s="4" t="s">
        <v>450</v>
      </c>
      <c r="C25" s="4" t="s">
        <v>451</v>
      </c>
      <c r="D25" s="4" t="s">
        <v>75</v>
      </c>
      <c r="E25" s="5">
        <v>1421</v>
      </c>
      <c r="F25" s="6">
        <v>33.755854999999997</v>
      </c>
      <c r="G25" s="7">
        <v>1.9049099E-2</v>
      </c>
      <c r="H25" s="69"/>
    </row>
    <row r="26" spans="1:8" x14ac:dyDescent="0.2">
      <c r="A26" s="3">
        <v>20</v>
      </c>
      <c r="B26" s="4" t="s">
        <v>187</v>
      </c>
      <c r="C26" s="4" t="s">
        <v>188</v>
      </c>
      <c r="D26" s="4" t="s">
        <v>978</v>
      </c>
      <c r="E26" s="5">
        <v>3500</v>
      </c>
      <c r="F26" s="6">
        <v>31.277750000000001</v>
      </c>
      <c r="G26" s="7">
        <v>1.7650655000000001E-2</v>
      </c>
      <c r="H26" s="69"/>
    </row>
    <row r="27" spans="1:8" x14ac:dyDescent="0.2">
      <c r="A27" s="3">
        <v>21</v>
      </c>
      <c r="B27" s="4" t="s">
        <v>441</v>
      </c>
      <c r="C27" s="4" t="s">
        <v>442</v>
      </c>
      <c r="D27" s="4" t="s">
        <v>22</v>
      </c>
      <c r="E27" s="5">
        <v>1570</v>
      </c>
      <c r="F27" s="6">
        <v>30.801829999999999</v>
      </c>
      <c r="G27" s="7">
        <v>1.7382083999999999E-2</v>
      </c>
      <c r="H27" s="69"/>
    </row>
    <row r="28" spans="1:8" x14ac:dyDescent="0.2">
      <c r="A28" s="3">
        <v>22</v>
      </c>
      <c r="B28" s="4" t="s">
        <v>328</v>
      </c>
      <c r="C28" s="4" t="s">
        <v>329</v>
      </c>
      <c r="D28" s="4" t="s">
        <v>27</v>
      </c>
      <c r="E28" s="5">
        <v>3462</v>
      </c>
      <c r="F28" s="6">
        <v>30.41367</v>
      </c>
      <c r="G28" s="7">
        <v>1.7163036999999999E-2</v>
      </c>
      <c r="H28" s="69"/>
    </row>
    <row r="29" spans="1:8" x14ac:dyDescent="0.2">
      <c r="A29" s="3">
        <v>23</v>
      </c>
      <c r="B29" s="4" t="s">
        <v>39</v>
      </c>
      <c r="C29" s="4" t="s">
        <v>40</v>
      </c>
      <c r="D29" s="4" t="s">
        <v>16</v>
      </c>
      <c r="E29" s="5">
        <v>8136</v>
      </c>
      <c r="F29" s="6">
        <v>30.103200000000001</v>
      </c>
      <c r="G29" s="7">
        <v>1.6987833000000001E-2</v>
      </c>
      <c r="H29" s="69"/>
    </row>
    <row r="30" spans="1:8" x14ac:dyDescent="0.2">
      <c r="A30" s="3">
        <v>24</v>
      </c>
      <c r="B30" s="4" t="s">
        <v>378</v>
      </c>
      <c r="C30" s="4" t="s">
        <v>379</v>
      </c>
      <c r="D30" s="4" t="s">
        <v>224</v>
      </c>
      <c r="E30" s="5">
        <v>4000</v>
      </c>
      <c r="F30" s="6">
        <v>29.608000000000001</v>
      </c>
      <c r="G30" s="7">
        <v>1.6708382000000001E-2</v>
      </c>
      <c r="H30" s="69"/>
    </row>
    <row r="31" spans="1:8" ht="25.5" x14ac:dyDescent="0.2">
      <c r="A31" s="3">
        <v>25</v>
      </c>
      <c r="B31" s="4" t="s">
        <v>437</v>
      </c>
      <c r="C31" s="4" t="s">
        <v>438</v>
      </c>
      <c r="D31" s="4" t="s">
        <v>207</v>
      </c>
      <c r="E31" s="5">
        <v>12606</v>
      </c>
      <c r="F31" s="6">
        <v>27.878169</v>
      </c>
      <c r="G31" s="7">
        <v>1.5732204E-2</v>
      </c>
      <c r="H31" s="69"/>
    </row>
    <row r="32" spans="1:8" x14ac:dyDescent="0.2">
      <c r="A32" s="3">
        <v>26</v>
      </c>
      <c r="B32" s="4" t="s">
        <v>363</v>
      </c>
      <c r="C32" s="4" t="s">
        <v>364</v>
      </c>
      <c r="D32" s="4" t="s">
        <v>48</v>
      </c>
      <c r="E32" s="5">
        <v>3551</v>
      </c>
      <c r="F32" s="6">
        <v>22.016200000000001</v>
      </c>
      <c r="G32" s="7">
        <v>1.2424179E-2</v>
      </c>
      <c r="H32" s="69"/>
    </row>
    <row r="33" spans="1:8" x14ac:dyDescent="0.2">
      <c r="A33" s="3">
        <v>27</v>
      </c>
      <c r="B33" s="4" t="s">
        <v>351</v>
      </c>
      <c r="C33" s="4" t="s">
        <v>352</v>
      </c>
      <c r="D33" s="4" t="s">
        <v>22</v>
      </c>
      <c r="E33" s="5">
        <v>25574</v>
      </c>
      <c r="F33" s="6">
        <v>21.929704999999998</v>
      </c>
      <c r="G33" s="7">
        <v>1.2375367999999999E-2</v>
      </c>
      <c r="H33" s="69"/>
    </row>
    <row r="34" spans="1:8" x14ac:dyDescent="0.2">
      <c r="A34" s="3">
        <v>28</v>
      </c>
      <c r="B34" s="4" t="s">
        <v>330</v>
      </c>
      <c r="C34" s="4" t="s">
        <v>331</v>
      </c>
      <c r="D34" s="4" t="s">
        <v>22</v>
      </c>
      <c r="E34" s="5">
        <v>25000</v>
      </c>
      <c r="F34" s="6">
        <v>21.7</v>
      </c>
      <c r="G34" s="7">
        <v>1.2245740999999999E-2</v>
      </c>
      <c r="H34" s="69"/>
    </row>
    <row r="35" spans="1:8" x14ac:dyDescent="0.2">
      <c r="A35" s="3">
        <v>29</v>
      </c>
      <c r="B35" s="4" t="s">
        <v>355</v>
      </c>
      <c r="C35" s="4" t="s">
        <v>356</v>
      </c>
      <c r="D35" s="4" t="s">
        <v>65</v>
      </c>
      <c r="E35" s="5">
        <v>6000</v>
      </c>
      <c r="F35" s="6">
        <v>20.613</v>
      </c>
      <c r="G35" s="7">
        <v>1.1632325000000001E-2</v>
      </c>
      <c r="H35" s="69"/>
    </row>
    <row r="36" spans="1:8" x14ac:dyDescent="0.2">
      <c r="A36" s="3">
        <v>30</v>
      </c>
      <c r="B36" s="4" t="s">
        <v>424</v>
      </c>
      <c r="C36" s="4" t="s">
        <v>425</v>
      </c>
      <c r="D36" s="4" t="s">
        <v>204</v>
      </c>
      <c r="E36" s="5">
        <v>2650</v>
      </c>
      <c r="F36" s="6">
        <v>19.970400000000001</v>
      </c>
      <c r="G36" s="7">
        <v>1.1269693000000001E-2</v>
      </c>
      <c r="H36" s="69"/>
    </row>
    <row r="37" spans="1:8" x14ac:dyDescent="0.2">
      <c r="A37" s="3">
        <v>31</v>
      </c>
      <c r="B37" s="4" t="s">
        <v>90</v>
      </c>
      <c r="C37" s="4" t="s">
        <v>91</v>
      </c>
      <c r="D37" s="4" t="s">
        <v>27</v>
      </c>
      <c r="E37" s="5">
        <v>248</v>
      </c>
      <c r="F37" s="6">
        <v>19.328624000000001</v>
      </c>
      <c r="G37" s="7">
        <v>1.0907526000000001E-2</v>
      </c>
      <c r="H37" s="69"/>
    </row>
    <row r="38" spans="1:8" ht="25.5" x14ac:dyDescent="0.2">
      <c r="A38" s="3">
        <v>32</v>
      </c>
      <c r="B38" s="4" t="s">
        <v>426</v>
      </c>
      <c r="C38" s="4" t="s">
        <v>427</v>
      </c>
      <c r="D38" s="4" t="s">
        <v>207</v>
      </c>
      <c r="E38" s="5">
        <v>788</v>
      </c>
      <c r="F38" s="6">
        <v>18.262294000000001</v>
      </c>
      <c r="G38" s="7">
        <v>1.0305775E-2</v>
      </c>
      <c r="H38" s="69"/>
    </row>
    <row r="39" spans="1:8" x14ac:dyDescent="0.2">
      <c r="A39" s="3">
        <v>33</v>
      </c>
      <c r="B39" s="4" t="s">
        <v>505</v>
      </c>
      <c r="C39" s="4" t="s">
        <v>506</v>
      </c>
      <c r="D39" s="4" t="s">
        <v>334</v>
      </c>
      <c r="E39" s="5">
        <v>7000</v>
      </c>
      <c r="F39" s="6">
        <v>17.856999999999999</v>
      </c>
      <c r="G39" s="7">
        <v>1.0077058999999999E-2</v>
      </c>
      <c r="H39" s="69"/>
    </row>
    <row r="40" spans="1:8" ht="25.5" x14ac:dyDescent="0.2">
      <c r="A40" s="3">
        <v>34</v>
      </c>
      <c r="B40" s="4" t="s">
        <v>404</v>
      </c>
      <c r="C40" s="4" t="s">
        <v>405</v>
      </c>
      <c r="D40" s="4" t="s">
        <v>207</v>
      </c>
      <c r="E40" s="5">
        <v>2272</v>
      </c>
      <c r="F40" s="6">
        <v>17.689792000000001</v>
      </c>
      <c r="G40" s="7">
        <v>9.9827010000000001E-3</v>
      </c>
      <c r="H40" s="69"/>
    </row>
    <row r="41" spans="1:8" x14ac:dyDescent="0.2">
      <c r="A41" s="3">
        <v>35</v>
      </c>
      <c r="B41" s="4" t="s">
        <v>454</v>
      </c>
      <c r="C41" s="4" t="s">
        <v>455</v>
      </c>
      <c r="D41" s="4" t="s">
        <v>204</v>
      </c>
      <c r="E41" s="5">
        <v>1814</v>
      </c>
      <c r="F41" s="6">
        <v>17.619382000000002</v>
      </c>
      <c r="G41" s="7">
        <v>9.9429670000000005E-3</v>
      </c>
      <c r="H41" s="69"/>
    </row>
    <row r="42" spans="1:8" x14ac:dyDescent="0.2">
      <c r="A42" s="3">
        <v>36</v>
      </c>
      <c r="B42" s="4" t="s">
        <v>422</v>
      </c>
      <c r="C42" s="4" t="s">
        <v>423</v>
      </c>
      <c r="D42" s="4" t="s">
        <v>155</v>
      </c>
      <c r="E42" s="5">
        <v>2582</v>
      </c>
      <c r="F42" s="6">
        <v>16.453795</v>
      </c>
      <c r="G42" s="7">
        <v>9.2852030000000006E-3</v>
      </c>
      <c r="H42" s="69"/>
    </row>
    <row r="43" spans="1:8" x14ac:dyDescent="0.2">
      <c r="A43" s="3">
        <v>37</v>
      </c>
      <c r="B43" s="4" t="s">
        <v>443</v>
      </c>
      <c r="C43" s="4" t="s">
        <v>444</v>
      </c>
      <c r="D43" s="4" t="s">
        <v>65</v>
      </c>
      <c r="E43" s="5">
        <v>1501</v>
      </c>
      <c r="F43" s="6">
        <v>16.078711999999999</v>
      </c>
      <c r="G43" s="7">
        <v>9.0735360000000001E-3</v>
      </c>
      <c r="H43" s="69"/>
    </row>
    <row r="44" spans="1:8" x14ac:dyDescent="0.2">
      <c r="A44" s="3">
        <v>38</v>
      </c>
      <c r="B44" s="4" t="s">
        <v>68</v>
      </c>
      <c r="C44" s="4" t="s">
        <v>69</v>
      </c>
      <c r="D44" s="4" t="s">
        <v>70</v>
      </c>
      <c r="E44" s="5">
        <v>10893</v>
      </c>
      <c r="F44" s="6">
        <v>14.139113999999999</v>
      </c>
      <c r="G44" s="7">
        <v>7.9789830000000003E-3</v>
      </c>
      <c r="H44" s="69"/>
    </row>
    <row r="45" spans="1:8" x14ac:dyDescent="0.2">
      <c r="A45" s="3">
        <v>39</v>
      </c>
      <c r="B45" s="4" t="s">
        <v>347</v>
      </c>
      <c r="C45" s="4" t="s">
        <v>348</v>
      </c>
      <c r="D45" s="4" t="s">
        <v>204</v>
      </c>
      <c r="E45" s="5">
        <v>280</v>
      </c>
      <c r="F45" s="6">
        <v>10.03898</v>
      </c>
      <c r="G45" s="7">
        <v>5.6651959999999999E-3</v>
      </c>
      <c r="H45" s="69"/>
    </row>
    <row r="46" spans="1:8" ht="25.5" x14ac:dyDescent="0.2">
      <c r="A46" s="3">
        <v>40</v>
      </c>
      <c r="B46" s="4" t="s">
        <v>445</v>
      </c>
      <c r="C46" s="4" t="s">
        <v>930</v>
      </c>
      <c r="D46" s="72" t="s">
        <v>19</v>
      </c>
      <c r="E46" s="5">
        <v>482</v>
      </c>
      <c r="F46" s="6">
        <v>1.883656</v>
      </c>
      <c r="G46" s="7">
        <v>1.0629840000000001E-3</v>
      </c>
      <c r="H46" s="69"/>
    </row>
    <row r="47" spans="1:8" x14ac:dyDescent="0.2">
      <c r="A47" s="1"/>
      <c r="B47" s="1"/>
      <c r="C47" s="2" t="s">
        <v>95</v>
      </c>
      <c r="D47" s="1"/>
      <c r="E47" s="1" t="s">
        <v>96</v>
      </c>
      <c r="F47" s="9">
        <v>1732.1339294999998</v>
      </c>
      <c r="G47" s="10">
        <v>0.97747754899999995</v>
      </c>
      <c r="H47" s="69"/>
    </row>
    <row r="48" spans="1:8" x14ac:dyDescent="0.2">
      <c r="A48" s="1"/>
      <c r="B48" s="1"/>
      <c r="C48" s="11"/>
      <c r="D48" s="1"/>
      <c r="E48" s="1"/>
      <c r="F48" s="12"/>
      <c r="G48" s="12"/>
      <c r="H48" s="69"/>
    </row>
    <row r="49" spans="1:8" x14ac:dyDescent="0.2">
      <c r="A49" s="1"/>
      <c r="B49" s="1"/>
      <c r="C49" s="2" t="s">
        <v>97</v>
      </c>
      <c r="D49" s="1"/>
      <c r="E49" s="1"/>
      <c r="F49" s="1"/>
      <c r="G49" s="1"/>
      <c r="H49" s="69"/>
    </row>
    <row r="50" spans="1:8" x14ac:dyDescent="0.2">
      <c r="A50" s="1"/>
      <c r="B50" s="1"/>
      <c r="C50" s="2" t="s">
        <v>95</v>
      </c>
      <c r="D50" s="1"/>
      <c r="E50" s="1" t="s">
        <v>96</v>
      </c>
      <c r="F50" s="13">
        <v>0</v>
      </c>
      <c r="G50" s="14">
        <v>0</v>
      </c>
      <c r="H50" s="69"/>
    </row>
    <row r="51" spans="1:8" x14ac:dyDescent="0.2">
      <c r="A51" s="1"/>
      <c r="B51" s="1"/>
      <c r="C51" s="11"/>
      <c r="D51" s="1"/>
      <c r="E51" s="1"/>
      <c r="F51" s="12"/>
      <c r="G51" s="12"/>
      <c r="H51" s="69"/>
    </row>
    <row r="52" spans="1:8" x14ac:dyDescent="0.2">
      <c r="A52" s="1"/>
      <c r="B52" s="1"/>
      <c r="C52" s="2" t="s">
        <v>98</v>
      </c>
      <c r="D52" s="1"/>
      <c r="E52" s="1"/>
      <c r="F52" s="1"/>
      <c r="G52" s="1"/>
      <c r="H52" s="69"/>
    </row>
    <row r="53" spans="1:8" x14ac:dyDescent="0.2">
      <c r="A53" s="1"/>
      <c r="B53" s="1"/>
      <c r="C53" s="2" t="s">
        <v>95</v>
      </c>
      <c r="D53" s="1"/>
      <c r="E53" s="1" t="s">
        <v>96</v>
      </c>
      <c r="F53" s="13">
        <v>0</v>
      </c>
      <c r="G53" s="14">
        <v>0</v>
      </c>
      <c r="H53" s="69"/>
    </row>
    <row r="54" spans="1:8" x14ac:dyDescent="0.2">
      <c r="A54" s="1"/>
      <c r="B54" s="1"/>
      <c r="C54" s="11"/>
      <c r="D54" s="1"/>
      <c r="E54" s="1"/>
      <c r="F54" s="12"/>
      <c r="G54" s="12"/>
      <c r="H54" s="69"/>
    </row>
    <row r="55" spans="1:8" x14ac:dyDescent="0.2">
      <c r="A55" s="1"/>
      <c r="B55" s="1"/>
      <c r="C55" s="2" t="s">
        <v>99</v>
      </c>
      <c r="D55" s="1"/>
      <c r="E55" s="1"/>
      <c r="F55" s="1"/>
      <c r="G55" s="1"/>
      <c r="H55" s="69"/>
    </row>
    <row r="56" spans="1:8" x14ac:dyDescent="0.2">
      <c r="A56" s="1"/>
      <c r="B56" s="1"/>
      <c r="C56" s="2" t="s">
        <v>95</v>
      </c>
      <c r="D56" s="1"/>
      <c r="E56" s="1" t="s">
        <v>96</v>
      </c>
      <c r="F56" s="9">
        <v>0</v>
      </c>
      <c r="G56" s="10">
        <v>0</v>
      </c>
      <c r="H56" s="69"/>
    </row>
    <row r="57" spans="1:8" x14ac:dyDescent="0.2">
      <c r="A57" s="1"/>
      <c r="B57" s="1"/>
      <c r="C57" s="11"/>
      <c r="D57" s="1"/>
      <c r="E57" s="1"/>
      <c r="F57" s="12"/>
      <c r="G57" s="12"/>
      <c r="H57" s="69"/>
    </row>
    <row r="58" spans="1:8" x14ac:dyDescent="0.2">
      <c r="A58" s="1"/>
      <c r="B58" s="1"/>
      <c r="C58" s="2" t="s">
        <v>100</v>
      </c>
      <c r="D58" s="1"/>
      <c r="E58" s="1"/>
      <c r="F58" s="12"/>
      <c r="G58" s="12"/>
      <c r="H58" s="69"/>
    </row>
    <row r="59" spans="1:8" x14ac:dyDescent="0.2">
      <c r="A59" s="1"/>
      <c r="B59" s="1"/>
      <c r="C59" s="2" t="s">
        <v>95</v>
      </c>
      <c r="D59" s="1"/>
      <c r="E59" s="1" t="s">
        <v>96</v>
      </c>
      <c r="F59" s="13">
        <v>0</v>
      </c>
      <c r="G59" s="14">
        <v>0</v>
      </c>
      <c r="H59" s="69"/>
    </row>
    <row r="60" spans="1:8" x14ac:dyDescent="0.2">
      <c r="A60" s="1"/>
      <c r="B60" s="1"/>
      <c r="C60" s="11"/>
      <c r="D60" s="1"/>
      <c r="E60" s="1"/>
      <c r="F60" s="12"/>
      <c r="G60" s="12"/>
      <c r="H60" s="69"/>
    </row>
    <row r="61" spans="1:8" x14ac:dyDescent="0.2">
      <c r="A61" s="1"/>
      <c r="B61" s="1"/>
      <c r="C61" s="2" t="s">
        <v>101</v>
      </c>
      <c r="D61" s="1"/>
      <c r="E61" s="1"/>
      <c r="F61" s="12"/>
      <c r="G61" s="12"/>
      <c r="H61" s="69"/>
    </row>
    <row r="62" spans="1:8" x14ac:dyDescent="0.2">
      <c r="A62" s="1"/>
      <c r="B62" s="1"/>
      <c r="C62" s="2" t="s">
        <v>95</v>
      </c>
      <c r="D62" s="1"/>
      <c r="E62" s="1" t="s">
        <v>96</v>
      </c>
      <c r="F62" s="13">
        <v>0</v>
      </c>
      <c r="G62" s="14">
        <v>0</v>
      </c>
      <c r="H62" s="69"/>
    </row>
    <row r="63" spans="1:8" x14ac:dyDescent="0.2">
      <c r="A63" s="1"/>
      <c r="B63" s="1"/>
      <c r="C63" s="11"/>
      <c r="D63" s="1"/>
      <c r="E63" s="1"/>
      <c r="F63" s="12"/>
      <c r="G63" s="12"/>
      <c r="H63" s="69"/>
    </row>
    <row r="64" spans="1:8" x14ac:dyDescent="0.2">
      <c r="A64" s="1"/>
      <c r="B64" s="1"/>
      <c r="C64" s="2" t="s">
        <v>102</v>
      </c>
      <c r="D64" s="1"/>
      <c r="E64" s="1"/>
      <c r="F64" s="9">
        <v>1732.1339295</v>
      </c>
      <c r="G64" s="10">
        <v>0.97747754899999995</v>
      </c>
      <c r="H64" s="69"/>
    </row>
    <row r="65" spans="1:8" x14ac:dyDescent="0.2">
      <c r="A65" s="1"/>
      <c r="B65" s="1"/>
      <c r="C65" s="11"/>
      <c r="D65" s="1"/>
      <c r="E65" s="1"/>
      <c r="F65" s="12"/>
      <c r="G65" s="12"/>
      <c r="H65" s="69"/>
    </row>
    <row r="66" spans="1:8" x14ac:dyDescent="0.2">
      <c r="A66" s="1"/>
      <c r="B66" s="1"/>
      <c r="C66" s="2" t="s">
        <v>103</v>
      </c>
      <c r="D66" s="1"/>
      <c r="E66" s="1"/>
      <c r="F66" s="12"/>
      <c r="G66" s="12"/>
      <c r="H66" s="69"/>
    </row>
    <row r="67" spans="1:8" ht="25.5" x14ac:dyDescent="0.2">
      <c r="A67" s="1"/>
      <c r="B67" s="1"/>
      <c r="C67" s="2" t="s">
        <v>10</v>
      </c>
      <c r="D67" s="1"/>
      <c r="E67" s="1"/>
      <c r="F67" s="12"/>
      <c r="G67" s="12"/>
      <c r="H67" s="69"/>
    </row>
    <row r="68" spans="1:8" x14ac:dyDescent="0.2">
      <c r="A68" s="1"/>
      <c r="B68" s="1"/>
      <c r="C68" s="2" t="s">
        <v>95</v>
      </c>
      <c r="D68" s="1"/>
      <c r="E68" s="1" t="s">
        <v>96</v>
      </c>
      <c r="F68" s="13">
        <v>0</v>
      </c>
      <c r="G68" s="14">
        <v>0</v>
      </c>
      <c r="H68" s="69"/>
    </row>
    <row r="69" spans="1:8" x14ac:dyDescent="0.2">
      <c r="A69" s="1"/>
      <c r="B69" s="1"/>
      <c r="C69" s="11"/>
      <c r="D69" s="1"/>
      <c r="E69" s="1"/>
      <c r="F69" s="12"/>
      <c r="G69" s="12"/>
      <c r="H69" s="69"/>
    </row>
    <row r="70" spans="1:8" x14ac:dyDescent="0.2">
      <c r="A70" s="1"/>
      <c r="B70" s="1"/>
      <c r="C70" s="2" t="s">
        <v>104</v>
      </c>
      <c r="D70" s="1"/>
      <c r="E70" s="1"/>
      <c r="F70" s="1"/>
      <c r="G70" s="1"/>
      <c r="H70" s="69"/>
    </row>
    <row r="71" spans="1:8" x14ac:dyDescent="0.2">
      <c r="A71" s="1"/>
      <c r="B71" s="1"/>
      <c r="C71" s="2" t="s">
        <v>95</v>
      </c>
      <c r="D71" s="1"/>
      <c r="E71" s="1" t="s">
        <v>96</v>
      </c>
      <c r="F71" s="13">
        <v>0</v>
      </c>
      <c r="G71" s="14">
        <v>0</v>
      </c>
      <c r="H71" s="69"/>
    </row>
    <row r="72" spans="1:8" x14ac:dyDescent="0.2">
      <c r="A72" s="1"/>
      <c r="B72" s="1"/>
      <c r="C72" s="11"/>
      <c r="D72" s="1"/>
      <c r="E72" s="1"/>
      <c r="F72" s="12"/>
      <c r="G72" s="12"/>
      <c r="H72" s="69"/>
    </row>
    <row r="73" spans="1:8" x14ac:dyDescent="0.2">
      <c r="A73" s="1"/>
      <c r="B73" s="1"/>
      <c r="C73" s="2" t="s">
        <v>105</v>
      </c>
      <c r="D73" s="1"/>
      <c r="E73" s="1"/>
      <c r="F73" s="1"/>
      <c r="G73" s="1"/>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106</v>
      </c>
      <c r="D76" s="1"/>
      <c r="E76" s="1"/>
      <c r="F76" s="12"/>
      <c r="G76" s="12"/>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107</v>
      </c>
      <c r="D79" s="1"/>
      <c r="E79" s="1"/>
      <c r="F79" s="9">
        <v>0</v>
      </c>
      <c r="G79" s="10">
        <v>0</v>
      </c>
      <c r="H79" s="69"/>
    </row>
    <row r="80" spans="1:8" x14ac:dyDescent="0.2">
      <c r="A80" s="1"/>
      <c r="B80" s="1"/>
      <c r="C80" s="11"/>
      <c r="D80" s="1"/>
      <c r="E80" s="1"/>
      <c r="F80" s="12"/>
      <c r="G80" s="12"/>
      <c r="H80" s="69"/>
    </row>
    <row r="81" spans="1:8" x14ac:dyDescent="0.2">
      <c r="A81" s="1"/>
      <c r="B81" s="1"/>
      <c r="C81" s="2" t="s">
        <v>108</v>
      </c>
      <c r="D81" s="1"/>
      <c r="E81" s="1"/>
      <c r="F81" s="12"/>
      <c r="G81" s="12"/>
      <c r="H81" s="69"/>
    </row>
    <row r="82" spans="1:8" x14ac:dyDescent="0.2">
      <c r="A82" s="1"/>
      <c r="B82" s="1"/>
      <c r="C82" s="2" t="s">
        <v>109</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110</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111</v>
      </c>
      <c r="D88" s="1"/>
      <c r="E88" s="1"/>
      <c r="F88" s="12"/>
      <c r="G88" s="12"/>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112</v>
      </c>
      <c r="D91" s="1"/>
      <c r="E91" s="1"/>
      <c r="F91" s="12"/>
      <c r="G91" s="12"/>
      <c r="H91" s="69"/>
    </row>
    <row r="92" spans="1:8" x14ac:dyDescent="0.2">
      <c r="A92" s="3">
        <v>1</v>
      </c>
      <c r="B92" s="4"/>
      <c r="C92" s="4" t="s">
        <v>113</v>
      </c>
      <c r="D92" s="4"/>
      <c r="E92" s="8"/>
      <c r="F92" s="6">
        <v>17.958545600000001</v>
      </c>
      <c r="G92" s="7">
        <v>1.0134364E-2</v>
      </c>
      <c r="H92" s="6">
        <v>3.3628721504199861</v>
      </c>
    </row>
    <row r="93" spans="1:8" x14ac:dyDescent="0.2">
      <c r="A93" s="3">
        <v>2</v>
      </c>
      <c r="B93" s="4"/>
      <c r="C93" s="4" t="s">
        <v>114</v>
      </c>
      <c r="D93" s="4"/>
      <c r="E93" s="8"/>
      <c r="F93" s="6">
        <v>6.9354440999999998</v>
      </c>
      <c r="G93" s="7">
        <v>3.9138089999999999E-3</v>
      </c>
      <c r="H93" s="6">
        <v>3.4499999999999966</v>
      </c>
    </row>
    <row r="94" spans="1:8" x14ac:dyDescent="0.2">
      <c r="A94" s="1"/>
      <c r="B94" s="1"/>
      <c r="C94" s="2" t="s">
        <v>95</v>
      </c>
      <c r="D94" s="1"/>
      <c r="E94" s="1" t="s">
        <v>96</v>
      </c>
      <c r="F94" s="9">
        <v>24.893989699999999</v>
      </c>
      <c r="G94" s="10">
        <v>1.4048173000000001E-2</v>
      </c>
      <c r="H94" s="69"/>
    </row>
    <row r="95" spans="1:8" x14ac:dyDescent="0.2">
      <c r="A95" s="1"/>
      <c r="B95" s="1"/>
      <c r="C95" s="11"/>
      <c r="D95" s="1"/>
      <c r="E95" s="1"/>
      <c r="F95" s="12"/>
      <c r="G95" s="12"/>
      <c r="H95" s="69"/>
    </row>
    <row r="96" spans="1:8" x14ac:dyDescent="0.2">
      <c r="A96" s="1"/>
      <c r="B96" s="1"/>
      <c r="C96" s="2" t="s">
        <v>115</v>
      </c>
      <c r="D96" s="1"/>
      <c r="E96" s="1"/>
      <c r="F96" s="9">
        <v>24.893989699999999</v>
      </c>
      <c r="G96" s="10">
        <v>1.4048173000000001E-2</v>
      </c>
      <c r="H96" s="69"/>
    </row>
    <row r="97" spans="1:8" x14ac:dyDescent="0.2">
      <c r="A97" s="1"/>
      <c r="B97" s="1"/>
      <c r="C97" s="12"/>
      <c r="D97" s="1"/>
      <c r="E97" s="1"/>
      <c r="F97" s="1"/>
      <c r="G97" s="1"/>
      <c r="H97" s="69"/>
    </row>
    <row r="98" spans="1:8" x14ac:dyDescent="0.2">
      <c r="A98" s="1"/>
      <c r="B98" s="1"/>
      <c r="C98" s="2" t="s">
        <v>116</v>
      </c>
      <c r="D98" s="1"/>
      <c r="E98" s="1"/>
      <c r="F98" s="1"/>
      <c r="G98" s="1"/>
      <c r="H98" s="69"/>
    </row>
    <row r="99" spans="1:8" x14ac:dyDescent="0.2">
      <c r="A99" s="1"/>
      <c r="B99" s="1"/>
      <c r="C99" s="2" t="s">
        <v>117</v>
      </c>
      <c r="D99" s="1"/>
      <c r="E99" s="1"/>
      <c r="F99" s="1"/>
      <c r="G99" s="1"/>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118</v>
      </c>
      <c r="D102" s="1"/>
      <c r="E102" s="1"/>
      <c r="F102" s="1"/>
      <c r="G102" s="1"/>
      <c r="H102" s="69"/>
    </row>
    <row r="103" spans="1:8" x14ac:dyDescent="0.2">
      <c r="A103" s="1"/>
      <c r="B103" s="1"/>
      <c r="C103" s="2" t="s">
        <v>119</v>
      </c>
      <c r="D103" s="1"/>
      <c r="E103" s="1"/>
      <c r="F103" s="1"/>
      <c r="G103" s="1"/>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11"/>
      <c r="D106" s="1"/>
      <c r="E106" s="1"/>
      <c r="F106" s="12"/>
      <c r="G106" s="12"/>
      <c r="H106" s="69"/>
    </row>
    <row r="107" spans="1:8" ht="25.5" x14ac:dyDescent="0.2">
      <c r="A107" s="1"/>
      <c r="B107" s="1"/>
      <c r="C107" s="2" t="s">
        <v>120</v>
      </c>
      <c r="D107" s="1"/>
      <c r="E107" s="1"/>
      <c r="F107" s="12"/>
      <c r="G107" s="12"/>
      <c r="H107" s="69"/>
    </row>
    <row r="108" spans="1:8" x14ac:dyDescent="0.2">
      <c r="A108" s="1"/>
      <c r="B108" s="1"/>
      <c r="C108" s="2" t="s">
        <v>95</v>
      </c>
      <c r="D108" s="1"/>
      <c r="E108" s="1" t="s">
        <v>96</v>
      </c>
      <c r="F108" s="13">
        <v>0</v>
      </c>
      <c r="G108" s="14">
        <v>0</v>
      </c>
      <c r="H108" s="69"/>
    </row>
    <row r="109" spans="1:8" x14ac:dyDescent="0.2">
      <c r="A109" s="1"/>
      <c r="B109" s="1"/>
      <c r="C109" s="11"/>
      <c r="D109" s="1"/>
      <c r="E109" s="1"/>
      <c r="F109" s="12"/>
      <c r="G109" s="12"/>
      <c r="H109" s="69"/>
    </row>
    <row r="110" spans="1:8" x14ac:dyDescent="0.2">
      <c r="A110" s="1"/>
      <c r="B110" s="4"/>
      <c r="C110" s="4"/>
      <c r="D110" s="2"/>
      <c r="E110" s="1"/>
      <c r="F110" s="4"/>
      <c r="G110" s="8"/>
      <c r="H110" s="69"/>
    </row>
    <row r="111" spans="1:8" x14ac:dyDescent="0.2">
      <c r="A111" s="8"/>
      <c r="B111" s="4"/>
      <c r="C111" s="4" t="s">
        <v>121</v>
      </c>
      <c r="D111" s="4"/>
      <c r="E111" s="8"/>
      <c r="F111" s="6">
        <v>15.016805099999999</v>
      </c>
      <c r="G111" s="7">
        <v>8.4742810000000002E-3</v>
      </c>
      <c r="H111" s="69"/>
    </row>
    <row r="112" spans="1:8" x14ac:dyDescent="0.2">
      <c r="A112" s="11"/>
      <c r="B112" s="11"/>
      <c r="C112" s="2" t="s">
        <v>122</v>
      </c>
      <c r="D112" s="15"/>
      <c r="E112" s="15"/>
      <c r="F112" s="9">
        <v>1772.0447243000001</v>
      </c>
      <c r="G112" s="10">
        <v>1.000000003</v>
      </c>
      <c r="H112" s="69"/>
    </row>
    <row r="113" spans="1:7" ht="14.1" customHeight="1" x14ac:dyDescent="0.2">
      <c r="A113" s="16"/>
      <c r="B113" s="16"/>
      <c r="C113" s="16"/>
      <c r="D113" s="17"/>
      <c r="E113" s="17"/>
      <c r="F113" s="17"/>
      <c r="G113" s="17"/>
    </row>
    <row r="114" spans="1:7" ht="14.1" customHeight="1" x14ac:dyDescent="0.2">
      <c r="A114" s="18"/>
      <c r="B114" s="176" t="s">
        <v>96</v>
      </c>
      <c r="C114" s="176"/>
      <c r="D114" s="176"/>
      <c r="E114" s="176"/>
      <c r="F114" s="176"/>
      <c r="G114" s="20"/>
    </row>
    <row r="115" spans="1:7" ht="14.1" customHeight="1" x14ac:dyDescent="0.2">
      <c r="A115" s="18"/>
      <c r="B115" s="176" t="s">
        <v>96</v>
      </c>
      <c r="C115" s="176"/>
      <c r="D115" s="176"/>
      <c r="E115" s="176"/>
      <c r="F115" s="176"/>
      <c r="G115" s="20"/>
    </row>
    <row r="116" spans="1:7" ht="14.1" customHeight="1" x14ac:dyDescent="0.2">
      <c r="A116" s="18"/>
      <c r="B116" s="18"/>
      <c r="C116" s="18"/>
      <c r="D116" s="20"/>
      <c r="E116" s="20"/>
      <c r="F116" s="20"/>
      <c r="G116" s="20"/>
    </row>
    <row r="117" spans="1:7" ht="14.1" customHeight="1" x14ac:dyDescent="0.2">
      <c r="A117" s="18"/>
      <c r="B117" s="174" t="s">
        <v>124</v>
      </c>
      <c r="C117" s="175"/>
      <c r="D117" s="12" t="s">
        <v>96</v>
      </c>
      <c r="E117" s="21"/>
      <c r="F117" s="20"/>
      <c r="G117" s="20"/>
    </row>
    <row r="118" spans="1:7" ht="29.1" customHeight="1" x14ac:dyDescent="0.2">
      <c r="A118" s="18"/>
      <c r="B118" s="172" t="s">
        <v>125</v>
      </c>
      <c r="C118" s="173"/>
      <c r="D118" s="2" t="s">
        <v>126</v>
      </c>
      <c r="E118" s="21"/>
      <c r="F118" s="20"/>
      <c r="G118" s="20"/>
    </row>
    <row r="119" spans="1:7" ht="17.100000000000001" customHeight="1" x14ac:dyDescent="0.2">
      <c r="A119" s="18"/>
      <c r="B119" s="172" t="s">
        <v>127</v>
      </c>
      <c r="C119" s="173"/>
      <c r="D119" s="2" t="s">
        <v>126</v>
      </c>
      <c r="E119" s="21"/>
      <c r="F119" s="20"/>
      <c r="G119" s="20"/>
    </row>
    <row r="120" spans="1:7" ht="17.100000000000001" customHeight="1" x14ac:dyDescent="0.2">
      <c r="A120" s="18"/>
      <c r="B120" s="172" t="s">
        <v>128</v>
      </c>
      <c r="C120" s="173"/>
      <c r="D120" s="12" t="s">
        <v>96</v>
      </c>
      <c r="E120" s="21"/>
      <c r="F120" s="20"/>
      <c r="G120" s="20"/>
    </row>
    <row r="121" spans="1:7" ht="24" customHeight="1" x14ac:dyDescent="0.2">
      <c r="A121" s="22"/>
      <c r="B121" s="23" t="s">
        <v>96</v>
      </c>
      <c r="C121" s="23" t="s">
        <v>129</v>
      </c>
      <c r="D121" s="23" t="s">
        <v>130</v>
      </c>
      <c r="E121" s="22"/>
      <c r="F121" s="22"/>
      <c r="G121" s="22"/>
    </row>
    <row r="122" spans="1:7" ht="18" customHeight="1" x14ac:dyDescent="0.2">
      <c r="A122" s="22"/>
      <c r="B122" s="23" t="s">
        <v>131</v>
      </c>
      <c r="C122" s="23" t="s">
        <v>132</v>
      </c>
      <c r="D122" s="23" t="s">
        <v>133</v>
      </c>
      <c r="E122" s="22"/>
      <c r="F122" s="22"/>
      <c r="G122" s="22"/>
    </row>
    <row r="123" spans="1:7" ht="17.100000000000001" customHeight="1" x14ac:dyDescent="0.2">
      <c r="A123" s="22"/>
      <c r="B123" s="4" t="s">
        <v>134</v>
      </c>
      <c r="C123" s="24">
        <v>21.9955</v>
      </c>
      <c r="D123" s="24">
        <v>21.238499999999998</v>
      </c>
      <c r="E123" s="22"/>
      <c r="F123" s="19"/>
      <c r="G123" s="25"/>
    </row>
    <row r="124" spans="1:7" ht="17.100000000000001" customHeight="1" x14ac:dyDescent="0.2">
      <c r="A124" s="22"/>
      <c r="B124" s="4" t="s">
        <v>983</v>
      </c>
      <c r="C124" s="24">
        <v>18.3231</v>
      </c>
      <c r="D124" s="24">
        <v>17.692499999999999</v>
      </c>
      <c r="E124" s="22"/>
      <c r="F124" s="19"/>
      <c r="G124" s="25"/>
    </row>
    <row r="125" spans="1:7" ht="17.100000000000001" customHeight="1" x14ac:dyDescent="0.2">
      <c r="A125" s="22"/>
      <c r="B125" s="4" t="s">
        <v>135</v>
      </c>
      <c r="C125" s="24">
        <v>21.508099999999999</v>
      </c>
      <c r="D125" s="24">
        <v>20.761800000000001</v>
      </c>
      <c r="E125" s="22"/>
      <c r="F125" s="19"/>
      <c r="G125" s="25"/>
    </row>
    <row r="126" spans="1:7" ht="17.100000000000001" customHeight="1" x14ac:dyDescent="0.2">
      <c r="A126" s="22"/>
      <c r="B126" s="4" t="s">
        <v>984</v>
      </c>
      <c r="C126" s="24">
        <v>17.855899999999998</v>
      </c>
      <c r="D126" s="24">
        <v>17.2364</v>
      </c>
      <c r="E126" s="22"/>
      <c r="F126" s="19"/>
      <c r="G126" s="25"/>
    </row>
    <row r="127" spans="1:7" ht="14.1" customHeight="1" x14ac:dyDescent="0.2">
      <c r="A127" s="22"/>
      <c r="B127" s="22"/>
      <c r="C127" s="22"/>
      <c r="D127" s="22"/>
      <c r="E127" s="22"/>
      <c r="F127" s="22"/>
      <c r="G127" s="22"/>
    </row>
    <row r="128" spans="1:7" ht="17.100000000000001" customHeight="1" x14ac:dyDescent="0.2">
      <c r="A128" s="22"/>
      <c r="B128" s="172" t="s">
        <v>985</v>
      </c>
      <c r="C128" s="173"/>
      <c r="D128" s="2" t="s">
        <v>126</v>
      </c>
      <c r="E128" s="22"/>
      <c r="F128" s="22"/>
      <c r="G128" s="22"/>
    </row>
    <row r="129" spans="1:16" ht="18" customHeight="1" x14ac:dyDescent="0.2">
      <c r="A129" s="22"/>
      <c r="B129" s="26" t="s">
        <v>136</v>
      </c>
      <c r="C129" s="26" t="s">
        <v>136</v>
      </c>
      <c r="D129" s="26"/>
      <c r="E129" s="22"/>
      <c r="F129" s="22"/>
      <c r="G129" s="22"/>
    </row>
    <row r="130" spans="1:16" s="82" customFormat="1" x14ac:dyDescent="0.2">
      <c r="B130" s="177" t="s">
        <v>936</v>
      </c>
      <c r="C130" s="177"/>
      <c r="D130" s="177"/>
      <c r="E130" s="177"/>
      <c r="F130" s="177"/>
      <c r="P130" s="70"/>
    </row>
    <row r="131" spans="1:16" ht="14.1" customHeight="1" x14ac:dyDescent="0.2">
      <c r="A131" s="22"/>
      <c r="B131" s="19"/>
      <c r="C131" s="19"/>
      <c r="D131" s="22"/>
      <c r="E131" s="22"/>
      <c r="F131" s="22"/>
      <c r="G131" s="22"/>
    </row>
    <row r="132" spans="1:16" ht="29.1" customHeight="1" x14ac:dyDescent="0.2">
      <c r="A132" s="22"/>
      <c r="B132" s="172" t="s">
        <v>137</v>
      </c>
      <c r="C132" s="173"/>
      <c r="D132" s="2" t="s">
        <v>126</v>
      </c>
      <c r="E132" s="22"/>
      <c r="F132" s="22"/>
      <c r="G132" s="22"/>
    </row>
    <row r="133" spans="1:16" ht="29.1" customHeight="1" x14ac:dyDescent="0.2">
      <c r="A133" s="22"/>
      <c r="B133" s="172" t="s">
        <v>138</v>
      </c>
      <c r="C133" s="173"/>
      <c r="D133" s="2" t="s">
        <v>126</v>
      </c>
      <c r="E133" s="22"/>
      <c r="F133" s="22"/>
      <c r="G133" s="22"/>
    </row>
    <row r="134" spans="1:16" ht="17.100000000000001" customHeight="1" x14ac:dyDescent="0.2">
      <c r="A134" s="22"/>
      <c r="B134" s="172" t="s">
        <v>139</v>
      </c>
      <c r="C134" s="173"/>
      <c r="D134" s="27">
        <v>0.20404363684338403</v>
      </c>
      <c r="E134" s="22"/>
      <c r="F134" s="19"/>
      <c r="G134" s="25"/>
    </row>
    <row r="135" spans="1:16" ht="17.100000000000001" customHeight="1" x14ac:dyDescent="0.2">
      <c r="A135" s="22"/>
      <c r="B135" s="172" t="s">
        <v>140</v>
      </c>
      <c r="C135" s="173"/>
      <c r="D135" s="2" t="s">
        <v>126</v>
      </c>
      <c r="E135" s="22"/>
      <c r="F135" s="22"/>
      <c r="G135" s="22"/>
    </row>
  </sheetData>
  <mergeCells count="16">
    <mergeCell ref="B135:C135"/>
    <mergeCell ref="B118:C118"/>
    <mergeCell ref="B119:C119"/>
    <mergeCell ref="B120:C120"/>
    <mergeCell ref="B128:C128"/>
    <mergeCell ref="B132:C132"/>
    <mergeCell ref="B133:C133"/>
    <mergeCell ref="B130:F130"/>
    <mergeCell ref="A1:H1"/>
    <mergeCell ref="A2:H2"/>
    <mergeCell ref="A3:H3"/>
    <mergeCell ref="J2:N2"/>
    <mergeCell ref="B134:C134"/>
    <mergeCell ref="B117:C117"/>
    <mergeCell ref="B114:F114"/>
    <mergeCell ref="B115:F115"/>
  </mergeCell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P13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507</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412</v>
      </c>
      <c r="C7" s="4" t="s">
        <v>413</v>
      </c>
      <c r="D7" s="4" t="s">
        <v>155</v>
      </c>
      <c r="E7" s="5">
        <v>6220</v>
      </c>
      <c r="F7" s="6">
        <v>106.52683</v>
      </c>
      <c r="G7" s="7">
        <v>8.3110939999999994E-2</v>
      </c>
      <c r="H7" s="69"/>
    </row>
    <row r="8" spans="1:14" x14ac:dyDescent="0.2">
      <c r="A8" s="3">
        <v>2</v>
      </c>
      <c r="B8" s="4" t="s">
        <v>20</v>
      </c>
      <c r="C8" s="4" t="s">
        <v>21</v>
      </c>
      <c r="D8" s="4" t="s">
        <v>22</v>
      </c>
      <c r="E8" s="5">
        <v>14156</v>
      </c>
      <c r="F8" s="6">
        <v>101.123386</v>
      </c>
      <c r="G8" s="7">
        <v>7.8895238000000006E-2</v>
      </c>
      <c r="H8" s="69"/>
    </row>
    <row r="9" spans="1:14" x14ac:dyDescent="0.2">
      <c r="A9" s="3">
        <v>3</v>
      </c>
      <c r="B9" s="4" t="s">
        <v>14</v>
      </c>
      <c r="C9" s="4" t="s">
        <v>15</v>
      </c>
      <c r="D9" s="4" t="s">
        <v>16</v>
      </c>
      <c r="E9" s="5">
        <v>4029</v>
      </c>
      <c r="F9" s="6">
        <v>96.913566000000003</v>
      </c>
      <c r="G9" s="7">
        <v>7.5610787999999998E-2</v>
      </c>
      <c r="H9" s="69"/>
    </row>
    <row r="10" spans="1:14" x14ac:dyDescent="0.2">
      <c r="A10" s="3">
        <v>4</v>
      </c>
      <c r="B10" s="4" t="s">
        <v>410</v>
      </c>
      <c r="C10" s="4" t="s">
        <v>411</v>
      </c>
      <c r="D10" s="4" t="s">
        <v>22</v>
      </c>
      <c r="E10" s="5">
        <v>5280</v>
      </c>
      <c r="F10" s="6">
        <v>78.859440000000006</v>
      </c>
      <c r="G10" s="7">
        <v>6.1525178E-2</v>
      </c>
      <c r="H10" s="69"/>
    </row>
    <row r="11" spans="1:14" ht="25.5" x14ac:dyDescent="0.2">
      <c r="A11" s="3">
        <v>5</v>
      </c>
      <c r="B11" s="4" t="s">
        <v>414</v>
      </c>
      <c r="C11" s="4" t="s">
        <v>415</v>
      </c>
      <c r="D11" s="4" t="s">
        <v>78</v>
      </c>
      <c r="E11" s="5">
        <v>2400</v>
      </c>
      <c r="F11" s="6">
        <v>64.154399999999995</v>
      </c>
      <c r="G11" s="7">
        <v>5.0052484000000001E-2</v>
      </c>
      <c r="H11" s="69"/>
    </row>
    <row r="12" spans="1:14" x14ac:dyDescent="0.2">
      <c r="A12" s="3">
        <v>6</v>
      </c>
      <c r="B12" s="4" t="s">
        <v>416</v>
      </c>
      <c r="C12" s="4" t="s">
        <v>417</v>
      </c>
      <c r="D12" s="4" t="s">
        <v>22</v>
      </c>
      <c r="E12" s="5">
        <v>12121</v>
      </c>
      <c r="F12" s="6">
        <v>55.823265499999998</v>
      </c>
      <c r="G12" s="7">
        <v>4.3552634E-2</v>
      </c>
      <c r="H12" s="69"/>
    </row>
    <row r="13" spans="1:14" ht="25.5" x14ac:dyDescent="0.2">
      <c r="A13" s="3">
        <v>7</v>
      </c>
      <c r="B13" s="4" t="s">
        <v>322</v>
      </c>
      <c r="C13" s="4" t="s">
        <v>323</v>
      </c>
      <c r="D13" s="4" t="s">
        <v>207</v>
      </c>
      <c r="E13" s="5">
        <v>5800</v>
      </c>
      <c r="F13" s="6">
        <v>51.704099999999997</v>
      </c>
      <c r="G13" s="7">
        <v>4.0338910999999998E-2</v>
      </c>
      <c r="H13" s="69"/>
    </row>
    <row r="14" spans="1:14" x14ac:dyDescent="0.2">
      <c r="A14" s="3">
        <v>8</v>
      </c>
      <c r="B14" s="4" t="s">
        <v>11</v>
      </c>
      <c r="C14" s="4" t="s">
        <v>12</v>
      </c>
      <c r="D14" s="4" t="s">
        <v>13</v>
      </c>
      <c r="E14" s="5">
        <v>2403</v>
      </c>
      <c r="F14" s="6">
        <v>42.4069425</v>
      </c>
      <c r="G14" s="7">
        <v>3.3085382000000003E-2</v>
      </c>
      <c r="H14" s="69"/>
    </row>
    <row r="15" spans="1:14" ht="15" x14ac:dyDescent="0.2">
      <c r="A15" s="3">
        <v>9</v>
      </c>
      <c r="B15" s="4" t="s">
        <v>142</v>
      </c>
      <c r="C15" s="4" t="s">
        <v>143</v>
      </c>
      <c r="D15" s="4" t="s">
        <v>144</v>
      </c>
      <c r="E15" s="5">
        <v>1104</v>
      </c>
      <c r="F15" s="6">
        <v>41.300640000000001</v>
      </c>
      <c r="G15" s="7">
        <v>3.2222257999999997E-2</v>
      </c>
      <c r="H15" s="69"/>
      <c r="J15" s="160" t="s">
        <v>1013</v>
      </c>
    </row>
    <row r="16" spans="1:14" ht="25.5" x14ac:dyDescent="0.2">
      <c r="A16" s="3">
        <v>10</v>
      </c>
      <c r="B16" s="4" t="s">
        <v>23</v>
      </c>
      <c r="C16" s="4" t="s">
        <v>24</v>
      </c>
      <c r="D16" s="4" t="s">
        <v>974</v>
      </c>
      <c r="E16" s="5">
        <v>539</v>
      </c>
      <c r="F16" s="6">
        <v>40.067912499999998</v>
      </c>
      <c r="G16" s="7">
        <v>3.1260498999999997E-2</v>
      </c>
      <c r="H16" s="69"/>
    </row>
    <row r="17" spans="1:8" x14ac:dyDescent="0.2">
      <c r="A17" s="3">
        <v>11</v>
      </c>
      <c r="B17" s="4" t="s">
        <v>326</v>
      </c>
      <c r="C17" s="4" t="s">
        <v>327</v>
      </c>
      <c r="D17" s="4" t="s">
        <v>22</v>
      </c>
      <c r="E17" s="5">
        <v>5742</v>
      </c>
      <c r="F17" s="6">
        <v>37.647423000000003</v>
      </c>
      <c r="G17" s="7">
        <v>2.9372062000000001E-2</v>
      </c>
      <c r="H17" s="69"/>
    </row>
    <row r="18" spans="1:8" x14ac:dyDescent="0.2">
      <c r="A18" s="3">
        <v>12</v>
      </c>
      <c r="B18" s="4" t="s">
        <v>501</v>
      </c>
      <c r="C18" s="4" t="s">
        <v>502</v>
      </c>
      <c r="D18" s="4" t="s">
        <v>83</v>
      </c>
      <c r="E18" s="5">
        <v>8169</v>
      </c>
      <c r="F18" s="6">
        <v>37.463034</v>
      </c>
      <c r="G18" s="7">
        <v>2.9228204000000001E-2</v>
      </c>
      <c r="H18" s="69"/>
    </row>
    <row r="19" spans="1:8" x14ac:dyDescent="0.2">
      <c r="A19" s="3">
        <v>13</v>
      </c>
      <c r="B19" s="4" t="s">
        <v>17</v>
      </c>
      <c r="C19" s="4" t="s">
        <v>18</v>
      </c>
      <c r="D19" s="4" t="s">
        <v>19</v>
      </c>
      <c r="E19" s="5">
        <v>4918</v>
      </c>
      <c r="F19" s="6">
        <v>35.815334999999997</v>
      </c>
      <c r="G19" s="7">
        <v>2.7942689999999999E-2</v>
      </c>
      <c r="H19" s="69"/>
    </row>
    <row r="20" spans="1:8" ht="25.5" x14ac:dyDescent="0.2">
      <c r="A20" s="3">
        <v>14</v>
      </c>
      <c r="B20" s="4" t="s">
        <v>503</v>
      </c>
      <c r="C20" s="4" t="s">
        <v>504</v>
      </c>
      <c r="D20" s="4" t="s">
        <v>974</v>
      </c>
      <c r="E20" s="5">
        <v>2456</v>
      </c>
      <c r="F20" s="6">
        <v>33.133896</v>
      </c>
      <c r="G20" s="7">
        <v>2.5850662999999999E-2</v>
      </c>
      <c r="H20" s="69"/>
    </row>
    <row r="21" spans="1:8" x14ac:dyDescent="0.2">
      <c r="A21" s="3">
        <v>15</v>
      </c>
      <c r="B21" s="4" t="s">
        <v>173</v>
      </c>
      <c r="C21" s="4" t="s">
        <v>174</v>
      </c>
      <c r="D21" s="4" t="s">
        <v>175</v>
      </c>
      <c r="E21" s="5">
        <v>11000</v>
      </c>
      <c r="F21" s="6">
        <v>27.8355</v>
      </c>
      <c r="G21" s="7">
        <v>2.1716919000000001E-2</v>
      </c>
      <c r="H21" s="69"/>
    </row>
    <row r="22" spans="1:8" x14ac:dyDescent="0.2">
      <c r="A22" s="3">
        <v>16</v>
      </c>
      <c r="B22" s="4" t="s">
        <v>187</v>
      </c>
      <c r="C22" s="4" t="s">
        <v>188</v>
      </c>
      <c r="D22" s="4" t="s">
        <v>978</v>
      </c>
      <c r="E22" s="5">
        <v>3000</v>
      </c>
      <c r="F22" s="6">
        <v>26.8095</v>
      </c>
      <c r="G22" s="7">
        <v>2.0916446000000002E-2</v>
      </c>
      <c r="H22" s="69"/>
    </row>
    <row r="23" spans="1:8" x14ac:dyDescent="0.2">
      <c r="A23" s="3">
        <v>17</v>
      </c>
      <c r="B23" s="4" t="s">
        <v>420</v>
      </c>
      <c r="C23" s="4" t="s">
        <v>421</v>
      </c>
      <c r="D23" s="4" t="s">
        <v>155</v>
      </c>
      <c r="E23" s="5">
        <v>729</v>
      </c>
      <c r="F23" s="6">
        <v>25.727503500000001</v>
      </c>
      <c r="G23" s="7">
        <v>2.0072286000000002E-2</v>
      </c>
      <c r="H23" s="69"/>
    </row>
    <row r="24" spans="1:8" x14ac:dyDescent="0.2">
      <c r="A24" s="3">
        <v>18</v>
      </c>
      <c r="B24" s="4" t="s">
        <v>441</v>
      </c>
      <c r="C24" s="4" t="s">
        <v>442</v>
      </c>
      <c r="D24" s="4" t="s">
        <v>22</v>
      </c>
      <c r="E24" s="5">
        <v>1305</v>
      </c>
      <c r="F24" s="6">
        <v>25.602795</v>
      </c>
      <c r="G24" s="7">
        <v>1.9974990000000001E-2</v>
      </c>
      <c r="H24" s="69"/>
    </row>
    <row r="25" spans="1:8" x14ac:dyDescent="0.2">
      <c r="A25" s="3">
        <v>19</v>
      </c>
      <c r="B25" s="4" t="s">
        <v>378</v>
      </c>
      <c r="C25" s="4" t="s">
        <v>379</v>
      </c>
      <c r="D25" s="4" t="s">
        <v>224</v>
      </c>
      <c r="E25" s="5">
        <v>3400</v>
      </c>
      <c r="F25" s="6">
        <v>25.166799999999999</v>
      </c>
      <c r="G25" s="7">
        <v>1.9634832000000001E-2</v>
      </c>
      <c r="H25" s="69"/>
    </row>
    <row r="26" spans="1:8" x14ac:dyDescent="0.2">
      <c r="A26" s="3">
        <v>20</v>
      </c>
      <c r="B26" s="4" t="s">
        <v>450</v>
      </c>
      <c r="C26" s="4" t="s">
        <v>451</v>
      </c>
      <c r="D26" s="4" t="s">
        <v>75</v>
      </c>
      <c r="E26" s="5">
        <v>1032</v>
      </c>
      <c r="F26" s="6">
        <v>24.515160000000002</v>
      </c>
      <c r="G26" s="7">
        <v>1.912643E-2</v>
      </c>
      <c r="H26" s="69"/>
    </row>
    <row r="27" spans="1:8" x14ac:dyDescent="0.2">
      <c r="A27" s="3">
        <v>21</v>
      </c>
      <c r="B27" s="4" t="s">
        <v>328</v>
      </c>
      <c r="C27" s="4" t="s">
        <v>329</v>
      </c>
      <c r="D27" s="4" t="s">
        <v>27</v>
      </c>
      <c r="E27" s="5">
        <v>2788</v>
      </c>
      <c r="F27" s="6">
        <v>24.49258</v>
      </c>
      <c r="G27" s="7">
        <v>1.9108813999999998E-2</v>
      </c>
      <c r="H27" s="69"/>
    </row>
    <row r="28" spans="1:8" x14ac:dyDescent="0.2">
      <c r="A28" s="3">
        <v>22</v>
      </c>
      <c r="B28" s="4" t="s">
        <v>418</v>
      </c>
      <c r="C28" s="4" t="s">
        <v>419</v>
      </c>
      <c r="D28" s="4" t="s">
        <v>982</v>
      </c>
      <c r="E28" s="5">
        <v>2000</v>
      </c>
      <c r="F28" s="6">
        <v>23.210999999999999</v>
      </c>
      <c r="G28" s="7">
        <v>1.810894E-2</v>
      </c>
      <c r="H28" s="69"/>
    </row>
    <row r="29" spans="1:8" x14ac:dyDescent="0.2">
      <c r="A29" s="3">
        <v>23</v>
      </c>
      <c r="B29" s="4" t="s">
        <v>380</v>
      </c>
      <c r="C29" s="4" t="s">
        <v>381</v>
      </c>
      <c r="D29" s="4" t="s">
        <v>155</v>
      </c>
      <c r="E29" s="5">
        <v>2000</v>
      </c>
      <c r="F29" s="6">
        <v>22.773</v>
      </c>
      <c r="G29" s="7">
        <v>1.7767218000000001E-2</v>
      </c>
      <c r="H29" s="69"/>
    </row>
    <row r="30" spans="1:8" x14ac:dyDescent="0.2">
      <c r="A30" s="3">
        <v>24</v>
      </c>
      <c r="B30" s="4" t="s">
        <v>39</v>
      </c>
      <c r="C30" s="4" t="s">
        <v>40</v>
      </c>
      <c r="D30" s="4" t="s">
        <v>16</v>
      </c>
      <c r="E30" s="5">
        <v>6145</v>
      </c>
      <c r="F30" s="6">
        <v>22.736499999999999</v>
      </c>
      <c r="G30" s="7">
        <v>1.7738740999999999E-2</v>
      </c>
      <c r="H30" s="69"/>
    </row>
    <row r="31" spans="1:8" ht="25.5" x14ac:dyDescent="0.2">
      <c r="A31" s="3">
        <v>25</v>
      </c>
      <c r="B31" s="4" t="s">
        <v>437</v>
      </c>
      <c r="C31" s="4" t="s">
        <v>438</v>
      </c>
      <c r="D31" s="4" t="s">
        <v>207</v>
      </c>
      <c r="E31" s="5">
        <v>9339</v>
      </c>
      <c r="F31" s="6">
        <v>20.653198499999998</v>
      </c>
      <c r="G31" s="7">
        <v>1.6113374999999999E-2</v>
      </c>
      <c r="H31" s="69"/>
    </row>
    <row r="32" spans="1:8" x14ac:dyDescent="0.2">
      <c r="A32" s="3">
        <v>26</v>
      </c>
      <c r="B32" s="4" t="s">
        <v>330</v>
      </c>
      <c r="C32" s="4" t="s">
        <v>331</v>
      </c>
      <c r="D32" s="4" t="s">
        <v>22</v>
      </c>
      <c r="E32" s="5">
        <v>22387</v>
      </c>
      <c r="F32" s="6">
        <v>19.431916000000001</v>
      </c>
      <c r="G32" s="7">
        <v>1.5160544999999999E-2</v>
      </c>
      <c r="H32" s="69"/>
    </row>
    <row r="33" spans="1:8" x14ac:dyDescent="0.2">
      <c r="A33" s="3">
        <v>27</v>
      </c>
      <c r="B33" s="4" t="s">
        <v>363</v>
      </c>
      <c r="C33" s="4" t="s">
        <v>364</v>
      </c>
      <c r="D33" s="4" t="s">
        <v>48</v>
      </c>
      <c r="E33" s="5">
        <v>2553</v>
      </c>
      <c r="F33" s="6">
        <v>15.8286</v>
      </c>
      <c r="G33" s="7">
        <v>1.2349282E-2</v>
      </c>
      <c r="H33" s="69"/>
    </row>
    <row r="34" spans="1:8" x14ac:dyDescent="0.2">
      <c r="A34" s="3">
        <v>28</v>
      </c>
      <c r="B34" s="4" t="s">
        <v>355</v>
      </c>
      <c r="C34" s="4" t="s">
        <v>356</v>
      </c>
      <c r="D34" s="4" t="s">
        <v>65</v>
      </c>
      <c r="E34" s="5">
        <v>4100</v>
      </c>
      <c r="F34" s="6">
        <v>14.08555</v>
      </c>
      <c r="G34" s="7">
        <v>1.0989374999999999E-2</v>
      </c>
      <c r="H34" s="69"/>
    </row>
    <row r="35" spans="1:8" x14ac:dyDescent="0.2">
      <c r="A35" s="3">
        <v>29</v>
      </c>
      <c r="B35" s="4" t="s">
        <v>90</v>
      </c>
      <c r="C35" s="4" t="s">
        <v>91</v>
      </c>
      <c r="D35" s="4" t="s">
        <v>27</v>
      </c>
      <c r="E35" s="5">
        <v>178</v>
      </c>
      <c r="F35" s="6">
        <v>13.872964</v>
      </c>
      <c r="G35" s="7">
        <v>1.0823518000000001E-2</v>
      </c>
      <c r="H35" s="69"/>
    </row>
    <row r="36" spans="1:8" ht="25.5" x14ac:dyDescent="0.2">
      <c r="A36" s="3">
        <v>30</v>
      </c>
      <c r="B36" s="4" t="s">
        <v>426</v>
      </c>
      <c r="C36" s="4" t="s">
        <v>427</v>
      </c>
      <c r="D36" s="4" t="s">
        <v>207</v>
      </c>
      <c r="E36" s="5">
        <v>556</v>
      </c>
      <c r="F36" s="6">
        <v>12.885578000000001</v>
      </c>
      <c r="G36" s="7">
        <v>1.0053172000000001E-2</v>
      </c>
      <c r="H36" s="69"/>
    </row>
    <row r="37" spans="1:8" ht="25.5" x14ac:dyDescent="0.2">
      <c r="A37" s="3">
        <v>31</v>
      </c>
      <c r="B37" s="4" t="s">
        <v>404</v>
      </c>
      <c r="C37" s="4" t="s">
        <v>405</v>
      </c>
      <c r="D37" s="4" t="s">
        <v>207</v>
      </c>
      <c r="E37" s="5">
        <v>1652</v>
      </c>
      <c r="F37" s="6">
        <v>12.862472</v>
      </c>
      <c r="G37" s="7">
        <v>1.0035145000000001E-2</v>
      </c>
      <c r="H37" s="69"/>
    </row>
    <row r="38" spans="1:8" x14ac:dyDescent="0.2">
      <c r="A38" s="3">
        <v>32</v>
      </c>
      <c r="B38" s="4" t="s">
        <v>505</v>
      </c>
      <c r="C38" s="4" t="s">
        <v>506</v>
      </c>
      <c r="D38" s="4" t="s">
        <v>334</v>
      </c>
      <c r="E38" s="5">
        <v>5000</v>
      </c>
      <c r="F38" s="6">
        <v>12.755000000000001</v>
      </c>
      <c r="G38" s="7">
        <v>9.9512960000000001E-3</v>
      </c>
      <c r="H38" s="69"/>
    </row>
    <row r="39" spans="1:8" x14ac:dyDescent="0.2">
      <c r="A39" s="3">
        <v>33</v>
      </c>
      <c r="B39" s="4" t="s">
        <v>454</v>
      </c>
      <c r="C39" s="4" t="s">
        <v>455</v>
      </c>
      <c r="D39" s="4" t="s">
        <v>204</v>
      </c>
      <c r="E39" s="5">
        <v>1305</v>
      </c>
      <c r="F39" s="6">
        <v>12.675465000000001</v>
      </c>
      <c r="G39" s="7">
        <v>9.8892440000000002E-3</v>
      </c>
      <c r="H39" s="69"/>
    </row>
    <row r="40" spans="1:8" x14ac:dyDescent="0.2">
      <c r="A40" s="3">
        <v>34</v>
      </c>
      <c r="B40" s="4" t="s">
        <v>422</v>
      </c>
      <c r="C40" s="4" t="s">
        <v>423</v>
      </c>
      <c r="D40" s="4" t="s">
        <v>155</v>
      </c>
      <c r="E40" s="5">
        <v>1875</v>
      </c>
      <c r="F40" s="6">
        <v>11.948437500000001</v>
      </c>
      <c r="G40" s="7">
        <v>9.3220260000000006E-3</v>
      </c>
      <c r="H40" s="69"/>
    </row>
    <row r="41" spans="1:8" x14ac:dyDescent="0.2">
      <c r="A41" s="3">
        <v>35</v>
      </c>
      <c r="B41" s="4" t="s">
        <v>351</v>
      </c>
      <c r="C41" s="4" t="s">
        <v>352</v>
      </c>
      <c r="D41" s="4" t="s">
        <v>22</v>
      </c>
      <c r="E41" s="5">
        <v>13106</v>
      </c>
      <c r="F41" s="6">
        <v>11.238395000000001</v>
      </c>
      <c r="G41" s="7">
        <v>8.7680589999999999E-3</v>
      </c>
      <c r="H41" s="69"/>
    </row>
    <row r="42" spans="1:8" x14ac:dyDescent="0.2">
      <c r="A42" s="3">
        <v>36</v>
      </c>
      <c r="B42" s="4" t="s">
        <v>347</v>
      </c>
      <c r="C42" s="4" t="s">
        <v>348</v>
      </c>
      <c r="D42" s="4" t="s">
        <v>204</v>
      </c>
      <c r="E42" s="5">
        <v>202</v>
      </c>
      <c r="F42" s="6">
        <v>7.242407</v>
      </c>
      <c r="G42" s="7">
        <v>5.6504379999999998E-3</v>
      </c>
      <c r="H42" s="69"/>
    </row>
    <row r="43" spans="1:8" ht="25.5" x14ac:dyDescent="0.2">
      <c r="A43" s="3">
        <v>37</v>
      </c>
      <c r="B43" s="4" t="s">
        <v>445</v>
      </c>
      <c r="C43" s="4" t="s">
        <v>930</v>
      </c>
      <c r="D43" s="4" t="s">
        <v>19</v>
      </c>
      <c r="E43" s="5">
        <v>351</v>
      </c>
      <c r="F43" s="6">
        <v>1.3717079999999999</v>
      </c>
      <c r="G43" s="7">
        <v>1.0701899999999999E-3</v>
      </c>
      <c r="H43" s="69"/>
    </row>
    <row r="44" spans="1:8" x14ac:dyDescent="0.2">
      <c r="A44" s="1"/>
      <c r="B44" s="1"/>
      <c r="C44" s="2" t="s">
        <v>95</v>
      </c>
      <c r="D44" s="1"/>
      <c r="E44" s="1" t="s">
        <v>96</v>
      </c>
      <c r="F44" s="9">
        <v>1238.6621999999998</v>
      </c>
      <c r="G44" s="10">
        <v>0.96638921199999983</v>
      </c>
      <c r="H44" s="69"/>
    </row>
    <row r="45" spans="1:8" x14ac:dyDescent="0.2">
      <c r="A45" s="1"/>
      <c r="B45" s="1"/>
      <c r="C45" s="11"/>
      <c r="D45" s="1"/>
      <c r="E45" s="1"/>
      <c r="F45" s="12"/>
      <c r="G45" s="12"/>
      <c r="H45" s="69"/>
    </row>
    <row r="46" spans="1:8" x14ac:dyDescent="0.2">
      <c r="A46" s="1"/>
      <c r="B46" s="1"/>
      <c r="C46" s="2" t="s">
        <v>97</v>
      </c>
      <c r="D46" s="1"/>
      <c r="E46" s="1"/>
      <c r="F46" s="1"/>
      <c r="G46" s="1"/>
      <c r="H46" s="69"/>
    </row>
    <row r="47" spans="1:8" x14ac:dyDescent="0.2">
      <c r="A47" s="1"/>
      <c r="B47" s="1"/>
      <c r="C47" s="2" t="s">
        <v>95</v>
      </c>
      <c r="D47" s="1"/>
      <c r="E47" s="1" t="s">
        <v>96</v>
      </c>
      <c r="F47" s="13">
        <v>0</v>
      </c>
      <c r="G47" s="14">
        <v>0</v>
      </c>
      <c r="H47" s="69"/>
    </row>
    <row r="48" spans="1:8" x14ac:dyDescent="0.2">
      <c r="A48" s="1"/>
      <c r="B48" s="1"/>
      <c r="C48" s="11"/>
      <c r="D48" s="1"/>
      <c r="E48" s="1"/>
      <c r="F48" s="12"/>
      <c r="G48" s="12"/>
      <c r="H48" s="69"/>
    </row>
    <row r="49" spans="1:8" x14ac:dyDescent="0.2">
      <c r="A49" s="1"/>
      <c r="B49" s="1"/>
      <c r="C49" s="2" t="s">
        <v>98</v>
      </c>
      <c r="D49" s="1"/>
      <c r="E49" s="1"/>
      <c r="F49" s="1"/>
      <c r="G49" s="1"/>
      <c r="H49" s="69"/>
    </row>
    <row r="50" spans="1:8" x14ac:dyDescent="0.2">
      <c r="A50" s="1"/>
      <c r="B50" s="1"/>
      <c r="C50" s="2" t="s">
        <v>95</v>
      </c>
      <c r="D50" s="1"/>
      <c r="E50" s="1" t="s">
        <v>96</v>
      </c>
      <c r="F50" s="13">
        <v>0</v>
      </c>
      <c r="G50" s="14">
        <v>0</v>
      </c>
      <c r="H50" s="69"/>
    </row>
    <row r="51" spans="1:8" x14ac:dyDescent="0.2">
      <c r="A51" s="1"/>
      <c r="B51" s="1"/>
      <c r="C51" s="11"/>
      <c r="D51" s="1"/>
      <c r="E51" s="1"/>
      <c r="F51" s="12"/>
      <c r="G51" s="12"/>
      <c r="H51" s="69"/>
    </row>
    <row r="52" spans="1:8" x14ac:dyDescent="0.2">
      <c r="A52" s="1"/>
      <c r="B52" s="1"/>
      <c r="C52" s="2" t="s">
        <v>99</v>
      </c>
      <c r="D52" s="1"/>
      <c r="E52" s="1"/>
      <c r="F52" s="1"/>
      <c r="G52" s="1"/>
      <c r="H52" s="69"/>
    </row>
    <row r="53" spans="1:8" x14ac:dyDescent="0.2">
      <c r="A53" s="1"/>
      <c r="B53" s="1"/>
      <c r="C53" s="2" t="s">
        <v>95</v>
      </c>
      <c r="D53" s="1"/>
      <c r="E53" s="1" t="s">
        <v>96</v>
      </c>
      <c r="F53" s="9">
        <v>0</v>
      </c>
      <c r="G53" s="10">
        <v>0</v>
      </c>
      <c r="H53" s="69"/>
    </row>
    <row r="54" spans="1:8" x14ac:dyDescent="0.2">
      <c r="A54" s="1"/>
      <c r="B54" s="1"/>
      <c r="C54" s="11"/>
      <c r="D54" s="1"/>
      <c r="E54" s="1"/>
      <c r="F54" s="12"/>
      <c r="G54" s="12"/>
      <c r="H54" s="69"/>
    </row>
    <row r="55" spans="1:8" x14ac:dyDescent="0.2">
      <c r="A55" s="1"/>
      <c r="B55" s="1"/>
      <c r="C55" s="2" t="s">
        <v>100</v>
      </c>
      <c r="D55" s="1"/>
      <c r="E55" s="1"/>
      <c r="F55" s="12"/>
      <c r="G55" s="12"/>
      <c r="H55" s="69"/>
    </row>
    <row r="56" spans="1:8" x14ac:dyDescent="0.2">
      <c r="A56" s="1"/>
      <c r="B56" s="1"/>
      <c r="C56" s="2" t="s">
        <v>95</v>
      </c>
      <c r="D56" s="1"/>
      <c r="E56" s="1" t="s">
        <v>96</v>
      </c>
      <c r="F56" s="13">
        <v>0</v>
      </c>
      <c r="G56" s="14">
        <v>0</v>
      </c>
      <c r="H56" s="69"/>
    </row>
    <row r="57" spans="1:8" x14ac:dyDescent="0.2">
      <c r="A57" s="1"/>
      <c r="B57" s="1"/>
      <c r="C57" s="11"/>
      <c r="D57" s="1"/>
      <c r="E57" s="1"/>
      <c r="F57" s="12"/>
      <c r="G57" s="12"/>
      <c r="H57" s="69"/>
    </row>
    <row r="58" spans="1:8" x14ac:dyDescent="0.2">
      <c r="A58" s="1"/>
      <c r="B58" s="1"/>
      <c r="C58" s="2" t="s">
        <v>101</v>
      </c>
      <c r="D58" s="1"/>
      <c r="E58" s="1"/>
      <c r="F58" s="12"/>
      <c r="G58" s="12"/>
      <c r="H58" s="69"/>
    </row>
    <row r="59" spans="1:8" x14ac:dyDescent="0.2">
      <c r="A59" s="1"/>
      <c r="B59" s="1"/>
      <c r="C59" s="2" t="s">
        <v>95</v>
      </c>
      <c r="D59" s="1"/>
      <c r="E59" s="1" t="s">
        <v>96</v>
      </c>
      <c r="F59" s="13">
        <v>0</v>
      </c>
      <c r="G59" s="14">
        <v>0</v>
      </c>
      <c r="H59" s="69"/>
    </row>
    <row r="60" spans="1:8" x14ac:dyDescent="0.2">
      <c r="A60" s="1"/>
      <c r="B60" s="1"/>
      <c r="C60" s="11"/>
      <c r="D60" s="1"/>
      <c r="E60" s="1"/>
      <c r="F60" s="12"/>
      <c r="G60" s="12"/>
      <c r="H60" s="69"/>
    </row>
    <row r="61" spans="1:8" x14ac:dyDescent="0.2">
      <c r="A61" s="1"/>
      <c r="B61" s="1"/>
      <c r="C61" s="2" t="s">
        <v>102</v>
      </c>
      <c r="D61" s="1"/>
      <c r="E61" s="1"/>
      <c r="F61" s="9">
        <v>1238.6622</v>
      </c>
      <c r="G61" s="10">
        <v>0.96638921200000005</v>
      </c>
      <c r="H61" s="69"/>
    </row>
    <row r="62" spans="1:8" x14ac:dyDescent="0.2">
      <c r="A62" s="1"/>
      <c r="B62" s="1"/>
      <c r="C62" s="11"/>
      <c r="D62" s="1"/>
      <c r="E62" s="1"/>
      <c r="F62" s="12"/>
      <c r="G62" s="12"/>
      <c r="H62" s="69"/>
    </row>
    <row r="63" spans="1:8" x14ac:dyDescent="0.2">
      <c r="A63" s="1"/>
      <c r="B63" s="1"/>
      <c r="C63" s="2" t="s">
        <v>103</v>
      </c>
      <c r="D63" s="1"/>
      <c r="E63" s="1"/>
      <c r="F63" s="12"/>
      <c r="G63" s="12"/>
      <c r="H63" s="69"/>
    </row>
    <row r="64" spans="1:8" ht="25.5" x14ac:dyDescent="0.2">
      <c r="A64" s="1"/>
      <c r="B64" s="1"/>
      <c r="C64" s="2" t="s">
        <v>10</v>
      </c>
      <c r="D64" s="1"/>
      <c r="E64" s="1"/>
      <c r="F64" s="12"/>
      <c r="G64" s="12"/>
      <c r="H64" s="69"/>
    </row>
    <row r="65" spans="1:8" x14ac:dyDescent="0.2">
      <c r="A65" s="1"/>
      <c r="B65" s="1"/>
      <c r="C65" s="2" t="s">
        <v>95</v>
      </c>
      <c r="D65" s="1"/>
      <c r="E65" s="1" t="s">
        <v>96</v>
      </c>
      <c r="F65" s="13">
        <v>0</v>
      </c>
      <c r="G65" s="14">
        <v>0</v>
      </c>
      <c r="H65" s="69"/>
    </row>
    <row r="66" spans="1:8" x14ac:dyDescent="0.2">
      <c r="A66" s="1"/>
      <c r="B66" s="1"/>
      <c r="C66" s="11"/>
      <c r="D66" s="1"/>
      <c r="E66" s="1"/>
      <c r="F66" s="12"/>
      <c r="G66" s="12"/>
      <c r="H66" s="69"/>
    </row>
    <row r="67" spans="1:8" x14ac:dyDescent="0.2">
      <c r="A67" s="1"/>
      <c r="B67" s="1"/>
      <c r="C67" s="2" t="s">
        <v>104</v>
      </c>
      <c r="D67" s="1"/>
      <c r="E67" s="1"/>
      <c r="F67" s="1"/>
      <c r="G67" s="1"/>
      <c r="H67" s="69"/>
    </row>
    <row r="68" spans="1:8" x14ac:dyDescent="0.2">
      <c r="A68" s="1"/>
      <c r="B68" s="1"/>
      <c r="C68" s="2" t="s">
        <v>95</v>
      </c>
      <c r="D68" s="1"/>
      <c r="E68" s="1" t="s">
        <v>96</v>
      </c>
      <c r="F68" s="13">
        <v>0</v>
      </c>
      <c r="G68" s="14">
        <v>0</v>
      </c>
      <c r="H68" s="69"/>
    </row>
    <row r="69" spans="1:8" x14ac:dyDescent="0.2">
      <c r="A69" s="1"/>
      <c r="B69" s="1"/>
      <c r="C69" s="11"/>
      <c r="D69" s="1"/>
      <c r="E69" s="1"/>
      <c r="F69" s="12"/>
      <c r="G69" s="12"/>
      <c r="H69" s="69"/>
    </row>
    <row r="70" spans="1:8" x14ac:dyDescent="0.2">
      <c r="A70" s="1"/>
      <c r="B70" s="1"/>
      <c r="C70" s="2" t="s">
        <v>105</v>
      </c>
      <c r="D70" s="1"/>
      <c r="E70" s="1"/>
      <c r="F70" s="1"/>
      <c r="G70" s="1"/>
      <c r="H70" s="69"/>
    </row>
    <row r="71" spans="1:8" x14ac:dyDescent="0.2">
      <c r="A71" s="1"/>
      <c r="B71" s="1"/>
      <c r="C71" s="2" t="s">
        <v>95</v>
      </c>
      <c r="D71" s="1"/>
      <c r="E71" s="1" t="s">
        <v>96</v>
      </c>
      <c r="F71" s="13">
        <v>0</v>
      </c>
      <c r="G71" s="14">
        <v>0</v>
      </c>
      <c r="H71" s="69"/>
    </row>
    <row r="72" spans="1:8" x14ac:dyDescent="0.2">
      <c r="A72" s="1"/>
      <c r="B72" s="1"/>
      <c r="C72" s="11"/>
      <c r="D72" s="1"/>
      <c r="E72" s="1"/>
      <c r="F72" s="12"/>
      <c r="G72" s="12"/>
      <c r="H72" s="69"/>
    </row>
    <row r="73" spans="1:8" x14ac:dyDescent="0.2">
      <c r="A73" s="1"/>
      <c r="B73" s="1"/>
      <c r="C73" s="2" t="s">
        <v>106</v>
      </c>
      <c r="D73" s="1"/>
      <c r="E73" s="1"/>
      <c r="F73" s="12"/>
      <c r="G73" s="12"/>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107</v>
      </c>
      <c r="D76" s="1"/>
      <c r="E76" s="1"/>
      <c r="F76" s="9">
        <v>0</v>
      </c>
      <c r="G76" s="10">
        <v>0</v>
      </c>
      <c r="H76" s="69"/>
    </row>
    <row r="77" spans="1:8" x14ac:dyDescent="0.2">
      <c r="A77" s="1"/>
      <c r="B77" s="1"/>
      <c r="C77" s="11"/>
      <c r="D77" s="1"/>
      <c r="E77" s="1"/>
      <c r="F77" s="12"/>
      <c r="G77" s="12"/>
      <c r="H77" s="69"/>
    </row>
    <row r="78" spans="1:8" x14ac:dyDescent="0.2">
      <c r="A78" s="1"/>
      <c r="B78" s="1"/>
      <c r="C78" s="2" t="s">
        <v>108</v>
      </c>
      <c r="D78" s="1"/>
      <c r="E78" s="1"/>
      <c r="F78" s="12"/>
      <c r="G78" s="12"/>
      <c r="H78" s="69"/>
    </row>
    <row r="79" spans="1:8" x14ac:dyDescent="0.2">
      <c r="A79" s="1"/>
      <c r="B79" s="1"/>
      <c r="C79" s="2" t="s">
        <v>109</v>
      </c>
      <c r="D79" s="1"/>
      <c r="E79" s="1"/>
      <c r="F79" s="12"/>
      <c r="G79" s="12"/>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110</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111</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112</v>
      </c>
      <c r="D88" s="1"/>
      <c r="E88" s="1"/>
      <c r="F88" s="12"/>
      <c r="G88" s="12"/>
      <c r="H88" s="69"/>
    </row>
    <row r="89" spans="1:8" x14ac:dyDescent="0.2">
      <c r="A89" s="3">
        <v>1</v>
      </c>
      <c r="B89" s="4"/>
      <c r="C89" s="4" t="s">
        <v>113</v>
      </c>
      <c r="D89" s="4"/>
      <c r="E89" s="8"/>
      <c r="F89" s="6">
        <v>19.741381199999999</v>
      </c>
      <c r="G89" s="7">
        <v>1.5401985999999999E-2</v>
      </c>
      <c r="H89" s="6">
        <v>3.3628721504199861</v>
      </c>
    </row>
    <row r="90" spans="1:8" x14ac:dyDescent="0.2">
      <c r="A90" s="3">
        <v>2</v>
      </c>
      <c r="B90" s="4"/>
      <c r="C90" s="4" t="s">
        <v>114</v>
      </c>
      <c r="D90" s="4"/>
      <c r="E90" s="8"/>
      <c r="F90" s="6">
        <v>7.6239393</v>
      </c>
      <c r="G90" s="7">
        <v>5.9481050000000004E-3</v>
      </c>
      <c r="H90" s="6">
        <v>3.4499999999999966</v>
      </c>
    </row>
    <row r="91" spans="1:8" x14ac:dyDescent="0.2">
      <c r="A91" s="1"/>
      <c r="B91" s="1"/>
      <c r="C91" s="2" t="s">
        <v>95</v>
      </c>
      <c r="D91" s="1"/>
      <c r="E91" s="1" t="s">
        <v>96</v>
      </c>
      <c r="F91" s="9">
        <v>27.365320499999999</v>
      </c>
      <c r="G91" s="10">
        <v>2.1350091000000002E-2</v>
      </c>
      <c r="H91" s="69"/>
    </row>
    <row r="92" spans="1:8" x14ac:dyDescent="0.2">
      <c r="A92" s="1"/>
      <c r="B92" s="1"/>
      <c r="C92" s="11"/>
      <c r="D92" s="1"/>
      <c r="E92" s="1"/>
      <c r="F92" s="12"/>
      <c r="G92" s="12"/>
      <c r="H92" s="69"/>
    </row>
    <row r="93" spans="1:8" x14ac:dyDescent="0.2">
      <c r="A93" s="1"/>
      <c r="B93" s="1"/>
      <c r="C93" s="2" t="s">
        <v>115</v>
      </c>
      <c r="D93" s="1"/>
      <c r="E93" s="1"/>
      <c r="F93" s="9">
        <v>27.365320499999999</v>
      </c>
      <c r="G93" s="10">
        <v>2.1350091000000002E-2</v>
      </c>
      <c r="H93" s="69"/>
    </row>
    <row r="94" spans="1:8" x14ac:dyDescent="0.2">
      <c r="A94" s="1"/>
      <c r="B94" s="1"/>
      <c r="C94" s="12"/>
      <c r="D94" s="1"/>
      <c r="E94" s="1"/>
      <c r="F94" s="1"/>
      <c r="G94" s="1"/>
      <c r="H94" s="69"/>
    </row>
    <row r="95" spans="1:8" x14ac:dyDescent="0.2">
      <c r="A95" s="1"/>
      <c r="B95" s="1"/>
      <c r="C95" s="2" t="s">
        <v>116</v>
      </c>
      <c r="D95" s="1"/>
      <c r="E95" s="1"/>
      <c r="F95" s="1"/>
      <c r="G95" s="1"/>
      <c r="H95" s="69"/>
    </row>
    <row r="96" spans="1:8" x14ac:dyDescent="0.2">
      <c r="A96" s="1"/>
      <c r="B96" s="1"/>
      <c r="C96" s="2" t="s">
        <v>117</v>
      </c>
      <c r="D96" s="1"/>
      <c r="E96" s="1"/>
      <c r="F96" s="1"/>
      <c r="G96" s="1"/>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118</v>
      </c>
      <c r="D99" s="1"/>
      <c r="E99" s="1"/>
      <c r="F99" s="1"/>
      <c r="G99" s="1"/>
      <c r="H99" s="69"/>
    </row>
    <row r="100" spans="1:8" x14ac:dyDescent="0.2">
      <c r="A100" s="1"/>
      <c r="B100" s="1"/>
      <c r="C100" s="2" t="s">
        <v>119</v>
      </c>
      <c r="D100" s="1"/>
      <c r="E100" s="1"/>
      <c r="F100" s="1"/>
      <c r="G100" s="1"/>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11"/>
      <c r="D103" s="1"/>
      <c r="E103" s="1"/>
      <c r="F103" s="12"/>
      <c r="G103" s="12"/>
      <c r="H103" s="69"/>
    </row>
    <row r="104" spans="1:8" ht="25.5" x14ac:dyDescent="0.2">
      <c r="A104" s="1"/>
      <c r="B104" s="1"/>
      <c r="C104" s="2" t="s">
        <v>120</v>
      </c>
      <c r="D104" s="1"/>
      <c r="E104" s="1"/>
      <c r="F104" s="12"/>
      <c r="G104" s="12"/>
      <c r="H104" s="69"/>
    </row>
    <row r="105" spans="1:8" x14ac:dyDescent="0.2">
      <c r="A105" s="1"/>
      <c r="B105" s="1"/>
      <c r="C105" s="2" t="s">
        <v>95</v>
      </c>
      <c r="D105" s="1"/>
      <c r="E105" s="1" t="s">
        <v>96</v>
      </c>
      <c r="F105" s="13">
        <v>0</v>
      </c>
      <c r="G105" s="14">
        <v>0</v>
      </c>
      <c r="H105" s="69"/>
    </row>
    <row r="106" spans="1:8" x14ac:dyDescent="0.2">
      <c r="A106" s="1"/>
      <c r="B106" s="1"/>
      <c r="C106" s="11"/>
      <c r="D106" s="1"/>
      <c r="E106" s="1"/>
      <c r="F106" s="12"/>
      <c r="G106" s="12"/>
      <c r="H106" s="69"/>
    </row>
    <row r="107" spans="1:8" x14ac:dyDescent="0.2">
      <c r="A107" s="1"/>
      <c r="B107" s="4"/>
      <c r="C107" s="4"/>
      <c r="D107" s="2"/>
      <c r="E107" s="1"/>
      <c r="F107" s="4"/>
      <c r="G107" s="8"/>
      <c r="H107" s="69"/>
    </row>
    <row r="108" spans="1:8" x14ac:dyDescent="0.2">
      <c r="A108" s="8"/>
      <c r="B108" s="4"/>
      <c r="C108" s="4" t="s">
        <v>121</v>
      </c>
      <c r="D108" s="4"/>
      <c r="E108" s="8"/>
      <c r="F108" s="6">
        <v>15.715056969999999</v>
      </c>
      <c r="G108" s="7">
        <v>1.2260696999999999E-2</v>
      </c>
      <c r="H108" s="69"/>
    </row>
    <row r="109" spans="1:8" x14ac:dyDescent="0.2">
      <c r="A109" s="11"/>
      <c r="B109" s="11"/>
      <c r="C109" s="2" t="s">
        <v>122</v>
      </c>
      <c r="D109" s="15"/>
      <c r="E109" s="15"/>
      <c r="F109" s="9">
        <v>1281.74257747</v>
      </c>
      <c r="G109" s="10">
        <v>1</v>
      </c>
      <c r="H109" s="69"/>
    </row>
    <row r="110" spans="1:8" ht="14.1" customHeight="1" x14ac:dyDescent="0.2">
      <c r="A110" s="16"/>
      <c r="B110" s="16"/>
      <c r="C110" s="16"/>
      <c r="D110" s="17"/>
      <c r="E110" s="17"/>
      <c r="F110" s="17"/>
      <c r="G110" s="17"/>
    </row>
    <row r="111" spans="1:8" ht="14.1" customHeight="1" x14ac:dyDescent="0.2">
      <c r="A111" s="18"/>
      <c r="B111" s="176" t="s">
        <v>96</v>
      </c>
      <c r="C111" s="176"/>
      <c r="D111" s="176"/>
      <c r="E111" s="176"/>
      <c r="F111" s="176"/>
      <c r="G111" s="20"/>
    </row>
    <row r="112" spans="1:8" ht="14.1" customHeight="1" x14ac:dyDescent="0.2">
      <c r="A112" s="18"/>
      <c r="B112" s="176" t="s">
        <v>96</v>
      </c>
      <c r="C112" s="176"/>
      <c r="D112" s="176"/>
      <c r="E112" s="176"/>
      <c r="F112" s="176"/>
      <c r="G112" s="20"/>
    </row>
    <row r="113" spans="1:16" ht="14.1" customHeight="1" x14ac:dyDescent="0.2">
      <c r="A113" s="18"/>
      <c r="B113" s="18"/>
      <c r="C113" s="18"/>
      <c r="D113" s="20"/>
      <c r="E113" s="20"/>
      <c r="F113" s="20"/>
      <c r="G113" s="20"/>
    </row>
    <row r="114" spans="1:16" ht="14.1" customHeight="1" x14ac:dyDescent="0.2">
      <c r="A114" s="18"/>
      <c r="B114" s="174" t="s">
        <v>124</v>
      </c>
      <c r="C114" s="175"/>
      <c r="D114" s="12" t="s">
        <v>96</v>
      </c>
      <c r="E114" s="21"/>
      <c r="F114" s="20"/>
      <c r="G114" s="20"/>
    </row>
    <row r="115" spans="1:16" ht="29.1" customHeight="1" x14ac:dyDescent="0.2">
      <c r="A115" s="18"/>
      <c r="B115" s="172" t="s">
        <v>125</v>
      </c>
      <c r="C115" s="173"/>
      <c r="D115" s="2" t="s">
        <v>126</v>
      </c>
      <c r="E115" s="21"/>
      <c r="F115" s="20"/>
      <c r="G115" s="20"/>
    </row>
    <row r="116" spans="1:16" ht="17.100000000000001" customHeight="1" x14ac:dyDescent="0.2">
      <c r="A116" s="18"/>
      <c r="B116" s="172" t="s">
        <v>127</v>
      </c>
      <c r="C116" s="173"/>
      <c r="D116" s="2" t="s">
        <v>126</v>
      </c>
      <c r="E116" s="21"/>
      <c r="F116" s="20"/>
      <c r="G116" s="20"/>
    </row>
    <row r="117" spans="1:16" ht="17.100000000000001" customHeight="1" x14ac:dyDescent="0.2">
      <c r="A117" s="18"/>
      <c r="B117" s="172" t="s">
        <v>128</v>
      </c>
      <c r="C117" s="173"/>
      <c r="D117" s="12" t="s">
        <v>96</v>
      </c>
      <c r="E117" s="21"/>
      <c r="F117" s="20"/>
      <c r="G117" s="20"/>
    </row>
    <row r="118" spans="1:16" ht="24" customHeight="1" x14ac:dyDescent="0.2">
      <c r="A118" s="22"/>
      <c r="B118" s="23" t="s">
        <v>96</v>
      </c>
      <c r="C118" s="23" t="s">
        <v>129</v>
      </c>
      <c r="D118" s="23" t="s">
        <v>130</v>
      </c>
      <c r="E118" s="22"/>
      <c r="F118" s="22"/>
      <c r="G118" s="22"/>
    </row>
    <row r="119" spans="1:16" ht="18" customHeight="1" x14ac:dyDescent="0.2">
      <c r="A119" s="22"/>
      <c r="B119" s="23" t="s">
        <v>131</v>
      </c>
      <c r="C119" s="23" t="s">
        <v>132</v>
      </c>
      <c r="D119" s="23" t="s">
        <v>133</v>
      </c>
      <c r="E119" s="22"/>
      <c r="F119" s="22"/>
      <c r="G119" s="22"/>
    </row>
    <row r="120" spans="1:16" ht="17.100000000000001" customHeight="1" x14ac:dyDescent="0.2">
      <c r="A120" s="22"/>
      <c r="B120" s="4" t="s">
        <v>134</v>
      </c>
      <c r="C120" s="24">
        <v>24.014500000000002</v>
      </c>
      <c r="D120" s="24">
        <v>23.251000000000001</v>
      </c>
      <c r="E120" s="22"/>
      <c r="F120" s="19"/>
      <c r="G120" s="25"/>
    </row>
    <row r="121" spans="1:16" ht="17.100000000000001" customHeight="1" x14ac:dyDescent="0.2">
      <c r="A121" s="22"/>
      <c r="B121" s="4" t="s">
        <v>983</v>
      </c>
      <c r="C121" s="24">
        <v>19.4575</v>
      </c>
      <c r="D121" s="24">
        <v>18.838799999999999</v>
      </c>
      <c r="E121" s="22"/>
      <c r="F121" s="19"/>
      <c r="G121" s="25"/>
    </row>
    <row r="122" spans="1:16" ht="17.100000000000001" customHeight="1" x14ac:dyDescent="0.2">
      <c r="A122" s="22"/>
      <c r="B122" s="4" t="s">
        <v>135</v>
      </c>
      <c r="C122" s="24">
        <v>23.475000000000001</v>
      </c>
      <c r="D122" s="24">
        <v>22.725300000000001</v>
      </c>
      <c r="E122" s="22"/>
      <c r="F122" s="19"/>
      <c r="G122" s="25"/>
    </row>
    <row r="123" spans="1:16" ht="17.100000000000001" customHeight="1" x14ac:dyDescent="0.2">
      <c r="A123" s="22"/>
      <c r="B123" s="4" t="s">
        <v>984</v>
      </c>
      <c r="C123" s="24">
        <v>18.947299999999998</v>
      </c>
      <c r="D123" s="24">
        <v>18.342199999999998</v>
      </c>
      <c r="E123" s="22"/>
      <c r="F123" s="19"/>
      <c r="G123" s="25"/>
    </row>
    <row r="124" spans="1:16" ht="14.1" customHeight="1" x14ac:dyDescent="0.2">
      <c r="A124" s="22"/>
      <c r="B124" s="22"/>
      <c r="C124" s="22"/>
      <c r="D124" s="22"/>
      <c r="E124" s="22"/>
      <c r="F124" s="22"/>
      <c r="G124" s="22"/>
    </row>
    <row r="125" spans="1:16" ht="17.100000000000001" customHeight="1" x14ac:dyDescent="0.2">
      <c r="A125" s="22"/>
      <c r="B125" s="172" t="s">
        <v>985</v>
      </c>
      <c r="C125" s="173"/>
      <c r="D125" s="2" t="s">
        <v>126</v>
      </c>
      <c r="E125" s="22"/>
      <c r="F125" s="22"/>
      <c r="G125" s="22"/>
    </row>
    <row r="126" spans="1:16" ht="18" customHeight="1" x14ac:dyDescent="0.2">
      <c r="A126" s="22"/>
      <c r="B126" s="26" t="s">
        <v>136</v>
      </c>
      <c r="C126" s="26" t="s">
        <v>136</v>
      </c>
      <c r="D126" s="26"/>
      <c r="E126" s="22"/>
      <c r="F126" s="22"/>
      <c r="G126" s="22"/>
    </row>
    <row r="127" spans="1:16" s="82" customFormat="1" x14ac:dyDescent="0.2">
      <c r="B127" s="177" t="s">
        <v>936</v>
      </c>
      <c r="C127" s="177"/>
      <c r="D127" s="177"/>
      <c r="E127" s="177"/>
      <c r="F127" s="177"/>
      <c r="P127" s="70"/>
    </row>
    <row r="128" spans="1:16" ht="14.1" customHeight="1" x14ac:dyDescent="0.2">
      <c r="A128" s="22"/>
      <c r="B128" s="19"/>
      <c r="C128" s="19"/>
      <c r="D128" s="22"/>
      <c r="E128" s="22"/>
      <c r="F128" s="22"/>
      <c r="G128" s="22"/>
    </row>
    <row r="129" spans="1:7" ht="29.1" customHeight="1" x14ac:dyDescent="0.2">
      <c r="A129" s="22"/>
      <c r="B129" s="172" t="s">
        <v>137</v>
      </c>
      <c r="C129" s="173"/>
      <c r="D129" s="2" t="s">
        <v>126</v>
      </c>
      <c r="E129" s="22"/>
      <c r="F129" s="22"/>
      <c r="G129" s="22"/>
    </row>
    <row r="130" spans="1:7" ht="29.1" customHeight="1" x14ac:dyDescent="0.2">
      <c r="A130" s="22"/>
      <c r="B130" s="172" t="s">
        <v>138</v>
      </c>
      <c r="C130" s="173"/>
      <c r="D130" s="2" t="s">
        <v>126</v>
      </c>
      <c r="E130" s="22"/>
      <c r="F130" s="22"/>
      <c r="G130" s="22"/>
    </row>
    <row r="131" spans="1:7" ht="17.100000000000001" customHeight="1" x14ac:dyDescent="0.2">
      <c r="A131" s="22"/>
      <c r="B131" s="172" t="s">
        <v>139</v>
      </c>
      <c r="C131" s="173"/>
      <c r="D131" s="27">
        <v>0.21179499247408959</v>
      </c>
      <c r="E131" s="22"/>
      <c r="F131" s="19"/>
      <c r="G131" s="25"/>
    </row>
    <row r="132" spans="1:7" ht="17.100000000000001" customHeight="1" x14ac:dyDescent="0.2">
      <c r="A132" s="22"/>
      <c r="B132" s="172" t="s">
        <v>140</v>
      </c>
      <c r="C132" s="173"/>
      <c r="D132" s="2" t="s">
        <v>126</v>
      </c>
      <c r="E132" s="22"/>
      <c r="F132" s="22"/>
      <c r="G132" s="22"/>
    </row>
  </sheetData>
  <mergeCells count="16">
    <mergeCell ref="B132:C132"/>
    <mergeCell ref="B115:C115"/>
    <mergeCell ref="B116:C116"/>
    <mergeCell ref="B117:C117"/>
    <mergeCell ref="B125:C125"/>
    <mergeCell ref="B129:C129"/>
    <mergeCell ref="B130:C130"/>
    <mergeCell ref="B127:F127"/>
    <mergeCell ref="A1:H1"/>
    <mergeCell ref="A2:H2"/>
    <mergeCell ref="A3:H3"/>
    <mergeCell ref="J2:N2"/>
    <mergeCell ref="B131:C131"/>
    <mergeCell ref="B114:C114"/>
    <mergeCell ref="B111:F111"/>
    <mergeCell ref="B112:F112"/>
  </mergeCell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P16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508</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26662</v>
      </c>
      <c r="F7" s="6">
        <v>294.588438</v>
      </c>
      <c r="G7" s="7">
        <v>3.7570217000000003E-2</v>
      </c>
      <c r="H7" s="69"/>
    </row>
    <row r="8" spans="1:14" x14ac:dyDescent="0.2">
      <c r="A8" s="3">
        <v>2</v>
      </c>
      <c r="B8" s="4" t="s">
        <v>165</v>
      </c>
      <c r="C8" s="4" t="s">
        <v>166</v>
      </c>
      <c r="D8" s="4" t="s">
        <v>155</v>
      </c>
      <c r="E8" s="5">
        <v>58808</v>
      </c>
      <c r="F8" s="6">
        <v>290.89377200000001</v>
      </c>
      <c r="G8" s="7">
        <v>3.7099018999999997E-2</v>
      </c>
      <c r="H8" s="69"/>
    </row>
    <row r="9" spans="1:14" x14ac:dyDescent="0.2">
      <c r="A9" s="3">
        <v>3</v>
      </c>
      <c r="B9" s="4" t="s">
        <v>149</v>
      </c>
      <c r="C9" s="4" t="s">
        <v>150</v>
      </c>
      <c r="D9" s="4" t="s">
        <v>75</v>
      </c>
      <c r="E9" s="5">
        <v>47558</v>
      </c>
      <c r="F9" s="6">
        <v>286.10892799999999</v>
      </c>
      <c r="G9" s="7">
        <v>3.6488786000000002E-2</v>
      </c>
      <c r="H9" s="69"/>
    </row>
    <row r="10" spans="1:14" x14ac:dyDescent="0.2">
      <c r="A10" s="3">
        <v>4</v>
      </c>
      <c r="B10" s="4" t="s">
        <v>25</v>
      </c>
      <c r="C10" s="4" t="s">
        <v>26</v>
      </c>
      <c r="D10" s="4" t="s">
        <v>27</v>
      </c>
      <c r="E10" s="5">
        <v>14971</v>
      </c>
      <c r="F10" s="6">
        <v>241.51965749999999</v>
      </c>
      <c r="G10" s="7">
        <v>3.0802111E-2</v>
      </c>
      <c r="H10" s="69"/>
    </row>
    <row r="11" spans="1:14" x14ac:dyDescent="0.2">
      <c r="A11" s="3">
        <v>5</v>
      </c>
      <c r="B11" s="4" t="s">
        <v>147</v>
      </c>
      <c r="C11" s="4" t="s">
        <v>148</v>
      </c>
      <c r="D11" s="4" t="s">
        <v>78</v>
      </c>
      <c r="E11" s="5">
        <v>192978</v>
      </c>
      <c r="F11" s="6">
        <v>233.98582500000001</v>
      </c>
      <c r="G11" s="7">
        <v>2.9841287000000001E-2</v>
      </c>
      <c r="H11" s="69"/>
    </row>
    <row r="12" spans="1:14" x14ac:dyDescent="0.2">
      <c r="A12" s="3">
        <v>6</v>
      </c>
      <c r="B12" s="4" t="s">
        <v>156</v>
      </c>
      <c r="C12" s="4" t="s">
        <v>157</v>
      </c>
      <c r="D12" s="4" t="s">
        <v>27</v>
      </c>
      <c r="E12" s="5">
        <v>29750</v>
      </c>
      <c r="F12" s="6">
        <v>230.83025000000001</v>
      </c>
      <c r="G12" s="7">
        <v>2.9438842E-2</v>
      </c>
      <c r="H12" s="69"/>
    </row>
    <row r="13" spans="1:14" x14ac:dyDescent="0.2">
      <c r="A13" s="3">
        <v>7</v>
      </c>
      <c r="B13" s="4" t="s">
        <v>142</v>
      </c>
      <c r="C13" s="4" t="s">
        <v>143</v>
      </c>
      <c r="D13" s="4" t="s">
        <v>144</v>
      </c>
      <c r="E13" s="5">
        <v>6170</v>
      </c>
      <c r="F13" s="6">
        <v>230.81970000000001</v>
      </c>
      <c r="G13" s="7">
        <v>2.9437497E-2</v>
      </c>
      <c r="H13" s="69"/>
    </row>
    <row r="14" spans="1:14" x14ac:dyDescent="0.2">
      <c r="A14" s="3">
        <v>8</v>
      </c>
      <c r="B14" s="4" t="s">
        <v>79</v>
      </c>
      <c r="C14" s="4" t="s">
        <v>80</v>
      </c>
      <c r="D14" s="4" t="s">
        <v>75</v>
      </c>
      <c r="E14" s="5">
        <v>58286</v>
      </c>
      <c r="F14" s="6">
        <v>217.52335199999999</v>
      </c>
      <c r="G14" s="7">
        <v>2.7741752000000001E-2</v>
      </c>
      <c r="H14" s="69"/>
    </row>
    <row r="15" spans="1:14" ht="15" x14ac:dyDescent="0.2">
      <c r="A15" s="3">
        <v>9</v>
      </c>
      <c r="B15" s="4" t="s">
        <v>173</v>
      </c>
      <c r="C15" s="4" t="s">
        <v>174</v>
      </c>
      <c r="D15" s="4" t="s">
        <v>175</v>
      </c>
      <c r="E15" s="5">
        <v>82902</v>
      </c>
      <c r="F15" s="6">
        <v>209.783511</v>
      </c>
      <c r="G15" s="7">
        <v>2.6754654999999999E-2</v>
      </c>
      <c r="H15" s="69"/>
      <c r="J15" s="160" t="s">
        <v>1017</v>
      </c>
    </row>
    <row r="16" spans="1:14" x14ac:dyDescent="0.2">
      <c r="A16" s="3">
        <v>10</v>
      </c>
      <c r="B16" s="4" t="s">
        <v>56</v>
      </c>
      <c r="C16" s="4" t="s">
        <v>57</v>
      </c>
      <c r="D16" s="4" t="s">
        <v>53</v>
      </c>
      <c r="E16" s="5">
        <v>40332</v>
      </c>
      <c r="F16" s="6">
        <v>202.648134</v>
      </c>
      <c r="G16" s="7">
        <v>2.5844646999999998E-2</v>
      </c>
      <c r="H16" s="69"/>
    </row>
    <row r="17" spans="1:8" x14ac:dyDescent="0.2">
      <c r="A17" s="3">
        <v>11</v>
      </c>
      <c r="B17" s="4" t="s">
        <v>167</v>
      </c>
      <c r="C17" s="4" t="s">
        <v>168</v>
      </c>
      <c r="D17" s="4" t="s">
        <v>976</v>
      </c>
      <c r="E17" s="5">
        <v>19498</v>
      </c>
      <c r="F17" s="6">
        <v>197.758465</v>
      </c>
      <c r="G17" s="7">
        <v>2.5221045000000001E-2</v>
      </c>
      <c r="H17" s="69"/>
    </row>
    <row r="18" spans="1:8" x14ac:dyDescent="0.2">
      <c r="A18" s="3">
        <v>12</v>
      </c>
      <c r="B18" s="4" t="s">
        <v>176</v>
      </c>
      <c r="C18" s="4" t="s">
        <v>177</v>
      </c>
      <c r="D18" s="4" t="s">
        <v>78</v>
      </c>
      <c r="E18" s="5">
        <v>23275</v>
      </c>
      <c r="F18" s="6">
        <v>188.38784999999999</v>
      </c>
      <c r="G18" s="7">
        <v>2.4025968000000002E-2</v>
      </c>
      <c r="H18" s="69"/>
    </row>
    <row r="19" spans="1:8" ht="25.5" x14ac:dyDescent="0.2">
      <c r="A19" s="3">
        <v>13</v>
      </c>
      <c r="B19" s="4" t="s">
        <v>151</v>
      </c>
      <c r="C19" s="4" t="s">
        <v>152</v>
      </c>
      <c r="D19" s="4" t="s">
        <v>45</v>
      </c>
      <c r="E19" s="5">
        <v>120530</v>
      </c>
      <c r="F19" s="6">
        <v>179.77049500000001</v>
      </c>
      <c r="G19" s="7">
        <v>2.2926957000000001E-2</v>
      </c>
      <c r="H19" s="69"/>
    </row>
    <row r="20" spans="1:8" x14ac:dyDescent="0.2">
      <c r="A20" s="3">
        <v>14</v>
      </c>
      <c r="B20" s="4" t="s">
        <v>219</v>
      </c>
      <c r="C20" s="4" t="s">
        <v>220</v>
      </c>
      <c r="D20" s="4" t="s">
        <v>221</v>
      </c>
      <c r="E20" s="5">
        <v>83608</v>
      </c>
      <c r="F20" s="6">
        <v>175.91123200000001</v>
      </c>
      <c r="G20" s="7">
        <v>2.2434767000000001E-2</v>
      </c>
      <c r="H20" s="69"/>
    </row>
    <row r="21" spans="1:8" ht="25.5" x14ac:dyDescent="0.2">
      <c r="A21" s="3">
        <v>15</v>
      </c>
      <c r="B21" s="4" t="s">
        <v>37</v>
      </c>
      <c r="C21" s="4" t="s">
        <v>38</v>
      </c>
      <c r="D21" s="4" t="s">
        <v>974</v>
      </c>
      <c r="E21" s="5">
        <v>5414</v>
      </c>
      <c r="F21" s="6">
        <v>175.14019300000001</v>
      </c>
      <c r="G21" s="7">
        <v>2.2336432999999999E-2</v>
      </c>
      <c r="H21" s="69"/>
    </row>
    <row r="22" spans="1:8" x14ac:dyDescent="0.2">
      <c r="A22" s="3">
        <v>16</v>
      </c>
      <c r="B22" s="4" t="s">
        <v>283</v>
      </c>
      <c r="C22" s="4" t="s">
        <v>284</v>
      </c>
      <c r="D22" s="4" t="s">
        <v>32</v>
      </c>
      <c r="E22" s="5">
        <v>44883</v>
      </c>
      <c r="F22" s="6">
        <v>174.32557199999999</v>
      </c>
      <c r="G22" s="7">
        <v>2.2232541000000001E-2</v>
      </c>
      <c r="H22" s="69"/>
    </row>
    <row r="23" spans="1:8" ht="25.5" x14ac:dyDescent="0.2">
      <c r="A23" s="3">
        <v>17</v>
      </c>
      <c r="B23" s="4" t="s">
        <v>463</v>
      </c>
      <c r="C23" s="4" t="s">
        <v>464</v>
      </c>
      <c r="D23" s="4" t="s">
        <v>45</v>
      </c>
      <c r="E23" s="5">
        <v>11046</v>
      </c>
      <c r="F23" s="6">
        <v>168.07593600000001</v>
      </c>
      <c r="G23" s="7">
        <v>2.1435495999999998E-2</v>
      </c>
      <c r="H23" s="69"/>
    </row>
    <row r="24" spans="1:8" x14ac:dyDescent="0.2">
      <c r="A24" s="3">
        <v>18</v>
      </c>
      <c r="B24" s="4" t="s">
        <v>202</v>
      </c>
      <c r="C24" s="4" t="s">
        <v>203</v>
      </c>
      <c r="D24" s="4" t="s">
        <v>204</v>
      </c>
      <c r="E24" s="5">
        <v>42854</v>
      </c>
      <c r="F24" s="6">
        <v>166.359228</v>
      </c>
      <c r="G24" s="7">
        <v>2.1216556000000001E-2</v>
      </c>
      <c r="H24" s="69"/>
    </row>
    <row r="25" spans="1:8" ht="25.5" x14ac:dyDescent="0.2">
      <c r="A25" s="3">
        <v>19</v>
      </c>
      <c r="B25" s="4" t="s">
        <v>205</v>
      </c>
      <c r="C25" s="4" t="s">
        <v>206</v>
      </c>
      <c r="D25" s="4" t="s">
        <v>207</v>
      </c>
      <c r="E25" s="5">
        <v>38459</v>
      </c>
      <c r="F25" s="6">
        <v>164.18147099999999</v>
      </c>
      <c r="G25" s="7">
        <v>2.0938816999999998E-2</v>
      </c>
      <c r="H25" s="69"/>
    </row>
    <row r="26" spans="1:8" x14ac:dyDescent="0.2">
      <c r="A26" s="3">
        <v>20</v>
      </c>
      <c r="B26" s="4" t="s">
        <v>41</v>
      </c>
      <c r="C26" s="4" t="s">
        <v>42</v>
      </c>
      <c r="D26" s="4" t="s">
        <v>27</v>
      </c>
      <c r="E26" s="5">
        <v>12434</v>
      </c>
      <c r="F26" s="6">
        <v>154.42406299999999</v>
      </c>
      <c r="G26" s="7">
        <v>1.9694409999999999E-2</v>
      </c>
      <c r="H26" s="69"/>
    </row>
    <row r="27" spans="1:8" x14ac:dyDescent="0.2">
      <c r="A27" s="3">
        <v>21</v>
      </c>
      <c r="B27" s="4" t="s">
        <v>73</v>
      </c>
      <c r="C27" s="4" t="s">
        <v>74</v>
      </c>
      <c r="D27" s="4" t="s">
        <v>75</v>
      </c>
      <c r="E27" s="5">
        <v>4397</v>
      </c>
      <c r="F27" s="6">
        <v>133.2049165</v>
      </c>
      <c r="G27" s="7">
        <v>1.6988235000000001E-2</v>
      </c>
      <c r="H27" s="69"/>
    </row>
    <row r="28" spans="1:8" x14ac:dyDescent="0.2">
      <c r="A28" s="3">
        <v>22</v>
      </c>
      <c r="B28" s="4" t="s">
        <v>163</v>
      </c>
      <c r="C28" s="4" t="s">
        <v>164</v>
      </c>
      <c r="D28" s="4" t="s">
        <v>975</v>
      </c>
      <c r="E28" s="5">
        <v>32952</v>
      </c>
      <c r="F28" s="6">
        <v>131.89037999999999</v>
      </c>
      <c r="G28" s="7">
        <v>1.6820585999999998E-2</v>
      </c>
      <c r="H28" s="69"/>
    </row>
    <row r="29" spans="1:8" ht="25.5" x14ac:dyDescent="0.2">
      <c r="A29" s="3">
        <v>23</v>
      </c>
      <c r="B29" s="4" t="s">
        <v>189</v>
      </c>
      <c r="C29" s="4" t="s">
        <v>190</v>
      </c>
      <c r="D29" s="4" t="s">
        <v>974</v>
      </c>
      <c r="E29" s="5">
        <v>54769</v>
      </c>
      <c r="F29" s="6">
        <v>120.87518300000001</v>
      </c>
      <c r="G29" s="7">
        <v>1.5415767E-2</v>
      </c>
      <c r="H29" s="69"/>
    </row>
    <row r="30" spans="1:8" x14ac:dyDescent="0.2">
      <c r="A30" s="3">
        <v>24</v>
      </c>
      <c r="B30" s="4" t="s">
        <v>198</v>
      </c>
      <c r="C30" s="4" t="s">
        <v>199</v>
      </c>
      <c r="D30" s="4" t="s">
        <v>78</v>
      </c>
      <c r="E30" s="5">
        <v>19955</v>
      </c>
      <c r="F30" s="6">
        <v>117.75445499999999</v>
      </c>
      <c r="G30" s="7">
        <v>1.5017766E-2</v>
      </c>
      <c r="H30" s="69"/>
    </row>
    <row r="31" spans="1:8" x14ac:dyDescent="0.2">
      <c r="A31" s="3">
        <v>25</v>
      </c>
      <c r="B31" s="4" t="s">
        <v>181</v>
      </c>
      <c r="C31" s="4" t="s">
        <v>182</v>
      </c>
      <c r="D31" s="4" t="s">
        <v>155</v>
      </c>
      <c r="E31" s="5">
        <v>11519</v>
      </c>
      <c r="F31" s="6">
        <v>116.6241155</v>
      </c>
      <c r="G31" s="7">
        <v>1.4873608999999999E-2</v>
      </c>
      <c r="H31" s="69"/>
    </row>
    <row r="32" spans="1:8" ht="25.5" x14ac:dyDescent="0.2">
      <c r="A32" s="3">
        <v>26</v>
      </c>
      <c r="B32" s="4" t="s">
        <v>239</v>
      </c>
      <c r="C32" s="4" t="s">
        <v>240</v>
      </c>
      <c r="D32" s="4" t="s">
        <v>980</v>
      </c>
      <c r="E32" s="5">
        <v>107569</v>
      </c>
      <c r="F32" s="6">
        <v>107.676569</v>
      </c>
      <c r="G32" s="7">
        <v>1.3732487E-2</v>
      </c>
      <c r="H32" s="69"/>
    </row>
    <row r="33" spans="1:8" x14ac:dyDescent="0.2">
      <c r="A33" s="3">
        <v>27</v>
      </c>
      <c r="B33" s="4" t="s">
        <v>191</v>
      </c>
      <c r="C33" s="4" t="s">
        <v>192</v>
      </c>
      <c r="D33" s="4" t="s">
        <v>53</v>
      </c>
      <c r="E33" s="5">
        <v>108993</v>
      </c>
      <c r="F33" s="6">
        <v>104.851266</v>
      </c>
      <c r="G33" s="7">
        <v>1.3372164000000001E-2</v>
      </c>
      <c r="H33" s="69"/>
    </row>
    <row r="34" spans="1:8" x14ac:dyDescent="0.2">
      <c r="A34" s="3">
        <v>28</v>
      </c>
      <c r="B34" s="4" t="s">
        <v>212</v>
      </c>
      <c r="C34" s="4" t="s">
        <v>213</v>
      </c>
      <c r="D34" s="4" t="s">
        <v>979</v>
      </c>
      <c r="E34" s="5">
        <v>18393</v>
      </c>
      <c r="F34" s="6">
        <v>100.885605</v>
      </c>
      <c r="G34" s="7">
        <v>1.2866404999999999E-2</v>
      </c>
      <c r="H34" s="69"/>
    </row>
    <row r="35" spans="1:8" ht="25.5" x14ac:dyDescent="0.2">
      <c r="A35" s="3">
        <v>29</v>
      </c>
      <c r="B35" s="4" t="s">
        <v>222</v>
      </c>
      <c r="C35" s="4" t="s">
        <v>223</v>
      </c>
      <c r="D35" s="4" t="s">
        <v>207</v>
      </c>
      <c r="E35" s="5">
        <v>21059</v>
      </c>
      <c r="F35" s="6">
        <v>98.229705499999994</v>
      </c>
      <c r="G35" s="7">
        <v>1.2527686E-2</v>
      </c>
      <c r="H35" s="69"/>
    </row>
    <row r="36" spans="1:8" x14ac:dyDescent="0.2">
      <c r="A36" s="3">
        <v>30</v>
      </c>
      <c r="B36" s="4" t="s">
        <v>178</v>
      </c>
      <c r="C36" s="4" t="s">
        <v>179</v>
      </c>
      <c r="D36" s="4" t="s">
        <v>180</v>
      </c>
      <c r="E36" s="5">
        <v>10328</v>
      </c>
      <c r="F36" s="6">
        <v>97.310416000000004</v>
      </c>
      <c r="G36" s="7">
        <v>1.2410444E-2</v>
      </c>
      <c r="H36" s="69"/>
    </row>
    <row r="37" spans="1:8" x14ac:dyDescent="0.2">
      <c r="A37" s="3">
        <v>31</v>
      </c>
      <c r="B37" s="4" t="s">
        <v>235</v>
      </c>
      <c r="C37" s="4" t="s">
        <v>236</v>
      </c>
      <c r="D37" s="4" t="s">
        <v>160</v>
      </c>
      <c r="E37" s="5">
        <v>25572</v>
      </c>
      <c r="F37" s="6">
        <v>96.010074000000003</v>
      </c>
      <c r="G37" s="7">
        <v>1.2244606E-2</v>
      </c>
      <c r="H37" s="69"/>
    </row>
    <row r="38" spans="1:8" ht="25.5" x14ac:dyDescent="0.2">
      <c r="A38" s="3">
        <v>32</v>
      </c>
      <c r="B38" s="4" t="s">
        <v>229</v>
      </c>
      <c r="C38" s="4" t="s">
        <v>230</v>
      </c>
      <c r="D38" s="4" t="s">
        <v>75</v>
      </c>
      <c r="E38" s="5">
        <v>5046</v>
      </c>
      <c r="F38" s="6">
        <v>95.800832999999997</v>
      </c>
      <c r="G38" s="7">
        <v>1.221792E-2</v>
      </c>
      <c r="H38" s="69"/>
    </row>
    <row r="39" spans="1:8" x14ac:dyDescent="0.2">
      <c r="A39" s="3">
        <v>33</v>
      </c>
      <c r="B39" s="4" t="s">
        <v>193</v>
      </c>
      <c r="C39" s="4" t="s">
        <v>194</v>
      </c>
      <c r="D39" s="4" t="s">
        <v>195</v>
      </c>
      <c r="E39" s="5">
        <v>19323</v>
      </c>
      <c r="F39" s="6">
        <v>92.924306999999999</v>
      </c>
      <c r="G39" s="7">
        <v>1.1851064E-2</v>
      </c>
      <c r="H39" s="69"/>
    </row>
    <row r="40" spans="1:8" ht="25.5" x14ac:dyDescent="0.2">
      <c r="A40" s="3">
        <v>34</v>
      </c>
      <c r="B40" s="4" t="s">
        <v>233</v>
      </c>
      <c r="C40" s="4" t="s">
        <v>234</v>
      </c>
      <c r="D40" s="4" t="s">
        <v>207</v>
      </c>
      <c r="E40" s="5">
        <v>22731</v>
      </c>
      <c r="F40" s="6">
        <v>91.7991435</v>
      </c>
      <c r="G40" s="7">
        <v>1.1707566000000001E-2</v>
      </c>
      <c r="H40" s="69"/>
    </row>
    <row r="41" spans="1:8" x14ac:dyDescent="0.2">
      <c r="A41" s="3">
        <v>35</v>
      </c>
      <c r="B41" s="4" t="s">
        <v>208</v>
      </c>
      <c r="C41" s="4" t="s">
        <v>209</v>
      </c>
      <c r="D41" s="4" t="s">
        <v>78</v>
      </c>
      <c r="E41" s="5">
        <v>181703</v>
      </c>
      <c r="F41" s="6">
        <v>91.214905999999999</v>
      </c>
      <c r="G41" s="7">
        <v>1.1633055999999999E-2</v>
      </c>
      <c r="H41" s="69"/>
    </row>
    <row r="42" spans="1:8" x14ac:dyDescent="0.2">
      <c r="A42" s="3">
        <v>36</v>
      </c>
      <c r="B42" s="4" t="s">
        <v>214</v>
      </c>
      <c r="C42" s="4" t="s">
        <v>215</v>
      </c>
      <c r="D42" s="4" t="s">
        <v>979</v>
      </c>
      <c r="E42" s="5">
        <v>8652</v>
      </c>
      <c r="F42" s="6">
        <v>88.280681999999999</v>
      </c>
      <c r="G42" s="7">
        <v>1.1258841E-2</v>
      </c>
      <c r="H42" s="69"/>
    </row>
    <row r="43" spans="1:8" x14ac:dyDescent="0.2">
      <c r="A43" s="3">
        <v>37</v>
      </c>
      <c r="B43" s="4" t="s">
        <v>183</v>
      </c>
      <c r="C43" s="4" t="s">
        <v>184</v>
      </c>
      <c r="D43" s="4" t="s">
        <v>75</v>
      </c>
      <c r="E43" s="5">
        <v>9272</v>
      </c>
      <c r="F43" s="6">
        <v>88.223079999999996</v>
      </c>
      <c r="G43" s="7">
        <v>1.1251495E-2</v>
      </c>
      <c r="H43" s="69"/>
    </row>
    <row r="44" spans="1:8" x14ac:dyDescent="0.2">
      <c r="A44" s="3">
        <v>38</v>
      </c>
      <c r="B44" s="4" t="s">
        <v>477</v>
      </c>
      <c r="C44" s="4" t="s">
        <v>478</v>
      </c>
      <c r="D44" s="4" t="s">
        <v>204</v>
      </c>
      <c r="E44" s="5">
        <v>16923</v>
      </c>
      <c r="F44" s="6">
        <v>85.461150000000004</v>
      </c>
      <c r="G44" s="7">
        <v>1.0899252999999999E-2</v>
      </c>
      <c r="H44" s="69"/>
    </row>
    <row r="45" spans="1:8" x14ac:dyDescent="0.2">
      <c r="A45" s="3">
        <v>39</v>
      </c>
      <c r="B45" s="4" t="s">
        <v>251</v>
      </c>
      <c r="C45" s="4" t="s">
        <v>252</v>
      </c>
      <c r="D45" s="4" t="s">
        <v>160</v>
      </c>
      <c r="E45" s="5">
        <v>14616</v>
      </c>
      <c r="F45" s="6">
        <v>84.992040000000003</v>
      </c>
      <c r="G45" s="7">
        <v>1.0839425E-2</v>
      </c>
      <c r="H45" s="69"/>
    </row>
    <row r="46" spans="1:8" x14ac:dyDescent="0.2">
      <c r="A46" s="3">
        <v>40</v>
      </c>
      <c r="B46" s="4" t="s">
        <v>258</v>
      </c>
      <c r="C46" s="4" t="s">
        <v>259</v>
      </c>
      <c r="D46" s="4" t="s">
        <v>979</v>
      </c>
      <c r="E46" s="5">
        <v>65797</v>
      </c>
      <c r="F46" s="6">
        <v>84.9110285</v>
      </c>
      <c r="G46" s="7">
        <v>1.0829093E-2</v>
      </c>
      <c r="H46" s="69"/>
    </row>
    <row r="47" spans="1:8" x14ac:dyDescent="0.2">
      <c r="A47" s="3">
        <v>41</v>
      </c>
      <c r="B47" s="4" t="s">
        <v>161</v>
      </c>
      <c r="C47" s="4" t="s">
        <v>162</v>
      </c>
      <c r="D47" s="4" t="s">
        <v>22</v>
      </c>
      <c r="E47" s="5">
        <v>43070</v>
      </c>
      <c r="F47" s="6">
        <v>78.667355000000001</v>
      </c>
      <c r="G47" s="7">
        <v>1.0032809E-2</v>
      </c>
      <c r="H47" s="69"/>
    </row>
    <row r="48" spans="1:8" x14ac:dyDescent="0.2">
      <c r="A48" s="3">
        <v>42</v>
      </c>
      <c r="B48" s="4" t="s">
        <v>227</v>
      </c>
      <c r="C48" s="4" t="s">
        <v>228</v>
      </c>
      <c r="D48" s="4" t="s">
        <v>976</v>
      </c>
      <c r="E48" s="5">
        <v>4895</v>
      </c>
      <c r="F48" s="6">
        <v>78.273497500000005</v>
      </c>
      <c r="G48" s="7">
        <v>9.9825790000000001E-3</v>
      </c>
      <c r="H48" s="69"/>
    </row>
    <row r="49" spans="1:8" x14ac:dyDescent="0.2">
      <c r="A49" s="3">
        <v>43</v>
      </c>
      <c r="B49" s="4" t="s">
        <v>295</v>
      </c>
      <c r="C49" s="4" t="s">
        <v>296</v>
      </c>
      <c r="D49" s="4" t="s">
        <v>27</v>
      </c>
      <c r="E49" s="5">
        <v>6630</v>
      </c>
      <c r="F49" s="6">
        <v>77.849459999999993</v>
      </c>
      <c r="G49" s="7">
        <v>9.9284990000000004E-3</v>
      </c>
      <c r="H49" s="69"/>
    </row>
    <row r="50" spans="1:8" x14ac:dyDescent="0.2">
      <c r="A50" s="3">
        <v>44</v>
      </c>
      <c r="B50" s="4" t="s">
        <v>200</v>
      </c>
      <c r="C50" s="4" t="s">
        <v>201</v>
      </c>
      <c r="D50" s="4" t="s">
        <v>27</v>
      </c>
      <c r="E50" s="5">
        <v>3837</v>
      </c>
      <c r="F50" s="6">
        <v>77.541933</v>
      </c>
      <c r="G50" s="7">
        <v>9.8892790000000008E-3</v>
      </c>
      <c r="H50" s="69"/>
    </row>
    <row r="51" spans="1:8" x14ac:dyDescent="0.2">
      <c r="A51" s="3">
        <v>45</v>
      </c>
      <c r="B51" s="4" t="s">
        <v>241</v>
      </c>
      <c r="C51" s="4" t="s">
        <v>242</v>
      </c>
      <c r="D51" s="4" t="s">
        <v>155</v>
      </c>
      <c r="E51" s="5">
        <v>6375</v>
      </c>
      <c r="F51" s="6">
        <v>76.853812500000004</v>
      </c>
      <c r="G51" s="7">
        <v>9.8015199999999993E-3</v>
      </c>
      <c r="H51" s="69"/>
    </row>
    <row r="52" spans="1:8" x14ac:dyDescent="0.2">
      <c r="A52" s="3">
        <v>46</v>
      </c>
      <c r="B52" s="4" t="s">
        <v>255</v>
      </c>
      <c r="C52" s="4" t="s">
        <v>256</v>
      </c>
      <c r="D52" s="4" t="s">
        <v>257</v>
      </c>
      <c r="E52" s="5">
        <v>33525</v>
      </c>
      <c r="F52" s="6">
        <v>74.559600000000003</v>
      </c>
      <c r="G52" s="7">
        <v>9.5089279999999998E-3</v>
      </c>
      <c r="H52" s="69"/>
    </row>
    <row r="53" spans="1:8" x14ac:dyDescent="0.2">
      <c r="A53" s="3">
        <v>47</v>
      </c>
      <c r="B53" s="4" t="s">
        <v>285</v>
      </c>
      <c r="C53" s="4" t="s">
        <v>286</v>
      </c>
      <c r="D53" s="4" t="s">
        <v>160</v>
      </c>
      <c r="E53" s="5">
        <v>10808</v>
      </c>
      <c r="F53" s="6">
        <v>73.197180000000003</v>
      </c>
      <c r="G53" s="7">
        <v>9.3351730000000004E-3</v>
      </c>
      <c r="H53" s="69"/>
    </row>
    <row r="54" spans="1:8" x14ac:dyDescent="0.2">
      <c r="A54" s="3">
        <v>48</v>
      </c>
      <c r="B54" s="4" t="s">
        <v>216</v>
      </c>
      <c r="C54" s="4" t="s">
        <v>217</v>
      </c>
      <c r="D54" s="4" t="s">
        <v>75</v>
      </c>
      <c r="E54" s="5">
        <v>8192</v>
      </c>
      <c r="F54" s="6">
        <v>71.860224000000002</v>
      </c>
      <c r="G54" s="7">
        <v>9.1646639999999994E-3</v>
      </c>
      <c r="H54" s="69"/>
    </row>
    <row r="55" spans="1:8" ht="25.5" x14ac:dyDescent="0.2">
      <c r="A55" s="3">
        <v>49</v>
      </c>
      <c r="B55" s="4" t="s">
        <v>218</v>
      </c>
      <c r="C55" s="4" t="s">
        <v>869</v>
      </c>
      <c r="D55" s="4" t="s">
        <v>45</v>
      </c>
      <c r="E55" s="5">
        <v>33472</v>
      </c>
      <c r="F55" s="6">
        <v>69.588288000000006</v>
      </c>
      <c r="G55" s="7">
        <v>8.8749139999999994E-3</v>
      </c>
      <c r="H55" s="69"/>
    </row>
    <row r="56" spans="1:8" x14ac:dyDescent="0.2">
      <c r="A56" s="3">
        <v>50</v>
      </c>
      <c r="B56" s="4" t="s">
        <v>262</v>
      </c>
      <c r="C56" s="4" t="s">
        <v>263</v>
      </c>
      <c r="D56" s="4" t="s">
        <v>22</v>
      </c>
      <c r="E56" s="5">
        <v>82133</v>
      </c>
      <c r="F56" s="6">
        <v>67.390126499999994</v>
      </c>
      <c r="G56" s="7">
        <v>8.594572E-3</v>
      </c>
      <c r="H56" s="69"/>
    </row>
    <row r="57" spans="1:8" x14ac:dyDescent="0.2">
      <c r="A57" s="3">
        <v>51</v>
      </c>
      <c r="B57" s="4" t="s">
        <v>51</v>
      </c>
      <c r="C57" s="4" t="s">
        <v>52</v>
      </c>
      <c r="D57" s="4" t="s">
        <v>53</v>
      </c>
      <c r="E57" s="5">
        <v>39491</v>
      </c>
      <c r="F57" s="6">
        <v>66.897754000000006</v>
      </c>
      <c r="G57" s="7">
        <v>8.5317780000000003E-3</v>
      </c>
      <c r="H57" s="69"/>
    </row>
    <row r="58" spans="1:8" x14ac:dyDescent="0.2">
      <c r="A58" s="3">
        <v>52</v>
      </c>
      <c r="B58" s="4" t="s">
        <v>171</v>
      </c>
      <c r="C58" s="4" t="s">
        <v>172</v>
      </c>
      <c r="D58" s="4" t="s">
        <v>977</v>
      </c>
      <c r="E58" s="5">
        <v>26477</v>
      </c>
      <c r="F58" s="6">
        <v>64.246440500000006</v>
      </c>
      <c r="G58" s="7">
        <v>8.1936439999999999E-3</v>
      </c>
      <c r="H58" s="69"/>
    </row>
    <row r="59" spans="1:8" x14ac:dyDescent="0.2">
      <c r="A59" s="3">
        <v>53</v>
      </c>
      <c r="B59" s="4" t="s">
        <v>253</v>
      </c>
      <c r="C59" s="4" t="s">
        <v>254</v>
      </c>
      <c r="D59" s="4" t="s">
        <v>65</v>
      </c>
      <c r="E59" s="5">
        <v>7165</v>
      </c>
      <c r="F59" s="6">
        <v>61.260750000000002</v>
      </c>
      <c r="G59" s="7">
        <v>7.8128650000000004E-3</v>
      </c>
      <c r="H59" s="69"/>
    </row>
    <row r="60" spans="1:8" x14ac:dyDescent="0.2">
      <c r="A60" s="3">
        <v>54</v>
      </c>
      <c r="B60" s="4" t="s">
        <v>272</v>
      </c>
      <c r="C60" s="4" t="s">
        <v>273</v>
      </c>
      <c r="D60" s="4" t="s">
        <v>75</v>
      </c>
      <c r="E60" s="5">
        <v>46361</v>
      </c>
      <c r="F60" s="6">
        <v>58.229416000000001</v>
      </c>
      <c r="G60" s="7">
        <v>7.4262649999999996E-3</v>
      </c>
      <c r="H60" s="69"/>
    </row>
    <row r="61" spans="1:8" x14ac:dyDescent="0.2">
      <c r="A61" s="3">
        <v>55</v>
      </c>
      <c r="B61" s="4" t="s">
        <v>260</v>
      </c>
      <c r="C61" s="4" t="s">
        <v>261</v>
      </c>
      <c r="D61" s="4" t="s">
        <v>204</v>
      </c>
      <c r="E61" s="5">
        <v>1052</v>
      </c>
      <c r="F61" s="6">
        <v>56.015844000000001</v>
      </c>
      <c r="G61" s="7">
        <v>7.1439579999999997E-3</v>
      </c>
      <c r="H61" s="69"/>
    </row>
    <row r="62" spans="1:8" x14ac:dyDescent="0.2">
      <c r="A62" s="3">
        <v>56</v>
      </c>
      <c r="B62" s="4" t="s">
        <v>264</v>
      </c>
      <c r="C62" s="4" t="s">
        <v>265</v>
      </c>
      <c r="D62" s="4" t="s">
        <v>65</v>
      </c>
      <c r="E62" s="5">
        <v>23492</v>
      </c>
      <c r="F62" s="6">
        <v>52.56335</v>
      </c>
      <c r="G62" s="7">
        <v>6.7036450000000003E-3</v>
      </c>
      <c r="H62" s="69"/>
    </row>
    <row r="63" spans="1:8" x14ac:dyDescent="0.2">
      <c r="A63" s="3">
        <v>57</v>
      </c>
      <c r="B63" s="4" t="s">
        <v>247</v>
      </c>
      <c r="C63" s="4" t="s">
        <v>248</v>
      </c>
      <c r="D63" s="4" t="s">
        <v>75</v>
      </c>
      <c r="E63" s="5">
        <v>20113</v>
      </c>
      <c r="F63" s="6">
        <v>50.212104500000002</v>
      </c>
      <c r="G63" s="7">
        <v>6.4037800000000004E-3</v>
      </c>
      <c r="H63" s="69"/>
    </row>
    <row r="64" spans="1:8" x14ac:dyDescent="0.2">
      <c r="A64" s="3">
        <v>58</v>
      </c>
      <c r="B64" s="4" t="s">
        <v>268</v>
      </c>
      <c r="C64" s="4" t="s">
        <v>269</v>
      </c>
      <c r="D64" s="4" t="s">
        <v>977</v>
      </c>
      <c r="E64" s="5">
        <v>2252</v>
      </c>
      <c r="F64" s="6">
        <v>47.540846000000002</v>
      </c>
      <c r="G64" s="7">
        <v>6.0631019999999999E-3</v>
      </c>
      <c r="H64" s="69"/>
    </row>
    <row r="65" spans="1:8" x14ac:dyDescent="0.2">
      <c r="A65" s="3">
        <v>59</v>
      </c>
      <c r="B65" s="4" t="s">
        <v>245</v>
      </c>
      <c r="C65" s="4" t="s">
        <v>246</v>
      </c>
      <c r="D65" s="4" t="s">
        <v>32</v>
      </c>
      <c r="E65" s="5">
        <v>40010</v>
      </c>
      <c r="F65" s="6">
        <v>44.371090000000002</v>
      </c>
      <c r="G65" s="7">
        <v>5.6588489999999997E-3</v>
      </c>
      <c r="H65" s="69"/>
    </row>
    <row r="66" spans="1:8" x14ac:dyDescent="0.2">
      <c r="A66" s="3">
        <v>60</v>
      </c>
      <c r="B66" s="4" t="s">
        <v>270</v>
      </c>
      <c r="C66" s="4" t="s">
        <v>271</v>
      </c>
      <c r="D66" s="4" t="s">
        <v>144</v>
      </c>
      <c r="E66" s="5">
        <v>7147</v>
      </c>
      <c r="F66" s="6">
        <v>40.923721999999998</v>
      </c>
      <c r="G66" s="7">
        <v>5.2191900000000003E-3</v>
      </c>
      <c r="H66" s="69"/>
    </row>
    <row r="67" spans="1:8" x14ac:dyDescent="0.2">
      <c r="A67" s="3">
        <v>61</v>
      </c>
      <c r="B67" s="4" t="s">
        <v>249</v>
      </c>
      <c r="C67" s="4" t="s">
        <v>250</v>
      </c>
      <c r="D67" s="4" t="s">
        <v>334</v>
      </c>
      <c r="E67" s="5">
        <v>4284</v>
      </c>
      <c r="F67" s="6">
        <v>39.374243999999997</v>
      </c>
      <c r="G67" s="7">
        <v>5.0215779999999996E-3</v>
      </c>
      <c r="H67" s="69"/>
    </row>
    <row r="68" spans="1:8" x14ac:dyDescent="0.2">
      <c r="A68" s="3">
        <v>62</v>
      </c>
      <c r="B68" s="4" t="s">
        <v>278</v>
      </c>
      <c r="C68" s="4" t="s">
        <v>279</v>
      </c>
      <c r="D68" s="4" t="s">
        <v>144</v>
      </c>
      <c r="E68" s="5">
        <v>3563</v>
      </c>
      <c r="F68" s="6">
        <v>35.932855000000004</v>
      </c>
      <c r="G68" s="7">
        <v>4.5826820000000002E-3</v>
      </c>
      <c r="H68" s="69"/>
    </row>
    <row r="69" spans="1:8" x14ac:dyDescent="0.2">
      <c r="A69" s="3">
        <v>63</v>
      </c>
      <c r="B69" s="4" t="s">
        <v>274</v>
      </c>
      <c r="C69" s="4" t="s">
        <v>275</v>
      </c>
      <c r="D69" s="4" t="s">
        <v>155</v>
      </c>
      <c r="E69" s="5">
        <v>7394</v>
      </c>
      <c r="F69" s="6">
        <v>28.145261000000001</v>
      </c>
      <c r="G69" s="7">
        <v>3.5894939999999999E-3</v>
      </c>
      <c r="H69" s="69"/>
    </row>
    <row r="70" spans="1:8" ht="25.5" x14ac:dyDescent="0.2">
      <c r="A70" s="3">
        <v>64</v>
      </c>
      <c r="B70" s="4" t="s">
        <v>291</v>
      </c>
      <c r="C70" s="4" t="s">
        <v>292</v>
      </c>
      <c r="D70" s="4" t="s">
        <v>45</v>
      </c>
      <c r="E70" s="5">
        <v>4928</v>
      </c>
      <c r="F70" s="6">
        <v>27.148351999999999</v>
      </c>
      <c r="G70" s="7">
        <v>3.462354E-3</v>
      </c>
      <c r="H70" s="69"/>
    </row>
    <row r="71" spans="1:8" x14ac:dyDescent="0.2">
      <c r="A71" s="3">
        <v>65</v>
      </c>
      <c r="B71" s="4" t="s">
        <v>473</v>
      </c>
      <c r="C71" s="4" t="s">
        <v>474</v>
      </c>
      <c r="D71" s="4" t="s">
        <v>976</v>
      </c>
      <c r="E71" s="5">
        <v>31777</v>
      </c>
      <c r="F71" s="6">
        <v>26.8674535</v>
      </c>
      <c r="G71" s="7">
        <v>3.4265300000000001E-3</v>
      </c>
      <c r="H71" s="69"/>
    </row>
    <row r="72" spans="1:8" x14ac:dyDescent="0.2">
      <c r="A72" s="3">
        <v>66</v>
      </c>
      <c r="B72" s="4" t="s">
        <v>276</v>
      </c>
      <c r="C72" s="4" t="s">
        <v>277</v>
      </c>
      <c r="D72" s="4" t="s">
        <v>204</v>
      </c>
      <c r="E72" s="5">
        <v>1627</v>
      </c>
      <c r="F72" s="6">
        <v>4.6084775000000002</v>
      </c>
      <c r="G72" s="7">
        <v>5.8774000000000001E-4</v>
      </c>
      <c r="H72" s="69"/>
    </row>
    <row r="73" spans="1:8" x14ac:dyDescent="0.2">
      <c r="A73" s="3">
        <v>67</v>
      </c>
      <c r="B73" s="4" t="s">
        <v>289</v>
      </c>
      <c r="C73" s="4" t="s">
        <v>290</v>
      </c>
      <c r="D73" s="4" t="s">
        <v>27</v>
      </c>
      <c r="E73" s="5">
        <v>23</v>
      </c>
      <c r="F73" s="6">
        <v>7.7935500000000005E-2</v>
      </c>
      <c r="G73" s="8" t="s">
        <v>94</v>
      </c>
      <c r="H73" s="69"/>
    </row>
    <row r="74" spans="1:8" x14ac:dyDescent="0.2">
      <c r="A74" s="1"/>
      <c r="B74" s="1"/>
      <c r="C74" s="2" t="s">
        <v>95</v>
      </c>
      <c r="D74" s="1"/>
      <c r="E74" s="1" t="s">
        <v>96</v>
      </c>
      <c r="F74" s="9">
        <v>7662.1532999999999</v>
      </c>
      <c r="G74" s="10">
        <v>0.97718960099999996</v>
      </c>
      <c r="H74" s="69"/>
    </row>
    <row r="75" spans="1:8" x14ac:dyDescent="0.2">
      <c r="A75" s="1"/>
      <c r="B75" s="1"/>
      <c r="C75" s="11"/>
      <c r="D75" s="1"/>
      <c r="E75" s="1"/>
      <c r="F75" s="12"/>
      <c r="G75" s="12"/>
      <c r="H75" s="69"/>
    </row>
    <row r="76" spans="1:8" x14ac:dyDescent="0.2">
      <c r="A76" s="1"/>
      <c r="B76" s="1"/>
      <c r="C76" s="2" t="s">
        <v>97</v>
      </c>
      <c r="D76" s="1"/>
      <c r="E76" s="1"/>
      <c r="F76" s="1"/>
      <c r="G76" s="1"/>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98</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99</v>
      </c>
      <c r="D82" s="1"/>
      <c r="E82" s="1"/>
      <c r="F82" s="1"/>
      <c r="G82" s="1"/>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100</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101</v>
      </c>
      <c r="D88" s="1"/>
      <c r="E88" s="1"/>
      <c r="F88" s="12"/>
      <c r="G88" s="12"/>
      <c r="H88" s="69"/>
    </row>
    <row r="89" spans="1:8" x14ac:dyDescent="0.2">
      <c r="A89" s="1"/>
      <c r="B89" s="1"/>
      <c r="C89" s="2" t="s">
        <v>95</v>
      </c>
      <c r="D89" s="1"/>
      <c r="E89" s="1" t="s">
        <v>96</v>
      </c>
      <c r="F89" s="13">
        <v>0</v>
      </c>
      <c r="G89" s="14">
        <v>0</v>
      </c>
      <c r="H89" s="69"/>
    </row>
    <row r="90" spans="1:8" x14ac:dyDescent="0.2">
      <c r="A90" s="1"/>
      <c r="B90" s="1"/>
      <c r="C90" s="11"/>
      <c r="D90" s="1"/>
      <c r="E90" s="1"/>
      <c r="F90" s="12"/>
      <c r="G90" s="12"/>
      <c r="H90" s="69"/>
    </row>
    <row r="91" spans="1:8" x14ac:dyDescent="0.2">
      <c r="A91" s="1"/>
      <c r="B91" s="1"/>
      <c r="C91" s="2" t="s">
        <v>102</v>
      </c>
      <c r="D91" s="1"/>
      <c r="E91" s="1"/>
      <c r="F91" s="9">
        <v>7662.1532999999999</v>
      </c>
      <c r="G91" s="10">
        <v>0.97718960099999996</v>
      </c>
      <c r="H91" s="69"/>
    </row>
    <row r="92" spans="1:8" x14ac:dyDescent="0.2">
      <c r="A92" s="1"/>
      <c r="B92" s="1"/>
      <c r="C92" s="11"/>
      <c r="D92" s="1"/>
      <c r="E92" s="1"/>
      <c r="F92" s="12"/>
      <c r="G92" s="12"/>
      <c r="H92" s="69"/>
    </row>
    <row r="93" spans="1:8" x14ac:dyDescent="0.2">
      <c r="A93" s="1"/>
      <c r="B93" s="1"/>
      <c r="C93" s="2" t="s">
        <v>103</v>
      </c>
      <c r="D93" s="1"/>
      <c r="E93" s="1"/>
      <c r="F93" s="12"/>
      <c r="G93" s="12"/>
      <c r="H93" s="69"/>
    </row>
    <row r="94" spans="1:8" ht="25.5" x14ac:dyDescent="0.2">
      <c r="A94" s="1"/>
      <c r="B94" s="1"/>
      <c r="C94" s="2" t="s">
        <v>10</v>
      </c>
      <c r="D94" s="1"/>
      <c r="E94" s="1"/>
      <c r="F94" s="12"/>
      <c r="G94" s="12"/>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104</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105</v>
      </c>
      <c r="D100" s="1"/>
      <c r="E100" s="1"/>
      <c r="F100" s="1"/>
      <c r="G100" s="1"/>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106</v>
      </c>
      <c r="D103" s="1"/>
      <c r="E103" s="1"/>
      <c r="F103" s="12"/>
      <c r="G103" s="12"/>
      <c r="H103" s="69"/>
    </row>
    <row r="104" spans="1:8" x14ac:dyDescent="0.2">
      <c r="A104" s="1"/>
      <c r="B104" s="1"/>
      <c r="C104" s="2" t="s">
        <v>95</v>
      </c>
      <c r="D104" s="1"/>
      <c r="E104" s="1" t="s">
        <v>96</v>
      </c>
      <c r="F104" s="13">
        <v>0</v>
      </c>
      <c r="G104" s="14">
        <v>0</v>
      </c>
      <c r="H104" s="69"/>
    </row>
    <row r="105" spans="1:8" x14ac:dyDescent="0.2">
      <c r="A105" s="1"/>
      <c r="B105" s="1"/>
      <c r="C105" s="11"/>
      <c r="D105" s="1"/>
      <c r="E105" s="1"/>
      <c r="F105" s="12"/>
      <c r="G105" s="12"/>
      <c r="H105" s="69"/>
    </row>
    <row r="106" spans="1:8" x14ac:dyDescent="0.2">
      <c r="A106" s="1"/>
      <c r="B106" s="1"/>
      <c r="C106" s="2" t="s">
        <v>107</v>
      </c>
      <c r="D106" s="1"/>
      <c r="E106" s="1"/>
      <c r="F106" s="9">
        <v>0</v>
      </c>
      <c r="G106" s="10">
        <v>0</v>
      </c>
      <c r="H106" s="69"/>
    </row>
    <row r="107" spans="1:8" x14ac:dyDescent="0.2">
      <c r="A107" s="1"/>
      <c r="B107" s="1"/>
      <c r="C107" s="11"/>
      <c r="D107" s="1"/>
      <c r="E107" s="1"/>
      <c r="F107" s="12"/>
      <c r="G107" s="12"/>
      <c r="H107" s="69"/>
    </row>
    <row r="108" spans="1:8" x14ac:dyDescent="0.2">
      <c r="A108" s="1"/>
      <c r="B108" s="1"/>
      <c r="C108" s="2" t="s">
        <v>108</v>
      </c>
      <c r="D108" s="1"/>
      <c r="E108" s="1"/>
      <c r="F108" s="12"/>
      <c r="G108" s="12"/>
      <c r="H108" s="69"/>
    </row>
    <row r="109" spans="1:8" x14ac:dyDescent="0.2">
      <c r="A109" s="1"/>
      <c r="B109" s="1"/>
      <c r="C109" s="2" t="s">
        <v>109</v>
      </c>
      <c r="D109" s="1"/>
      <c r="E109" s="1"/>
      <c r="F109" s="12"/>
      <c r="G109" s="12"/>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110</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111</v>
      </c>
      <c r="D115" s="1"/>
      <c r="E115" s="1"/>
      <c r="F115" s="12"/>
      <c r="G115" s="12"/>
      <c r="H115" s="69"/>
    </row>
    <row r="116" spans="1:8" x14ac:dyDescent="0.2">
      <c r="A116" s="1"/>
      <c r="B116" s="1"/>
      <c r="C116" s="2" t="s">
        <v>95</v>
      </c>
      <c r="D116" s="1"/>
      <c r="E116" s="1" t="s">
        <v>96</v>
      </c>
      <c r="F116" s="13">
        <v>0</v>
      </c>
      <c r="G116" s="14">
        <v>0</v>
      </c>
      <c r="H116" s="69"/>
    </row>
    <row r="117" spans="1:8" x14ac:dyDescent="0.2">
      <c r="A117" s="1"/>
      <c r="B117" s="1"/>
      <c r="C117" s="11"/>
      <c r="D117" s="1"/>
      <c r="E117" s="1"/>
      <c r="F117" s="12"/>
      <c r="G117" s="12"/>
      <c r="H117" s="69"/>
    </row>
    <row r="118" spans="1:8" x14ac:dyDescent="0.2">
      <c r="A118" s="1"/>
      <c r="B118" s="1"/>
      <c r="C118" s="2" t="s">
        <v>112</v>
      </c>
      <c r="D118" s="1"/>
      <c r="E118" s="1"/>
      <c r="F118" s="12"/>
      <c r="G118" s="12"/>
      <c r="H118" s="69"/>
    </row>
    <row r="119" spans="1:8" x14ac:dyDescent="0.2">
      <c r="A119" s="3">
        <v>1</v>
      </c>
      <c r="B119" s="4"/>
      <c r="C119" s="4" t="s">
        <v>113</v>
      </c>
      <c r="D119" s="4"/>
      <c r="E119" s="8"/>
      <c r="F119" s="6">
        <v>132.05733319999999</v>
      </c>
      <c r="G119" s="7">
        <v>1.6841878000000001E-2</v>
      </c>
      <c r="H119" s="6">
        <v>3.3628721504199861</v>
      </c>
    </row>
    <row r="120" spans="1:8" x14ac:dyDescent="0.2">
      <c r="A120" s="3">
        <v>2</v>
      </c>
      <c r="B120" s="4"/>
      <c r="C120" s="4" t="s">
        <v>114</v>
      </c>
      <c r="D120" s="4"/>
      <c r="E120" s="8"/>
      <c r="F120" s="6">
        <v>50.999321799999997</v>
      </c>
      <c r="G120" s="7">
        <v>6.5041780000000002E-3</v>
      </c>
      <c r="H120" s="6">
        <v>3.4499999999999966</v>
      </c>
    </row>
    <row r="121" spans="1:8" x14ac:dyDescent="0.2">
      <c r="A121" s="1"/>
      <c r="B121" s="1"/>
      <c r="C121" s="2" t="s">
        <v>95</v>
      </c>
      <c r="D121" s="1"/>
      <c r="E121" s="1" t="s">
        <v>96</v>
      </c>
      <c r="F121" s="9">
        <v>183.05665500000001</v>
      </c>
      <c r="G121" s="10">
        <v>2.3346056E-2</v>
      </c>
      <c r="H121" s="69"/>
    </row>
    <row r="122" spans="1:8" x14ac:dyDescent="0.2">
      <c r="A122" s="1"/>
      <c r="B122" s="1"/>
      <c r="C122" s="11"/>
      <c r="D122" s="1"/>
      <c r="E122" s="1"/>
      <c r="F122" s="12"/>
      <c r="G122" s="12"/>
      <c r="H122" s="69"/>
    </row>
    <row r="123" spans="1:8" x14ac:dyDescent="0.2">
      <c r="A123" s="1"/>
      <c r="B123" s="1"/>
      <c r="C123" s="2" t="s">
        <v>115</v>
      </c>
      <c r="D123" s="1"/>
      <c r="E123" s="1"/>
      <c r="F123" s="9">
        <v>183.05665500000001</v>
      </c>
      <c r="G123" s="10">
        <v>2.3346056E-2</v>
      </c>
      <c r="H123" s="69"/>
    </row>
    <row r="124" spans="1:8" x14ac:dyDescent="0.2">
      <c r="A124" s="1"/>
      <c r="B124" s="1"/>
      <c r="C124" s="12"/>
      <c r="D124" s="1"/>
      <c r="E124" s="1"/>
      <c r="F124" s="1"/>
      <c r="G124" s="1"/>
      <c r="H124" s="69"/>
    </row>
    <row r="125" spans="1:8" x14ac:dyDescent="0.2">
      <c r="A125" s="1"/>
      <c r="B125" s="1"/>
      <c r="C125" s="2" t="s">
        <v>116</v>
      </c>
      <c r="D125" s="1"/>
      <c r="E125" s="1"/>
      <c r="F125" s="1"/>
      <c r="G125" s="1"/>
      <c r="H125" s="69"/>
    </row>
    <row r="126" spans="1:8" x14ac:dyDescent="0.2">
      <c r="A126" s="1"/>
      <c r="B126" s="1"/>
      <c r="C126" s="2" t="s">
        <v>117</v>
      </c>
      <c r="D126" s="1"/>
      <c r="E126" s="1"/>
      <c r="F126" s="1"/>
      <c r="G126" s="1"/>
      <c r="H126" s="69"/>
    </row>
    <row r="127" spans="1:8" x14ac:dyDescent="0.2">
      <c r="A127" s="1"/>
      <c r="B127" s="1"/>
      <c r="C127" s="2" t="s">
        <v>95</v>
      </c>
      <c r="D127" s="1"/>
      <c r="E127" s="1" t="s">
        <v>96</v>
      </c>
      <c r="F127" s="13">
        <v>0</v>
      </c>
      <c r="G127" s="14">
        <v>0</v>
      </c>
      <c r="H127" s="69"/>
    </row>
    <row r="128" spans="1:8" x14ac:dyDescent="0.2">
      <c r="A128" s="1"/>
      <c r="B128" s="1"/>
      <c r="C128" s="11"/>
      <c r="D128" s="1"/>
      <c r="E128" s="1"/>
      <c r="F128" s="12"/>
      <c r="G128" s="12"/>
      <c r="H128" s="69"/>
    </row>
    <row r="129" spans="1:8" x14ac:dyDescent="0.2">
      <c r="A129" s="1"/>
      <c r="B129" s="1"/>
      <c r="C129" s="2" t="s">
        <v>118</v>
      </c>
      <c r="D129" s="1"/>
      <c r="E129" s="1"/>
      <c r="F129" s="1"/>
      <c r="G129" s="1"/>
      <c r="H129" s="69"/>
    </row>
    <row r="130" spans="1:8" x14ac:dyDescent="0.2">
      <c r="A130" s="1"/>
      <c r="B130" s="1"/>
      <c r="C130" s="2" t="s">
        <v>119</v>
      </c>
      <c r="D130" s="1"/>
      <c r="E130" s="1"/>
      <c r="F130" s="1"/>
      <c r="G130" s="1"/>
      <c r="H130" s="69"/>
    </row>
    <row r="131" spans="1:8" x14ac:dyDescent="0.2">
      <c r="A131" s="1"/>
      <c r="B131" s="1"/>
      <c r="C131" s="2" t="s">
        <v>95</v>
      </c>
      <c r="D131" s="1"/>
      <c r="E131" s="1" t="s">
        <v>96</v>
      </c>
      <c r="F131" s="13">
        <v>0</v>
      </c>
      <c r="G131" s="14">
        <v>0</v>
      </c>
      <c r="H131" s="69"/>
    </row>
    <row r="132" spans="1:8" x14ac:dyDescent="0.2">
      <c r="A132" s="1"/>
      <c r="B132" s="1"/>
      <c r="C132" s="11"/>
      <c r="D132" s="1"/>
      <c r="E132" s="1"/>
      <c r="F132" s="12"/>
      <c r="G132" s="12"/>
      <c r="H132" s="69"/>
    </row>
    <row r="133" spans="1:8" x14ac:dyDescent="0.2">
      <c r="A133" s="1"/>
      <c r="B133" s="1"/>
      <c r="C133" s="11"/>
      <c r="D133" s="1"/>
      <c r="E133" s="1"/>
      <c r="F133" s="12"/>
      <c r="G133" s="12"/>
      <c r="H133" s="69"/>
    </row>
    <row r="134" spans="1:8" ht="25.5" x14ac:dyDescent="0.2">
      <c r="A134" s="1"/>
      <c r="B134" s="1"/>
      <c r="C134" s="2" t="s">
        <v>120</v>
      </c>
      <c r="D134" s="1"/>
      <c r="E134" s="1"/>
      <c r="F134" s="12"/>
      <c r="G134" s="12"/>
      <c r="H134" s="69"/>
    </row>
    <row r="135" spans="1:8" x14ac:dyDescent="0.2">
      <c r="A135" s="1"/>
      <c r="B135" s="1"/>
      <c r="C135" s="2" t="s">
        <v>95</v>
      </c>
      <c r="D135" s="1"/>
      <c r="E135" s="1" t="s">
        <v>96</v>
      </c>
      <c r="F135" s="13">
        <v>0</v>
      </c>
      <c r="G135" s="14">
        <v>0</v>
      </c>
      <c r="H135" s="69"/>
    </row>
    <row r="136" spans="1:8" x14ac:dyDescent="0.2">
      <c r="A136" s="1"/>
      <c r="B136" s="1"/>
      <c r="C136" s="11"/>
      <c r="D136" s="1"/>
      <c r="E136" s="1"/>
      <c r="F136" s="12"/>
      <c r="G136" s="12"/>
      <c r="H136" s="69"/>
    </row>
    <row r="137" spans="1:8" x14ac:dyDescent="0.2">
      <c r="A137" s="1"/>
      <c r="B137" s="4"/>
      <c r="C137" s="4"/>
      <c r="D137" s="2"/>
      <c r="E137" s="1"/>
      <c r="F137" s="4"/>
      <c r="G137" s="8"/>
      <c r="H137" s="69"/>
    </row>
    <row r="138" spans="1:8" x14ac:dyDescent="0.2">
      <c r="A138" s="8"/>
      <c r="B138" s="4"/>
      <c r="C138" s="4" t="s">
        <v>121</v>
      </c>
      <c r="D138" s="4"/>
      <c r="E138" s="8"/>
      <c r="F138" s="6">
        <v>-4.2001083899999996</v>
      </c>
      <c r="G138" s="7">
        <v>-5.3565899999999996E-4</v>
      </c>
      <c r="H138" s="69"/>
    </row>
    <row r="139" spans="1:8" x14ac:dyDescent="0.2">
      <c r="A139" s="11"/>
      <c r="B139" s="11"/>
      <c r="C139" s="2" t="s">
        <v>122</v>
      </c>
      <c r="D139" s="15"/>
      <c r="E139" s="15"/>
      <c r="F139" s="9">
        <v>7841.0098466099998</v>
      </c>
      <c r="G139" s="10">
        <v>0.99999999799999995</v>
      </c>
      <c r="H139" s="69"/>
    </row>
    <row r="140" spans="1:8" ht="14.1" customHeight="1" x14ac:dyDescent="0.2">
      <c r="A140" s="16"/>
      <c r="B140" s="16"/>
      <c r="C140" s="16"/>
      <c r="D140" s="17"/>
      <c r="E140" s="17"/>
      <c r="F140" s="17"/>
      <c r="G140" s="17"/>
    </row>
    <row r="141" spans="1:8" ht="14.1" customHeight="1" x14ac:dyDescent="0.2">
      <c r="A141" s="18"/>
      <c r="B141" s="176" t="s">
        <v>96</v>
      </c>
      <c r="C141" s="176"/>
      <c r="D141" s="176"/>
      <c r="E141" s="176"/>
      <c r="F141" s="176"/>
      <c r="G141" s="20"/>
    </row>
    <row r="142" spans="1:8" ht="17.100000000000001" customHeight="1" x14ac:dyDescent="0.2">
      <c r="A142" s="18"/>
      <c r="B142" s="176" t="s">
        <v>123</v>
      </c>
      <c r="C142" s="176"/>
      <c r="D142" s="176"/>
      <c r="E142" s="176"/>
      <c r="F142" s="176"/>
      <c r="G142" s="20"/>
    </row>
    <row r="143" spans="1:8" ht="14.1" customHeight="1" x14ac:dyDescent="0.2">
      <c r="A143" s="18"/>
      <c r="B143" s="18"/>
      <c r="C143" s="18"/>
      <c r="D143" s="20"/>
      <c r="E143" s="20"/>
      <c r="F143" s="20"/>
      <c r="G143" s="20"/>
    </row>
    <row r="144" spans="1:8" ht="14.1" customHeight="1" x14ac:dyDescent="0.2">
      <c r="A144" s="18"/>
      <c r="B144" s="174" t="s">
        <v>124</v>
      </c>
      <c r="C144" s="175"/>
      <c r="D144" s="12" t="s">
        <v>96</v>
      </c>
      <c r="E144" s="21"/>
      <c r="F144" s="20"/>
      <c r="G144" s="20"/>
    </row>
    <row r="145" spans="1:16" ht="29.1" customHeight="1" x14ac:dyDescent="0.2">
      <c r="A145" s="18"/>
      <c r="B145" s="172" t="s">
        <v>125</v>
      </c>
      <c r="C145" s="173"/>
      <c r="D145" s="2" t="s">
        <v>126</v>
      </c>
      <c r="E145" s="21"/>
      <c r="F145" s="20"/>
      <c r="G145" s="20"/>
    </row>
    <row r="146" spans="1:16" ht="17.100000000000001" customHeight="1" x14ac:dyDescent="0.2">
      <c r="A146" s="18"/>
      <c r="B146" s="172" t="s">
        <v>127</v>
      </c>
      <c r="C146" s="173"/>
      <c r="D146" s="2" t="s">
        <v>126</v>
      </c>
      <c r="E146" s="21"/>
      <c r="F146" s="20"/>
      <c r="G146" s="20"/>
    </row>
    <row r="147" spans="1:16" ht="17.100000000000001" customHeight="1" x14ac:dyDescent="0.2">
      <c r="A147" s="18"/>
      <c r="B147" s="172" t="s">
        <v>128</v>
      </c>
      <c r="C147" s="173"/>
      <c r="D147" s="12" t="s">
        <v>96</v>
      </c>
      <c r="E147" s="21"/>
      <c r="F147" s="20"/>
      <c r="G147" s="20"/>
    </row>
    <row r="148" spans="1:16" ht="24" customHeight="1" x14ac:dyDescent="0.2">
      <c r="A148" s="22"/>
      <c r="B148" s="23" t="s">
        <v>96</v>
      </c>
      <c r="C148" s="23" t="s">
        <v>129</v>
      </c>
      <c r="D148" s="23" t="s">
        <v>130</v>
      </c>
      <c r="E148" s="22"/>
      <c r="F148" s="22"/>
      <c r="G148" s="22"/>
    </row>
    <row r="149" spans="1:16" ht="18" customHeight="1" x14ac:dyDescent="0.2">
      <c r="A149" s="22"/>
      <c r="B149" s="23" t="s">
        <v>131</v>
      </c>
      <c r="C149" s="23" t="s">
        <v>132</v>
      </c>
      <c r="D149" s="23" t="s">
        <v>133</v>
      </c>
      <c r="E149" s="22"/>
      <c r="F149" s="22"/>
      <c r="G149" s="22"/>
    </row>
    <row r="150" spans="1:16" ht="17.100000000000001" customHeight="1" x14ac:dyDescent="0.2">
      <c r="A150" s="22"/>
      <c r="B150" s="4" t="s">
        <v>134</v>
      </c>
      <c r="C150" s="24">
        <v>18.621300000000002</v>
      </c>
      <c r="D150" s="24">
        <v>18.3291</v>
      </c>
      <c r="E150" s="22"/>
      <c r="F150" s="19"/>
      <c r="G150" s="25"/>
    </row>
    <row r="151" spans="1:16" ht="17.100000000000001" customHeight="1" x14ac:dyDescent="0.2">
      <c r="A151" s="22"/>
      <c r="B151" s="4" t="s">
        <v>983</v>
      </c>
      <c r="C151" s="24">
        <v>17.151599999999998</v>
      </c>
      <c r="D151" s="24">
        <v>16.882400000000001</v>
      </c>
      <c r="E151" s="22"/>
      <c r="F151" s="19"/>
      <c r="G151" s="25"/>
    </row>
    <row r="152" spans="1:16" ht="17.100000000000001" customHeight="1" x14ac:dyDescent="0.2">
      <c r="A152" s="22"/>
      <c r="B152" s="4" t="s">
        <v>135</v>
      </c>
      <c r="C152" s="24">
        <v>18.201499999999999</v>
      </c>
      <c r="D152" s="24">
        <v>17.9133</v>
      </c>
      <c r="E152" s="22"/>
      <c r="F152" s="19"/>
      <c r="G152" s="25"/>
    </row>
    <row r="153" spans="1:16" ht="17.100000000000001" customHeight="1" x14ac:dyDescent="0.2">
      <c r="A153" s="22"/>
      <c r="B153" s="4" t="s">
        <v>984</v>
      </c>
      <c r="C153" s="24">
        <v>16.749199999999998</v>
      </c>
      <c r="D153" s="24">
        <v>16.484000000000002</v>
      </c>
      <c r="E153" s="22"/>
      <c r="F153" s="19"/>
      <c r="G153" s="25"/>
    </row>
    <row r="154" spans="1:16" ht="14.1" customHeight="1" x14ac:dyDescent="0.2">
      <c r="A154" s="22"/>
      <c r="B154" s="22"/>
      <c r="C154" s="22"/>
      <c r="D154" s="22"/>
      <c r="E154" s="22"/>
      <c r="F154" s="22"/>
      <c r="G154" s="22"/>
    </row>
    <row r="155" spans="1:16" ht="17.100000000000001" customHeight="1" x14ac:dyDescent="0.2">
      <c r="A155" s="22"/>
      <c r="B155" s="172" t="s">
        <v>985</v>
      </c>
      <c r="C155" s="173"/>
      <c r="D155" s="2" t="s">
        <v>126</v>
      </c>
      <c r="E155" s="22"/>
      <c r="F155" s="22"/>
      <c r="G155" s="22"/>
    </row>
    <row r="156" spans="1:16" ht="18" customHeight="1" x14ac:dyDescent="0.2">
      <c r="A156" s="22"/>
      <c r="B156" s="26" t="s">
        <v>136</v>
      </c>
      <c r="C156" s="26" t="s">
        <v>136</v>
      </c>
      <c r="D156" s="26"/>
      <c r="E156" s="22"/>
      <c r="F156" s="22"/>
      <c r="G156" s="22"/>
      <c r="I156" s="82"/>
      <c r="J156" s="82"/>
      <c r="K156" s="82"/>
      <c r="L156" s="82"/>
      <c r="M156" s="82"/>
      <c r="N156" s="82"/>
      <c r="O156" s="82"/>
    </row>
    <row r="157" spans="1:16" s="82" customFormat="1" x14ac:dyDescent="0.2">
      <c r="B157" s="177" t="s">
        <v>936</v>
      </c>
      <c r="C157" s="177"/>
      <c r="D157" s="177"/>
      <c r="E157" s="177"/>
      <c r="F157" s="177"/>
      <c r="I157"/>
      <c r="J157"/>
      <c r="K157"/>
      <c r="L157"/>
      <c r="M157"/>
      <c r="N157"/>
      <c r="O157"/>
      <c r="P157" s="70"/>
    </row>
    <row r="158" spans="1:16" ht="14.1" customHeight="1" x14ac:dyDescent="0.2">
      <c r="A158" s="22"/>
      <c r="B158" s="19"/>
      <c r="C158" s="19"/>
      <c r="D158" s="22"/>
      <c r="E158" s="22"/>
      <c r="F158" s="22"/>
      <c r="G158" s="22"/>
    </row>
    <row r="159" spans="1:16" ht="29.1" customHeight="1" x14ac:dyDescent="0.2">
      <c r="A159" s="22"/>
      <c r="B159" s="172" t="s">
        <v>137</v>
      </c>
      <c r="C159" s="173"/>
      <c r="D159" s="2" t="s">
        <v>126</v>
      </c>
      <c r="E159" s="22"/>
      <c r="F159" s="22"/>
      <c r="G159" s="22"/>
    </row>
    <row r="160" spans="1:16" ht="29.1" customHeight="1" x14ac:dyDescent="0.2">
      <c r="A160" s="22"/>
      <c r="B160" s="172" t="s">
        <v>138</v>
      </c>
      <c r="C160" s="173"/>
      <c r="D160" s="2" t="s">
        <v>126</v>
      </c>
      <c r="E160" s="22"/>
      <c r="F160" s="22"/>
      <c r="G160" s="22"/>
    </row>
    <row r="161" spans="1:7" ht="17.100000000000001" customHeight="1" x14ac:dyDescent="0.2">
      <c r="A161" s="22"/>
      <c r="B161" s="172" t="s">
        <v>139</v>
      </c>
      <c r="C161" s="173"/>
      <c r="D161" s="27">
        <v>0.2862156506939077</v>
      </c>
      <c r="E161" s="22"/>
      <c r="F161" s="19"/>
      <c r="G161" s="25"/>
    </row>
    <row r="162" spans="1:7" ht="17.100000000000001" customHeight="1" x14ac:dyDescent="0.2">
      <c r="A162" s="22"/>
      <c r="B162" s="172" t="s">
        <v>140</v>
      </c>
      <c r="C162" s="173"/>
      <c r="D162" s="2" t="s">
        <v>126</v>
      </c>
      <c r="E162" s="22"/>
      <c r="F162" s="22"/>
      <c r="G162" s="22"/>
    </row>
  </sheetData>
  <mergeCells count="16">
    <mergeCell ref="B162:C162"/>
    <mergeCell ref="B145:C145"/>
    <mergeCell ref="B146:C146"/>
    <mergeCell ref="B147:C147"/>
    <mergeCell ref="B155:C155"/>
    <mergeCell ref="B159:C159"/>
    <mergeCell ref="B160:C160"/>
    <mergeCell ref="B157:F157"/>
    <mergeCell ref="A1:H1"/>
    <mergeCell ref="A2:H2"/>
    <mergeCell ref="A3:H3"/>
    <mergeCell ref="J2:N2"/>
    <mergeCell ref="B161:C161"/>
    <mergeCell ref="B144:C144"/>
    <mergeCell ref="B141:F141"/>
    <mergeCell ref="B142:F142"/>
  </mergeCell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P160"/>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509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13688</v>
      </c>
      <c r="F7" s="6">
        <v>151.23871199999999</v>
      </c>
      <c r="G7" s="7">
        <v>3.9575475999999998E-2</v>
      </c>
      <c r="H7" s="69"/>
    </row>
    <row r="8" spans="1:14" x14ac:dyDescent="0.2">
      <c r="A8" s="3">
        <v>2</v>
      </c>
      <c r="B8" s="4" t="s">
        <v>165</v>
      </c>
      <c r="C8" s="4" t="s">
        <v>166</v>
      </c>
      <c r="D8" s="4" t="s">
        <v>155</v>
      </c>
      <c r="E8" s="5">
        <v>28266</v>
      </c>
      <c r="F8" s="6">
        <v>139.817769</v>
      </c>
      <c r="G8" s="7">
        <v>3.6586894000000002E-2</v>
      </c>
      <c r="H8" s="69"/>
    </row>
    <row r="9" spans="1:14" x14ac:dyDescent="0.2">
      <c r="A9" s="3">
        <v>3</v>
      </c>
      <c r="B9" s="4" t="s">
        <v>25</v>
      </c>
      <c r="C9" s="4" t="s">
        <v>26</v>
      </c>
      <c r="D9" s="4" t="s">
        <v>27</v>
      </c>
      <c r="E9" s="5">
        <v>8533</v>
      </c>
      <c r="F9" s="6">
        <v>137.65862250000001</v>
      </c>
      <c r="G9" s="7">
        <v>3.6021897999999997E-2</v>
      </c>
      <c r="H9" s="69"/>
    </row>
    <row r="10" spans="1:14" x14ac:dyDescent="0.2">
      <c r="A10" s="3">
        <v>4</v>
      </c>
      <c r="B10" s="4" t="s">
        <v>149</v>
      </c>
      <c r="C10" s="4" t="s">
        <v>150</v>
      </c>
      <c r="D10" s="4" t="s">
        <v>75</v>
      </c>
      <c r="E10" s="5">
        <v>22677</v>
      </c>
      <c r="F10" s="6">
        <v>136.42483200000001</v>
      </c>
      <c r="G10" s="7">
        <v>3.5699044999999999E-2</v>
      </c>
      <c r="H10" s="69"/>
    </row>
    <row r="11" spans="1:14" x14ac:dyDescent="0.2">
      <c r="A11" s="3">
        <v>5</v>
      </c>
      <c r="B11" s="4" t="s">
        <v>142</v>
      </c>
      <c r="C11" s="4" t="s">
        <v>143</v>
      </c>
      <c r="D11" s="4" t="s">
        <v>144</v>
      </c>
      <c r="E11" s="5">
        <v>3267</v>
      </c>
      <c r="F11" s="6">
        <v>122.21847</v>
      </c>
      <c r="G11" s="7">
        <v>3.1981586999999999E-2</v>
      </c>
      <c r="H11" s="69"/>
    </row>
    <row r="12" spans="1:14" x14ac:dyDescent="0.2">
      <c r="A12" s="3">
        <v>6</v>
      </c>
      <c r="B12" s="4" t="s">
        <v>147</v>
      </c>
      <c r="C12" s="4" t="s">
        <v>148</v>
      </c>
      <c r="D12" s="4" t="s">
        <v>78</v>
      </c>
      <c r="E12" s="5">
        <v>88789</v>
      </c>
      <c r="F12" s="6">
        <v>107.6566625</v>
      </c>
      <c r="G12" s="7">
        <v>2.8171117999999998E-2</v>
      </c>
      <c r="H12" s="69"/>
    </row>
    <row r="13" spans="1:14" x14ac:dyDescent="0.2">
      <c r="A13" s="3">
        <v>7</v>
      </c>
      <c r="B13" s="4" t="s">
        <v>156</v>
      </c>
      <c r="C13" s="4" t="s">
        <v>157</v>
      </c>
      <c r="D13" s="4" t="s">
        <v>27</v>
      </c>
      <c r="E13" s="5">
        <v>13540</v>
      </c>
      <c r="F13" s="6">
        <v>105.05686</v>
      </c>
      <c r="G13" s="7">
        <v>2.7490812999999999E-2</v>
      </c>
      <c r="H13" s="69"/>
    </row>
    <row r="14" spans="1:14" x14ac:dyDescent="0.2">
      <c r="A14" s="3">
        <v>8</v>
      </c>
      <c r="B14" s="4" t="s">
        <v>79</v>
      </c>
      <c r="C14" s="4" t="s">
        <v>80</v>
      </c>
      <c r="D14" s="4" t="s">
        <v>75</v>
      </c>
      <c r="E14" s="5">
        <v>27360</v>
      </c>
      <c r="F14" s="6">
        <v>102.10751999999999</v>
      </c>
      <c r="G14" s="7">
        <v>2.6719043000000001E-2</v>
      </c>
      <c r="H14" s="69"/>
    </row>
    <row r="15" spans="1:14" ht="15" x14ac:dyDescent="0.2">
      <c r="A15" s="3">
        <v>9</v>
      </c>
      <c r="B15" s="4" t="s">
        <v>173</v>
      </c>
      <c r="C15" s="4" t="s">
        <v>174</v>
      </c>
      <c r="D15" s="4" t="s">
        <v>175</v>
      </c>
      <c r="E15" s="5">
        <v>40331</v>
      </c>
      <c r="F15" s="6">
        <v>102.05759550000001</v>
      </c>
      <c r="G15" s="7">
        <v>2.6705979000000001E-2</v>
      </c>
      <c r="H15" s="69"/>
      <c r="J15" s="160" t="s">
        <v>1017</v>
      </c>
    </row>
    <row r="16" spans="1:14" x14ac:dyDescent="0.2">
      <c r="A16" s="3">
        <v>10</v>
      </c>
      <c r="B16" s="4" t="s">
        <v>167</v>
      </c>
      <c r="C16" s="4" t="s">
        <v>168</v>
      </c>
      <c r="D16" s="4" t="s">
        <v>976</v>
      </c>
      <c r="E16" s="5">
        <v>9885</v>
      </c>
      <c r="F16" s="6">
        <v>100.2586125</v>
      </c>
      <c r="G16" s="7">
        <v>2.6235228999999999E-2</v>
      </c>
      <c r="H16" s="69"/>
    </row>
    <row r="17" spans="1:8" x14ac:dyDescent="0.2">
      <c r="A17" s="3">
        <v>11</v>
      </c>
      <c r="B17" s="4" t="s">
        <v>56</v>
      </c>
      <c r="C17" s="4" t="s">
        <v>57</v>
      </c>
      <c r="D17" s="4" t="s">
        <v>53</v>
      </c>
      <c r="E17" s="5">
        <v>18429</v>
      </c>
      <c r="F17" s="6">
        <v>92.596510499999994</v>
      </c>
      <c r="G17" s="7">
        <v>2.4230244000000001E-2</v>
      </c>
      <c r="H17" s="69"/>
    </row>
    <row r="18" spans="1:8" x14ac:dyDescent="0.2">
      <c r="A18" s="3">
        <v>12</v>
      </c>
      <c r="B18" s="4" t="s">
        <v>176</v>
      </c>
      <c r="C18" s="4" t="s">
        <v>177</v>
      </c>
      <c r="D18" s="4" t="s">
        <v>78</v>
      </c>
      <c r="E18" s="5">
        <v>10575</v>
      </c>
      <c r="F18" s="6">
        <v>85.594049999999996</v>
      </c>
      <c r="G18" s="7">
        <v>2.2397871999999999E-2</v>
      </c>
      <c r="H18" s="69"/>
    </row>
    <row r="19" spans="1:8" ht="25.5" x14ac:dyDescent="0.2">
      <c r="A19" s="3">
        <v>13</v>
      </c>
      <c r="B19" s="4" t="s">
        <v>151</v>
      </c>
      <c r="C19" s="4" t="s">
        <v>152</v>
      </c>
      <c r="D19" s="4" t="s">
        <v>45</v>
      </c>
      <c r="E19" s="5">
        <v>56608</v>
      </c>
      <c r="F19" s="6">
        <v>84.430831999999995</v>
      </c>
      <c r="G19" s="7">
        <v>2.2093485999999999E-2</v>
      </c>
      <c r="H19" s="69"/>
    </row>
    <row r="20" spans="1:8" ht="25.5" x14ac:dyDescent="0.2">
      <c r="A20" s="3">
        <v>14</v>
      </c>
      <c r="B20" s="4" t="s">
        <v>37</v>
      </c>
      <c r="C20" s="4" t="s">
        <v>38</v>
      </c>
      <c r="D20" s="4" t="s">
        <v>974</v>
      </c>
      <c r="E20" s="5">
        <v>2480</v>
      </c>
      <c r="F20" s="6">
        <v>80.226759999999999</v>
      </c>
      <c r="G20" s="7">
        <v>2.0993383000000001E-2</v>
      </c>
      <c r="H20" s="69"/>
    </row>
    <row r="21" spans="1:8" x14ac:dyDescent="0.2">
      <c r="A21" s="3">
        <v>15</v>
      </c>
      <c r="B21" s="4" t="s">
        <v>219</v>
      </c>
      <c r="C21" s="4" t="s">
        <v>220</v>
      </c>
      <c r="D21" s="4" t="s">
        <v>221</v>
      </c>
      <c r="E21" s="5">
        <v>38110</v>
      </c>
      <c r="F21" s="6">
        <v>80.183440000000004</v>
      </c>
      <c r="G21" s="7">
        <v>2.0982047E-2</v>
      </c>
      <c r="H21" s="69"/>
    </row>
    <row r="22" spans="1:8" ht="25.5" x14ac:dyDescent="0.2">
      <c r="A22" s="3">
        <v>16</v>
      </c>
      <c r="B22" s="4" t="s">
        <v>463</v>
      </c>
      <c r="C22" s="4" t="s">
        <v>464</v>
      </c>
      <c r="D22" s="4" t="s">
        <v>45</v>
      </c>
      <c r="E22" s="5">
        <v>5141</v>
      </c>
      <c r="F22" s="6">
        <v>78.225455999999994</v>
      </c>
      <c r="G22" s="7">
        <v>2.0469691000000002E-2</v>
      </c>
      <c r="H22" s="69"/>
    </row>
    <row r="23" spans="1:8" x14ac:dyDescent="0.2">
      <c r="A23" s="3">
        <v>17</v>
      </c>
      <c r="B23" s="4" t="s">
        <v>202</v>
      </c>
      <c r="C23" s="4" t="s">
        <v>203</v>
      </c>
      <c r="D23" s="4" t="s">
        <v>204</v>
      </c>
      <c r="E23" s="5">
        <v>20115</v>
      </c>
      <c r="F23" s="6">
        <v>78.086429999999993</v>
      </c>
      <c r="G23" s="7">
        <v>2.0433310999999999E-2</v>
      </c>
      <c r="H23" s="69"/>
    </row>
    <row r="24" spans="1:8" ht="25.5" x14ac:dyDescent="0.2">
      <c r="A24" s="3">
        <v>18</v>
      </c>
      <c r="B24" s="4" t="s">
        <v>205</v>
      </c>
      <c r="C24" s="4" t="s">
        <v>206</v>
      </c>
      <c r="D24" s="4" t="s">
        <v>207</v>
      </c>
      <c r="E24" s="5">
        <v>17911</v>
      </c>
      <c r="F24" s="6">
        <v>76.462058999999996</v>
      </c>
      <c r="G24" s="7">
        <v>2.0008253E-2</v>
      </c>
      <c r="H24" s="69"/>
    </row>
    <row r="25" spans="1:8" x14ac:dyDescent="0.2">
      <c r="A25" s="3">
        <v>19</v>
      </c>
      <c r="B25" s="4" t="s">
        <v>41</v>
      </c>
      <c r="C25" s="4" t="s">
        <v>42</v>
      </c>
      <c r="D25" s="4" t="s">
        <v>27</v>
      </c>
      <c r="E25" s="5">
        <v>5766</v>
      </c>
      <c r="F25" s="6">
        <v>71.610837000000004</v>
      </c>
      <c r="G25" s="7">
        <v>1.8738806E-2</v>
      </c>
      <c r="H25" s="69"/>
    </row>
    <row r="26" spans="1:8" x14ac:dyDescent="0.2">
      <c r="A26" s="3">
        <v>20</v>
      </c>
      <c r="B26" s="4" t="s">
        <v>163</v>
      </c>
      <c r="C26" s="4" t="s">
        <v>164</v>
      </c>
      <c r="D26" s="4" t="s">
        <v>975</v>
      </c>
      <c r="E26" s="5">
        <v>17365</v>
      </c>
      <c r="F26" s="6">
        <v>69.503412499999996</v>
      </c>
      <c r="G26" s="7">
        <v>1.8187345000000001E-2</v>
      </c>
      <c r="H26" s="69"/>
    </row>
    <row r="27" spans="1:8" x14ac:dyDescent="0.2">
      <c r="A27" s="3">
        <v>21</v>
      </c>
      <c r="B27" s="4" t="s">
        <v>283</v>
      </c>
      <c r="C27" s="4" t="s">
        <v>284</v>
      </c>
      <c r="D27" s="4" t="s">
        <v>32</v>
      </c>
      <c r="E27" s="5">
        <v>17176</v>
      </c>
      <c r="F27" s="6">
        <v>66.711584000000002</v>
      </c>
      <c r="G27" s="7">
        <v>1.7456791999999999E-2</v>
      </c>
      <c r="H27" s="69"/>
    </row>
    <row r="28" spans="1:8" x14ac:dyDescent="0.2">
      <c r="A28" s="3">
        <v>22</v>
      </c>
      <c r="B28" s="4" t="s">
        <v>183</v>
      </c>
      <c r="C28" s="4" t="s">
        <v>184</v>
      </c>
      <c r="D28" s="4" t="s">
        <v>75</v>
      </c>
      <c r="E28" s="5">
        <v>6741</v>
      </c>
      <c r="F28" s="6">
        <v>64.140614999999997</v>
      </c>
      <c r="G28" s="7">
        <v>1.6784032000000001E-2</v>
      </c>
      <c r="H28" s="69"/>
    </row>
    <row r="29" spans="1:8" ht="25.5" x14ac:dyDescent="0.2">
      <c r="A29" s="3">
        <v>23</v>
      </c>
      <c r="B29" s="4" t="s">
        <v>189</v>
      </c>
      <c r="C29" s="4" t="s">
        <v>190</v>
      </c>
      <c r="D29" s="4" t="s">
        <v>974</v>
      </c>
      <c r="E29" s="5">
        <v>27913</v>
      </c>
      <c r="F29" s="6">
        <v>61.603991000000001</v>
      </c>
      <c r="G29" s="7">
        <v>1.6120259000000001E-2</v>
      </c>
      <c r="H29" s="69"/>
    </row>
    <row r="30" spans="1:8" x14ac:dyDescent="0.2">
      <c r="A30" s="3">
        <v>24</v>
      </c>
      <c r="B30" s="4" t="s">
        <v>73</v>
      </c>
      <c r="C30" s="4" t="s">
        <v>74</v>
      </c>
      <c r="D30" s="4" t="s">
        <v>75</v>
      </c>
      <c r="E30" s="5">
        <v>2003</v>
      </c>
      <c r="F30" s="6">
        <v>60.679883500000003</v>
      </c>
      <c r="G30" s="7">
        <v>1.5878442999999999E-2</v>
      </c>
      <c r="H30" s="69"/>
    </row>
    <row r="31" spans="1:8" x14ac:dyDescent="0.2">
      <c r="A31" s="3">
        <v>25</v>
      </c>
      <c r="B31" s="4" t="s">
        <v>171</v>
      </c>
      <c r="C31" s="4" t="s">
        <v>172</v>
      </c>
      <c r="D31" s="4" t="s">
        <v>977</v>
      </c>
      <c r="E31" s="5">
        <v>23991</v>
      </c>
      <c r="F31" s="6">
        <v>58.214161500000003</v>
      </c>
      <c r="G31" s="7">
        <v>1.5233224E-2</v>
      </c>
      <c r="H31" s="69"/>
    </row>
    <row r="32" spans="1:8" x14ac:dyDescent="0.2">
      <c r="A32" s="3">
        <v>26</v>
      </c>
      <c r="B32" s="4" t="s">
        <v>200</v>
      </c>
      <c r="C32" s="4" t="s">
        <v>201</v>
      </c>
      <c r="D32" s="4" t="s">
        <v>27</v>
      </c>
      <c r="E32" s="5">
        <v>2835</v>
      </c>
      <c r="F32" s="6">
        <v>57.292515000000002</v>
      </c>
      <c r="G32" s="7">
        <v>1.4992050999999999E-2</v>
      </c>
      <c r="H32" s="69"/>
    </row>
    <row r="33" spans="1:8" x14ac:dyDescent="0.2">
      <c r="A33" s="3">
        <v>27</v>
      </c>
      <c r="B33" s="4" t="s">
        <v>181</v>
      </c>
      <c r="C33" s="4" t="s">
        <v>182</v>
      </c>
      <c r="D33" s="4" t="s">
        <v>155</v>
      </c>
      <c r="E33" s="5">
        <v>5488</v>
      </c>
      <c r="F33" s="6">
        <v>55.563256000000003</v>
      </c>
      <c r="G33" s="7">
        <v>1.4539547E-2</v>
      </c>
      <c r="H33" s="69"/>
    </row>
    <row r="34" spans="1:8" x14ac:dyDescent="0.2">
      <c r="A34" s="3">
        <v>28</v>
      </c>
      <c r="B34" s="4" t="s">
        <v>268</v>
      </c>
      <c r="C34" s="4" t="s">
        <v>269</v>
      </c>
      <c r="D34" s="4" t="s">
        <v>977</v>
      </c>
      <c r="E34" s="5">
        <v>2623</v>
      </c>
      <c r="F34" s="6">
        <v>55.3728415</v>
      </c>
      <c r="G34" s="7">
        <v>1.4489719999999999E-2</v>
      </c>
      <c r="H34" s="69"/>
    </row>
    <row r="35" spans="1:8" x14ac:dyDescent="0.2">
      <c r="A35" s="3">
        <v>29</v>
      </c>
      <c r="B35" s="4" t="s">
        <v>198</v>
      </c>
      <c r="C35" s="4" t="s">
        <v>199</v>
      </c>
      <c r="D35" s="4" t="s">
        <v>78</v>
      </c>
      <c r="E35" s="5">
        <v>9098</v>
      </c>
      <c r="F35" s="6">
        <v>53.687297999999998</v>
      </c>
      <c r="G35" s="7">
        <v>1.4048654000000001E-2</v>
      </c>
      <c r="H35" s="69"/>
    </row>
    <row r="36" spans="1:8" x14ac:dyDescent="0.2">
      <c r="A36" s="3">
        <v>30</v>
      </c>
      <c r="B36" s="4" t="s">
        <v>191</v>
      </c>
      <c r="C36" s="4" t="s">
        <v>192</v>
      </c>
      <c r="D36" s="4" t="s">
        <v>53</v>
      </c>
      <c r="E36" s="5">
        <v>52272</v>
      </c>
      <c r="F36" s="6">
        <v>50.285663999999997</v>
      </c>
      <c r="G36" s="7">
        <v>1.315853E-2</v>
      </c>
      <c r="H36" s="69"/>
    </row>
    <row r="37" spans="1:8" x14ac:dyDescent="0.2">
      <c r="A37" s="3">
        <v>31</v>
      </c>
      <c r="B37" s="4" t="s">
        <v>212</v>
      </c>
      <c r="C37" s="4" t="s">
        <v>213</v>
      </c>
      <c r="D37" s="4" t="s">
        <v>979</v>
      </c>
      <c r="E37" s="5">
        <v>8704</v>
      </c>
      <c r="F37" s="6">
        <v>47.741439999999997</v>
      </c>
      <c r="G37" s="7">
        <v>1.2492768E-2</v>
      </c>
      <c r="H37" s="69"/>
    </row>
    <row r="38" spans="1:8" x14ac:dyDescent="0.2">
      <c r="A38" s="3">
        <v>32</v>
      </c>
      <c r="B38" s="4" t="s">
        <v>214</v>
      </c>
      <c r="C38" s="4" t="s">
        <v>215</v>
      </c>
      <c r="D38" s="4" t="s">
        <v>979</v>
      </c>
      <c r="E38" s="5">
        <v>4428</v>
      </c>
      <c r="F38" s="6">
        <v>45.181097999999999</v>
      </c>
      <c r="G38" s="7">
        <v>1.1822789E-2</v>
      </c>
      <c r="H38" s="69"/>
    </row>
    <row r="39" spans="1:8" x14ac:dyDescent="0.2">
      <c r="A39" s="3">
        <v>33</v>
      </c>
      <c r="B39" s="4" t="s">
        <v>178</v>
      </c>
      <c r="C39" s="4" t="s">
        <v>179</v>
      </c>
      <c r="D39" s="4" t="s">
        <v>180</v>
      </c>
      <c r="E39" s="5">
        <v>4775</v>
      </c>
      <c r="F39" s="6">
        <v>44.990049999999997</v>
      </c>
      <c r="G39" s="7">
        <v>1.1772797E-2</v>
      </c>
      <c r="H39" s="69"/>
    </row>
    <row r="40" spans="1:8" ht="25.5" x14ac:dyDescent="0.2">
      <c r="A40" s="3">
        <v>34</v>
      </c>
      <c r="B40" s="4" t="s">
        <v>222</v>
      </c>
      <c r="C40" s="4" t="s">
        <v>223</v>
      </c>
      <c r="D40" s="4" t="s">
        <v>207</v>
      </c>
      <c r="E40" s="5">
        <v>9605</v>
      </c>
      <c r="F40" s="6">
        <v>44.802522500000002</v>
      </c>
      <c r="G40" s="7">
        <v>1.1723725000000001E-2</v>
      </c>
      <c r="H40" s="69"/>
    </row>
    <row r="41" spans="1:8" ht="25.5" x14ac:dyDescent="0.2">
      <c r="A41" s="3">
        <v>35</v>
      </c>
      <c r="B41" s="4" t="s">
        <v>239</v>
      </c>
      <c r="C41" s="4" t="s">
        <v>240</v>
      </c>
      <c r="D41" s="4" t="s">
        <v>980</v>
      </c>
      <c r="E41" s="5">
        <v>44513</v>
      </c>
      <c r="F41" s="6">
        <v>44.557513</v>
      </c>
      <c r="G41" s="7">
        <v>1.1659612E-2</v>
      </c>
      <c r="H41" s="69"/>
    </row>
    <row r="42" spans="1:8" x14ac:dyDescent="0.2">
      <c r="A42" s="3">
        <v>36</v>
      </c>
      <c r="B42" s="4" t="s">
        <v>208</v>
      </c>
      <c r="C42" s="4" t="s">
        <v>209</v>
      </c>
      <c r="D42" s="4" t="s">
        <v>78</v>
      </c>
      <c r="E42" s="5">
        <v>87334</v>
      </c>
      <c r="F42" s="6">
        <v>43.841667999999999</v>
      </c>
      <c r="G42" s="7">
        <v>1.1472293E-2</v>
      </c>
      <c r="H42" s="69"/>
    </row>
    <row r="43" spans="1:8" ht="25.5" x14ac:dyDescent="0.2">
      <c r="A43" s="3">
        <v>37</v>
      </c>
      <c r="B43" s="4" t="s">
        <v>233</v>
      </c>
      <c r="C43" s="4" t="s">
        <v>234</v>
      </c>
      <c r="D43" s="4" t="s">
        <v>207</v>
      </c>
      <c r="E43" s="5">
        <v>10569</v>
      </c>
      <c r="F43" s="6">
        <v>42.682906500000001</v>
      </c>
      <c r="G43" s="7">
        <v>1.1169073999999999E-2</v>
      </c>
      <c r="H43" s="69"/>
    </row>
    <row r="44" spans="1:8" x14ac:dyDescent="0.2">
      <c r="A44" s="3">
        <v>38</v>
      </c>
      <c r="B44" s="4" t="s">
        <v>193</v>
      </c>
      <c r="C44" s="4" t="s">
        <v>194</v>
      </c>
      <c r="D44" s="4" t="s">
        <v>195</v>
      </c>
      <c r="E44" s="5">
        <v>8864</v>
      </c>
      <c r="F44" s="6">
        <v>42.626975999999999</v>
      </c>
      <c r="G44" s="7">
        <v>1.1154437999999999E-2</v>
      </c>
      <c r="H44" s="69"/>
    </row>
    <row r="45" spans="1:8" x14ac:dyDescent="0.2">
      <c r="A45" s="3">
        <v>39</v>
      </c>
      <c r="B45" s="4" t="s">
        <v>258</v>
      </c>
      <c r="C45" s="4" t="s">
        <v>259</v>
      </c>
      <c r="D45" s="4" t="s">
        <v>979</v>
      </c>
      <c r="E45" s="5">
        <v>31256</v>
      </c>
      <c r="F45" s="6">
        <v>40.335867999999998</v>
      </c>
      <c r="G45" s="7">
        <v>1.0554911E-2</v>
      </c>
      <c r="H45" s="69"/>
    </row>
    <row r="46" spans="1:8" x14ac:dyDescent="0.2">
      <c r="A46" s="3">
        <v>40</v>
      </c>
      <c r="B46" s="4" t="s">
        <v>295</v>
      </c>
      <c r="C46" s="4" t="s">
        <v>296</v>
      </c>
      <c r="D46" s="4" t="s">
        <v>27</v>
      </c>
      <c r="E46" s="5">
        <v>3399</v>
      </c>
      <c r="F46" s="6">
        <v>39.911057999999997</v>
      </c>
      <c r="G46" s="7">
        <v>1.0443749E-2</v>
      </c>
      <c r="H46" s="69"/>
    </row>
    <row r="47" spans="1:8" x14ac:dyDescent="0.2">
      <c r="A47" s="3">
        <v>41</v>
      </c>
      <c r="B47" s="4" t="s">
        <v>477</v>
      </c>
      <c r="C47" s="4" t="s">
        <v>478</v>
      </c>
      <c r="D47" s="4" t="s">
        <v>204</v>
      </c>
      <c r="E47" s="5">
        <v>7802</v>
      </c>
      <c r="F47" s="6">
        <v>39.400100000000002</v>
      </c>
      <c r="G47" s="7">
        <v>1.0310043E-2</v>
      </c>
      <c r="H47" s="69"/>
    </row>
    <row r="48" spans="1:8" ht="25.5" x14ac:dyDescent="0.2">
      <c r="A48" s="3">
        <v>42</v>
      </c>
      <c r="B48" s="4" t="s">
        <v>229</v>
      </c>
      <c r="C48" s="4" t="s">
        <v>230</v>
      </c>
      <c r="D48" s="4" t="s">
        <v>75</v>
      </c>
      <c r="E48" s="5">
        <v>2075</v>
      </c>
      <c r="F48" s="6">
        <v>39.394912499999997</v>
      </c>
      <c r="G48" s="7">
        <v>1.0308685999999999E-2</v>
      </c>
      <c r="H48" s="69"/>
    </row>
    <row r="49" spans="1:8" x14ac:dyDescent="0.2">
      <c r="A49" s="3">
        <v>43</v>
      </c>
      <c r="B49" s="4" t="s">
        <v>251</v>
      </c>
      <c r="C49" s="4" t="s">
        <v>252</v>
      </c>
      <c r="D49" s="4" t="s">
        <v>160</v>
      </c>
      <c r="E49" s="5">
        <v>6770</v>
      </c>
      <c r="F49" s="6">
        <v>39.367550000000001</v>
      </c>
      <c r="G49" s="7">
        <v>1.0301526E-2</v>
      </c>
      <c r="H49" s="69"/>
    </row>
    <row r="50" spans="1:8" x14ac:dyDescent="0.2">
      <c r="A50" s="3">
        <v>44</v>
      </c>
      <c r="B50" s="4" t="s">
        <v>161</v>
      </c>
      <c r="C50" s="4" t="s">
        <v>162</v>
      </c>
      <c r="D50" s="4" t="s">
        <v>22</v>
      </c>
      <c r="E50" s="5">
        <v>20576</v>
      </c>
      <c r="F50" s="6">
        <v>37.582064000000003</v>
      </c>
      <c r="G50" s="7">
        <v>9.8343079999999999E-3</v>
      </c>
      <c r="H50" s="69"/>
    </row>
    <row r="51" spans="1:8" x14ac:dyDescent="0.2">
      <c r="A51" s="3">
        <v>45</v>
      </c>
      <c r="B51" s="4" t="s">
        <v>227</v>
      </c>
      <c r="C51" s="4" t="s">
        <v>228</v>
      </c>
      <c r="D51" s="4" t="s">
        <v>976</v>
      </c>
      <c r="E51" s="5">
        <v>2335</v>
      </c>
      <c r="F51" s="6">
        <v>37.3378175</v>
      </c>
      <c r="G51" s="7">
        <v>9.7703949999999994E-3</v>
      </c>
      <c r="H51" s="69"/>
    </row>
    <row r="52" spans="1:8" x14ac:dyDescent="0.2">
      <c r="A52" s="3">
        <v>46</v>
      </c>
      <c r="B52" s="4" t="s">
        <v>216</v>
      </c>
      <c r="C52" s="4" t="s">
        <v>217</v>
      </c>
      <c r="D52" s="4" t="s">
        <v>75</v>
      </c>
      <c r="E52" s="5">
        <v>4189</v>
      </c>
      <c r="F52" s="6">
        <v>36.745908</v>
      </c>
      <c r="G52" s="7">
        <v>9.6155059999999994E-3</v>
      </c>
      <c r="H52" s="69"/>
    </row>
    <row r="53" spans="1:8" x14ac:dyDescent="0.2">
      <c r="A53" s="3">
        <v>47</v>
      </c>
      <c r="B53" s="4" t="s">
        <v>255</v>
      </c>
      <c r="C53" s="4" t="s">
        <v>256</v>
      </c>
      <c r="D53" s="4" t="s">
        <v>257</v>
      </c>
      <c r="E53" s="5">
        <v>16295</v>
      </c>
      <c r="F53" s="6">
        <v>36.240079999999999</v>
      </c>
      <c r="G53" s="7">
        <v>9.4831429999999994E-3</v>
      </c>
      <c r="H53" s="69"/>
    </row>
    <row r="54" spans="1:8" x14ac:dyDescent="0.2">
      <c r="A54" s="3">
        <v>48</v>
      </c>
      <c r="B54" s="4" t="s">
        <v>285</v>
      </c>
      <c r="C54" s="4" t="s">
        <v>286</v>
      </c>
      <c r="D54" s="4" t="s">
        <v>160</v>
      </c>
      <c r="E54" s="5">
        <v>5084</v>
      </c>
      <c r="F54" s="6">
        <v>34.43139</v>
      </c>
      <c r="G54" s="7">
        <v>9.009853E-3</v>
      </c>
      <c r="H54" s="69"/>
    </row>
    <row r="55" spans="1:8" x14ac:dyDescent="0.2">
      <c r="A55" s="3">
        <v>49</v>
      </c>
      <c r="B55" s="4" t="s">
        <v>235</v>
      </c>
      <c r="C55" s="4" t="s">
        <v>236</v>
      </c>
      <c r="D55" s="4" t="s">
        <v>160</v>
      </c>
      <c r="E55" s="5">
        <v>9026</v>
      </c>
      <c r="F55" s="6">
        <v>33.888117000000001</v>
      </c>
      <c r="G55" s="7">
        <v>8.8676919999999999E-3</v>
      </c>
      <c r="H55" s="69"/>
    </row>
    <row r="56" spans="1:8" ht="25.5" x14ac:dyDescent="0.2">
      <c r="A56" s="3">
        <v>50</v>
      </c>
      <c r="B56" s="4" t="s">
        <v>218</v>
      </c>
      <c r="C56" s="4" t="s">
        <v>869</v>
      </c>
      <c r="D56" s="4" t="s">
        <v>45</v>
      </c>
      <c r="E56" s="5">
        <v>15720</v>
      </c>
      <c r="F56" s="6">
        <v>32.68188</v>
      </c>
      <c r="G56" s="7">
        <v>8.5520490000000008E-3</v>
      </c>
      <c r="H56" s="69"/>
    </row>
    <row r="57" spans="1:8" x14ac:dyDescent="0.2">
      <c r="A57" s="3">
        <v>51</v>
      </c>
      <c r="B57" s="4" t="s">
        <v>262</v>
      </c>
      <c r="C57" s="4" t="s">
        <v>263</v>
      </c>
      <c r="D57" s="4" t="s">
        <v>22</v>
      </c>
      <c r="E57" s="5">
        <v>38757</v>
      </c>
      <c r="F57" s="6">
        <v>31.8001185</v>
      </c>
      <c r="G57" s="7">
        <v>8.3213139999999998E-3</v>
      </c>
      <c r="H57" s="69"/>
    </row>
    <row r="58" spans="1:8" x14ac:dyDescent="0.2">
      <c r="A58" s="3">
        <v>52</v>
      </c>
      <c r="B58" s="4" t="s">
        <v>241</v>
      </c>
      <c r="C58" s="4" t="s">
        <v>242</v>
      </c>
      <c r="D58" s="4" t="s">
        <v>155</v>
      </c>
      <c r="E58" s="5">
        <v>2500</v>
      </c>
      <c r="F58" s="6">
        <v>30.138750000000002</v>
      </c>
      <c r="G58" s="7">
        <v>7.8865740000000004E-3</v>
      </c>
      <c r="H58" s="69"/>
    </row>
    <row r="59" spans="1:8" x14ac:dyDescent="0.2">
      <c r="A59" s="3">
        <v>53</v>
      </c>
      <c r="B59" s="4" t="s">
        <v>249</v>
      </c>
      <c r="C59" s="4" t="s">
        <v>250</v>
      </c>
      <c r="D59" s="4" t="s">
        <v>334</v>
      </c>
      <c r="E59" s="5">
        <v>3231</v>
      </c>
      <c r="F59" s="6">
        <v>29.696121000000002</v>
      </c>
      <c r="G59" s="7">
        <v>7.7707490000000004E-3</v>
      </c>
      <c r="H59" s="69"/>
    </row>
    <row r="60" spans="1:8" x14ac:dyDescent="0.2">
      <c r="A60" s="3">
        <v>54</v>
      </c>
      <c r="B60" s="4" t="s">
        <v>253</v>
      </c>
      <c r="C60" s="4" t="s">
        <v>254</v>
      </c>
      <c r="D60" s="4" t="s">
        <v>65</v>
      </c>
      <c r="E60" s="5">
        <v>3248</v>
      </c>
      <c r="F60" s="6">
        <v>27.770399999999999</v>
      </c>
      <c r="G60" s="7">
        <v>7.2668350000000001E-3</v>
      </c>
      <c r="H60" s="69"/>
    </row>
    <row r="61" spans="1:8" x14ac:dyDescent="0.2">
      <c r="A61" s="3">
        <v>55</v>
      </c>
      <c r="B61" s="4" t="s">
        <v>272</v>
      </c>
      <c r="C61" s="4" t="s">
        <v>273</v>
      </c>
      <c r="D61" s="4" t="s">
        <v>75</v>
      </c>
      <c r="E61" s="5">
        <v>21739</v>
      </c>
      <c r="F61" s="6">
        <v>27.304183999999999</v>
      </c>
      <c r="G61" s="7">
        <v>7.1448379999999997E-3</v>
      </c>
      <c r="H61" s="69"/>
    </row>
    <row r="62" spans="1:8" x14ac:dyDescent="0.2">
      <c r="A62" s="3">
        <v>56</v>
      </c>
      <c r="B62" s="4" t="s">
        <v>51</v>
      </c>
      <c r="C62" s="4" t="s">
        <v>52</v>
      </c>
      <c r="D62" s="4" t="s">
        <v>53</v>
      </c>
      <c r="E62" s="5">
        <v>15969</v>
      </c>
      <c r="F62" s="6">
        <v>27.051486000000001</v>
      </c>
      <c r="G62" s="7">
        <v>7.0787130000000004E-3</v>
      </c>
      <c r="H62" s="69"/>
    </row>
    <row r="63" spans="1:8" x14ac:dyDescent="0.2">
      <c r="A63" s="3">
        <v>57</v>
      </c>
      <c r="B63" s="4" t="s">
        <v>264</v>
      </c>
      <c r="C63" s="4" t="s">
        <v>265</v>
      </c>
      <c r="D63" s="4" t="s">
        <v>65</v>
      </c>
      <c r="E63" s="5">
        <v>12025</v>
      </c>
      <c r="F63" s="6">
        <v>26.9059375</v>
      </c>
      <c r="G63" s="7">
        <v>7.0406260000000003E-3</v>
      </c>
      <c r="H63" s="69"/>
    </row>
    <row r="64" spans="1:8" x14ac:dyDescent="0.2">
      <c r="A64" s="3">
        <v>58</v>
      </c>
      <c r="B64" s="4" t="s">
        <v>260</v>
      </c>
      <c r="C64" s="4" t="s">
        <v>261</v>
      </c>
      <c r="D64" s="4" t="s">
        <v>204</v>
      </c>
      <c r="E64" s="5">
        <v>482</v>
      </c>
      <c r="F64" s="6">
        <v>25.665054000000001</v>
      </c>
      <c r="G64" s="7">
        <v>6.7159180000000004E-3</v>
      </c>
      <c r="H64" s="69"/>
    </row>
    <row r="65" spans="1:8" x14ac:dyDescent="0.2">
      <c r="A65" s="3">
        <v>59</v>
      </c>
      <c r="B65" s="4" t="s">
        <v>270</v>
      </c>
      <c r="C65" s="4" t="s">
        <v>271</v>
      </c>
      <c r="D65" s="4" t="s">
        <v>144</v>
      </c>
      <c r="E65" s="5">
        <v>3384</v>
      </c>
      <c r="F65" s="6">
        <v>19.376784000000001</v>
      </c>
      <c r="G65" s="7">
        <v>5.0704310000000002E-3</v>
      </c>
      <c r="H65" s="69"/>
    </row>
    <row r="66" spans="1:8" x14ac:dyDescent="0.2">
      <c r="A66" s="3">
        <v>60</v>
      </c>
      <c r="B66" s="4" t="s">
        <v>278</v>
      </c>
      <c r="C66" s="4" t="s">
        <v>279</v>
      </c>
      <c r="D66" s="4" t="s">
        <v>144</v>
      </c>
      <c r="E66" s="5">
        <v>1745</v>
      </c>
      <c r="F66" s="6">
        <v>17.598324999999999</v>
      </c>
      <c r="G66" s="7">
        <v>4.6050520000000001E-3</v>
      </c>
      <c r="H66" s="69"/>
    </row>
    <row r="67" spans="1:8" x14ac:dyDescent="0.2">
      <c r="A67" s="3">
        <v>61</v>
      </c>
      <c r="B67" s="4" t="s">
        <v>274</v>
      </c>
      <c r="C67" s="4" t="s">
        <v>275</v>
      </c>
      <c r="D67" s="4" t="s">
        <v>155</v>
      </c>
      <c r="E67" s="5">
        <v>3422</v>
      </c>
      <c r="F67" s="6">
        <v>13.025843</v>
      </c>
      <c r="G67" s="7">
        <v>3.4085449999999998E-3</v>
      </c>
      <c r="H67" s="69"/>
    </row>
    <row r="68" spans="1:8" ht="25.5" x14ac:dyDescent="0.2">
      <c r="A68" s="3">
        <v>62</v>
      </c>
      <c r="B68" s="4" t="s">
        <v>291</v>
      </c>
      <c r="C68" s="4" t="s">
        <v>292</v>
      </c>
      <c r="D68" s="4" t="s">
        <v>45</v>
      </c>
      <c r="E68" s="5">
        <v>2317</v>
      </c>
      <c r="F68" s="6">
        <v>12.764353</v>
      </c>
      <c r="G68" s="7">
        <v>3.3401189999999999E-3</v>
      </c>
      <c r="H68" s="69"/>
    </row>
    <row r="69" spans="1:8" x14ac:dyDescent="0.2">
      <c r="A69" s="3">
        <v>63</v>
      </c>
      <c r="B69" s="4" t="s">
        <v>473</v>
      </c>
      <c r="C69" s="4" t="s">
        <v>474</v>
      </c>
      <c r="D69" s="4" t="s">
        <v>976</v>
      </c>
      <c r="E69" s="5">
        <v>14130</v>
      </c>
      <c r="F69" s="6">
        <v>11.946915000000001</v>
      </c>
      <c r="G69" s="7">
        <v>3.1262159999999998E-3</v>
      </c>
      <c r="H69" s="69"/>
    </row>
    <row r="70" spans="1:8" x14ac:dyDescent="0.2">
      <c r="A70" s="3">
        <v>64</v>
      </c>
      <c r="B70" s="4" t="s">
        <v>276</v>
      </c>
      <c r="C70" s="4" t="s">
        <v>277</v>
      </c>
      <c r="D70" s="4" t="s">
        <v>204</v>
      </c>
      <c r="E70" s="5">
        <v>752</v>
      </c>
      <c r="F70" s="6">
        <v>2.1300400000000002</v>
      </c>
      <c r="G70" s="7">
        <v>5.5737899999999999E-4</v>
      </c>
      <c r="H70" s="69"/>
    </row>
    <row r="71" spans="1:8" x14ac:dyDescent="0.2">
      <c r="A71" s="3">
        <v>65</v>
      </c>
      <c r="B71" s="4" t="s">
        <v>289</v>
      </c>
      <c r="C71" s="4" t="s">
        <v>290</v>
      </c>
      <c r="D71" s="4" t="s">
        <v>27</v>
      </c>
      <c r="E71" s="5">
        <v>12</v>
      </c>
      <c r="F71" s="6">
        <v>4.0661999999999997E-2</v>
      </c>
      <c r="G71" s="8" t="s">
        <v>94</v>
      </c>
      <c r="H71" s="69"/>
    </row>
    <row r="72" spans="1:8" x14ac:dyDescent="0.2">
      <c r="A72" s="1"/>
      <c r="B72" s="1"/>
      <c r="C72" s="2" t="s">
        <v>95</v>
      </c>
      <c r="D72" s="1"/>
      <c r="E72" s="1" t="s">
        <v>96</v>
      </c>
      <c r="F72" s="9">
        <v>3691.9231445</v>
      </c>
      <c r="G72" s="10">
        <v>0.96608607800000001</v>
      </c>
      <c r="H72" s="69"/>
    </row>
    <row r="73" spans="1:8" x14ac:dyDescent="0.2">
      <c r="A73" s="1"/>
      <c r="B73" s="1"/>
      <c r="C73" s="11"/>
      <c r="D73" s="1"/>
      <c r="E73" s="1"/>
      <c r="F73" s="12"/>
      <c r="G73" s="12"/>
      <c r="H73" s="69"/>
    </row>
    <row r="74" spans="1:8" x14ac:dyDescent="0.2">
      <c r="A74" s="1"/>
      <c r="B74" s="1"/>
      <c r="C74" s="2" t="s">
        <v>97</v>
      </c>
      <c r="D74" s="1"/>
      <c r="E74" s="1"/>
      <c r="F74" s="1"/>
      <c r="G74" s="1"/>
      <c r="H74" s="69"/>
    </row>
    <row r="75" spans="1:8" x14ac:dyDescent="0.2">
      <c r="A75" s="1"/>
      <c r="B75" s="1"/>
      <c r="C75" s="2" t="s">
        <v>95</v>
      </c>
      <c r="D75" s="1"/>
      <c r="E75" s="1" t="s">
        <v>96</v>
      </c>
      <c r="F75" s="13">
        <v>0</v>
      </c>
      <c r="G75" s="14">
        <v>0</v>
      </c>
      <c r="H75" s="69"/>
    </row>
    <row r="76" spans="1:8" x14ac:dyDescent="0.2">
      <c r="A76" s="1"/>
      <c r="B76" s="1"/>
      <c r="C76" s="11"/>
      <c r="D76" s="1"/>
      <c r="E76" s="1"/>
      <c r="F76" s="12"/>
      <c r="G76" s="12"/>
      <c r="H76" s="69"/>
    </row>
    <row r="77" spans="1:8" x14ac:dyDescent="0.2">
      <c r="A77" s="1"/>
      <c r="B77" s="1"/>
      <c r="C77" s="2" t="s">
        <v>98</v>
      </c>
      <c r="D77" s="1"/>
      <c r="E77" s="1"/>
      <c r="F77" s="1"/>
      <c r="G77" s="1"/>
      <c r="H77" s="69"/>
    </row>
    <row r="78" spans="1:8" x14ac:dyDescent="0.2">
      <c r="A78" s="1"/>
      <c r="B78" s="1"/>
      <c r="C78" s="2" t="s">
        <v>95</v>
      </c>
      <c r="D78" s="1"/>
      <c r="E78" s="1" t="s">
        <v>96</v>
      </c>
      <c r="F78" s="13">
        <v>0</v>
      </c>
      <c r="G78" s="14">
        <v>0</v>
      </c>
      <c r="H78" s="69"/>
    </row>
    <row r="79" spans="1:8" x14ac:dyDescent="0.2">
      <c r="A79" s="1"/>
      <c r="B79" s="1"/>
      <c r="C79" s="11"/>
      <c r="D79" s="1"/>
      <c r="E79" s="1"/>
      <c r="F79" s="12"/>
      <c r="G79" s="12"/>
      <c r="H79" s="69"/>
    </row>
    <row r="80" spans="1:8" x14ac:dyDescent="0.2">
      <c r="A80" s="1"/>
      <c r="B80" s="1"/>
      <c r="C80" s="2" t="s">
        <v>99</v>
      </c>
      <c r="D80" s="1"/>
      <c r="E80" s="1"/>
      <c r="F80" s="1"/>
      <c r="G80" s="1"/>
      <c r="H80" s="69"/>
    </row>
    <row r="81" spans="1:8" x14ac:dyDescent="0.2">
      <c r="A81" s="1"/>
      <c r="B81" s="1"/>
      <c r="C81" s="2" t="s">
        <v>95</v>
      </c>
      <c r="D81" s="1"/>
      <c r="E81" s="1" t="s">
        <v>96</v>
      </c>
      <c r="F81" s="13">
        <v>0</v>
      </c>
      <c r="G81" s="14">
        <v>0</v>
      </c>
      <c r="H81" s="69"/>
    </row>
    <row r="82" spans="1:8" x14ac:dyDescent="0.2">
      <c r="A82" s="1"/>
      <c r="B82" s="1"/>
      <c r="C82" s="11"/>
      <c r="D82" s="1"/>
      <c r="E82" s="1"/>
      <c r="F82" s="12"/>
      <c r="G82" s="12"/>
      <c r="H82" s="69"/>
    </row>
    <row r="83" spans="1:8" x14ac:dyDescent="0.2">
      <c r="A83" s="1"/>
      <c r="B83" s="1"/>
      <c r="C83" s="2" t="s">
        <v>100</v>
      </c>
      <c r="D83" s="1"/>
      <c r="E83" s="1"/>
      <c r="F83" s="12"/>
      <c r="G83" s="12"/>
      <c r="H83" s="69"/>
    </row>
    <row r="84" spans="1:8" x14ac:dyDescent="0.2">
      <c r="A84" s="1"/>
      <c r="B84" s="1"/>
      <c r="C84" s="2" t="s">
        <v>95</v>
      </c>
      <c r="D84" s="1"/>
      <c r="E84" s="1" t="s">
        <v>96</v>
      </c>
      <c r="F84" s="13">
        <v>0</v>
      </c>
      <c r="G84" s="14">
        <v>0</v>
      </c>
      <c r="H84" s="69"/>
    </row>
    <row r="85" spans="1:8" x14ac:dyDescent="0.2">
      <c r="A85" s="1"/>
      <c r="B85" s="1"/>
      <c r="C85" s="11"/>
      <c r="D85" s="1"/>
      <c r="E85" s="1"/>
      <c r="F85" s="12"/>
      <c r="G85" s="12"/>
      <c r="H85" s="69"/>
    </row>
    <row r="86" spans="1:8" x14ac:dyDescent="0.2">
      <c r="A86" s="1"/>
      <c r="B86" s="1"/>
      <c r="C86" s="2" t="s">
        <v>101</v>
      </c>
      <c r="D86" s="1"/>
      <c r="E86" s="1"/>
      <c r="F86" s="12"/>
      <c r="G86" s="12"/>
      <c r="H86" s="69"/>
    </row>
    <row r="87" spans="1:8" x14ac:dyDescent="0.2">
      <c r="A87" s="1"/>
      <c r="B87" s="1"/>
      <c r="C87" s="2" t="s">
        <v>95</v>
      </c>
      <c r="D87" s="1"/>
      <c r="E87" s="1" t="s">
        <v>96</v>
      </c>
      <c r="F87" s="13">
        <v>0</v>
      </c>
      <c r="G87" s="14">
        <v>0</v>
      </c>
      <c r="H87" s="69"/>
    </row>
    <row r="88" spans="1:8" x14ac:dyDescent="0.2">
      <c r="A88" s="1"/>
      <c r="B88" s="1"/>
      <c r="C88" s="11"/>
      <c r="D88" s="1"/>
      <c r="E88" s="1"/>
      <c r="F88" s="12"/>
      <c r="G88" s="12"/>
      <c r="H88" s="69"/>
    </row>
    <row r="89" spans="1:8" x14ac:dyDescent="0.2">
      <c r="A89" s="1"/>
      <c r="B89" s="1"/>
      <c r="C89" s="2" t="s">
        <v>102</v>
      </c>
      <c r="D89" s="1"/>
      <c r="E89" s="1"/>
      <c r="F89" s="9">
        <v>3691.9231445</v>
      </c>
      <c r="G89" s="10">
        <v>0.96608607800000001</v>
      </c>
      <c r="H89" s="69"/>
    </row>
    <row r="90" spans="1:8" x14ac:dyDescent="0.2">
      <c r="A90" s="1"/>
      <c r="B90" s="1"/>
      <c r="C90" s="11"/>
      <c r="D90" s="1"/>
      <c r="E90" s="1"/>
      <c r="F90" s="12"/>
      <c r="G90" s="12"/>
      <c r="H90" s="69"/>
    </row>
    <row r="91" spans="1:8" x14ac:dyDescent="0.2">
      <c r="A91" s="1"/>
      <c r="B91" s="1"/>
      <c r="C91" s="2" t="s">
        <v>103</v>
      </c>
      <c r="D91" s="1"/>
      <c r="E91" s="1"/>
      <c r="F91" s="12"/>
      <c r="G91" s="12"/>
      <c r="H91" s="69"/>
    </row>
    <row r="92" spans="1:8" ht="25.5" x14ac:dyDescent="0.2">
      <c r="A92" s="1"/>
      <c r="B92" s="1"/>
      <c r="C92" s="2" t="s">
        <v>10</v>
      </c>
      <c r="D92" s="1"/>
      <c r="E92" s="1"/>
      <c r="F92" s="12"/>
      <c r="G92" s="12"/>
      <c r="H92" s="69"/>
    </row>
    <row r="93" spans="1:8" x14ac:dyDescent="0.2">
      <c r="A93" s="1"/>
      <c r="B93" s="1"/>
      <c r="C93" s="2" t="s">
        <v>95</v>
      </c>
      <c r="D93" s="1"/>
      <c r="E93" s="1" t="s">
        <v>96</v>
      </c>
      <c r="F93" s="13">
        <v>0</v>
      </c>
      <c r="G93" s="14">
        <v>0</v>
      </c>
      <c r="H93" s="69"/>
    </row>
    <row r="94" spans="1:8" x14ac:dyDescent="0.2">
      <c r="A94" s="1"/>
      <c r="B94" s="1"/>
      <c r="C94" s="11"/>
      <c r="D94" s="1"/>
      <c r="E94" s="1"/>
      <c r="F94" s="12"/>
      <c r="G94" s="12"/>
      <c r="H94" s="69"/>
    </row>
    <row r="95" spans="1:8" x14ac:dyDescent="0.2">
      <c r="A95" s="1"/>
      <c r="B95" s="1"/>
      <c r="C95" s="2" t="s">
        <v>104</v>
      </c>
      <c r="D95" s="1"/>
      <c r="E95" s="1"/>
      <c r="F95" s="1"/>
      <c r="G95" s="1"/>
      <c r="H95" s="69"/>
    </row>
    <row r="96" spans="1:8" x14ac:dyDescent="0.2">
      <c r="A96" s="1"/>
      <c r="B96" s="1"/>
      <c r="C96" s="2" t="s">
        <v>95</v>
      </c>
      <c r="D96" s="1"/>
      <c r="E96" s="1" t="s">
        <v>96</v>
      </c>
      <c r="F96" s="13">
        <v>0</v>
      </c>
      <c r="G96" s="14">
        <v>0</v>
      </c>
      <c r="H96" s="69"/>
    </row>
    <row r="97" spans="1:8" x14ac:dyDescent="0.2">
      <c r="A97" s="1"/>
      <c r="B97" s="1"/>
      <c r="C97" s="11"/>
      <c r="D97" s="1"/>
      <c r="E97" s="1"/>
      <c r="F97" s="12"/>
      <c r="G97" s="12"/>
      <c r="H97" s="69"/>
    </row>
    <row r="98" spans="1:8" x14ac:dyDescent="0.2">
      <c r="A98" s="1"/>
      <c r="B98" s="1"/>
      <c r="C98" s="2" t="s">
        <v>105</v>
      </c>
      <c r="D98" s="1"/>
      <c r="E98" s="1"/>
      <c r="F98" s="1"/>
      <c r="G98" s="1"/>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106</v>
      </c>
      <c r="D101" s="1"/>
      <c r="E101" s="1"/>
      <c r="F101" s="12"/>
      <c r="G101" s="12"/>
      <c r="H101" s="69"/>
    </row>
    <row r="102" spans="1:8" x14ac:dyDescent="0.2">
      <c r="A102" s="1"/>
      <c r="B102" s="1"/>
      <c r="C102" s="2" t="s">
        <v>95</v>
      </c>
      <c r="D102" s="1"/>
      <c r="E102" s="1" t="s">
        <v>96</v>
      </c>
      <c r="F102" s="13">
        <v>0</v>
      </c>
      <c r="G102" s="14">
        <v>0</v>
      </c>
      <c r="H102" s="69"/>
    </row>
    <row r="103" spans="1:8" x14ac:dyDescent="0.2">
      <c r="A103" s="1"/>
      <c r="B103" s="1"/>
      <c r="C103" s="11"/>
      <c r="D103" s="1"/>
      <c r="E103" s="1"/>
      <c r="F103" s="12"/>
      <c r="G103" s="12"/>
      <c r="H103" s="69"/>
    </row>
    <row r="104" spans="1:8" x14ac:dyDescent="0.2">
      <c r="A104" s="1"/>
      <c r="B104" s="1"/>
      <c r="C104" s="2" t="s">
        <v>107</v>
      </c>
      <c r="D104" s="1"/>
      <c r="E104" s="1"/>
      <c r="F104" s="9">
        <v>0</v>
      </c>
      <c r="G104" s="10">
        <v>0</v>
      </c>
      <c r="H104" s="69"/>
    </row>
    <row r="105" spans="1:8" x14ac:dyDescent="0.2">
      <c r="A105" s="1"/>
      <c r="B105" s="1"/>
      <c r="C105" s="11"/>
      <c r="D105" s="1"/>
      <c r="E105" s="1"/>
      <c r="F105" s="12"/>
      <c r="G105" s="12"/>
      <c r="H105" s="69"/>
    </row>
    <row r="106" spans="1:8" x14ac:dyDescent="0.2">
      <c r="A106" s="1"/>
      <c r="B106" s="1"/>
      <c r="C106" s="2" t="s">
        <v>108</v>
      </c>
      <c r="D106" s="1"/>
      <c r="E106" s="1"/>
      <c r="F106" s="12"/>
      <c r="G106" s="12"/>
      <c r="H106" s="69"/>
    </row>
    <row r="107" spans="1:8" x14ac:dyDescent="0.2">
      <c r="A107" s="1"/>
      <c r="B107" s="1"/>
      <c r="C107" s="2" t="s">
        <v>109</v>
      </c>
      <c r="D107" s="1"/>
      <c r="E107" s="1"/>
      <c r="F107" s="12"/>
      <c r="G107" s="12"/>
      <c r="H107" s="69"/>
    </row>
    <row r="108" spans="1:8" x14ac:dyDescent="0.2">
      <c r="A108" s="1"/>
      <c r="B108" s="1"/>
      <c r="C108" s="2" t="s">
        <v>95</v>
      </c>
      <c r="D108" s="1"/>
      <c r="E108" s="1" t="s">
        <v>96</v>
      </c>
      <c r="F108" s="13">
        <v>0</v>
      </c>
      <c r="G108" s="14">
        <v>0</v>
      </c>
      <c r="H108" s="69"/>
    </row>
    <row r="109" spans="1:8" x14ac:dyDescent="0.2">
      <c r="A109" s="1"/>
      <c r="B109" s="1"/>
      <c r="C109" s="11"/>
      <c r="D109" s="1"/>
      <c r="E109" s="1"/>
      <c r="F109" s="12"/>
      <c r="G109" s="12"/>
      <c r="H109" s="69"/>
    </row>
    <row r="110" spans="1:8" x14ac:dyDescent="0.2">
      <c r="A110" s="1"/>
      <c r="B110" s="1"/>
      <c r="C110" s="2" t="s">
        <v>110</v>
      </c>
      <c r="D110" s="1"/>
      <c r="E110" s="1"/>
      <c r="F110" s="12"/>
      <c r="G110" s="12"/>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111</v>
      </c>
      <c r="D113" s="1"/>
      <c r="E113" s="1"/>
      <c r="F113" s="12"/>
      <c r="G113" s="12"/>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2" t="s">
        <v>112</v>
      </c>
      <c r="D116" s="1"/>
      <c r="E116" s="1"/>
      <c r="F116" s="12"/>
      <c r="G116" s="12"/>
      <c r="H116" s="69"/>
    </row>
    <row r="117" spans="1:8" x14ac:dyDescent="0.2">
      <c r="A117" s="3">
        <v>1</v>
      </c>
      <c r="B117" s="4"/>
      <c r="C117" s="4" t="s">
        <v>113</v>
      </c>
      <c r="D117" s="4"/>
      <c r="E117" s="8"/>
      <c r="F117" s="6">
        <v>51.663840299999997</v>
      </c>
      <c r="G117" s="7">
        <v>1.3519165E-2</v>
      </c>
      <c r="H117" s="6">
        <v>3.3628721504199861</v>
      </c>
    </row>
    <row r="118" spans="1:8" x14ac:dyDescent="0.2">
      <c r="A118" s="3">
        <v>2</v>
      </c>
      <c r="B118" s="4"/>
      <c r="C118" s="4" t="s">
        <v>114</v>
      </c>
      <c r="D118" s="4"/>
      <c r="E118" s="8"/>
      <c r="F118" s="6">
        <v>19.952086000000001</v>
      </c>
      <c r="G118" s="7">
        <v>5.2209730000000003E-3</v>
      </c>
      <c r="H118" s="6">
        <v>3.4499999999999966</v>
      </c>
    </row>
    <row r="119" spans="1:8" x14ac:dyDescent="0.2">
      <c r="A119" s="1"/>
      <c r="B119" s="1"/>
      <c r="C119" s="2" t="s">
        <v>95</v>
      </c>
      <c r="D119" s="1"/>
      <c r="E119" s="1" t="s">
        <v>96</v>
      </c>
      <c r="F119" s="9">
        <v>71.615926299999998</v>
      </c>
      <c r="G119" s="10">
        <v>1.8740138E-2</v>
      </c>
      <c r="H119" s="69"/>
    </row>
    <row r="120" spans="1:8" x14ac:dyDescent="0.2">
      <c r="A120" s="1"/>
      <c r="B120" s="1"/>
      <c r="C120" s="11"/>
      <c r="D120" s="1"/>
      <c r="E120" s="1"/>
      <c r="F120" s="12"/>
      <c r="G120" s="12"/>
      <c r="H120" s="69"/>
    </row>
    <row r="121" spans="1:8" x14ac:dyDescent="0.2">
      <c r="A121" s="1"/>
      <c r="B121" s="1"/>
      <c r="C121" s="2" t="s">
        <v>115</v>
      </c>
      <c r="D121" s="1"/>
      <c r="E121" s="1"/>
      <c r="F121" s="9">
        <v>71.615926299999998</v>
      </c>
      <c r="G121" s="10">
        <v>1.8740138E-2</v>
      </c>
      <c r="H121" s="69"/>
    </row>
    <row r="122" spans="1:8" x14ac:dyDescent="0.2">
      <c r="A122" s="1"/>
      <c r="B122" s="1"/>
      <c r="C122" s="12"/>
      <c r="D122" s="1"/>
      <c r="E122" s="1"/>
      <c r="F122" s="1"/>
      <c r="G122" s="1"/>
      <c r="H122" s="69"/>
    </row>
    <row r="123" spans="1:8" x14ac:dyDescent="0.2">
      <c r="A123" s="1"/>
      <c r="B123" s="1"/>
      <c r="C123" s="2" t="s">
        <v>116</v>
      </c>
      <c r="D123" s="1"/>
      <c r="E123" s="1"/>
      <c r="F123" s="1"/>
      <c r="G123" s="1"/>
      <c r="H123" s="69"/>
    </row>
    <row r="124" spans="1:8" x14ac:dyDescent="0.2">
      <c r="A124" s="1"/>
      <c r="B124" s="1"/>
      <c r="C124" s="2" t="s">
        <v>117</v>
      </c>
      <c r="D124" s="1"/>
      <c r="E124" s="1"/>
      <c r="F124" s="1"/>
      <c r="G124" s="1"/>
      <c r="H124" s="69"/>
    </row>
    <row r="125" spans="1:8" x14ac:dyDescent="0.2">
      <c r="A125" s="1"/>
      <c r="B125" s="1"/>
      <c r="C125" s="2" t="s">
        <v>95</v>
      </c>
      <c r="D125" s="1"/>
      <c r="E125" s="1" t="s">
        <v>96</v>
      </c>
      <c r="F125" s="13">
        <v>0</v>
      </c>
      <c r="G125" s="14">
        <v>0</v>
      </c>
      <c r="H125" s="69"/>
    </row>
    <row r="126" spans="1:8" x14ac:dyDescent="0.2">
      <c r="A126" s="1"/>
      <c r="B126" s="1"/>
      <c r="C126" s="11"/>
      <c r="D126" s="1"/>
      <c r="E126" s="1"/>
      <c r="F126" s="12"/>
      <c r="G126" s="12"/>
      <c r="H126" s="69"/>
    </row>
    <row r="127" spans="1:8" x14ac:dyDescent="0.2">
      <c r="A127" s="1"/>
      <c r="B127" s="1"/>
      <c r="C127" s="2" t="s">
        <v>118</v>
      </c>
      <c r="D127" s="1"/>
      <c r="E127" s="1"/>
      <c r="F127" s="1"/>
      <c r="G127" s="1"/>
      <c r="H127" s="69"/>
    </row>
    <row r="128" spans="1:8" x14ac:dyDescent="0.2">
      <c r="A128" s="1"/>
      <c r="B128" s="1"/>
      <c r="C128" s="2" t="s">
        <v>119</v>
      </c>
      <c r="D128" s="1"/>
      <c r="E128" s="1"/>
      <c r="F128" s="1"/>
      <c r="G128" s="1"/>
      <c r="H128" s="69"/>
    </row>
    <row r="129" spans="1:8" x14ac:dyDescent="0.2">
      <c r="A129" s="1"/>
      <c r="B129" s="1"/>
      <c r="C129" s="2" t="s">
        <v>95</v>
      </c>
      <c r="D129" s="1"/>
      <c r="E129" s="1" t="s">
        <v>96</v>
      </c>
      <c r="F129" s="13">
        <v>0</v>
      </c>
      <c r="G129" s="14">
        <v>0</v>
      </c>
      <c r="H129" s="69"/>
    </row>
    <row r="130" spans="1:8" x14ac:dyDescent="0.2">
      <c r="A130" s="1"/>
      <c r="B130" s="1"/>
      <c r="C130" s="11"/>
      <c r="D130" s="1"/>
      <c r="E130" s="1"/>
      <c r="F130" s="12"/>
      <c r="G130" s="12"/>
      <c r="H130" s="69"/>
    </row>
    <row r="131" spans="1:8" x14ac:dyDescent="0.2">
      <c r="A131" s="1"/>
      <c r="B131" s="1"/>
      <c r="C131" s="11"/>
      <c r="D131" s="1"/>
      <c r="E131" s="1"/>
      <c r="F131" s="12"/>
      <c r="G131" s="12"/>
      <c r="H131" s="69"/>
    </row>
    <row r="132" spans="1:8" ht="25.5" x14ac:dyDescent="0.2">
      <c r="A132" s="1"/>
      <c r="B132" s="1"/>
      <c r="C132" s="2" t="s">
        <v>120</v>
      </c>
      <c r="D132" s="1"/>
      <c r="E132" s="1"/>
      <c r="F132" s="12"/>
      <c r="G132" s="12"/>
      <c r="H132" s="69"/>
    </row>
    <row r="133" spans="1:8" x14ac:dyDescent="0.2">
      <c r="A133" s="1"/>
      <c r="B133" s="1"/>
      <c r="C133" s="2" t="s">
        <v>95</v>
      </c>
      <c r="D133" s="1"/>
      <c r="E133" s="1" t="s">
        <v>96</v>
      </c>
      <c r="F133" s="13">
        <v>0</v>
      </c>
      <c r="G133" s="14">
        <v>0</v>
      </c>
      <c r="H133" s="69"/>
    </row>
    <row r="134" spans="1:8" x14ac:dyDescent="0.2">
      <c r="A134" s="1"/>
      <c r="B134" s="1"/>
      <c r="C134" s="11"/>
      <c r="D134" s="1"/>
      <c r="E134" s="1"/>
      <c r="F134" s="12"/>
      <c r="G134" s="12"/>
      <c r="H134" s="69"/>
    </row>
    <row r="135" spans="1:8" x14ac:dyDescent="0.2">
      <c r="A135" s="1"/>
      <c r="B135" s="4"/>
      <c r="C135" s="4"/>
      <c r="D135" s="2"/>
      <c r="E135" s="1"/>
      <c r="F135" s="4"/>
      <c r="G135" s="8"/>
      <c r="H135" s="69"/>
    </row>
    <row r="136" spans="1:8" x14ac:dyDescent="0.2">
      <c r="A136" s="8"/>
      <c r="B136" s="4"/>
      <c r="C136" s="4" t="s">
        <v>121</v>
      </c>
      <c r="D136" s="4"/>
      <c r="E136" s="8"/>
      <c r="F136" s="6">
        <v>57.986997700000003</v>
      </c>
      <c r="G136" s="7">
        <v>1.517378E-2</v>
      </c>
      <c r="H136" s="69"/>
    </row>
    <row r="137" spans="1:8" x14ac:dyDescent="0.2">
      <c r="A137" s="11"/>
      <c r="B137" s="11"/>
      <c r="C137" s="2" t="s">
        <v>122</v>
      </c>
      <c r="D137" s="15"/>
      <c r="E137" s="15"/>
      <c r="F137" s="9">
        <v>3821.5260684999998</v>
      </c>
      <c r="G137" s="10">
        <v>0.999999996</v>
      </c>
      <c r="H137" s="69"/>
    </row>
    <row r="138" spans="1:8" ht="14.1" customHeight="1" x14ac:dyDescent="0.2">
      <c r="A138" s="16"/>
      <c r="B138" s="16"/>
      <c r="C138" s="16"/>
      <c r="D138" s="17"/>
      <c r="E138" s="17"/>
      <c r="F138" s="17"/>
      <c r="G138" s="17"/>
    </row>
    <row r="139" spans="1:8" ht="14.1" customHeight="1" x14ac:dyDescent="0.2">
      <c r="A139" s="18"/>
      <c r="B139" s="176" t="s">
        <v>96</v>
      </c>
      <c r="C139" s="176"/>
      <c r="D139" s="176"/>
      <c r="E139" s="176"/>
      <c r="F139" s="176"/>
      <c r="G139" s="20"/>
    </row>
    <row r="140" spans="1:8" ht="17.100000000000001" customHeight="1" x14ac:dyDescent="0.2">
      <c r="A140" s="18"/>
      <c r="B140" s="176" t="s">
        <v>123</v>
      </c>
      <c r="C140" s="176"/>
      <c r="D140" s="176"/>
      <c r="E140" s="176"/>
      <c r="F140" s="176"/>
      <c r="G140" s="20"/>
    </row>
    <row r="141" spans="1:8" ht="14.1" customHeight="1" x14ac:dyDescent="0.2">
      <c r="A141" s="18"/>
      <c r="B141" s="18"/>
      <c r="C141" s="18"/>
      <c r="D141" s="20"/>
      <c r="E141" s="20"/>
      <c r="F141" s="20"/>
      <c r="G141" s="20"/>
    </row>
    <row r="142" spans="1:8" ht="14.1" customHeight="1" x14ac:dyDescent="0.2">
      <c r="A142" s="18"/>
      <c r="B142" s="174" t="s">
        <v>124</v>
      </c>
      <c r="C142" s="175"/>
      <c r="D142" s="12" t="s">
        <v>96</v>
      </c>
      <c r="E142" s="21"/>
      <c r="F142" s="20"/>
      <c r="G142" s="20"/>
    </row>
    <row r="143" spans="1:8" ht="29.1" customHeight="1" x14ac:dyDescent="0.2">
      <c r="A143" s="18"/>
      <c r="B143" s="172" t="s">
        <v>125</v>
      </c>
      <c r="C143" s="173"/>
      <c r="D143" s="2" t="s">
        <v>126</v>
      </c>
      <c r="E143" s="21"/>
      <c r="F143" s="20"/>
      <c r="G143" s="20"/>
    </row>
    <row r="144" spans="1:8" ht="17.100000000000001" customHeight="1" x14ac:dyDescent="0.2">
      <c r="A144" s="18"/>
      <c r="B144" s="172" t="s">
        <v>127</v>
      </c>
      <c r="C144" s="173"/>
      <c r="D144" s="2" t="s">
        <v>126</v>
      </c>
      <c r="E144" s="21"/>
      <c r="F144" s="20"/>
      <c r="G144" s="20"/>
    </row>
    <row r="145" spans="1:16" ht="17.100000000000001" customHeight="1" x14ac:dyDescent="0.2">
      <c r="A145" s="18"/>
      <c r="B145" s="172" t="s">
        <v>128</v>
      </c>
      <c r="C145" s="173"/>
      <c r="D145" s="12" t="s">
        <v>96</v>
      </c>
      <c r="E145" s="21"/>
      <c r="F145" s="20"/>
      <c r="G145" s="20"/>
    </row>
    <row r="146" spans="1:16" ht="24" customHeight="1" x14ac:dyDescent="0.2">
      <c r="A146" s="22"/>
      <c r="B146" s="23" t="s">
        <v>96</v>
      </c>
      <c r="C146" s="23" t="s">
        <v>129</v>
      </c>
      <c r="D146" s="23" t="s">
        <v>130</v>
      </c>
      <c r="E146" s="22"/>
      <c r="F146" s="22"/>
      <c r="G146" s="22"/>
    </row>
    <row r="147" spans="1:16" ht="18" customHeight="1" x14ac:dyDescent="0.2">
      <c r="A147" s="22"/>
      <c r="B147" s="23" t="s">
        <v>131</v>
      </c>
      <c r="C147" s="23" t="s">
        <v>132</v>
      </c>
      <c r="D147" s="23" t="s">
        <v>133</v>
      </c>
      <c r="E147" s="22"/>
      <c r="F147" s="22"/>
      <c r="G147" s="22"/>
    </row>
    <row r="148" spans="1:16" ht="17.100000000000001" customHeight="1" x14ac:dyDescent="0.2">
      <c r="A148" s="22"/>
      <c r="B148" s="4" t="s">
        <v>134</v>
      </c>
      <c r="C148" s="24">
        <v>15.981299999999999</v>
      </c>
      <c r="D148" s="24">
        <v>15.7905</v>
      </c>
      <c r="E148" s="22"/>
      <c r="F148" s="19"/>
      <c r="G148" s="25"/>
    </row>
    <row r="149" spans="1:16" ht="17.100000000000001" customHeight="1" x14ac:dyDescent="0.2">
      <c r="A149" s="22"/>
      <c r="B149" s="4" t="s">
        <v>983</v>
      </c>
      <c r="C149" s="24">
        <v>15.981299999999999</v>
      </c>
      <c r="D149" s="24">
        <v>15.7905</v>
      </c>
      <c r="E149" s="22"/>
      <c r="F149" s="19"/>
      <c r="G149" s="25"/>
    </row>
    <row r="150" spans="1:16" ht="17.100000000000001" customHeight="1" x14ac:dyDescent="0.2">
      <c r="A150" s="22"/>
      <c r="B150" s="4" t="s">
        <v>135</v>
      </c>
      <c r="C150" s="24">
        <v>15.6934</v>
      </c>
      <c r="D150" s="24">
        <v>15.5047</v>
      </c>
      <c r="E150" s="22"/>
      <c r="F150" s="19"/>
      <c r="G150" s="25"/>
    </row>
    <row r="151" spans="1:16" ht="17.100000000000001" customHeight="1" x14ac:dyDescent="0.2">
      <c r="A151" s="22"/>
      <c r="B151" s="4" t="s">
        <v>984</v>
      </c>
      <c r="C151" s="24">
        <v>15.693300000000001</v>
      </c>
      <c r="D151" s="24">
        <v>15.5045</v>
      </c>
      <c r="E151" s="22"/>
      <c r="F151" s="19"/>
      <c r="G151" s="25"/>
    </row>
    <row r="152" spans="1:16" ht="14.1" customHeight="1" x14ac:dyDescent="0.2">
      <c r="A152" s="22"/>
      <c r="B152" s="22"/>
      <c r="C152" s="22"/>
      <c r="D152" s="22"/>
      <c r="E152" s="22"/>
      <c r="F152" s="22"/>
      <c r="G152" s="22"/>
    </row>
    <row r="153" spans="1:16" ht="17.100000000000001" customHeight="1" x14ac:dyDescent="0.2">
      <c r="A153" s="22"/>
      <c r="B153" s="172" t="s">
        <v>985</v>
      </c>
      <c r="C153" s="173"/>
      <c r="D153" s="2" t="s">
        <v>126</v>
      </c>
      <c r="E153" s="22"/>
      <c r="F153" s="22"/>
      <c r="G153" s="22"/>
    </row>
    <row r="154" spans="1:16" ht="18" customHeight="1" x14ac:dyDescent="0.2">
      <c r="A154" s="22"/>
      <c r="B154" s="26" t="s">
        <v>136</v>
      </c>
      <c r="C154" s="26" t="s">
        <v>136</v>
      </c>
      <c r="D154" s="26"/>
      <c r="E154" s="22"/>
      <c r="F154" s="22"/>
      <c r="G154" s="22"/>
    </row>
    <row r="155" spans="1:16" s="82" customFormat="1" x14ac:dyDescent="0.2">
      <c r="B155" s="177" t="s">
        <v>936</v>
      </c>
      <c r="C155" s="177"/>
      <c r="D155" s="177"/>
      <c r="E155" s="177"/>
      <c r="F155" s="177"/>
      <c r="P155" s="70"/>
    </row>
    <row r="156" spans="1:16" ht="14.1" customHeight="1" x14ac:dyDescent="0.2">
      <c r="A156" s="22"/>
      <c r="B156" s="19"/>
      <c r="C156" s="19"/>
      <c r="D156" s="22"/>
      <c r="E156" s="22"/>
      <c r="F156" s="22"/>
      <c r="G156" s="22"/>
    </row>
    <row r="157" spans="1:16" ht="29.1" customHeight="1" x14ac:dyDescent="0.2">
      <c r="A157" s="22"/>
      <c r="B157" s="172" t="s">
        <v>137</v>
      </c>
      <c r="C157" s="173"/>
      <c r="D157" s="2" t="s">
        <v>126</v>
      </c>
      <c r="E157" s="22"/>
      <c r="F157" s="22"/>
      <c r="G157" s="22"/>
    </row>
    <row r="158" spans="1:16" ht="29.1" customHeight="1" x14ac:dyDescent="0.2">
      <c r="A158" s="22"/>
      <c r="B158" s="172" t="s">
        <v>138</v>
      </c>
      <c r="C158" s="173"/>
      <c r="D158" s="2" t="s">
        <v>126</v>
      </c>
      <c r="E158" s="22"/>
      <c r="F158" s="22"/>
      <c r="G158" s="22"/>
    </row>
    <row r="159" spans="1:16" ht="17.100000000000001" customHeight="1" x14ac:dyDescent="0.2">
      <c r="A159" s="22"/>
      <c r="B159" s="172" t="s">
        <v>139</v>
      </c>
      <c r="C159" s="173"/>
      <c r="D159" s="27">
        <v>0.27563244926760549</v>
      </c>
      <c r="E159" s="22"/>
      <c r="F159" s="19"/>
      <c r="G159" s="25"/>
    </row>
    <row r="160" spans="1:16" ht="17.100000000000001" customHeight="1" x14ac:dyDescent="0.2">
      <c r="A160" s="22"/>
      <c r="B160" s="172" t="s">
        <v>140</v>
      </c>
      <c r="C160" s="173"/>
      <c r="D160" s="2" t="s">
        <v>126</v>
      </c>
      <c r="E160" s="22"/>
      <c r="F160" s="22"/>
      <c r="G160" s="22"/>
    </row>
  </sheetData>
  <mergeCells count="16">
    <mergeCell ref="B160:C160"/>
    <mergeCell ref="B143:C143"/>
    <mergeCell ref="B144:C144"/>
    <mergeCell ref="B145:C145"/>
    <mergeCell ref="B153:C153"/>
    <mergeCell ref="B157:C157"/>
    <mergeCell ref="B158:C158"/>
    <mergeCell ref="B155:F155"/>
    <mergeCell ref="A1:H1"/>
    <mergeCell ref="A2:H2"/>
    <mergeCell ref="A3:H3"/>
    <mergeCell ref="J2:N2"/>
    <mergeCell ref="B159:C159"/>
    <mergeCell ref="B142:C142"/>
    <mergeCell ref="B139:F139"/>
    <mergeCell ref="B140:F140"/>
  </mergeCell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P15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510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12666</v>
      </c>
      <c r="F7" s="6">
        <v>139.94663399999999</v>
      </c>
      <c r="G7" s="7">
        <v>3.6954721000000003E-2</v>
      </c>
      <c r="H7" s="69"/>
    </row>
    <row r="8" spans="1:14" x14ac:dyDescent="0.2">
      <c r="A8" s="3">
        <v>2</v>
      </c>
      <c r="B8" s="4" t="s">
        <v>147</v>
      </c>
      <c r="C8" s="4" t="s">
        <v>148</v>
      </c>
      <c r="D8" s="4" t="s">
        <v>78</v>
      </c>
      <c r="E8" s="5">
        <v>99567</v>
      </c>
      <c r="F8" s="6">
        <v>120.7249875</v>
      </c>
      <c r="G8" s="7">
        <v>3.1878996E-2</v>
      </c>
      <c r="H8" s="69"/>
    </row>
    <row r="9" spans="1:14" x14ac:dyDescent="0.2">
      <c r="A9" s="3">
        <v>3</v>
      </c>
      <c r="B9" s="4" t="s">
        <v>142</v>
      </c>
      <c r="C9" s="4" t="s">
        <v>143</v>
      </c>
      <c r="D9" s="4" t="s">
        <v>144</v>
      </c>
      <c r="E9" s="5">
        <v>3099</v>
      </c>
      <c r="F9" s="6">
        <v>115.93359</v>
      </c>
      <c r="G9" s="7">
        <v>3.0613765000000001E-2</v>
      </c>
      <c r="H9" s="69"/>
    </row>
    <row r="10" spans="1:14" x14ac:dyDescent="0.2">
      <c r="A10" s="3">
        <v>4</v>
      </c>
      <c r="B10" s="4" t="s">
        <v>25</v>
      </c>
      <c r="C10" s="4" t="s">
        <v>26</v>
      </c>
      <c r="D10" s="4" t="s">
        <v>27</v>
      </c>
      <c r="E10" s="5">
        <v>6974</v>
      </c>
      <c r="F10" s="6">
        <v>112.508055</v>
      </c>
      <c r="G10" s="7">
        <v>2.9709209E-2</v>
      </c>
      <c r="H10" s="69"/>
    </row>
    <row r="11" spans="1:14" x14ac:dyDescent="0.2">
      <c r="A11" s="3">
        <v>5</v>
      </c>
      <c r="B11" s="4" t="s">
        <v>149</v>
      </c>
      <c r="C11" s="4" t="s">
        <v>150</v>
      </c>
      <c r="D11" s="4" t="s">
        <v>75</v>
      </c>
      <c r="E11" s="5">
        <v>18604</v>
      </c>
      <c r="F11" s="6">
        <v>111.92166400000001</v>
      </c>
      <c r="G11" s="7">
        <v>2.9554364E-2</v>
      </c>
      <c r="H11" s="69"/>
    </row>
    <row r="12" spans="1:14" x14ac:dyDescent="0.2">
      <c r="A12" s="3">
        <v>6</v>
      </c>
      <c r="B12" s="4" t="s">
        <v>156</v>
      </c>
      <c r="C12" s="4" t="s">
        <v>157</v>
      </c>
      <c r="D12" s="4" t="s">
        <v>27</v>
      </c>
      <c r="E12" s="5">
        <v>14411</v>
      </c>
      <c r="F12" s="6">
        <v>111.814949</v>
      </c>
      <c r="G12" s="7">
        <v>2.9526185E-2</v>
      </c>
      <c r="H12" s="69"/>
    </row>
    <row r="13" spans="1:14" x14ac:dyDescent="0.2">
      <c r="A13" s="3">
        <v>7</v>
      </c>
      <c r="B13" s="4" t="s">
        <v>79</v>
      </c>
      <c r="C13" s="4" t="s">
        <v>80</v>
      </c>
      <c r="D13" s="4" t="s">
        <v>75</v>
      </c>
      <c r="E13" s="5">
        <v>27098</v>
      </c>
      <c r="F13" s="6">
        <v>101.12973599999999</v>
      </c>
      <c r="G13" s="7">
        <v>2.6704616E-2</v>
      </c>
      <c r="H13" s="69"/>
    </row>
    <row r="14" spans="1:14" ht="25.5" x14ac:dyDescent="0.2">
      <c r="A14" s="3">
        <v>8</v>
      </c>
      <c r="B14" s="4" t="s">
        <v>151</v>
      </c>
      <c r="C14" s="4" t="s">
        <v>152</v>
      </c>
      <c r="D14" s="4" t="s">
        <v>45</v>
      </c>
      <c r="E14" s="5">
        <v>65865</v>
      </c>
      <c r="F14" s="6">
        <v>98.237647499999994</v>
      </c>
      <c r="G14" s="7">
        <v>2.5940923000000001E-2</v>
      </c>
      <c r="H14" s="69"/>
    </row>
    <row r="15" spans="1:14" ht="15" x14ac:dyDescent="0.2">
      <c r="A15" s="3">
        <v>9</v>
      </c>
      <c r="B15" s="4" t="s">
        <v>165</v>
      </c>
      <c r="C15" s="4" t="s">
        <v>166</v>
      </c>
      <c r="D15" s="4" t="s">
        <v>155</v>
      </c>
      <c r="E15" s="5">
        <v>19099</v>
      </c>
      <c r="F15" s="6">
        <v>94.473203499999997</v>
      </c>
      <c r="G15" s="7">
        <v>2.4946873000000001E-2</v>
      </c>
      <c r="H15" s="69"/>
      <c r="J15" s="160" t="s">
        <v>1017</v>
      </c>
    </row>
    <row r="16" spans="1:14" x14ac:dyDescent="0.2">
      <c r="A16" s="3">
        <v>10</v>
      </c>
      <c r="B16" s="4" t="s">
        <v>56</v>
      </c>
      <c r="C16" s="4" t="s">
        <v>57</v>
      </c>
      <c r="D16" s="4" t="s">
        <v>53</v>
      </c>
      <c r="E16" s="5">
        <v>18710</v>
      </c>
      <c r="F16" s="6">
        <v>94.008394999999993</v>
      </c>
      <c r="G16" s="7">
        <v>2.4824134000000001E-2</v>
      </c>
      <c r="H16" s="69"/>
    </row>
    <row r="17" spans="1:8" x14ac:dyDescent="0.2">
      <c r="A17" s="3">
        <v>11</v>
      </c>
      <c r="B17" s="4" t="s">
        <v>173</v>
      </c>
      <c r="C17" s="4" t="s">
        <v>174</v>
      </c>
      <c r="D17" s="4" t="s">
        <v>175</v>
      </c>
      <c r="E17" s="5">
        <v>35495</v>
      </c>
      <c r="F17" s="6">
        <v>89.820097500000003</v>
      </c>
      <c r="G17" s="7">
        <v>2.3718159999999999E-2</v>
      </c>
      <c r="H17" s="69"/>
    </row>
    <row r="18" spans="1:8" x14ac:dyDescent="0.2">
      <c r="A18" s="3">
        <v>12</v>
      </c>
      <c r="B18" s="4" t="s">
        <v>176</v>
      </c>
      <c r="C18" s="4" t="s">
        <v>177</v>
      </c>
      <c r="D18" s="4" t="s">
        <v>78</v>
      </c>
      <c r="E18" s="5">
        <v>10478</v>
      </c>
      <c r="F18" s="6">
        <v>84.808931999999999</v>
      </c>
      <c r="G18" s="7">
        <v>2.2394897E-2</v>
      </c>
      <c r="H18" s="69"/>
    </row>
    <row r="19" spans="1:8" x14ac:dyDescent="0.2">
      <c r="A19" s="3">
        <v>13</v>
      </c>
      <c r="B19" s="4" t="s">
        <v>153</v>
      </c>
      <c r="C19" s="4" t="s">
        <v>154</v>
      </c>
      <c r="D19" s="4" t="s">
        <v>155</v>
      </c>
      <c r="E19" s="5">
        <v>2026</v>
      </c>
      <c r="F19" s="6">
        <v>83.852087999999995</v>
      </c>
      <c r="G19" s="7">
        <v>2.2142229999999999E-2</v>
      </c>
      <c r="H19" s="69"/>
    </row>
    <row r="20" spans="1:8" x14ac:dyDescent="0.2">
      <c r="A20" s="3">
        <v>14</v>
      </c>
      <c r="B20" s="4" t="s">
        <v>167</v>
      </c>
      <c r="C20" s="4" t="s">
        <v>168</v>
      </c>
      <c r="D20" s="4" t="s">
        <v>976</v>
      </c>
      <c r="E20" s="5">
        <v>8070</v>
      </c>
      <c r="F20" s="6">
        <v>81.849975000000001</v>
      </c>
      <c r="G20" s="7">
        <v>2.1613546000000001E-2</v>
      </c>
      <c r="H20" s="69"/>
    </row>
    <row r="21" spans="1:8" x14ac:dyDescent="0.2">
      <c r="A21" s="3">
        <v>15</v>
      </c>
      <c r="B21" s="4" t="s">
        <v>41</v>
      </c>
      <c r="C21" s="4" t="s">
        <v>42</v>
      </c>
      <c r="D21" s="4" t="s">
        <v>27</v>
      </c>
      <c r="E21" s="5">
        <v>6458</v>
      </c>
      <c r="F21" s="6">
        <v>80.205130999999994</v>
      </c>
      <c r="G21" s="7">
        <v>2.1179203000000001E-2</v>
      </c>
      <c r="H21" s="69"/>
    </row>
    <row r="22" spans="1:8" ht="25.5" x14ac:dyDescent="0.2">
      <c r="A22" s="3">
        <v>16</v>
      </c>
      <c r="B22" s="4" t="s">
        <v>205</v>
      </c>
      <c r="C22" s="4" t="s">
        <v>206</v>
      </c>
      <c r="D22" s="4" t="s">
        <v>207</v>
      </c>
      <c r="E22" s="5">
        <v>18738</v>
      </c>
      <c r="F22" s="6">
        <v>79.992521999999994</v>
      </c>
      <c r="G22" s="7">
        <v>2.1123060999999999E-2</v>
      </c>
      <c r="H22" s="69"/>
    </row>
    <row r="23" spans="1:8" x14ac:dyDescent="0.2">
      <c r="A23" s="3">
        <v>17</v>
      </c>
      <c r="B23" s="4" t="s">
        <v>163</v>
      </c>
      <c r="C23" s="4" t="s">
        <v>164</v>
      </c>
      <c r="D23" s="4" t="s">
        <v>975</v>
      </c>
      <c r="E23" s="5">
        <v>19524</v>
      </c>
      <c r="F23" s="6">
        <v>78.144810000000007</v>
      </c>
      <c r="G23" s="7">
        <v>2.0635148999999998E-2</v>
      </c>
      <c r="H23" s="69"/>
    </row>
    <row r="24" spans="1:8" ht="25.5" x14ac:dyDescent="0.2">
      <c r="A24" s="3">
        <v>18</v>
      </c>
      <c r="B24" s="4" t="s">
        <v>37</v>
      </c>
      <c r="C24" s="4" t="s">
        <v>38</v>
      </c>
      <c r="D24" s="4" t="s">
        <v>974</v>
      </c>
      <c r="E24" s="5">
        <v>2325</v>
      </c>
      <c r="F24" s="6">
        <v>75.212587499999998</v>
      </c>
      <c r="G24" s="7">
        <v>1.9860857999999999E-2</v>
      </c>
      <c r="H24" s="69"/>
    </row>
    <row r="25" spans="1:8" ht="25.5" x14ac:dyDescent="0.2">
      <c r="A25" s="3">
        <v>19</v>
      </c>
      <c r="B25" s="4" t="s">
        <v>463</v>
      </c>
      <c r="C25" s="4" t="s">
        <v>464</v>
      </c>
      <c r="D25" s="4" t="s">
        <v>45</v>
      </c>
      <c r="E25" s="5">
        <v>4818</v>
      </c>
      <c r="F25" s="6">
        <v>73.310687999999999</v>
      </c>
      <c r="G25" s="7">
        <v>1.9358635999999999E-2</v>
      </c>
      <c r="H25" s="69"/>
    </row>
    <row r="26" spans="1:8" x14ac:dyDescent="0.2">
      <c r="A26" s="3">
        <v>20</v>
      </c>
      <c r="B26" s="4" t="s">
        <v>202</v>
      </c>
      <c r="C26" s="4" t="s">
        <v>203</v>
      </c>
      <c r="D26" s="4" t="s">
        <v>204</v>
      </c>
      <c r="E26" s="5">
        <v>17579</v>
      </c>
      <c r="F26" s="6">
        <v>68.241677999999993</v>
      </c>
      <c r="G26" s="7">
        <v>1.8020099000000001E-2</v>
      </c>
      <c r="H26" s="69"/>
    </row>
    <row r="27" spans="1:8" x14ac:dyDescent="0.2">
      <c r="A27" s="3">
        <v>21</v>
      </c>
      <c r="B27" s="4" t="s">
        <v>73</v>
      </c>
      <c r="C27" s="4" t="s">
        <v>74</v>
      </c>
      <c r="D27" s="4" t="s">
        <v>75</v>
      </c>
      <c r="E27" s="5">
        <v>2243</v>
      </c>
      <c r="F27" s="6">
        <v>67.950563500000001</v>
      </c>
      <c r="G27" s="7">
        <v>1.7943226E-2</v>
      </c>
      <c r="H27" s="69"/>
    </row>
    <row r="28" spans="1:8" x14ac:dyDescent="0.2">
      <c r="A28" s="3">
        <v>22</v>
      </c>
      <c r="B28" s="4" t="s">
        <v>219</v>
      </c>
      <c r="C28" s="4" t="s">
        <v>220</v>
      </c>
      <c r="D28" s="4" t="s">
        <v>221</v>
      </c>
      <c r="E28" s="5">
        <v>32045</v>
      </c>
      <c r="F28" s="6">
        <v>67.42268</v>
      </c>
      <c r="G28" s="7">
        <v>1.7803831999999999E-2</v>
      </c>
      <c r="H28" s="69"/>
    </row>
    <row r="29" spans="1:8" x14ac:dyDescent="0.2">
      <c r="A29" s="3">
        <v>23</v>
      </c>
      <c r="B29" s="4" t="s">
        <v>283</v>
      </c>
      <c r="C29" s="4" t="s">
        <v>284</v>
      </c>
      <c r="D29" s="4" t="s">
        <v>32</v>
      </c>
      <c r="E29" s="5">
        <v>16845</v>
      </c>
      <c r="F29" s="6">
        <v>65.425979999999996</v>
      </c>
      <c r="G29" s="7">
        <v>1.7276577000000001E-2</v>
      </c>
      <c r="H29" s="69"/>
    </row>
    <row r="30" spans="1:8" x14ac:dyDescent="0.2">
      <c r="A30" s="3">
        <v>24</v>
      </c>
      <c r="B30" s="4" t="s">
        <v>187</v>
      </c>
      <c r="C30" s="4" t="s">
        <v>188</v>
      </c>
      <c r="D30" s="4" t="s">
        <v>978</v>
      </c>
      <c r="E30" s="5">
        <v>7162</v>
      </c>
      <c r="F30" s="6">
        <v>64.003213000000002</v>
      </c>
      <c r="G30" s="7">
        <v>1.6900877000000002E-2</v>
      </c>
      <c r="H30" s="69"/>
    </row>
    <row r="31" spans="1:8" x14ac:dyDescent="0.2">
      <c r="A31" s="3">
        <v>25</v>
      </c>
      <c r="B31" s="4" t="s">
        <v>181</v>
      </c>
      <c r="C31" s="4" t="s">
        <v>182</v>
      </c>
      <c r="D31" s="4" t="s">
        <v>155</v>
      </c>
      <c r="E31" s="5">
        <v>6046</v>
      </c>
      <c r="F31" s="6">
        <v>61.212727000000001</v>
      </c>
      <c r="G31" s="7">
        <v>1.6164013000000001E-2</v>
      </c>
      <c r="H31" s="69"/>
    </row>
    <row r="32" spans="1:8" x14ac:dyDescent="0.2">
      <c r="A32" s="3">
        <v>26</v>
      </c>
      <c r="B32" s="4" t="s">
        <v>183</v>
      </c>
      <c r="C32" s="4" t="s">
        <v>184</v>
      </c>
      <c r="D32" s="4" t="s">
        <v>75</v>
      </c>
      <c r="E32" s="5">
        <v>6322</v>
      </c>
      <c r="F32" s="6">
        <v>60.153829999999999</v>
      </c>
      <c r="G32" s="7">
        <v>1.5884398000000001E-2</v>
      </c>
      <c r="H32" s="69"/>
    </row>
    <row r="33" spans="1:8" x14ac:dyDescent="0.2">
      <c r="A33" s="3">
        <v>27</v>
      </c>
      <c r="B33" s="4" t="s">
        <v>198</v>
      </c>
      <c r="C33" s="4" t="s">
        <v>199</v>
      </c>
      <c r="D33" s="4" t="s">
        <v>78</v>
      </c>
      <c r="E33" s="5">
        <v>10108</v>
      </c>
      <c r="F33" s="6">
        <v>59.647308000000002</v>
      </c>
      <c r="G33" s="7">
        <v>1.5750644000000001E-2</v>
      </c>
      <c r="H33" s="69"/>
    </row>
    <row r="34" spans="1:8" x14ac:dyDescent="0.2">
      <c r="A34" s="3">
        <v>28</v>
      </c>
      <c r="B34" s="4" t="s">
        <v>212</v>
      </c>
      <c r="C34" s="4" t="s">
        <v>213</v>
      </c>
      <c r="D34" s="4" t="s">
        <v>979</v>
      </c>
      <c r="E34" s="5">
        <v>10737</v>
      </c>
      <c r="F34" s="6">
        <v>58.892445000000002</v>
      </c>
      <c r="G34" s="7">
        <v>1.5551313000000001E-2</v>
      </c>
      <c r="H34" s="69"/>
    </row>
    <row r="35" spans="1:8" x14ac:dyDescent="0.2">
      <c r="A35" s="3">
        <v>29</v>
      </c>
      <c r="B35" s="4" t="s">
        <v>225</v>
      </c>
      <c r="C35" s="4" t="s">
        <v>226</v>
      </c>
      <c r="D35" s="4" t="s">
        <v>204</v>
      </c>
      <c r="E35" s="5">
        <v>11402</v>
      </c>
      <c r="F35" s="6">
        <v>57.996273000000002</v>
      </c>
      <c r="G35" s="7">
        <v>1.5314667000000001E-2</v>
      </c>
      <c r="H35" s="69"/>
    </row>
    <row r="36" spans="1:8" x14ac:dyDescent="0.2">
      <c r="A36" s="3">
        <v>30</v>
      </c>
      <c r="B36" s="4" t="s">
        <v>208</v>
      </c>
      <c r="C36" s="4" t="s">
        <v>209</v>
      </c>
      <c r="D36" s="4" t="s">
        <v>78</v>
      </c>
      <c r="E36" s="5">
        <v>108845</v>
      </c>
      <c r="F36" s="6">
        <v>54.640189999999997</v>
      </c>
      <c r="G36" s="7">
        <v>1.4428450000000001E-2</v>
      </c>
      <c r="H36" s="69"/>
    </row>
    <row r="37" spans="1:8" x14ac:dyDescent="0.2">
      <c r="A37" s="3">
        <v>31</v>
      </c>
      <c r="B37" s="4" t="s">
        <v>161</v>
      </c>
      <c r="C37" s="4" t="s">
        <v>162</v>
      </c>
      <c r="D37" s="4" t="s">
        <v>22</v>
      </c>
      <c r="E37" s="5">
        <v>28705</v>
      </c>
      <c r="F37" s="6">
        <v>52.429682499999998</v>
      </c>
      <c r="G37" s="7">
        <v>1.3844736E-2</v>
      </c>
      <c r="H37" s="69"/>
    </row>
    <row r="38" spans="1:8" x14ac:dyDescent="0.2">
      <c r="A38" s="3">
        <v>32</v>
      </c>
      <c r="B38" s="4" t="s">
        <v>191</v>
      </c>
      <c r="C38" s="4" t="s">
        <v>192</v>
      </c>
      <c r="D38" s="4" t="s">
        <v>53</v>
      </c>
      <c r="E38" s="5">
        <v>54093</v>
      </c>
      <c r="F38" s="6">
        <v>52.037466000000002</v>
      </c>
      <c r="G38" s="7">
        <v>1.3741167E-2</v>
      </c>
      <c r="H38" s="69"/>
    </row>
    <row r="39" spans="1:8" x14ac:dyDescent="0.2">
      <c r="A39" s="3">
        <v>33</v>
      </c>
      <c r="B39" s="4" t="s">
        <v>178</v>
      </c>
      <c r="C39" s="4" t="s">
        <v>179</v>
      </c>
      <c r="D39" s="4" t="s">
        <v>180</v>
      </c>
      <c r="E39" s="5">
        <v>5370</v>
      </c>
      <c r="F39" s="6">
        <v>50.596139999999998</v>
      </c>
      <c r="G39" s="7">
        <v>1.3360566000000001E-2</v>
      </c>
      <c r="H39" s="69"/>
    </row>
    <row r="40" spans="1:8" ht="25.5" x14ac:dyDescent="0.2">
      <c r="A40" s="3">
        <v>34</v>
      </c>
      <c r="B40" s="4" t="s">
        <v>233</v>
      </c>
      <c r="C40" s="4" t="s">
        <v>234</v>
      </c>
      <c r="D40" s="4" t="s">
        <v>207</v>
      </c>
      <c r="E40" s="5">
        <v>11863</v>
      </c>
      <c r="F40" s="6">
        <v>47.908725500000003</v>
      </c>
      <c r="G40" s="7">
        <v>1.2650919E-2</v>
      </c>
      <c r="H40" s="69"/>
    </row>
    <row r="41" spans="1:8" x14ac:dyDescent="0.2">
      <c r="A41" s="3">
        <v>35</v>
      </c>
      <c r="B41" s="4" t="s">
        <v>193</v>
      </c>
      <c r="C41" s="4" t="s">
        <v>194</v>
      </c>
      <c r="D41" s="4" t="s">
        <v>195</v>
      </c>
      <c r="E41" s="5">
        <v>9854</v>
      </c>
      <c r="F41" s="6">
        <v>47.387886000000002</v>
      </c>
      <c r="G41" s="7">
        <v>1.2513385E-2</v>
      </c>
      <c r="H41" s="69"/>
    </row>
    <row r="42" spans="1:8" ht="25.5" x14ac:dyDescent="0.2">
      <c r="A42" s="3">
        <v>36</v>
      </c>
      <c r="B42" s="4" t="s">
        <v>239</v>
      </c>
      <c r="C42" s="4" t="s">
        <v>240</v>
      </c>
      <c r="D42" s="4" t="s">
        <v>980</v>
      </c>
      <c r="E42" s="5">
        <v>43509</v>
      </c>
      <c r="F42" s="6">
        <v>43.552509000000001</v>
      </c>
      <c r="G42" s="7">
        <v>1.1500603999999999E-2</v>
      </c>
      <c r="H42" s="69"/>
    </row>
    <row r="43" spans="1:8" x14ac:dyDescent="0.2">
      <c r="A43" s="3">
        <v>37</v>
      </c>
      <c r="B43" s="4" t="s">
        <v>214</v>
      </c>
      <c r="C43" s="4" t="s">
        <v>215</v>
      </c>
      <c r="D43" s="4" t="s">
        <v>979</v>
      </c>
      <c r="E43" s="5">
        <v>4236</v>
      </c>
      <c r="F43" s="6">
        <v>43.222026</v>
      </c>
      <c r="G43" s="7">
        <v>1.1413336E-2</v>
      </c>
      <c r="H43" s="69"/>
    </row>
    <row r="44" spans="1:8" x14ac:dyDescent="0.2">
      <c r="A44" s="3">
        <v>38</v>
      </c>
      <c r="B44" s="4" t="s">
        <v>258</v>
      </c>
      <c r="C44" s="4" t="s">
        <v>259</v>
      </c>
      <c r="D44" s="4" t="s">
        <v>979</v>
      </c>
      <c r="E44" s="5">
        <v>33431</v>
      </c>
      <c r="F44" s="6">
        <v>43.142705499999998</v>
      </c>
      <c r="G44" s="7">
        <v>1.1392390000000001E-2</v>
      </c>
      <c r="H44" s="69"/>
    </row>
    <row r="45" spans="1:8" ht="25.5" x14ac:dyDescent="0.2">
      <c r="A45" s="3">
        <v>39</v>
      </c>
      <c r="B45" s="4" t="s">
        <v>229</v>
      </c>
      <c r="C45" s="4" t="s">
        <v>230</v>
      </c>
      <c r="D45" s="4" t="s">
        <v>75</v>
      </c>
      <c r="E45" s="5">
        <v>2262</v>
      </c>
      <c r="F45" s="6">
        <v>42.945200999999997</v>
      </c>
      <c r="G45" s="7">
        <v>1.1340236E-2</v>
      </c>
      <c r="H45" s="69"/>
    </row>
    <row r="46" spans="1:8" ht="25.5" x14ac:dyDescent="0.2">
      <c r="A46" s="3">
        <v>40</v>
      </c>
      <c r="B46" s="4" t="s">
        <v>222</v>
      </c>
      <c r="C46" s="4" t="s">
        <v>223</v>
      </c>
      <c r="D46" s="4" t="s">
        <v>207</v>
      </c>
      <c r="E46" s="5">
        <v>9162</v>
      </c>
      <c r="F46" s="6">
        <v>42.736148999999997</v>
      </c>
      <c r="G46" s="7">
        <v>1.1285033E-2</v>
      </c>
      <c r="H46" s="69"/>
    </row>
    <row r="47" spans="1:8" x14ac:dyDescent="0.2">
      <c r="A47" s="3">
        <v>41</v>
      </c>
      <c r="B47" s="4" t="s">
        <v>251</v>
      </c>
      <c r="C47" s="4" t="s">
        <v>252</v>
      </c>
      <c r="D47" s="4" t="s">
        <v>160</v>
      </c>
      <c r="E47" s="5">
        <v>7135</v>
      </c>
      <c r="F47" s="6">
        <v>41.490025000000003</v>
      </c>
      <c r="G47" s="7">
        <v>1.0955978E-2</v>
      </c>
      <c r="H47" s="69"/>
    </row>
    <row r="48" spans="1:8" x14ac:dyDescent="0.2">
      <c r="A48" s="3">
        <v>42</v>
      </c>
      <c r="B48" s="4" t="s">
        <v>477</v>
      </c>
      <c r="C48" s="4" t="s">
        <v>478</v>
      </c>
      <c r="D48" s="4" t="s">
        <v>204</v>
      </c>
      <c r="E48" s="5">
        <v>7914</v>
      </c>
      <c r="F48" s="6">
        <v>39.965699999999998</v>
      </c>
      <c r="G48" s="7">
        <v>1.0553461E-2</v>
      </c>
      <c r="H48" s="69"/>
    </row>
    <row r="49" spans="1:8" x14ac:dyDescent="0.2">
      <c r="A49" s="3">
        <v>43</v>
      </c>
      <c r="B49" s="4" t="s">
        <v>227</v>
      </c>
      <c r="C49" s="4" t="s">
        <v>228</v>
      </c>
      <c r="D49" s="4" t="s">
        <v>976</v>
      </c>
      <c r="E49" s="5">
        <v>2418</v>
      </c>
      <c r="F49" s="6">
        <v>38.665028999999997</v>
      </c>
      <c r="G49" s="7">
        <v>1.0210001999999999E-2</v>
      </c>
      <c r="H49" s="69"/>
    </row>
    <row r="50" spans="1:8" x14ac:dyDescent="0.2">
      <c r="A50" s="3">
        <v>44</v>
      </c>
      <c r="B50" s="4" t="s">
        <v>255</v>
      </c>
      <c r="C50" s="4" t="s">
        <v>256</v>
      </c>
      <c r="D50" s="4" t="s">
        <v>257</v>
      </c>
      <c r="E50" s="5">
        <v>17156</v>
      </c>
      <c r="F50" s="6">
        <v>38.154944</v>
      </c>
      <c r="G50" s="7">
        <v>1.0075307E-2</v>
      </c>
      <c r="H50" s="69"/>
    </row>
    <row r="51" spans="1:8" x14ac:dyDescent="0.2">
      <c r="A51" s="3">
        <v>45</v>
      </c>
      <c r="B51" s="4" t="s">
        <v>295</v>
      </c>
      <c r="C51" s="4" t="s">
        <v>296</v>
      </c>
      <c r="D51" s="4" t="s">
        <v>27</v>
      </c>
      <c r="E51" s="5">
        <v>3232</v>
      </c>
      <c r="F51" s="6">
        <v>37.950144000000002</v>
      </c>
      <c r="G51" s="7">
        <v>1.0021227000000001E-2</v>
      </c>
      <c r="H51" s="69"/>
    </row>
    <row r="52" spans="1:8" x14ac:dyDescent="0.2">
      <c r="A52" s="3">
        <v>46</v>
      </c>
      <c r="B52" s="4" t="s">
        <v>235</v>
      </c>
      <c r="C52" s="4" t="s">
        <v>236</v>
      </c>
      <c r="D52" s="4" t="s">
        <v>160</v>
      </c>
      <c r="E52" s="5">
        <v>10008</v>
      </c>
      <c r="F52" s="6">
        <v>37.575035999999997</v>
      </c>
      <c r="G52" s="7">
        <v>9.9221750000000001E-3</v>
      </c>
      <c r="H52" s="69"/>
    </row>
    <row r="53" spans="1:8" ht="25.5" x14ac:dyDescent="0.2">
      <c r="A53" s="3">
        <v>47</v>
      </c>
      <c r="B53" s="4" t="s">
        <v>189</v>
      </c>
      <c r="C53" s="4" t="s">
        <v>190</v>
      </c>
      <c r="D53" s="4" t="s">
        <v>974</v>
      </c>
      <c r="E53" s="5">
        <v>16531</v>
      </c>
      <c r="F53" s="6">
        <v>36.483916999999998</v>
      </c>
      <c r="G53" s="7">
        <v>9.6340509999999994E-3</v>
      </c>
      <c r="H53" s="69"/>
    </row>
    <row r="54" spans="1:8" x14ac:dyDescent="0.2">
      <c r="A54" s="3">
        <v>48</v>
      </c>
      <c r="B54" s="4" t="s">
        <v>285</v>
      </c>
      <c r="C54" s="4" t="s">
        <v>286</v>
      </c>
      <c r="D54" s="4" t="s">
        <v>160</v>
      </c>
      <c r="E54" s="5">
        <v>5294</v>
      </c>
      <c r="F54" s="6">
        <v>35.853614999999998</v>
      </c>
      <c r="G54" s="7">
        <v>9.4676110000000008E-3</v>
      </c>
      <c r="H54" s="69"/>
    </row>
    <row r="55" spans="1:8" x14ac:dyDescent="0.2">
      <c r="A55" s="3">
        <v>49</v>
      </c>
      <c r="B55" s="4" t="s">
        <v>216</v>
      </c>
      <c r="C55" s="4" t="s">
        <v>217</v>
      </c>
      <c r="D55" s="4" t="s">
        <v>75</v>
      </c>
      <c r="E55" s="5">
        <v>3963</v>
      </c>
      <c r="F55" s="6">
        <v>34.763435999999999</v>
      </c>
      <c r="G55" s="7">
        <v>9.1797349999999996E-3</v>
      </c>
      <c r="H55" s="69"/>
    </row>
    <row r="56" spans="1:8" ht="25.5" x14ac:dyDescent="0.2">
      <c r="A56" s="3">
        <v>50</v>
      </c>
      <c r="B56" s="4" t="s">
        <v>218</v>
      </c>
      <c r="C56" s="4" t="s">
        <v>869</v>
      </c>
      <c r="D56" s="4" t="s">
        <v>45</v>
      </c>
      <c r="E56" s="5">
        <v>16461</v>
      </c>
      <c r="F56" s="6">
        <v>34.222419000000002</v>
      </c>
      <c r="G56" s="7">
        <v>9.0368730000000008E-3</v>
      </c>
      <c r="H56" s="69"/>
    </row>
    <row r="57" spans="1:8" x14ac:dyDescent="0.2">
      <c r="A57" s="3">
        <v>51</v>
      </c>
      <c r="B57" s="4" t="s">
        <v>262</v>
      </c>
      <c r="C57" s="4" t="s">
        <v>263</v>
      </c>
      <c r="D57" s="4" t="s">
        <v>22</v>
      </c>
      <c r="E57" s="5">
        <v>41531</v>
      </c>
      <c r="F57" s="6">
        <v>34.076185500000001</v>
      </c>
      <c r="G57" s="7">
        <v>8.9982580000000003E-3</v>
      </c>
      <c r="H57" s="69"/>
    </row>
    <row r="58" spans="1:8" x14ac:dyDescent="0.2">
      <c r="A58" s="3">
        <v>52</v>
      </c>
      <c r="B58" s="4" t="s">
        <v>237</v>
      </c>
      <c r="C58" s="4" t="s">
        <v>238</v>
      </c>
      <c r="D58" s="4" t="s">
        <v>204</v>
      </c>
      <c r="E58" s="5">
        <v>1976</v>
      </c>
      <c r="F58" s="6">
        <v>32.380712000000003</v>
      </c>
      <c r="G58" s="7">
        <v>8.5505459999999991E-3</v>
      </c>
      <c r="H58" s="69"/>
    </row>
    <row r="59" spans="1:8" x14ac:dyDescent="0.2">
      <c r="A59" s="3">
        <v>53</v>
      </c>
      <c r="B59" s="4" t="s">
        <v>253</v>
      </c>
      <c r="C59" s="4" t="s">
        <v>254</v>
      </c>
      <c r="D59" s="4" t="s">
        <v>65</v>
      </c>
      <c r="E59" s="5">
        <v>3629</v>
      </c>
      <c r="F59" s="6">
        <v>31.027950000000001</v>
      </c>
      <c r="G59" s="7">
        <v>8.1933319999999994E-3</v>
      </c>
      <c r="H59" s="69"/>
    </row>
    <row r="60" spans="1:8" x14ac:dyDescent="0.2">
      <c r="A60" s="3">
        <v>54</v>
      </c>
      <c r="B60" s="4" t="s">
        <v>272</v>
      </c>
      <c r="C60" s="4" t="s">
        <v>273</v>
      </c>
      <c r="D60" s="4" t="s">
        <v>75</v>
      </c>
      <c r="E60" s="5">
        <v>23010</v>
      </c>
      <c r="F60" s="6">
        <v>28.900559999999999</v>
      </c>
      <c r="G60" s="7">
        <v>7.6315669999999997E-3</v>
      </c>
      <c r="H60" s="69"/>
    </row>
    <row r="61" spans="1:8" x14ac:dyDescent="0.2">
      <c r="A61" s="3">
        <v>55</v>
      </c>
      <c r="B61" s="4" t="s">
        <v>260</v>
      </c>
      <c r="C61" s="4" t="s">
        <v>261</v>
      </c>
      <c r="D61" s="4" t="s">
        <v>204</v>
      </c>
      <c r="E61" s="5">
        <v>536</v>
      </c>
      <c r="F61" s="6">
        <v>28.540392000000001</v>
      </c>
      <c r="G61" s="7">
        <v>7.53646E-3</v>
      </c>
      <c r="H61" s="69"/>
    </row>
    <row r="62" spans="1:8" x14ac:dyDescent="0.2">
      <c r="A62" s="3">
        <v>56</v>
      </c>
      <c r="B62" s="4" t="s">
        <v>51</v>
      </c>
      <c r="C62" s="4" t="s">
        <v>52</v>
      </c>
      <c r="D62" s="4" t="s">
        <v>53</v>
      </c>
      <c r="E62" s="5">
        <v>15361</v>
      </c>
      <c r="F62" s="6">
        <v>26.021533999999999</v>
      </c>
      <c r="G62" s="7">
        <v>6.8713230000000004E-3</v>
      </c>
      <c r="H62" s="69"/>
    </row>
    <row r="63" spans="1:8" x14ac:dyDescent="0.2">
      <c r="A63" s="3">
        <v>57</v>
      </c>
      <c r="B63" s="4" t="s">
        <v>270</v>
      </c>
      <c r="C63" s="4" t="s">
        <v>271</v>
      </c>
      <c r="D63" s="4" t="s">
        <v>144</v>
      </c>
      <c r="E63" s="5">
        <v>3534</v>
      </c>
      <c r="F63" s="6">
        <v>20.235683999999999</v>
      </c>
      <c r="G63" s="7">
        <v>5.3434939999999998E-3</v>
      </c>
      <c r="H63" s="69"/>
    </row>
    <row r="64" spans="1:8" x14ac:dyDescent="0.2">
      <c r="A64" s="3">
        <v>58</v>
      </c>
      <c r="B64" s="4" t="s">
        <v>249</v>
      </c>
      <c r="C64" s="4" t="s">
        <v>250</v>
      </c>
      <c r="D64" s="4" t="s">
        <v>334</v>
      </c>
      <c r="E64" s="5">
        <v>2169</v>
      </c>
      <c r="F64" s="6">
        <v>19.935279000000001</v>
      </c>
      <c r="G64" s="7">
        <v>5.264169E-3</v>
      </c>
      <c r="H64" s="69"/>
    </row>
    <row r="65" spans="1:8" x14ac:dyDescent="0.2">
      <c r="A65" s="3">
        <v>59</v>
      </c>
      <c r="B65" s="4" t="s">
        <v>278</v>
      </c>
      <c r="C65" s="4" t="s">
        <v>279</v>
      </c>
      <c r="D65" s="4" t="s">
        <v>144</v>
      </c>
      <c r="E65" s="5">
        <v>1926</v>
      </c>
      <c r="F65" s="6">
        <v>19.42371</v>
      </c>
      <c r="G65" s="7">
        <v>5.1290820000000001E-3</v>
      </c>
      <c r="H65" s="69"/>
    </row>
    <row r="66" spans="1:8" x14ac:dyDescent="0.2">
      <c r="A66" s="3">
        <v>60</v>
      </c>
      <c r="B66" s="4" t="s">
        <v>241</v>
      </c>
      <c r="C66" s="4" t="s">
        <v>242</v>
      </c>
      <c r="D66" s="4" t="s">
        <v>155</v>
      </c>
      <c r="E66" s="5">
        <v>1600</v>
      </c>
      <c r="F66" s="6">
        <v>19.288799999999998</v>
      </c>
      <c r="G66" s="7">
        <v>5.093457E-3</v>
      </c>
      <c r="H66" s="69"/>
    </row>
    <row r="67" spans="1:8" x14ac:dyDescent="0.2">
      <c r="A67" s="3">
        <v>61</v>
      </c>
      <c r="B67" s="4" t="s">
        <v>247</v>
      </c>
      <c r="C67" s="4" t="s">
        <v>248</v>
      </c>
      <c r="D67" s="4" t="s">
        <v>75</v>
      </c>
      <c r="E67" s="5">
        <v>7251</v>
      </c>
      <c r="F67" s="6">
        <v>18.102121499999999</v>
      </c>
      <c r="G67" s="7">
        <v>4.7800999999999998E-3</v>
      </c>
      <c r="H67" s="69"/>
    </row>
    <row r="68" spans="1:8" x14ac:dyDescent="0.2">
      <c r="A68" s="3">
        <v>62</v>
      </c>
      <c r="B68" s="4" t="s">
        <v>274</v>
      </c>
      <c r="C68" s="4" t="s">
        <v>275</v>
      </c>
      <c r="D68" s="4" t="s">
        <v>155</v>
      </c>
      <c r="E68" s="5">
        <v>3830</v>
      </c>
      <c r="F68" s="6">
        <v>14.578894999999999</v>
      </c>
      <c r="G68" s="7">
        <v>3.8497459999999998E-3</v>
      </c>
      <c r="H68" s="69"/>
    </row>
    <row r="69" spans="1:8" x14ac:dyDescent="0.2">
      <c r="A69" s="3">
        <v>63</v>
      </c>
      <c r="B69" s="4" t="s">
        <v>264</v>
      </c>
      <c r="C69" s="4" t="s">
        <v>265</v>
      </c>
      <c r="D69" s="4" t="s">
        <v>65</v>
      </c>
      <c r="E69" s="5">
        <v>4206</v>
      </c>
      <c r="F69" s="6">
        <v>9.4109250000000007</v>
      </c>
      <c r="G69" s="7">
        <v>2.485077E-3</v>
      </c>
      <c r="H69" s="69"/>
    </row>
    <row r="70" spans="1:8" x14ac:dyDescent="0.2">
      <c r="A70" s="3">
        <v>64</v>
      </c>
      <c r="B70" s="4" t="s">
        <v>289</v>
      </c>
      <c r="C70" s="4" t="s">
        <v>290</v>
      </c>
      <c r="D70" s="4" t="s">
        <v>27</v>
      </c>
      <c r="E70" s="5">
        <v>11</v>
      </c>
      <c r="F70" s="6">
        <v>3.7273500000000001E-2</v>
      </c>
      <c r="G70" s="8" t="s">
        <v>94</v>
      </c>
      <c r="H70" s="69"/>
    </row>
    <row r="71" spans="1:8" x14ac:dyDescent="0.2">
      <c r="A71" s="1"/>
      <c r="B71" s="1"/>
      <c r="C71" s="2" t="s">
        <v>95</v>
      </c>
      <c r="D71" s="1"/>
      <c r="E71" s="1" t="s">
        <v>96</v>
      </c>
      <c r="F71" s="9">
        <v>3656.525357</v>
      </c>
      <c r="G71" s="10">
        <v>0.96555286799999995</v>
      </c>
      <c r="H71" s="69"/>
    </row>
    <row r="72" spans="1:8" x14ac:dyDescent="0.2">
      <c r="A72" s="1"/>
      <c r="B72" s="1"/>
      <c r="C72" s="11"/>
      <c r="D72" s="1"/>
      <c r="E72" s="1"/>
      <c r="F72" s="12"/>
      <c r="G72" s="12"/>
      <c r="H72" s="69"/>
    </row>
    <row r="73" spans="1:8" x14ac:dyDescent="0.2">
      <c r="A73" s="1"/>
      <c r="B73" s="1"/>
      <c r="C73" s="2" t="s">
        <v>97</v>
      </c>
      <c r="D73" s="1"/>
      <c r="E73" s="1"/>
      <c r="F73" s="1"/>
      <c r="G73" s="1"/>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98</v>
      </c>
      <c r="D76" s="1"/>
      <c r="E76" s="1"/>
      <c r="F76" s="1"/>
      <c r="G76" s="1"/>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99</v>
      </c>
      <c r="D79" s="1"/>
      <c r="E79" s="1"/>
      <c r="F79" s="1"/>
      <c r="G79" s="1"/>
      <c r="H79" s="69"/>
    </row>
    <row r="80" spans="1:8" x14ac:dyDescent="0.2">
      <c r="A80" s="1"/>
      <c r="B80" s="1"/>
      <c r="C80" s="2" t="s">
        <v>95</v>
      </c>
      <c r="D80" s="1"/>
      <c r="E80" s="1" t="s">
        <v>96</v>
      </c>
      <c r="F80" s="13">
        <v>0</v>
      </c>
      <c r="G80" s="14">
        <v>0</v>
      </c>
      <c r="H80" s="69"/>
    </row>
    <row r="81" spans="1:8" x14ac:dyDescent="0.2">
      <c r="A81" s="1"/>
      <c r="B81" s="1"/>
      <c r="C81" s="11"/>
      <c r="D81" s="1"/>
      <c r="E81" s="1"/>
      <c r="F81" s="12"/>
      <c r="G81" s="12"/>
      <c r="H81" s="69"/>
    </row>
    <row r="82" spans="1:8" x14ac:dyDescent="0.2">
      <c r="A82" s="1"/>
      <c r="B82" s="1"/>
      <c r="C82" s="2" t="s">
        <v>100</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101</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102</v>
      </c>
      <c r="D88" s="1"/>
      <c r="E88" s="1"/>
      <c r="F88" s="9">
        <v>3656.525357</v>
      </c>
      <c r="G88" s="10">
        <v>0.96555286799999995</v>
      </c>
      <c r="H88" s="69"/>
    </row>
    <row r="89" spans="1:8" x14ac:dyDescent="0.2">
      <c r="A89" s="1"/>
      <c r="B89" s="1"/>
      <c r="C89" s="11"/>
      <c r="D89" s="1"/>
      <c r="E89" s="1"/>
      <c r="F89" s="12"/>
      <c r="G89" s="12"/>
      <c r="H89" s="69"/>
    </row>
    <row r="90" spans="1:8" x14ac:dyDescent="0.2">
      <c r="A90" s="1"/>
      <c r="B90" s="1"/>
      <c r="C90" s="2" t="s">
        <v>103</v>
      </c>
      <c r="D90" s="1"/>
      <c r="E90" s="1"/>
      <c r="F90" s="12"/>
      <c r="G90" s="12"/>
      <c r="H90" s="69"/>
    </row>
    <row r="91" spans="1:8" ht="25.5" x14ac:dyDescent="0.2">
      <c r="A91" s="1"/>
      <c r="B91" s="1"/>
      <c r="C91" s="2" t="s">
        <v>10</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104</v>
      </c>
      <c r="D94" s="1"/>
      <c r="E94" s="1"/>
      <c r="F94" s="1"/>
      <c r="G94" s="1"/>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105</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106</v>
      </c>
      <c r="D100" s="1"/>
      <c r="E100" s="1"/>
      <c r="F100" s="12"/>
      <c r="G100" s="12"/>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107</v>
      </c>
      <c r="D103" s="1"/>
      <c r="E103" s="1"/>
      <c r="F103" s="9">
        <v>0</v>
      </c>
      <c r="G103" s="10">
        <v>0</v>
      </c>
      <c r="H103" s="69"/>
    </row>
    <row r="104" spans="1:8" x14ac:dyDescent="0.2">
      <c r="A104" s="1"/>
      <c r="B104" s="1"/>
      <c r="C104" s="11"/>
      <c r="D104" s="1"/>
      <c r="E104" s="1"/>
      <c r="F104" s="12"/>
      <c r="G104" s="12"/>
      <c r="H104" s="69"/>
    </row>
    <row r="105" spans="1:8" x14ac:dyDescent="0.2">
      <c r="A105" s="1"/>
      <c r="B105" s="1"/>
      <c r="C105" s="2" t="s">
        <v>108</v>
      </c>
      <c r="D105" s="1"/>
      <c r="E105" s="1"/>
      <c r="F105" s="12"/>
      <c r="G105" s="12"/>
      <c r="H105" s="69"/>
    </row>
    <row r="106" spans="1:8" x14ac:dyDescent="0.2">
      <c r="A106" s="1"/>
      <c r="B106" s="1"/>
      <c r="C106" s="2" t="s">
        <v>109</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110</v>
      </c>
      <c r="D109" s="1"/>
      <c r="E109" s="1"/>
      <c r="F109" s="12"/>
      <c r="G109" s="12"/>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111</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112</v>
      </c>
      <c r="D115" s="1"/>
      <c r="E115" s="1"/>
      <c r="F115" s="12"/>
      <c r="G115" s="12"/>
      <c r="H115" s="69"/>
    </row>
    <row r="116" spans="1:8" x14ac:dyDescent="0.2">
      <c r="A116" s="3">
        <v>1</v>
      </c>
      <c r="B116" s="4"/>
      <c r="C116" s="4" t="s">
        <v>113</v>
      </c>
      <c r="D116" s="4"/>
      <c r="E116" s="8"/>
      <c r="F116" s="6">
        <v>57.083940599999998</v>
      </c>
      <c r="G116" s="7">
        <v>1.5073754E-2</v>
      </c>
      <c r="H116" s="6">
        <v>3.3628721504199861</v>
      </c>
    </row>
    <row r="117" spans="1:8" x14ac:dyDescent="0.2">
      <c r="A117" s="3">
        <v>2</v>
      </c>
      <c r="B117" s="4"/>
      <c r="C117" s="4" t="s">
        <v>114</v>
      </c>
      <c r="D117" s="4"/>
      <c r="E117" s="8"/>
      <c r="F117" s="6">
        <v>22.045302599999999</v>
      </c>
      <c r="G117" s="7">
        <v>5.8213479999999996E-3</v>
      </c>
      <c r="H117" s="6">
        <v>3.4499999999999966</v>
      </c>
    </row>
    <row r="118" spans="1:8" x14ac:dyDescent="0.2">
      <c r="A118" s="1"/>
      <c r="B118" s="1"/>
      <c r="C118" s="2" t="s">
        <v>95</v>
      </c>
      <c r="D118" s="1"/>
      <c r="E118" s="1" t="s">
        <v>96</v>
      </c>
      <c r="F118" s="9">
        <v>79.129243200000005</v>
      </c>
      <c r="G118" s="10">
        <v>2.0895101999999999E-2</v>
      </c>
      <c r="H118" s="69"/>
    </row>
    <row r="119" spans="1:8" x14ac:dyDescent="0.2">
      <c r="A119" s="1"/>
      <c r="B119" s="1"/>
      <c r="C119" s="11"/>
      <c r="D119" s="1"/>
      <c r="E119" s="1"/>
      <c r="F119" s="12"/>
      <c r="G119" s="12"/>
      <c r="H119" s="69"/>
    </row>
    <row r="120" spans="1:8" x14ac:dyDescent="0.2">
      <c r="A120" s="1"/>
      <c r="B120" s="1"/>
      <c r="C120" s="2" t="s">
        <v>115</v>
      </c>
      <c r="D120" s="1"/>
      <c r="E120" s="1"/>
      <c r="F120" s="9">
        <v>79.129243200000005</v>
      </c>
      <c r="G120" s="10">
        <v>2.0895101999999999E-2</v>
      </c>
      <c r="H120" s="69"/>
    </row>
    <row r="121" spans="1:8" x14ac:dyDescent="0.2">
      <c r="A121" s="1"/>
      <c r="B121" s="1"/>
      <c r="C121" s="12"/>
      <c r="D121" s="1"/>
      <c r="E121" s="1"/>
      <c r="F121" s="1"/>
      <c r="G121" s="1"/>
      <c r="H121" s="69"/>
    </row>
    <row r="122" spans="1:8" x14ac:dyDescent="0.2">
      <c r="A122" s="1"/>
      <c r="B122" s="1"/>
      <c r="C122" s="2" t="s">
        <v>116</v>
      </c>
      <c r="D122" s="1"/>
      <c r="E122" s="1"/>
      <c r="F122" s="1"/>
      <c r="G122" s="1"/>
      <c r="H122" s="69"/>
    </row>
    <row r="123" spans="1:8" x14ac:dyDescent="0.2">
      <c r="A123" s="1"/>
      <c r="B123" s="1"/>
      <c r="C123" s="2" t="s">
        <v>117</v>
      </c>
      <c r="D123" s="1"/>
      <c r="E123" s="1"/>
      <c r="F123" s="1"/>
      <c r="G123" s="1"/>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118</v>
      </c>
      <c r="D126" s="1"/>
      <c r="E126" s="1"/>
      <c r="F126" s="1"/>
      <c r="G126" s="1"/>
      <c r="H126" s="69"/>
    </row>
    <row r="127" spans="1:8" x14ac:dyDescent="0.2">
      <c r="A127" s="1"/>
      <c r="B127" s="1"/>
      <c r="C127" s="2" t="s">
        <v>119</v>
      </c>
      <c r="D127" s="1"/>
      <c r="E127" s="1"/>
      <c r="F127" s="1"/>
      <c r="G127" s="1"/>
      <c r="H127" s="69"/>
    </row>
    <row r="128" spans="1:8" x14ac:dyDescent="0.2">
      <c r="A128" s="1"/>
      <c r="B128" s="1"/>
      <c r="C128" s="2" t="s">
        <v>95</v>
      </c>
      <c r="D128" s="1"/>
      <c r="E128" s="1" t="s">
        <v>96</v>
      </c>
      <c r="F128" s="13">
        <v>0</v>
      </c>
      <c r="G128" s="14">
        <v>0</v>
      </c>
      <c r="H128" s="69"/>
    </row>
    <row r="129" spans="1:8" x14ac:dyDescent="0.2">
      <c r="A129" s="1"/>
      <c r="B129" s="1"/>
      <c r="C129" s="11"/>
      <c r="D129" s="1"/>
      <c r="E129" s="1"/>
      <c r="F129" s="12"/>
      <c r="G129" s="12"/>
      <c r="H129" s="69"/>
    </row>
    <row r="130" spans="1:8" x14ac:dyDescent="0.2">
      <c r="A130" s="1"/>
      <c r="B130" s="1"/>
      <c r="C130" s="11"/>
      <c r="D130" s="1"/>
      <c r="E130" s="1"/>
      <c r="F130" s="12"/>
      <c r="G130" s="12"/>
      <c r="H130" s="69"/>
    </row>
    <row r="131" spans="1:8" ht="25.5" x14ac:dyDescent="0.2">
      <c r="A131" s="1"/>
      <c r="B131" s="1"/>
      <c r="C131" s="2" t="s">
        <v>120</v>
      </c>
      <c r="D131" s="1"/>
      <c r="E131" s="1"/>
      <c r="F131" s="12"/>
      <c r="G131" s="12"/>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4"/>
      <c r="C134" s="4"/>
      <c r="D134" s="2"/>
      <c r="E134" s="1"/>
      <c r="F134" s="4"/>
      <c r="G134" s="8"/>
      <c r="H134" s="69"/>
    </row>
    <row r="135" spans="1:8" x14ac:dyDescent="0.2">
      <c r="A135" s="8"/>
      <c r="B135" s="4"/>
      <c r="C135" s="4" t="s">
        <v>121</v>
      </c>
      <c r="D135" s="4"/>
      <c r="E135" s="8"/>
      <c r="F135" s="6">
        <v>51.3212324</v>
      </c>
      <c r="G135" s="7">
        <v>1.3552036E-2</v>
      </c>
      <c r="H135" s="69"/>
    </row>
    <row r="136" spans="1:8" x14ac:dyDescent="0.2">
      <c r="A136" s="11"/>
      <c r="B136" s="11"/>
      <c r="C136" s="2" t="s">
        <v>122</v>
      </c>
      <c r="D136" s="15"/>
      <c r="E136" s="15"/>
      <c r="F136" s="9">
        <v>3786.9758326000001</v>
      </c>
      <c r="G136" s="10">
        <v>1.0000000060000001</v>
      </c>
      <c r="H136" s="69"/>
    </row>
    <row r="137" spans="1:8" ht="14.1" customHeight="1" x14ac:dyDescent="0.2">
      <c r="A137" s="16"/>
      <c r="B137" s="16"/>
      <c r="C137" s="16"/>
      <c r="D137" s="17"/>
      <c r="E137" s="17"/>
      <c r="F137" s="17"/>
      <c r="G137" s="17"/>
    </row>
    <row r="138" spans="1:8" ht="14.1" customHeight="1" x14ac:dyDescent="0.2">
      <c r="A138" s="18"/>
      <c r="B138" s="176" t="s">
        <v>96</v>
      </c>
      <c r="C138" s="176"/>
      <c r="D138" s="176"/>
      <c r="E138" s="176"/>
      <c r="F138" s="176"/>
      <c r="G138" s="20"/>
    </row>
    <row r="139" spans="1:8" ht="17.100000000000001" customHeight="1" x14ac:dyDescent="0.2">
      <c r="A139" s="18"/>
      <c r="B139" s="176" t="s">
        <v>123</v>
      </c>
      <c r="C139" s="176"/>
      <c r="D139" s="176"/>
      <c r="E139" s="176"/>
      <c r="F139" s="176"/>
      <c r="G139" s="20"/>
    </row>
    <row r="140" spans="1:8" ht="14.1" customHeight="1" x14ac:dyDescent="0.2">
      <c r="A140" s="18"/>
      <c r="B140" s="18"/>
      <c r="C140" s="18"/>
      <c r="D140" s="20"/>
      <c r="E140" s="20"/>
      <c r="F140" s="20"/>
      <c r="G140" s="20"/>
    </row>
    <row r="141" spans="1:8" ht="14.1" customHeight="1" x14ac:dyDescent="0.2">
      <c r="A141" s="18"/>
      <c r="B141" s="174" t="s">
        <v>124</v>
      </c>
      <c r="C141" s="175"/>
      <c r="D141" s="12" t="s">
        <v>96</v>
      </c>
      <c r="E141" s="21"/>
      <c r="F141" s="20"/>
      <c r="G141" s="20"/>
    </row>
    <row r="142" spans="1:8" ht="29.1" customHeight="1" x14ac:dyDescent="0.2">
      <c r="A142" s="18"/>
      <c r="B142" s="172" t="s">
        <v>125</v>
      </c>
      <c r="C142" s="173"/>
      <c r="D142" s="2" t="s">
        <v>126</v>
      </c>
      <c r="E142" s="21"/>
      <c r="F142" s="20"/>
      <c r="G142" s="20"/>
    </row>
    <row r="143" spans="1:8" ht="17.100000000000001" customHeight="1" x14ac:dyDescent="0.2">
      <c r="A143" s="18"/>
      <c r="B143" s="172" t="s">
        <v>127</v>
      </c>
      <c r="C143" s="173"/>
      <c r="D143" s="2" t="s">
        <v>126</v>
      </c>
      <c r="E143" s="21"/>
      <c r="F143" s="20"/>
      <c r="G143" s="20"/>
    </row>
    <row r="144" spans="1:8" ht="17.100000000000001" customHeight="1" x14ac:dyDescent="0.2">
      <c r="A144" s="18"/>
      <c r="B144" s="172" t="s">
        <v>128</v>
      </c>
      <c r="C144" s="173"/>
      <c r="D144" s="12" t="s">
        <v>96</v>
      </c>
      <c r="E144" s="21"/>
      <c r="F144" s="20"/>
      <c r="G144" s="20"/>
    </row>
    <row r="145" spans="1:16" ht="24" customHeight="1" x14ac:dyDescent="0.2">
      <c r="A145" s="22"/>
      <c r="B145" s="23" t="s">
        <v>96</v>
      </c>
      <c r="C145" s="23" t="s">
        <v>129</v>
      </c>
      <c r="D145" s="23" t="s">
        <v>130</v>
      </c>
      <c r="E145" s="22"/>
      <c r="F145" s="22"/>
      <c r="G145" s="22"/>
    </row>
    <row r="146" spans="1:16" ht="18" customHeight="1" x14ac:dyDescent="0.2">
      <c r="A146" s="22"/>
      <c r="B146" s="23" t="s">
        <v>131</v>
      </c>
      <c r="C146" s="23" t="s">
        <v>132</v>
      </c>
      <c r="D146" s="23" t="s">
        <v>133</v>
      </c>
      <c r="E146" s="22"/>
      <c r="F146" s="22"/>
      <c r="G146" s="22"/>
    </row>
    <row r="147" spans="1:16" ht="17.100000000000001" customHeight="1" x14ac:dyDescent="0.2">
      <c r="A147" s="22"/>
      <c r="B147" s="4" t="s">
        <v>134</v>
      </c>
      <c r="C147" s="24">
        <v>15.9122</v>
      </c>
      <c r="D147" s="24">
        <v>15.637499999999999</v>
      </c>
      <c r="E147" s="22"/>
      <c r="F147" s="19"/>
      <c r="G147" s="25"/>
    </row>
    <row r="148" spans="1:16" ht="17.100000000000001" customHeight="1" x14ac:dyDescent="0.2">
      <c r="A148" s="22"/>
      <c r="B148" s="4" t="s">
        <v>983</v>
      </c>
      <c r="C148" s="24">
        <v>15.9122</v>
      </c>
      <c r="D148" s="24">
        <v>15.637499999999999</v>
      </c>
      <c r="E148" s="22"/>
      <c r="F148" s="19"/>
      <c r="G148" s="25"/>
    </row>
    <row r="149" spans="1:16" ht="17.100000000000001" customHeight="1" x14ac:dyDescent="0.2">
      <c r="A149" s="22"/>
      <c r="B149" s="4" t="s">
        <v>135</v>
      </c>
      <c r="C149" s="24">
        <v>15.5998</v>
      </c>
      <c r="D149" s="24">
        <v>15.328099999999999</v>
      </c>
      <c r="E149" s="22"/>
      <c r="F149" s="19"/>
      <c r="G149" s="25"/>
    </row>
    <row r="150" spans="1:16" ht="17.100000000000001" customHeight="1" x14ac:dyDescent="0.2">
      <c r="A150" s="22"/>
      <c r="B150" s="4" t="s">
        <v>984</v>
      </c>
      <c r="C150" s="24">
        <v>15.5998</v>
      </c>
      <c r="D150" s="24">
        <v>15.328099999999999</v>
      </c>
      <c r="E150" s="22"/>
      <c r="F150" s="19"/>
      <c r="G150" s="25"/>
    </row>
    <row r="151" spans="1:16" ht="14.1" customHeight="1" x14ac:dyDescent="0.2">
      <c r="A151" s="22"/>
      <c r="B151" s="22"/>
      <c r="C151" s="22"/>
      <c r="D151" s="22"/>
      <c r="E151" s="22"/>
      <c r="F151" s="22"/>
      <c r="G151" s="22"/>
    </row>
    <row r="152" spans="1:16" ht="17.100000000000001" customHeight="1" x14ac:dyDescent="0.2">
      <c r="A152" s="22"/>
      <c r="B152" s="172" t="s">
        <v>985</v>
      </c>
      <c r="C152" s="173"/>
      <c r="D152" s="2" t="s">
        <v>126</v>
      </c>
      <c r="E152" s="22"/>
      <c r="F152" s="22"/>
      <c r="G152" s="22"/>
    </row>
    <row r="153" spans="1:16" ht="18" customHeight="1" x14ac:dyDescent="0.2">
      <c r="A153" s="22"/>
      <c r="B153" s="26" t="s">
        <v>136</v>
      </c>
      <c r="C153" s="26" t="s">
        <v>136</v>
      </c>
      <c r="D153" s="26"/>
      <c r="E153" s="22"/>
      <c r="F153" s="22"/>
      <c r="G153" s="22"/>
    </row>
    <row r="154" spans="1:16" s="82" customFormat="1" x14ac:dyDescent="0.2">
      <c r="B154" s="177" t="s">
        <v>936</v>
      </c>
      <c r="C154" s="177"/>
      <c r="D154" s="177"/>
      <c r="E154" s="177"/>
      <c r="F154" s="177"/>
      <c r="I154"/>
      <c r="J154"/>
      <c r="K154"/>
      <c r="L154"/>
      <c r="M154"/>
      <c r="N154"/>
      <c r="O154"/>
      <c r="P154" s="70"/>
    </row>
    <row r="155" spans="1:16" ht="14.1" customHeight="1" x14ac:dyDescent="0.2">
      <c r="A155" s="22"/>
      <c r="B155" s="19"/>
      <c r="C155" s="19"/>
      <c r="D155" s="22"/>
      <c r="E155" s="22"/>
      <c r="F155" s="22"/>
      <c r="G155" s="22"/>
    </row>
    <row r="156" spans="1:16" ht="29.1" customHeight="1" x14ac:dyDescent="0.2">
      <c r="A156" s="22"/>
      <c r="B156" s="172" t="s">
        <v>137</v>
      </c>
      <c r="C156" s="173"/>
      <c r="D156" s="2" t="s">
        <v>126</v>
      </c>
      <c r="E156" s="22"/>
      <c r="F156" s="22"/>
      <c r="G156" s="22"/>
      <c r="I156" s="82"/>
      <c r="J156" s="82"/>
      <c r="K156" s="82"/>
      <c r="L156" s="82"/>
      <c r="M156" s="82"/>
      <c r="N156" s="82"/>
      <c r="O156" s="82"/>
    </row>
    <row r="157" spans="1:16" ht="29.1" customHeight="1" x14ac:dyDescent="0.2">
      <c r="A157" s="22"/>
      <c r="B157" s="172" t="s">
        <v>138</v>
      </c>
      <c r="C157" s="173"/>
      <c r="D157" s="2" t="s">
        <v>126</v>
      </c>
      <c r="E157" s="22"/>
      <c r="F157" s="22"/>
      <c r="G157" s="22"/>
    </row>
    <row r="158" spans="1:16" ht="17.100000000000001" customHeight="1" x14ac:dyDescent="0.2">
      <c r="A158" s="22"/>
      <c r="B158" s="172" t="s">
        <v>139</v>
      </c>
      <c r="C158" s="173"/>
      <c r="D158" s="27">
        <v>0.28445148159844086</v>
      </c>
      <c r="E158" s="22"/>
      <c r="F158" s="19"/>
      <c r="G158" s="25"/>
    </row>
    <row r="159" spans="1:16" ht="17.100000000000001" customHeight="1" x14ac:dyDescent="0.2">
      <c r="A159" s="22"/>
      <c r="B159" s="172" t="s">
        <v>140</v>
      </c>
      <c r="C159" s="173"/>
      <c r="D159" s="2" t="s">
        <v>126</v>
      </c>
      <c r="E159" s="22"/>
      <c r="F159" s="22"/>
      <c r="G159" s="22"/>
    </row>
  </sheetData>
  <mergeCells count="16">
    <mergeCell ref="B159:C159"/>
    <mergeCell ref="B142:C142"/>
    <mergeCell ref="B143:C143"/>
    <mergeCell ref="B144:C144"/>
    <mergeCell ref="B152:C152"/>
    <mergeCell ref="B156:C156"/>
    <mergeCell ref="B157:C157"/>
    <mergeCell ref="B154:F154"/>
    <mergeCell ref="A1:H1"/>
    <mergeCell ref="A2:H2"/>
    <mergeCell ref="A3:H3"/>
    <mergeCell ref="J2:N2"/>
    <mergeCell ref="B158:C158"/>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P16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511</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145</v>
      </c>
      <c r="C7" s="4" t="s">
        <v>146</v>
      </c>
      <c r="D7" s="4" t="s">
        <v>27</v>
      </c>
      <c r="E7" s="5">
        <v>14076</v>
      </c>
      <c r="F7" s="6">
        <v>155.525724</v>
      </c>
      <c r="G7" s="7">
        <v>3.9148619000000003E-2</v>
      </c>
      <c r="H7" s="69"/>
    </row>
    <row r="8" spans="1:14" x14ac:dyDescent="0.2">
      <c r="A8" s="3">
        <v>2</v>
      </c>
      <c r="B8" s="4" t="s">
        <v>149</v>
      </c>
      <c r="C8" s="4" t="s">
        <v>150</v>
      </c>
      <c r="D8" s="4" t="s">
        <v>75</v>
      </c>
      <c r="E8" s="5">
        <v>20524</v>
      </c>
      <c r="F8" s="6">
        <v>123.47238400000001</v>
      </c>
      <c r="G8" s="7">
        <v>3.1080217E-2</v>
      </c>
      <c r="H8" s="69"/>
    </row>
    <row r="9" spans="1:14" x14ac:dyDescent="0.2">
      <c r="A9" s="3">
        <v>3</v>
      </c>
      <c r="B9" s="4" t="s">
        <v>147</v>
      </c>
      <c r="C9" s="4" t="s">
        <v>148</v>
      </c>
      <c r="D9" s="4" t="s">
        <v>78</v>
      </c>
      <c r="E9" s="5">
        <v>101617</v>
      </c>
      <c r="F9" s="6">
        <v>123.2106125</v>
      </c>
      <c r="G9" s="7">
        <v>3.1014324999999999E-2</v>
      </c>
      <c r="H9" s="69"/>
    </row>
    <row r="10" spans="1:14" x14ac:dyDescent="0.2">
      <c r="A10" s="3">
        <v>4</v>
      </c>
      <c r="B10" s="4" t="s">
        <v>142</v>
      </c>
      <c r="C10" s="4" t="s">
        <v>143</v>
      </c>
      <c r="D10" s="4" t="s">
        <v>144</v>
      </c>
      <c r="E10" s="5">
        <v>3069</v>
      </c>
      <c r="F10" s="6">
        <v>114.81129</v>
      </c>
      <c r="G10" s="7">
        <v>2.8900064999999999E-2</v>
      </c>
      <c r="H10" s="69"/>
    </row>
    <row r="11" spans="1:14" x14ac:dyDescent="0.2">
      <c r="A11" s="3">
        <v>5</v>
      </c>
      <c r="B11" s="4" t="s">
        <v>156</v>
      </c>
      <c r="C11" s="4" t="s">
        <v>157</v>
      </c>
      <c r="D11" s="4" t="s">
        <v>27</v>
      </c>
      <c r="E11" s="5">
        <v>14589</v>
      </c>
      <c r="F11" s="6">
        <v>113.196051</v>
      </c>
      <c r="G11" s="7">
        <v>2.8493480000000002E-2</v>
      </c>
      <c r="H11" s="69"/>
    </row>
    <row r="12" spans="1:14" x14ac:dyDescent="0.2">
      <c r="A12" s="3">
        <v>6</v>
      </c>
      <c r="B12" s="4" t="s">
        <v>79</v>
      </c>
      <c r="C12" s="4" t="s">
        <v>80</v>
      </c>
      <c r="D12" s="4" t="s">
        <v>75</v>
      </c>
      <c r="E12" s="5">
        <v>29370</v>
      </c>
      <c r="F12" s="6">
        <v>109.60884</v>
      </c>
      <c r="G12" s="7">
        <v>2.7590514E-2</v>
      </c>
      <c r="H12" s="69"/>
    </row>
    <row r="13" spans="1:14" ht="25.5" x14ac:dyDescent="0.2">
      <c r="A13" s="3">
        <v>7</v>
      </c>
      <c r="B13" s="4" t="s">
        <v>151</v>
      </c>
      <c r="C13" s="4" t="s">
        <v>152</v>
      </c>
      <c r="D13" s="4" t="s">
        <v>45</v>
      </c>
      <c r="E13" s="5">
        <v>67686</v>
      </c>
      <c r="F13" s="6">
        <v>100.953669</v>
      </c>
      <c r="G13" s="7">
        <v>2.5411851999999999E-2</v>
      </c>
      <c r="H13" s="69"/>
    </row>
    <row r="14" spans="1:14" x14ac:dyDescent="0.2">
      <c r="A14" s="3">
        <v>8</v>
      </c>
      <c r="B14" s="4" t="s">
        <v>165</v>
      </c>
      <c r="C14" s="4" t="s">
        <v>166</v>
      </c>
      <c r="D14" s="4" t="s">
        <v>155</v>
      </c>
      <c r="E14" s="5">
        <v>19869</v>
      </c>
      <c r="F14" s="6">
        <v>98.282008500000003</v>
      </c>
      <c r="G14" s="7">
        <v>2.4739346999999998E-2</v>
      </c>
      <c r="H14" s="69"/>
    </row>
    <row r="15" spans="1:14" ht="15" x14ac:dyDescent="0.2">
      <c r="A15" s="3">
        <v>9</v>
      </c>
      <c r="B15" s="4" t="s">
        <v>153</v>
      </c>
      <c r="C15" s="4" t="s">
        <v>154</v>
      </c>
      <c r="D15" s="4" t="s">
        <v>155</v>
      </c>
      <c r="E15" s="5">
        <v>2353</v>
      </c>
      <c r="F15" s="6">
        <v>97.385964000000001</v>
      </c>
      <c r="G15" s="7">
        <v>2.4513797E-2</v>
      </c>
      <c r="H15" s="69"/>
      <c r="J15" s="160" t="s">
        <v>1017</v>
      </c>
    </row>
    <row r="16" spans="1:14" x14ac:dyDescent="0.2">
      <c r="A16" s="3">
        <v>10</v>
      </c>
      <c r="B16" s="4" t="s">
        <v>176</v>
      </c>
      <c r="C16" s="4" t="s">
        <v>177</v>
      </c>
      <c r="D16" s="4" t="s">
        <v>78</v>
      </c>
      <c r="E16" s="5">
        <v>11616</v>
      </c>
      <c r="F16" s="6">
        <v>94.019903999999997</v>
      </c>
      <c r="G16" s="7">
        <v>2.3666499000000001E-2</v>
      </c>
      <c r="H16" s="69"/>
    </row>
    <row r="17" spans="1:8" x14ac:dyDescent="0.2">
      <c r="A17" s="3">
        <v>11</v>
      </c>
      <c r="B17" s="4" t="s">
        <v>173</v>
      </c>
      <c r="C17" s="4" t="s">
        <v>174</v>
      </c>
      <c r="D17" s="4" t="s">
        <v>175</v>
      </c>
      <c r="E17" s="5">
        <v>36249</v>
      </c>
      <c r="F17" s="6">
        <v>91.728094499999997</v>
      </c>
      <c r="G17" s="7">
        <v>2.3089609000000001E-2</v>
      </c>
      <c r="H17" s="69"/>
    </row>
    <row r="18" spans="1:8" ht="25.5" x14ac:dyDescent="0.2">
      <c r="A18" s="3">
        <v>12</v>
      </c>
      <c r="B18" s="4" t="s">
        <v>37</v>
      </c>
      <c r="C18" s="4" t="s">
        <v>38</v>
      </c>
      <c r="D18" s="4" t="s">
        <v>974</v>
      </c>
      <c r="E18" s="5">
        <v>2709</v>
      </c>
      <c r="F18" s="6">
        <v>87.634795499999996</v>
      </c>
      <c r="G18" s="7">
        <v>2.2059253000000001E-2</v>
      </c>
      <c r="H18" s="69"/>
    </row>
    <row r="19" spans="1:8" x14ac:dyDescent="0.2">
      <c r="A19" s="3">
        <v>13</v>
      </c>
      <c r="B19" s="4" t="s">
        <v>56</v>
      </c>
      <c r="C19" s="4" t="s">
        <v>57</v>
      </c>
      <c r="D19" s="4" t="s">
        <v>53</v>
      </c>
      <c r="E19" s="5">
        <v>17357</v>
      </c>
      <c r="F19" s="6">
        <v>87.210246499999997</v>
      </c>
      <c r="G19" s="7">
        <v>2.1952386000000001E-2</v>
      </c>
      <c r="H19" s="69"/>
    </row>
    <row r="20" spans="1:8" ht="25.5" x14ac:dyDescent="0.2">
      <c r="A20" s="3">
        <v>14</v>
      </c>
      <c r="B20" s="4" t="s">
        <v>463</v>
      </c>
      <c r="C20" s="4" t="s">
        <v>464</v>
      </c>
      <c r="D20" s="4" t="s">
        <v>45</v>
      </c>
      <c r="E20" s="5">
        <v>5634</v>
      </c>
      <c r="F20" s="6">
        <v>85.726944000000003</v>
      </c>
      <c r="G20" s="7">
        <v>2.1579012000000002E-2</v>
      </c>
      <c r="H20" s="69"/>
    </row>
    <row r="21" spans="1:8" x14ac:dyDescent="0.2">
      <c r="A21" s="3">
        <v>15</v>
      </c>
      <c r="B21" s="4" t="s">
        <v>41</v>
      </c>
      <c r="C21" s="4" t="s">
        <v>42</v>
      </c>
      <c r="D21" s="4" t="s">
        <v>27</v>
      </c>
      <c r="E21" s="5">
        <v>6666</v>
      </c>
      <c r="F21" s="6">
        <v>82.788387</v>
      </c>
      <c r="G21" s="7">
        <v>2.0839323999999999E-2</v>
      </c>
      <c r="H21" s="69"/>
    </row>
    <row r="22" spans="1:8" ht="25.5" x14ac:dyDescent="0.2">
      <c r="A22" s="3">
        <v>16</v>
      </c>
      <c r="B22" s="4" t="s">
        <v>205</v>
      </c>
      <c r="C22" s="4" t="s">
        <v>206</v>
      </c>
      <c r="D22" s="4" t="s">
        <v>207</v>
      </c>
      <c r="E22" s="5">
        <v>18670</v>
      </c>
      <c r="F22" s="6">
        <v>79.70223</v>
      </c>
      <c r="G22" s="7">
        <v>2.0062482999999999E-2</v>
      </c>
      <c r="H22" s="69"/>
    </row>
    <row r="23" spans="1:8" x14ac:dyDescent="0.2">
      <c r="A23" s="3">
        <v>17</v>
      </c>
      <c r="B23" s="4" t="s">
        <v>163</v>
      </c>
      <c r="C23" s="4" t="s">
        <v>164</v>
      </c>
      <c r="D23" s="4" t="s">
        <v>975</v>
      </c>
      <c r="E23" s="5">
        <v>19759</v>
      </c>
      <c r="F23" s="6">
        <v>79.085397499999999</v>
      </c>
      <c r="G23" s="7">
        <v>1.9907214999999999E-2</v>
      </c>
      <c r="H23" s="69"/>
    </row>
    <row r="24" spans="1:8" x14ac:dyDescent="0.2">
      <c r="A24" s="3">
        <v>18</v>
      </c>
      <c r="B24" s="4" t="s">
        <v>283</v>
      </c>
      <c r="C24" s="4" t="s">
        <v>284</v>
      </c>
      <c r="D24" s="4" t="s">
        <v>32</v>
      </c>
      <c r="E24" s="5">
        <v>19575</v>
      </c>
      <c r="F24" s="6">
        <v>76.029300000000006</v>
      </c>
      <c r="G24" s="7">
        <v>1.9137940999999999E-2</v>
      </c>
      <c r="H24" s="69"/>
    </row>
    <row r="25" spans="1:8" x14ac:dyDescent="0.2">
      <c r="A25" s="3">
        <v>19</v>
      </c>
      <c r="B25" s="4" t="s">
        <v>167</v>
      </c>
      <c r="C25" s="4" t="s">
        <v>168</v>
      </c>
      <c r="D25" s="4" t="s">
        <v>976</v>
      </c>
      <c r="E25" s="5">
        <v>6933</v>
      </c>
      <c r="F25" s="6">
        <v>70.317952500000004</v>
      </c>
      <c r="G25" s="7">
        <v>1.7700291999999999E-2</v>
      </c>
      <c r="H25" s="69"/>
    </row>
    <row r="26" spans="1:8" x14ac:dyDescent="0.2">
      <c r="A26" s="3">
        <v>20</v>
      </c>
      <c r="B26" s="4" t="s">
        <v>73</v>
      </c>
      <c r="C26" s="4" t="s">
        <v>74</v>
      </c>
      <c r="D26" s="4" t="s">
        <v>75</v>
      </c>
      <c r="E26" s="5">
        <v>2279</v>
      </c>
      <c r="F26" s="6">
        <v>69.041165500000005</v>
      </c>
      <c r="G26" s="7">
        <v>1.7378902000000002E-2</v>
      </c>
      <c r="H26" s="69"/>
    </row>
    <row r="27" spans="1:8" x14ac:dyDescent="0.2">
      <c r="A27" s="3">
        <v>21</v>
      </c>
      <c r="B27" s="4" t="s">
        <v>202</v>
      </c>
      <c r="C27" s="4" t="s">
        <v>203</v>
      </c>
      <c r="D27" s="4" t="s">
        <v>204</v>
      </c>
      <c r="E27" s="5">
        <v>17769</v>
      </c>
      <c r="F27" s="6">
        <v>68.979258000000002</v>
      </c>
      <c r="G27" s="7">
        <v>1.7363318999999999E-2</v>
      </c>
      <c r="H27" s="69"/>
    </row>
    <row r="28" spans="1:8" x14ac:dyDescent="0.2">
      <c r="A28" s="3">
        <v>22</v>
      </c>
      <c r="B28" s="4" t="s">
        <v>219</v>
      </c>
      <c r="C28" s="4" t="s">
        <v>220</v>
      </c>
      <c r="D28" s="4" t="s">
        <v>221</v>
      </c>
      <c r="E28" s="5">
        <v>32633</v>
      </c>
      <c r="F28" s="6">
        <v>68.659831999999994</v>
      </c>
      <c r="G28" s="7">
        <v>1.7282913E-2</v>
      </c>
      <c r="H28" s="69"/>
    </row>
    <row r="29" spans="1:8" x14ac:dyDescent="0.2">
      <c r="A29" s="3">
        <v>23</v>
      </c>
      <c r="B29" s="4" t="s">
        <v>301</v>
      </c>
      <c r="C29" s="4" t="s">
        <v>302</v>
      </c>
      <c r="D29" s="4" t="s">
        <v>27</v>
      </c>
      <c r="E29" s="5">
        <v>9335</v>
      </c>
      <c r="F29" s="6">
        <v>63.235289999999999</v>
      </c>
      <c r="G29" s="7">
        <v>1.5917458999999998E-2</v>
      </c>
      <c r="H29" s="69"/>
    </row>
    <row r="30" spans="1:8" x14ac:dyDescent="0.2">
      <c r="A30" s="3">
        <v>24</v>
      </c>
      <c r="B30" s="4" t="s">
        <v>187</v>
      </c>
      <c r="C30" s="4" t="s">
        <v>188</v>
      </c>
      <c r="D30" s="4" t="s">
        <v>978</v>
      </c>
      <c r="E30" s="5">
        <v>7019</v>
      </c>
      <c r="F30" s="6">
        <v>62.725293499999999</v>
      </c>
      <c r="G30" s="7">
        <v>1.5789082999999999E-2</v>
      </c>
      <c r="H30" s="69"/>
    </row>
    <row r="31" spans="1:8" x14ac:dyDescent="0.2">
      <c r="A31" s="3">
        <v>25</v>
      </c>
      <c r="B31" s="4" t="s">
        <v>298</v>
      </c>
      <c r="C31" s="4" t="s">
        <v>299</v>
      </c>
      <c r="D31" s="4" t="s">
        <v>53</v>
      </c>
      <c r="E31" s="5">
        <v>3603</v>
      </c>
      <c r="F31" s="6">
        <v>61.854502500000002</v>
      </c>
      <c r="G31" s="7">
        <v>1.5569889999999999E-2</v>
      </c>
      <c r="H31" s="69"/>
    </row>
    <row r="32" spans="1:8" x14ac:dyDescent="0.2">
      <c r="A32" s="3">
        <v>26</v>
      </c>
      <c r="B32" s="4" t="s">
        <v>183</v>
      </c>
      <c r="C32" s="4" t="s">
        <v>184</v>
      </c>
      <c r="D32" s="4" t="s">
        <v>75</v>
      </c>
      <c r="E32" s="5">
        <v>6426</v>
      </c>
      <c r="F32" s="6">
        <v>61.143389999999997</v>
      </c>
      <c r="G32" s="7">
        <v>1.5390890000000001E-2</v>
      </c>
      <c r="H32" s="69"/>
    </row>
    <row r="33" spans="1:8" x14ac:dyDescent="0.2">
      <c r="A33" s="3">
        <v>27</v>
      </c>
      <c r="B33" s="4" t="s">
        <v>210</v>
      </c>
      <c r="C33" s="4" t="s">
        <v>211</v>
      </c>
      <c r="D33" s="4" t="s">
        <v>53</v>
      </c>
      <c r="E33" s="5">
        <v>6312</v>
      </c>
      <c r="F33" s="6">
        <v>59.828291999999998</v>
      </c>
      <c r="G33" s="7">
        <v>1.5059856E-2</v>
      </c>
      <c r="H33" s="69"/>
    </row>
    <row r="34" spans="1:8" x14ac:dyDescent="0.2">
      <c r="A34" s="3">
        <v>28</v>
      </c>
      <c r="B34" s="4" t="s">
        <v>198</v>
      </c>
      <c r="C34" s="4" t="s">
        <v>199</v>
      </c>
      <c r="D34" s="4" t="s">
        <v>78</v>
      </c>
      <c r="E34" s="5">
        <v>10036</v>
      </c>
      <c r="F34" s="6">
        <v>59.222436000000002</v>
      </c>
      <c r="G34" s="7">
        <v>1.4907350999999999E-2</v>
      </c>
      <c r="H34" s="69"/>
    </row>
    <row r="35" spans="1:8" x14ac:dyDescent="0.2">
      <c r="A35" s="3">
        <v>29</v>
      </c>
      <c r="B35" s="4" t="s">
        <v>200</v>
      </c>
      <c r="C35" s="4" t="s">
        <v>201</v>
      </c>
      <c r="D35" s="4" t="s">
        <v>27</v>
      </c>
      <c r="E35" s="5">
        <v>2911</v>
      </c>
      <c r="F35" s="6">
        <v>58.828398999999997</v>
      </c>
      <c r="G35" s="7">
        <v>1.4808165E-2</v>
      </c>
      <c r="H35" s="69"/>
    </row>
    <row r="36" spans="1:8" x14ac:dyDescent="0.2">
      <c r="A36" s="3">
        <v>30</v>
      </c>
      <c r="B36" s="4" t="s">
        <v>181</v>
      </c>
      <c r="C36" s="4" t="s">
        <v>182</v>
      </c>
      <c r="D36" s="4" t="s">
        <v>155</v>
      </c>
      <c r="E36" s="5">
        <v>5785</v>
      </c>
      <c r="F36" s="6">
        <v>58.570232500000003</v>
      </c>
      <c r="G36" s="7">
        <v>1.474318E-2</v>
      </c>
      <c r="H36" s="69"/>
    </row>
    <row r="37" spans="1:8" x14ac:dyDescent="0.2">
      <c r="A37" s="3">
        <v>31</v>
      </c>
      <c r="B37" s="4" t="s">
        <v>225</v>
      </c>
      <c r="C37" s="4" t="s">
        <v>226</v>
      </c>
      <c r="D37" s="4" t="s">
        <v>204</v>
      </c>
      <c r="E37" s="5">
        <v>11300</v>
      </c>
      <c r="F37" s="6">
        <v>57.477449999999997</v>
      </c>
      <c r="G37" s="7">
        <v>1.4468106999999999E-2</v>
      </c>
      <c r="H37" s="69"/>
    </row>
    <row r="38" spans="1:8" x14ac:dyDescent="0.2">
      <c r="A38" s="3">
        <v>32</v>
      </c>
      <c r="B38" s="4" t="s">
        <v>212</v>
      </c>
      <c r="C38" s="4" t="s">
        <v>213</v>
      </c>
      <c r="D38" s="4" t="s">
        <v>979</v>
      </c>
      <c r="E38" s="5">
        <v>10181</v>
      </c>
      <c r="F38" s="6">
        <v>55.842784999999999</v>
      </c>
      <c r="G38" s="7">
        <v>1.4056631999999999E-2</v>
      </c>
      <c r="H38" s="69"/>
    </row>
    <row r="39" spans="1:8" x14ac:dyDescent="0.2">
      <c r="A39" s="3">
        <v>33</v>
      </c>
      <c r="B39" s="4" t="s">
        <v>208</v>
      </c>
      <c r="C39" s="4" t="s">
        <v>209</v>
      </c>
      <c r="D39" s="4" t="s">
        <v>78</v>
      </c>
      <c r="E39" s="5">
        <v>108798</v>
      </c>
      <c r="F39" s="6">
        <v>54.616596000000001</v>
      </c>
      <c r="G39" s="7">
        <v>1.3747979E-2</v>
      </c>
      <c r="H39" s="69"/>
    </row>
    <row r="40" spans="1:8" x14ac:dyDescent="0.2">
      <c r="A40" s="3">
        <v>34</v>
      </c>
      <c r="B40" s="4" t="s">
        <v>161</v>
      </c>
      <c r="C40" s="4" t="s">
        <v>162</v>
      </c>
      <c r="D40" s="4" t="s">
        <v>22</v>
      </c>
      <c r="E40" s="5">
        <v>29578</v>
      </c>
      <c r="F40" s="6">
        <v>54.024217</v>
      </c>
      <c r="G40" s="7">
        <v>1.3598865999999999E-2</v>
      </c>
      <c r="H40" s="69"/>
    </row>
    <row r="41" spans="1:8" ht="25.5" x14ac:dyDescent="0.2">
      <c r="A41" s="3">
        <v>35</v>
      </c>
      <c r="B41" s="4" t="s">
        <v>222</v>
      </c>
      <c r="C41" s="4" t="s">
        <v>223</v>
      </c>
      <c r="D41" s="4" t="s">
        <v>207</v>
      </c>
      <c r="E41" s="5">
        <v>11006</v>
      </c>
      <c r="F41" s="6">
        <v>51.337487000000003</v>
      </c>
      <c r="G41" s="7">
        <v>1.2922568000000001E-2</v>
      </c>
      <c r="H41" s="69"/>
    </row>
    <row r="42" spans="1:8" x14ac:dyDescent="0.2">
      <c r="A42" s="3">
        <v>36</v>
      </c>
      <c r="B42" s="4" t="s">
        <v>191</v>
      </c>
      <c r="C42" s="4" t="s">
        <v>192</v>
      </c>
      <c r="D42" s="4" t="s">
        <v>53</v>
      </c>
      <c r="E42" s="5">
        <v>50979</v>
      </c>
      <c r="F42" s="6">
        <v>49.041798</v>
      </c>
      <c r="G42" s="7">
        <v>1.2344702000000001E-2</v>
      </c>
      <c r="H42" s="69"/>
    </row>
    <row r="43" spans="1:8" ht="25.5" x14ac:dyDescent="0.2">
      <c r="A43" s="3">
        <v>37</v>
      </c>
      <c r="B43" s="4" t="s">
        <v>233</v>
      </c>
      <c r="C43" s="4" t="s">
        <v>234</v>
      </c>
      <c r="D43" s="4" t="s">
        <v>207</v>
      </c>
      <c r="E43" s="5">
        <v>12063</v>
      </c>
      <c r="F43" s="6">
        <v>48.7164255</v>
      </c>
      <c r="G43" s="7">
        <v>1.2262800000000001E-2</v>
      </c>
      <c r="H43" s="69"/>
    </row>
    <row r="44" spans="1:8" x14ac:dyDescent="0.2">
      <c r="A44" s="3">
        <v>38</v>
      </c>
      <c r="B44" s="4" t="s">
        <v>193</v>
      </c>
      <c r="C44" s="4" t="s">
        <v>194</v>
      </c>
      <c r="D44" s="4" t="s">
        <v>195</v>
      </c>
      <c r="E44" s="5">
        <v>9975</v>
      </c>
      <c r="F44" s="6">
        <v>47.969774999999998</v>
      </c>
      <c r="G44" s="7">
        <v>1.2074853999999999E-2</v>
      </c>
      <c r="H44" s="69"/>
    </row>
    <row r="45" spans="1:8" x14ac:dyDescent="0.2">
      <c r="A45" s="3">
        <v>39</v>
      </c>
      <c r="B45" s="4" t="s">
        <v>214</v>
      </c>
      <c r="C45" s="4" t="s">
        <v>215</v>
      </c>
      <c r="D45" s="4" t="s">
        <v>979</v>
      </c>
      <c r="E45" s="5">
        <v>4380</v>
      </c>
      <c r="F45" s="6">
        <v>44.691330000000001</v>
      </c>
      <c r="G45" s="7">
        <v>1.1249611E-2</v>
      </c>
      <c r="H45" s="69"/>
    </row>
    <row r="46" spans="1:8" ht="25.5" x14ac:dyDescent="0.2">
      <c r="A46" s="3">
        <v>40</v>
      </c>
      <c r="B46" s="4" t="s">
        <v>239</v>
      </c>
      <c r="C46" s="4" t="s">
        <v>240</v>
      </c>
      <c r="D46" s="4" t="s">
        <v>980</v>
      </c>
      <c r="E46" s="5">
        <v>44136</v>
      </c>
      <c r="F46" s="6">
        <v>44.180135999999997</v>
      </c>
      <c r="G46" s="7">
        <v>1.1120934000000001E-2</v>
      </c>
      <c r="H46" s="69"/>
    </row>
    <row r="47" spans="1:8" ht="25.5" x14ac:dyDescent="0.2">
      <c r="A47" s="3">
        <v>41</v>
      </c>
      <c r="B47" s="4" t="s">
        <v>229</v>
      </c>
      <c r="C47" s="4" t="s">
        <v>230</v>
      </c>
      <c r="D47" s="4" t="s">
        <v>75</v>
      </c>
      <c r="E47" s="5">
        <v>2285</v>
      </c>
      <c r="F47" s="6">
        <v>43.381867499999998</v>
      </c>
      <c r="G47" s="7">
        <v>1.0919995E-2</v>
      </c>
      <c r="H47" s="69"/>
    </row>
    <row r="48" spans="1:8" x14ac:dyDescent="0.2">
      <c r="A48" s="3">
        <v>42</v>
      </c>
      <c r="B48" s="4" t="s">
        <v>258</v>
      </c>
      <c r="C48" s="4" t="s">
        <v>259</v>
      </c>
      <c r="D48" s="4" t="s">
        <v>979</v>
      </c>
      <c r="E48" s="5">
        <v>32152</v>
      </c>
      <c r="F48" s="6">
        <v>41.492156000000001</v>
      </c>
      <c r="G48" s="7">
        <v>1.0444320999999999E-2</v>
      </c>
      <c r="H48" s="69"/>
    </row>
    <row r="49" spans="1:8" x14ac:dyDescent="0.2">
      <c r="A49" s="3">
        <v>43</v>
      </c>
      <c r="B49" s="4" t="s">
        <v>251</v>
      </c>
      <c r="C49" s="4" t="s">
        <v>252</v>
      </c>
      <c r="D49" s="4" t="s">
        <v>160</v>
      </c>
      <c r="E49" s="5">
        <v>7112</v>
      </c>
      <c r="F49" s="6">
        <v>41.356279999999998</v>
      </c>
      <c r="G49" s="7">
        <v>1.0410119000000001E-2</v>
      </c>
      <c r="H49" s="69"/>
    </row>
    <row r="50" spans="1:8" x14ac:dyDescent="0.2">
      <c r="A50" s="3">
        <v>44</v>
      </c>
      <c r="B50" s="4" t="s">
        <v>477</v>
      </c>
      <c r="C50" s="4" t="s">
        <v>478</v>
      </c>
      <c r="D50" s="4" t="s">
        <v>204</v>
      </c>
      <c r="E50" s="5">
        <v>8154</v>
      </c>
      <c r="F50" s="6">
        <v>41.177700000000002</v>
      </c>
      <c r="G50" s="7">
        <v>1.0365167E-2</v>
      </c>
      <c r="H50" s="69"/>
    </row>
    <row r="51" spans="1:8" x14ac:dyDescent="0.2">
      <c r="A51" s="3">
        <v>45</v>
      </c>
      <c r="B51" s="4" t="s">
        <v>227</v>
      </c>
      <c r="C51" s="4" t="s">
        <v>228</v>
      </c>
      <c r="D51" s="4" t="s">
        <v>976</v>
      </c>
      <c r="E51" s="5">
        <v>2495</v>
      </c>
      <c r="F51" s="6">
        <v>39.896297500000003</v>
      </c>
      <c r="G51" s="7">
        <v>1.0042615E-2</v>
      </c>
      <c r="H51" s="69"/>
    </row>
    <row r="52" spans="1:8" x14ac:dyDescent="0.2">
      <c r="A52" s="3">
        <v>46</v>
      </c>
      <c r="B52" s="4" t="s">
        <v>295</v>
      </c>
      <c r="C52" s="4" t="s">
        <v>296</v>
      </c>
      <c r="D52" s="4" t="s">
        <v>27</v>
      </c>
      <c r="E52" s="5">
        <v>3352</v>
      </c>
      <c r="F52" s="6">
        <v>39.359183999999999</v>
      </c>
      <c r="G52" s="7">
        <v>9.9074139999999998E-3</v>
      </c>
      <c r="H52" s="69"/>
    </row>
    <row r="53" spans="1:8" x14ac:dyDescent="0.2">
      <c r="A53" s="3">
        <v>47</v>
      </c>
      <c r="B53" s="4" t="s">
        <v>285</v>
      </c>
      <c r="C53" s="4" t="s">
        <v>286</v>
      </c>
      <c r="D53" s="4" t="s">
        <v>160</v>
      </c>
      <c r="E53" s="5">
        <v>5781</v>
      </c>
      <c r="F53" s="6">
        <v>39.151822500000002</v>
      </c>
      <c r="G53" s="7">
        <v>9.8552169999999994E-3</v>
      </c>
      <c r="H53" s="69"/>
    </row>
    <row r="54" spans="1:8" x14ac:dyDescent="0.2">
      <c r="A54" s="3">
        <v>48</v>
      </c>
      <c r="B54" s="4" t="s">
        <v>235</v>
      </c>
      <c r="C54" s="4" t="s">
        <v>236</v>
      </c>
      <c r="D54" s="4" t="s">
        <v>160</v>
      </c>
      <c r="E54" s="5">
        <v>10105</v>
      </c>
      <c r="F54" s="6">
        <v>37.9392225</v>
      </c>
      <c r="G54" s="7">
        <v>9.5499839999999992E-3</v>
      </c>
      <c r="H54" s="69"/>
    </row>
    <row r="55" spans="1:8" x14ac:dyDescent="0.2">
      <c r="A55" s="3">
        <v>49</v>
      </c>
      <c r="B55" s="4" t="s">
        <v>255</v>
      </c>
      <c r="C55" s="4" t="s">
        <v>256</v>
      </c>
      <c r="D55" s="4" t="s">
        <v>257</v>
      </c>
      <c r="E55" s="5">
        <v>16931</v>
      </c>
      <c r="F55" s="6">
        <v>37.654544000000001</v>
      </c>
      <c r="G55" s="7">
        <v>9.4783249999999993E-3</v>
      </c>
      <c r="H55" s="69"/>
    </row>
    <row r="56" spans="1:8" x14ac:dyDescent="0.2">
      <c r="A56" s="3">
        <v>50</v>
      </c>
      <c r="B56" s="4" t="s">
        <v>216</v>
      </c>
      <c r="C56" s="4" t="s">
        <v>217</v>
      </c>
      <c r="D56" s="4" t="s">
        <v>75</v>
      </c>
      <c r="E56" s="5">
        <v>4135</v>
      </c>
      <c r="F56" s="6">
        <v>36.272219999999997</v>
      </c>
      <c r="G56" s="7">
        <v>9.1303689999999993E-3</v>
      </c>
      <c r="H56" s="69"/>
    </row>
    <row r="57" spans="1:8" ht="25.5" x14ac:dyDescent="0.2">
      <c r="A57" s="3">
        <v>51</v>
      </c>
      <c r="B57" s="4" t="s">
        <v>189</v>
      </c>
      <c r="C57" s="4" t="s">
        <v>190</v>
      </c>
      <c r="D57" s="4" t="s">
        <v>974</v>
      </c>
      <c r="E57" s="5">
        <v>16405</v>
      </c>
      <c r="F57" s="6">
        <v>36.205835</v>
      </c>
      <c r="G57" s="7">
        <v>9.1136589999999996E-3</v>
      </c>
      <c r="H57" s="69"/>
    </row>
    <row r="58" spans="1:8" ht="25.5" x14ac:dyDescent="0.2">
      <c r="A58" s="3">
        <v>52</v>
      </c>
      <c r="B58" s="4" t="s">
        <v>218</v>
      </c>
      <c r="C58" s="4" t="s">
        <v>869</v>
      </c>
      <c r="D58" s="4" t="s">
        <v>45</v>
      </c>
      <c r="E58" s="5">
        <v>17050</v>
      </c>
      <c r="F58" s="6">
        <v>35.446950000000001</v>
      </c>
      <c r="G58" s="7">
        <v>8.9226340000000005E-3</v>
      </c>
      <c r="H58" s="69"/>
    </row>
    <row r="59" spans="1:8" x14ac:dyDescent="0.2">
      <c r="A59" s="3">
        <v>53</v>
      </c>
      <c r="B59" s="4" t="s">
        <v>262</v>
      </c>
      <c r="C59" s="4" t="s">
        <v>263</v>
      </c>
      <c r="D59" s="4" t="s">
        <v>22</v>
      </c>
      <c r="E59" s="5">
        <v>42227</v>
      </c>
      <c r="F59" s="6">
        <v>34.647253499999998</v>
      </c>
      <c r="G59" s="7">
        <v>8.7213359999999997E-3</v>
      </c>
      <c r="H59" s="69"/>
    </row>
    <row r="60" spans="1:8" x14ac:dyDescent="0.2">
      <c r="A60" s="3">
        <v>54</v>
      </c>
      <c r="B60" s="4" t="s">
        <v>247</v>
      </c>
      <c r="C60" s="4" t="s">
        <v>248</v>
      </c>
      <c r="D60" s="4" t="s">
        <v>75</v>
      </c>
      <c r="E60" s="5">
        <v>12795</v>
      </c>
      <c r="F60" s="6">
        <v>31.942717500000001</v>
      </c>
      <c r="G60" s="7">
        <v>8.0405560000000008E-3</v>
      </c>
      <c r="H60" s="69"/>
    </row>
    <row r="61" spans="1:8" x14ac:dyDescent="0.2">
      <c r="A61" s="3">
        <v>55</v>
      </c>
      <c r="B61" s="4" t="s">
        <v>237</v>
      </c>
      <c r="C61" s="4" t="s">
        <v>238</v>
      </c>
      <c r="D61" s="4" t="s">
        <v>204</v>
      </c>
      <c r="E61" s="5">
        <v>1825</v>
      </c>
      <c r="F61" s="6">
        <v>29.906275000000001</v>
      </c>
      <c r="G61" s="7">
        <v>7.5279470000000001E-3</v>
      </c>
      <c r="H61" s="69"/>
    </row>
    <row r="62" spans="1:8" x14ac:dyDescent="0.2">
      <c r="A62" s="3">
        <v>56</v>
      </c>
      <c r="B62" s="4" t="s">
        <v>260</v>
      </c>
      <c r="C62" s="4" t="s">
        <v>261</v>
      </c>
      <c r="D62" s="4" t="s">
        <v>204</v>
      </c>
      <c r="E62" s="5">
        <v>546</v>
      </c>
      <c r="F62" s="6">
        <v>29.072862000000001</v>
      </c>
      <c r="G62" s="7">
        <v>7.3181619999999996E-3</v>
      </c>
      <c r="H62" s="69"/>
    </row>
    <row r="63" spans="1:8" x14ac:dyDescent="0.2">
      <c r="A63" s="3">
        <v>57</v>
      </c>
      <c r="B63" s="4" t="s">
        <v>272</v>
      </c>
      <c r="C63" s="4" t="s">
        <v>273</v>
      </c>
      <c r="D63" s="4" t="s">
        <v>75</v>
      </c>
      <c r="E63" s="5">
        <v>23018</v>
      </c>
      <c r="F63" s="6">
        <v>28.910608</v>
      </c>
      <c r="G63" s="7">
        <v>7.277319E-3</v>
      </c>
      <c r="H63" s="69"/>
    </row>
    <row r="64" spans="1:8" x14ac:dyDescent="0.2">
      <c r="A64" s="3">
        <v>58</v>
      </c>
      <c r="B64" s="4" t="s">
        <v>171</v>
      </c>
      <c r="C64" s="4" t="s">
        <v>172</v>
      </c>
      <c r="D64" s="4" t="s">
        <v>977</v>
      </c>
      <c r="E64" s="5">
        <v>11833</v>
      </c>
      <c r="F64" s="6">
        <v>28.712774499999998</v>
      </c>
      <c r="G64" s="7">
        <v>7.2275209999999998E-3</v>
      </c>
      <c r="H64" s="69"/>
    </row>
    <row r="65" spans="1:8" x14ac:dyDescent="0.2">
      <c r="A65" s="3">
        <v>59</v>
      </c>
      <c r="B65" s="4" t="s">
        <v>51</v>
      </c>
      <c r="C65" s="4" t="s">
        <v>52</v>
      </c>
      <c r="D65" s="4" t="s">
        <v>53</v>
      </c>
      <c r="E65" s="5">
        <v>15702</v>
      </c>
      <c r="F65" s="6">
        <v>26.599188000000002</v>
      </c>
      <c r="G65" s="7">
        <v>6.6954939999999998E-3</v>
      </c>
      <c r="H65" s="69"/>
    </row>
    <row r="66" spans="1:8" x14ac:dyDescent="0.2">
      <c r="A66" s="3">
        <v>60</v>
      </c>
      <c r="B66" s="4" t="s">
        <v>264</v>
      </c>
      <c r="C66" s="4" t="s">
        <v>265</v>
      </c>
      <c r="D66" s="4" t="s">
        <v>65</v>
      </c>
      <c r="E66" s="5">
        <v>10387</v>
      </c>
      <c r="F66" s="6">
        <v>23.2409125</v>
      </c>
      <c r="G66" s="7">
        <v>5.8501550000000001E-3</v>
      </c>
      <c r="H66" s="69"/>
    </row>
    <row r="67" spans="1:8" x14ac:dyDescent="0.2">
      <c r="A67" s="3">
        <v>61</v>
      </c>
      <c r="B67" s="4" t="s">
        <v>270</v>
      </c>
      <c r="C67" s="4" t="s">
        <v>271</v>
      </c>
      <c r="D67" s="4" t="s">
        <v>144</v>
      </c>
      <c r="E67" s="5">
        <v>3667</v>
      </c>
      <c r="F67" s="6">
        <v>20.997242</v>
      </c>
      <c r="G67" s="7">
        <v>5.2853830000000003E-3</v>
      </c>
      <c r="H67" s="69"/>
    </row>
    <row r="68" spans="1:8" x14ac:dyDescent="0.2">
      <c r="A68" s="3">
        <v>62</v>
      </c>
      <c r="B68" s="4" t="s">
        <v>241</v>
      </c>
      <c r="C68" s="4" t="s">
        <v>242</v>
      </c>
      <c r="D68" s="4" t="s">
        <v>155</v>
      </c>
      <c r="E68" s="5">
        <v>1721</v>
      </c>
      <c r="F68" s="6">
        <v>20.747515499999999</v>
      </c>
      <c r="G68" s="7">
        <v>5.2225220000000003E-3</v>
      </c>
      <c r="H68" s="69"/>
    </row>
    <row r="69" spans="1:8" x14ac:dyDescent="0.2">
      <c r="A69" s="3">
        <v>63</v>
      </c>
      <c r="B69" s="4" t="s">
        <v>249</v>
      </c>
      <c r="C69" s="4" t="s">
        <v>250</v>
      </c>
      <c r="D69" s="4" t="s">
        <v>334</v>
      </c>
      <c r="E69" s="5">
        <v>2142</v>
      </c>
      <c r="F69" s="6">
        <v>19.687121999999999</v>
      </c>
      <c r="G69" s="7">
        <v>4.9556019999999999E-3</v>
      </c>
      <c r="H69" s="69"/>
    </row>
    <row r="70" spans="1:8" x14ac:dyDescent="0.2">
      <c r="A70" s="3">
        <v>64</v>
      </c>
      <c r="B70" s="4" t="s">
        <v>278</v>
      </c>
      <c r="C70" s="4" t="s">
        <v>279</v>
      </c>
      <c r="D70" s="4" t="s">
        <v>144</v>
      </c>
      <c r="E70" s="5">
        <v>1792</v>
      </c>
      <c r="F70" s="6">
        <v>18.072320000000001</v>
      </c>
      <c r="G70" s="7">
        <v>4.5491280000000004E-3</v>
      </c>
      <c r="H70" s="69"/>
    </row>
    <row r="71" spans="1:8" x14ac:dyDescent="0.2">
      <c r="A71" s="3">
        <v>65</v>
      </c>
      <c r="B71" s="4" t="s">
        <v>274</v>
      </c>
      <c r="C71" s="4" t="s">
        <v>275</v>
      </c>
      <c r="D71" s="4" t="s">
        <v>155</v>
      </c>
      <c r="E71" s="5">
        <v>3970</v>
      </c>
      <c r="F71" s="6">
        <v>15.111805</v>
      </c>
      <c r="G71" s="7">
        <v>3.8039129999999999E-3</v>
      </c>
      <c r="H71" s="69"/>
    </row>
    <row r="72" spans="1:8" x14ac:dyDescent="0.2">
      <c r="A72" s="3">
        <v>66</v>
      </c>
      <c r="B72" s="4" t="s">
        <v>473</v>
      </c>
      <c r="C72" s="4" t="s">
        <v>474</v>
      </c>
      <c r="D72" s="4" t="s">
        <v>976</v>
      </c>
      <c r="E72" s="5">
        <v>5540</v>
      </c>
      <c r="F72" s="6">
        <v>4.6840700000000002</v>
      </c>
      <c r="G72" s="7">
        <v>1.179065E-3</v>
      </c>
      <c r="H72" s="69"/>
    </row>
    <row r="73" spans="1:8" x14ac:dyDescent="0.2">
      <c r="A73" s="3">
        <v>67</v>
      </c>
      <c r="B73" s="4" t="s">
        <v>276</v>
      </c>
      <c r="C73" s="4" t="s">
        <v>277</v>
      </c>
      <c r="D73" s="4" t="s">
        <v>204</v>
      </c>
      <c r="E73" s="5">
        <v>829</v>
      </c>
      <c r="F73" s="6">
        <v>2.3481424999999998</v>
      </c>
      <c r="G73" s="7">
        <v>5.9106999999999996E-4</v>
      </c>
      <c r="H73" s="69"/>
    </row>
    <row r="74" spans="1:8" x14ac:dyDescent="0.2">
      <c r="A74" s="3">
        <v>68</v>
      </c>
      <c r="B74" s="4" t="s">
        <v>289</v>
      </c>
      <c r="C74" s="4" t="s">
        <v>290</v>
      </c>
      <c r="D74" s="4" t="s">
        <v>27</v>
      </c>
      <c r="E74" s="5">
        <v>12</v>
      </c>
      <c r="F74" s="6">
        <v>4.0661999999999997E-2</v>
      </c>
      <c r="G74" s="8" t="s">
        <v>94</v>
      </c>
      <c r="H74" s="69"/>
    </row>
    <row r="75" spans="1:8" x14ac:dyDescent="0.2">
      <c r="A75" s="1"/>
      <c r="B75" s="1"/>
      <c r="C75" s="2" t="s">
        <v>95</v>
      </c>
      <c r="D75" s="1"/>
      <c r="E75" s="1" t="s">
        <v>96</v>
      </c>
      <c r="F75" s="9">
        <v>3874.7314339999998</v>
      </c>
      <c r="G75" s="10">
        <v>0.97533951799999996</v>
      </c>
      <c r="H75" s="69"/>
    </row>
    <row r="76" spans="1:8" x14ac:dyDescent="0.2">
      <c r="A76" s="1"/>
      <c r="B76" s="1"/>
      <c r="C76" s="11"/>
      <c r="D76" s="1"/>
      <c r="E76" s="1"/>
      <c r="F76" s="12"/>
      <c r="G76" s="12"/>
      <c r="H76" s="69"/>
    </row>
    <row r="77" spans="1:8" x14ac:dyDescent="0.2">
      <c r="A77" s="1"/>
      <c r="B77" s="1"/>
      <c r="C77" s="2" t="s">
        <v>97</v>
      </c>
      <c r="D77" s="1"/>
      <c r="E77" s="1"/>
      <c r="F77" s="1"/>
      <c r="G77" s="1"/>
      <c r="H77" s="69"/>
    </row>
    <row r="78" spans="1:8" x14ac:dyDescent="0.2">
      <c r="A78" s="1"/>
      <c r="B78" s="1"/>
      <c r="C78" s="2" t="s">
        <v>95</v>
      </c>
      <c r="D78" s="1"/>
      <c r="E78" s="1" t="s">
        <v>96</v>
      </c>
      <c r="F78" s="13">
        <v>0</v>
      </c>
      <c r="G78" s="14">
        <v>0</v>
      </c>
      <c r="H78" s="69"/>
    </row>
    <row r="79" spans="1:8" x14ac:dyDescent="0.2">
      <c r="A79" s="1"/>
      <c r="B79" s="1"/>
      <c r="C79" s="11"/>
      <c r="D79" s="1"/>
      <c r="E79" s="1"/>
      <c r="F79" s="12"/>
      <c r="G79" s="12"/>
      <c r="H79" s="69"/>
    </row>
    <row r="80" spans="1:8" x14ac:dyDescent="0.2">
      <c r="A80" s="1"/>
      <c r="B80" s="1"/>
      <c r="C80" s="2" t="s">
        <v>98</v>
      </c>
      <c r="D80" s="1"/>
      <c r="E80" s="1"/>
      <c r="F80" s="1"/>
      <c r="G80" s="1"/>
      <c r="H80" s="69"/>
    </row>
    <row r="81" spans="1:8" x14ac:dyDescent="0.2">
      <c r="A81" s="1"/>
      <c r="B81" s="1"/>
      <c r="C81" s="2" t="s">
        <v>95</v>
      </c>
      <c r="D81" s="1"/>
      <c r="E81" s="1" t="s">
        <v>96</v>
      </c>
      <c r="F81" s="13">
        <v>0</v>
      </c>
      <c r="G81" s="14">
        <v>0</v>
      </c>
      <c r="H81" s="69"/>
    </row>
    <row r="82" spans="1:8" x14ac:dyDescent="0.2">
      <c r="A82" s="1"/>
      <c r="B82" s="1"/>
      <c r="C82" s="11"/>
      <c r="D82" s="1"/>
      <c r="E82" s="1"/>
      <c r="F82" s="12"/>
      <c r="G82" s="12"/>
      <c r="H82" s="69"/>
    </row>
    <row r="83" spans="1:8" x14ac:dyDescent="0.2">
      <c r="A83" s="1"/>
      <c r="B83" s="1"/>
      <c r="C83" s="2" t="s">
        <v>99</v>
      </c>
      <c r="D83" s="1"/>
      <c r="E83" s="1"/>
      <c r="F83" s="1"/>
      <c r="G83" s="1"/>
      <c r="H83" s="69"/>
    </row>
    <row r="84" spans="1:8" x14ac:dyDescent="0.2">
      <c r="A84" s="1"/>
      <c r="B84" s="1"/>
      <c r="C84" s="2" t="s">
        <v>95</v>
      </c>
      <c r="D84" s="1"/>
      <c r="E84" s="1" t="s">
        <v>96</v>
      </c>
      <c r="F84" s="13">
        <v>0</v>
      </c>
      <c r="G84" s="14">
        <v>0</v>
      </c>
      <c r="H84" s="69"/>
    </row>
    <row r="85" spans="1:8" x14ac:dyDescent="0.2">
      <c r="A85" s="1"/>
      <c r="B85" s="1"/>
      <c r="C85" s="11"/>
      <c r="D85" s="1"/>
      <c r="E85" s="1"/>
      <c r="F85" s="12"/>
      <c r="G85" s="12"/>
      <c r="H85" s="69"/>
    </row>
    <row r="86" spans="1:8" x14ac:dyDescent="0.2">
      <c r="A86" s="1"/>
      <c r="B86" s="1"/>
      <c r="C86" s="2" t="s">
        <v>100</v>
      </c>
      <c r="D86" s="1"/>
      <c r="E86" s="1"/>
      <c r="F86" s="12"/>
      <c r="G86" s="12"/>
      <c r="H86" s="69"/>
    </row>
    <row r="87" spans="1:8" x14ac:dyDescent="0.2">
      <c r="A87" s="1"/>
      <c r="B87" s="1"/>
      <c r="C87" s="2" t="s">
        <v>95</v>
      </c>
      <c r="D87" s="1"/>
      <c r="E87" s="1" t="s">
        <v>96</v>
      </c>
      <c r="F87" s="13">
        <v>0</v>
      </c>
      <c r="G87" s="14">
        <v>0</v>
      </c>
      <c r="H87" s="69"/>
    </row>
    <row r="88" spans="1:8" x14ac:dyDescent="0.2">
      <c r="A88" s="1"/>
      <c r="B88" s="1"/>
      <c r="C88" s="11"/>
      <c r="D88" s="1"/>
      <c r="E88" s="1"/>
      <c r="F88" s="12"/>
      <c r="G88" s="12"/>
      <c r="H88" s="69"/>
    </row>
    <row r="89" spans="1:8" x14ac:dyDescent="0.2">
      <c r="A89" s="1"/>
      <c r="B89" s="1"/>
      <c r="C89" s="2" t="s">
        <v>101</v>
      </c>
      <c r="D89" s="1"/>
      <c r="E89" s="1"/>
      <c r="F89" s="12"/>
      <c r="G89" s="12"/>
      <c r="H89" s="69"/>
    </row>
    <row r="90" spans="1:8" x14ac:dyDescent="0.2">
      <c r="A90" s="1"/>
      <c r="B90" s="1"/>
      <c r="C90" s="2" t="s">
        <v>95</v>
      </c>
      <c r="D90" s="1"/>
      <c r="E90" s="1" t="s">
        <v>96</v>
      </c>
      <c r="F90" s="13">
        <v>0</v>
      </c>
      <c r="G90" s="14">
        <v>0</v>
      </c>
      <c r="H90" s="69"/>
    </row>
    <row r="91" spans="1:8" x14ac:dyDescent="0.2">
      <c r="A91" s="1"/>
      <c r="B91" s="1"/>
      <c r="C91" s="11"/>
      <c r="D91" s="1"/>
      <c r="E91" s="1"/>
      <c r="F91" s="12"/>
      <c r="G91" s="12"/>
      <c r="H91" s="69"/>
    </row>
    <row r="92" spans="1:8" x14ac:dyDescent="0.2">
      <c r="A92" s="1"/>
      <c r="B92" s="1"/>
      <c r="C92" s="2" t="s">
        <v>102</v>
      </c>
      <c r="D92" s="1"/>
      <c r="E92" s="1"/>
      <c r="F92" s="9">
        <v>3874.7314339999998</v>
      </c>
      <c r="G92" s="10">
        <v>0.97533951799999996</v>
      </c>
      <c r="H92" s="69"/>
    </row>
    <row r="93" spans="1:8" x14ac:dyDescent="0.2">
      <c r="A93" s="1"/>
      <c r="B93" s="1"/>
      <c r="C93" s="11"/>
      <c r="D93" s="1"/>
      <c r="E93" s="1"/>
      <c r="F93" s="12"/>
      <c r="G93" s="12"/>
      <c r="H93" s="69"/>
    </row>
    <row r="94" spans="1:8" x14ac:dyDescent="0.2">
      <c r="A94" s="1"/>
      <c r="B94" s="1"/>
      <c r="C94" s="2" t="s">
        <v>103</v>
      </c>
      <c r="D94" s="1"/>
      <c r="E94" s="1"/>
      <c r="F94" s="12"/>
      <c r="G94" s="12"/>
      <c r="H94" s="69"/>
    </row>
    <row r="95" spans="1:8" ht="25.5" x14ac:dyDescent="0.2">
      <c r="A95" s="1"/>
      <c r="B95" s="1"/>
      <c r="C95" s="2" t="s">
        <v>10</v>
      </c>
      <c r="D95" s="1"/>
      <c r="E95" s="1"/>
      <c r="F95" s="12"/>
      <c r="G95" s="12"/>
      <c r="H95" s="69"/>
    </row>
    <row r="96" spans="1:8" x14ac:dyDescent="0.2">
      <c r="A96" s="1"/>
      <c r="B96" s="1"/>
      <c r="C96" s="2" t="s">
        <v>95</v>
      </c>
      <c r="D96" s="1"/>
      <c r="E96" s="1" t="s">
        <v>96</v>
      </c>
      <c r="F96" s="13">
        <v>0</v>
      </c>
      <c r="G96" s="14">
        <v>0</v>
      </c>
      <c r="H96" s="69"/>
    </row>
    <row r="97" spans="1:8" x14ac:dyDescent="0.2">
      <c r="A97" s="1"/>
      <c r="B97" s="1"/>
      <c r="C97" s="11"/>
      <c r="D97" s="1"/>
      <c r="E97" s="1"/>
      <c r="F97" s="12"/>
      <c r="G97" s="12"/>
      <c r="H97" s="69"/>
    </row>
    <row r="98" spans="1:8" x14ac:dyDescent="0.2">
      <c r="A98" s="1"/>
      <c r="B98" s="1"/>
      <c r="C98" s="2" t="s">
        <v>104</v>
      </c>
      <c r="D98" s="1"/>
      <c r="E98" s="1"/>
      <c r="F98" s="1"/>
      <c r="G98" s="1"/>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105</v>
      </c>
      <c r="D101" s="1"/>
      <c r="E101" s="1"/>
      <c r="F101" s="1"/>
      <c r="G101" s="1"/>
      <c r="H101" s="69"/>
    </row>
    <row r="102" spans="1:8" x14ac:dyDescent="0.2">
      <c r="A102" s="1"/>
      <c r="B102" s="1"/>
      <c r="C102" s="2" t="s">
        <v>95</v>
      </c>
      <c r="D102" s="1"/>
      <c r="E102" s="1" t="s">
        <v>96</v>
      </c>
      <c r="F102" s="13">
        <v>0</v>
      </c>
      <c r="G102" s="14">
        <v>0</v>
      </c>
      <c r="H102" s="69"/>
    </row>
    <row r="103" spans="1:8" x14ac:dyDescent="0.2">
      <c r="A103" s="1"/>
      <c r="B103" s="1"/>
      <c r="C103" s="11"/>
      <c r="D103" s="1"/>
      <c r="E103" s="1"/>
      <c r="F103" s="12"/>
      <c r="G103" s="12"/>
      <c r="H103" s="69"/>
    </row>
    <row r="104" spans="1:8" x14ac:dyDescent="0.2">
      <c r="A104" s="1"/>
      <c r="B104" s="1"/>
      <c r="C104" s="2" t="s">
        <v>106</v>
      </c>
      <c r="D104" s="1"/>
      <c r="E104" s="1"/>
      <c r="F104" s="12"/>
      <c r="G104" s="12"/>
      <c r="H104" s="69"/>
    </row>
    <row r="105" spans="1:8" x14ac:dyDescent="0.2">
      <c r="A105" s="1"/>
      <c r="B105" s="1"/>
      <c r="C105" s="2" t="s">
        <v>95</v>
      </c>
      <c r="D105" s="1"/>
      <c r="E105" s="1" t="s">
        <v>96</v>
      </c>
      <c r="F105" s="13">
        <v>0</v>
      </c>
      <c r="G105" s="14">
        <v>0</v>
      </c>
      <c r="H105" s="69"/>
    </row>
    <row r="106" spans="1:8" x14ac:dyDescent="0.2">
      <c r="A106" s="1"/>
      <c r="B106" s="1"/>
      <c r="C106" s="11"/>
      <c r="D106" s="1"/>
      <c r="E106" s="1"/>
      <c r="F106" s="12"/>
      <c r="G106" s="12"/>
      <c r="H106" s="69"/>
    </row>
    <row r="107" spans="1:8" x14ac:dyDescent="0.2">
      <c r="A107" s="1"/>
      <c r="B107" s="1"/>
      <c r="C107" s="2" t="s">
        <v>107</v>
      </c>
      <c r="D107" s="1"/>
      <c r="E107" s="1"/>
      <c r="F107" s="9">
        <v>0</v>
      </c>
      <c r="G107" s="10">
        <v>0</v>
      </c>
      <c r="H107" s="69"/>
    </row>
    <row r="108" spans="1:8" x14ac:dyDescent="0.2">
      <c r="A108" s="1"/>
      <c r="B108" s="1"/>
      <c r="C108" s="11"/>
      <c r="D108" s="1"/>
      <c r="E108" s="1"/>
      <c r="F108" s="12"/>
      <c r="G108" s="12"/>
      <c r="H108" s="69"/>
    </row>
    <row r="109" spans="1:8" x14ac:dyDescent="0.2">
      <c r="A109" s="1"/>
      <c r="B109" s="1"/>
      <c r="C109" s="2" t="s">
        <v>108</v>
      </c>
      <c r="D109" s="1"/>
      <c r="E109" s="1"/>
      <c r="F109" s="12"/>
      <c r="G109" s="12"/>
      <c r="H109" s="69"/>
    </row>
    <row r="110" spans="1:8" x14ac:dyDescent="0.2">
      <c r="A110" s="1"/>
      <c r="B110" s="1"/>
      <c r="C110" s="2" t="s">
        <v>109</v>
      </c>
      <c r="D110" s="1"/>
      <c r="E110" s="1"/>
      <c r="F110" s="12"/>
      <c r="G110" s="12"/>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110</v>
      </c>
      <c r="D113" s="1"/>
      <c r="E113" s="1"/>
      <c r="F113" s="12"/>
      <c r="G113" s="12"/>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2" t="s">
        <v>111</v>
      </c>
      <c r="D116" s="1"/>
      <c r="E116" s="1"/>
      <c r="F116" s="12"/>
      <c r="G116" s="12"/>
      <c r="H116" s="69"/>
    </row>
    <row r="117" spans="1:8" x14ac:dyDescent="0.2">
      <c r="A117" s="1"/>
      <c r="B117" s="1"/>
      <c r="C117" s="2" t="s">
        <v>95</v>
      </c>
      <c r="D117" s="1"/>
      <c r="E117" s="1" t="s">
        <v>96</v>
      </c>
      <c r="F117" s="13">
        <v>0</v>
      </c>
      <c r="G117" s="14">
        <v>0</v>
      </c>
      <c r="H117" s="69"/>
    </row>
    <row r="118" spans="1:8" x14ac:dyDescent="0.2">
      <c r="A118" s="1"/>
      <c r="B118" s="1"/>
      <c r="C118" s="11"/>
      <c r="D118" s="1"/>
      <c r="E118" s="1"/>
      <c r="F118" s="12"/>
      <c r="G118" s="12"/>
      <c r="H118" s="69"/>
    </row>
    <row r="119" spans="1:8" x14ac:dyDescent="0.2">
      <c r="A119" s="1"/>
      <c r="B119" s="1"/>
      <c r="C119" s="2" t="s">
        <v>112</v>
      </c>
      <c r="D119" s="1"/>
      <c r="E119" s="1"/>
      <c r="F119" s="12"/>
      <c r="G119" s="12"/>
      <c r="H119" s="69"/>
    </row>
    <row r="120" spans="1:8" x14ac:dyDescent="0.2">
      <c r="A120" s="3">
        <v>1</v>
      </c>
      <c r="B120" s="4"/>
      <c r="C120" s="4" t="s">
        <v>113</v>
      </c>
      <c r="D120" s="4"/>
      <c r="E120" s="8"/>
      <c r="F120" s="6">
        <v>67.816151899999994</v>
      </c>
      <c r="G120" s="7">
        <v>1.7070544E-2</v>
      </c>
      <c r="H120" s="6">
        <v>3.3628721504199861</v>
      </c>
    </row>
    <row r="121" spans="1:8" x14ac:dyDescent="0.2">
      <c r="A121" s="3">
        <v>2</v>
      </c>
      <c r="B121" s="4"/>
      <c r="C121" s="4" t="s">
        <v>114</v>
      </c>
      <c r="D121" s="4"/>
      <c r="E121" s="8"/>
      <c r="F121" s="6">
        <v>26.189989199999999</v>
      </c>
      <c r="G121" s="7">
        <v>6.5924909999999998E-3</v>
      </c>
      <c r="H121" s="6">
        <v>3.4499999999999966</v>
      </c>
    </row>
    <row r="122" spans="1:8" x14ac:dyDescent="0.2">
      <c r="A122" s="1"/>
      <c r="B122" s="1"/>
      <c r="C122" s="2" t="s">
        <v>95</v>
      </c>
      <c r="D122" s="1"/>
      <c r="E122" s="1" t="s">
        <v>96</v>
      </c>
      <c r="F122" s="9">
        <v>94.006141099999994</v>
      </c>
      <c r="G122" s="10">
        <v>2.3663034999999999E-2</v>
      </c>
      <c r="H122" s="69"/>
    </row>
    <row r="123" spans="1:8" x14ac:dyDescent="0.2">
      <c r="A123" s="1"/>
      <c r="B123" s="1"/>
      <c r="C123" s="11"/>
      <c r="D123" s="1"/>
      <c r="E123" s="1"/>
      <c r="F123" s="12"/>
      <c r="G123" s="12"/>
      <c r="H123" s="69"/>
    </row>
    <row r="124" spans="1:8" x14ac:dyDescent="0.2">
      <c r="A124" s="1"/>
      <c r="B124" s="1"/>
      <c r="C124" s="2" t="s">
        <v>115</v>
      </c>
      <c r="D124" s="1"/>
      <c r="E124" s="1"/>
      <c r="F124" s="9">
        <v>94.006141099999994</v>
      </c>
      <c r="G124" s="10">
        <v>2.3663034999999999E-2</v>
      </c>
      <c r="H124" s="69"/>
    </row>
    <row r="125" spans="1:8" x14ac:dyDescent="0.2">
      <c r="A125" s="1"/>
      <c r="B125" s="1"/>
      <c r="C125" s="12"/>
      <c r="D125" s="1"/>
      <c r="E125" s="1"/>
      <c r="F125" s="1"/>
      <c r="G125" s="1"/>
      <c r="H125" s="69"/>
    </row>
    <row r="126" spans="1:8" x14ac:dyDescent="0.2">
      <c r="A126" s="1"/>
      <c r="B126" s="1"/>
      <c r="C126" s="2" t="s">
        <v>116</v>
      </c>
      <c r="D126" s="1"/>
      <c r="E126" s="1"/>
      <c r="F126" s="1"/>
      <c r="G126" s="1"/>
      <c r="H126" s="69"/>
    </row>
    <row r="127" spans="1:8" x14ac:dyDescent="0.2">
      <c r="A127" s="1"/>
      <c r="B127" s="1"/>
      <c r="C127" s="2" t="s">
        <v>117</v>
      </c>
      <c r="D127" s="1"/>
      <c r="E127" s="1"/>
      <c r="F127" s="1"/>
      <c r="G127" s="1"/>
      <c r="H127" s="69"/>
    </row>
    <row r="128" spans="1:8" x14ac:dyDescent="0.2">
      <c r="A128" s="1"/>
      <c r="B128" s="1"/>
      <c r="C128" s="2" t="s">
        <v>95</v>
      </c>
      <c r="D128" s="1"/>
      <c r="E128" s="1" t="s">
        <v>96</v>
      </c>
      <c r="F128" s="13">
        <v>0</v>
      </c>
      <c r="G128" s="14">
        <v>0</v>
      </c>
      <c r="H128" s="69"/>
    </row>
    <row r="129" spans="1:8" x14ac:dyDescent="0.2">
      <c r="A129" s="1"/>
      <c r="B129" s="1"/>
      <c r="C129" s="11"/>
      <c r="D129" s="1"/>
      <c r="E129" s="1"/>
      <c r="F129" s="12"/>
      <c r="G129" s="12"/>
      <c r="H129" s="69"/>
    </row>
    <row r="130" spans="1:8" x14ac:dyDescent="0.2">
      <c r="A130" s="1"/>
      <c r="B130" s="1"/>
      <c r="C130" s="2" t="s">
        <v>118</v>
      </c>
      <c r="D130" s="1"/>
      <c r="E130" s="1"/>
      <c r="F130" s="1"/>
      <c r="G130" s="1"/>
      <c r="H130" s="69"/>
    </row>
    <row r="131" spans="1:8" x14ac:dyDescent="0.2">
      <c r="A131" s="1"/>
      <c r="B131" s="1"/>
      <c r="C131" s="2" t="s">
        <v>119</v>
      </c>
      <c r="D131" s="1"/>
      <c r="E131" s="1"/>
      <c r="F131" s="1"/>
      <c r="G131" s="1"/>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1"/>
      <c r="C134" s="11"/>
      <c r="D134" s="1"/>
      <c r="E134" s="1"/>
      <c r="F134" s="12"/>
      <c r="G134" s="12"/>
      <c r="H134" s="69"/>
    </row>
    <row r="135" spans="1:8" ht="25.5" x14ac:dyDescent="0.2">
      <c r="A135" s="1"/>
      <c r="B135" s="1"/>
      <c r="C135" s="2" t="s">
        <v>120</v>
      </c>
      <c r="D135" s="1"/>
      <c r="E135" s="1"/>
      <c r="F135" s="12"/>
      <c r="G135" s="12"/>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4"/>
      <c r="C138" s="4"/>
      <c r="D138" s="2"/>
      <c r="E138" s="1"/>
      <c r="F138" s="4"/>
      <c r="G138" s="8"/>
      <c r="H138" s="69"/>
    </row>
    <row r="139" spans="1:8" x14ac:dyDescent="0.2">
      <c r="A139" s="8"/>
      <c r="B139" s="4"/>
      <c r="C139" s="4" t="s">
        <v>121</v>
      </c>
      <c r="D139" s="4"/>
      <c r="E139" s="8"/>
      <c r="F139" s="6">
        <v>3.9625521400000001</v>
      </c>
      <c r="G139" s="7">
        <v>9.9744599999999992E-4</v>
      </c>
      <c r="H139" s="69"/>
    </row>
    <row r="140" spans="1:8" x14ac:dyDescent="0.2">
      <c r="A140" s="11"/>
      <c r="B140" s="11"/>
      <c r="C140" s="2" t="s">
        <v>122</v>
      </c>
      <c r="D140" s="15"/>
      <c r="E140" s="15"/>
      <c r="F140" s="9">
        <v>3972.7001272399998</v>
      </c>
      <c r="G140" s="10">
        <v>0.99999999900000003</v>
      </c>
      <c r="H140" s="69"/>
    </row>
    <row r="141" spans="1:8" ht="14.1" customHeight="1" x14ac:dyDescent="0.2">
      <c r="A141" s="16"/>
      <c r="B141" s="16"/>
      <c r="C141" s="16"/>
      <c r="D141" s="17"/>
      <c r="E141" s="17"/>
      <c r="F141" s="17"/>
      <c r="G141" s="17"/>
    </row>
    <row r="142" spans="1:8" ht="14.1" customHeight="1" x14ac:dyDescent="0.2">
      <c r="A142" s="18"/>
      <c r="B142" s="176" t="s">
        <v>96</v>
      </c>
      <c r="C142" s="176"/>
      <c r="D142" s="176"/>
      <c r="E142" s="176"/>
      <c r="F142" s="176"/>
      <c r="G142" s="20"/>
    </row>
    <row r="143" spans="1:8" ht="17.100000000000001" customHeight="1" x14ac:dyDescent="0.2">
      <c r="A143" s="18"/>
      <c r="B143" s="176" t="s">
        <v>123</v>
      </c>
      <c r="C143" s="176"/>
      <c r="D143" s="176"/>
      <c r="E143" s="176"/>
      <c r="F143" s="176"/>
      <c r="G143" s="20"/>
    </row>
    <row r="144" spans="1:8" ht="14.1" customHeight="1" x14ac:dyDescent="0.2">
      <c r="A144" s="18"/>
      <c r="B144" s="18"/>
      <c r="C144" s="18"/>
      <c r="D144" s="20"/>
      <c r="E144" s="20"/>
      <c r="F144" s="20"/>
      <c r="G144" s="20"/>
    </row>
    <row r="145" spans="1:16" ht="14.1" customHeight="1" x14ac:dyDescent="0.2">
      <c r="A145" s="18"/>
      <c r="B145" s="174" t="s">
        <v>124</v>
      </c>
      <c r="C145" s="175"/>
      <c r="D145" s="12" t="s">
        <v>96</v>
      </c>
      <c r="E145" s="21"/>
      <c r="F145" s="20"/>
      <c r="G145" s="20"/>
    </row>
    <row r="146" spans="1:16" ht="29.1" customHeight="1" x14ac:dyDescent="0.2">
      <c r="A146" s="18"/>
      <c r="B146" s="172" t="s">
        <v>125</v>
      </c>
      <c r="C146" s="173"/>
      <c r="D146" s="2" t="s">
        <v>126</v>
      </c>
      <c r="E146" s="21"/>
      <c r="F146" s="20"/>
      <c r="G146" s="20"/>
    </row>
    <row r="147" spans="1:16" ht="17.100000000000001" customHeight="1" x14ac:dyDescent="0.2">
      <c r="A147" s="18"/>
      <c r="B147" s="172" t="s">
        <v>127</v>
      </c>
      <c r="C147" s="173"/>
      <c r="D147" s="2" t="s">
        <v>126</v>
      </c>
      <c r="E147" s="21"/>
      <c r="F147" s="20"/>
      <c r="G147" s="20"/>
    </row>
    <row r="148" spans="1:16" ht="17.100000000000001" customHeight="1" x14ac:dyDescent="0.2">
      <c r="A148" s="18"/>
      <c r="B148" s="172" t="s">
        <v>128</v>
      </c>
      <c r="C148" s="173"/>
      <c r="D148" s="12" t="s">
        <v>96</v>
      </c>
      <c r="E148" s="21"/>
      <c r="F148" s="20"/>
      <c r="G148" s="20"/>
    </row>
    <row r="149" spans="1:16" ht="24" customHeight="1" x14ac:dyDescent="0.2">
      <c r="A149" s="22"/>
      <c r="B149" s="23" t="s">
        <v>96</v>
      </c>
      <c r="C149" s="23" t="s">
        <v>129</v>
      </c>
      <c r="D149" s="23" t="s">
        <v>130</v>
      </c>
      <c r="E149" s="22"/>
      <c r="F149" s="22"/>
      <c r="G149" s="22"/>
    </row>
    <row r="150" spans="1:16" ht="18" customHeight="1" x14ac:dyDescent="0.2">
      <c r="A150" s="22"/>
      <c r="B150" s="23" t="s">
        <v>131</v>
      </c>
      <c r="C150" s="23" t="s">
        <v>132</v>
      </c>
      <c r="D150" s="23" t="s">
        <v>133</v>
      </c>
      <c r="E150" s="22"/>
      <c r="F150" s="22"/>
      <c r="G150" s="22"/>
    </row>
    <row r="151" spans="1:16" ht="17.100000000000001" customHeight="1" x14ac:dyDescent="0.2">
      <c r="A151" s="22"/>
      <c r="B151" s="4" t="s">
        <v>134</v>
      </c>
      <c r="C151" s="24">
        <v>15.224299999999999</v>
      </c>
      <c r="D151" s="24">
        <v>15.010199999999999</v>
      </c>
      <c r="E151" s="22"/>
      <c r="F151" s="19"/>
      <c r="G151" s="25"/>
    </row>
    <row r="152" spans="1:16" ht="17.100000000000001" customHeight="1" x14ac:dyDescent="0.2">
      <c r="A152" s="22"/>
      <c r="B152" s="4" t="s">
        <v>983</v>
      </c>
      <c r="C152" s="24">
        <v>15.224299999999999</v>
      </c>
      <c r="D152" s="24">
        <v>15.010199999999999</v>
      </c>
      <c r="E152" s="22"/>
      <c r="F152" s="19"/>
      <c r="G152" s="25"/>
    </row>
    <row r="153" spans="1:16" ht="17.100000000000001" customHeight="1" x14ac:dyDescent="0.2">
      <c r="A153" s="22"/>
      <c r="B153" s="4" t="s">
        <v>135</v>
      </c>
      <c r="C153" s="24">
        <v>14.653700000000001</v>
      </c>
      <c r="D153" s="24">
        <v>14.445499999999999</v>
      </c>
      <c r="E153" s="22"/>
      <c r="F153" s="19"/>
      <c r="G153" s="25"/>
    </row>
    <row r="154" spans="1:16" ht="17.100000000000001" customHeight="1" x14ac:dyDescent="0.2">
      <c r="A154" s="22"/>
      <c r="B154" s="4" t="s">
        <v>984</v>
      </c>
      <c r="C154" s="24">
        <v>14.653600000000001</v>
      </c>
      <c r="D154" s="24">
        <v>14.445399999999999</v>
      </c>
      <c r="E154" s="22"/>
      <c r="F154" s="19"/>
      <c r="G154" s="25"/>
    </row>
    <row r="155" spans="1:16" ht="14.1" customHeight="1" x14ac:dyDescent="0.2">
      <c r="A155" s="22"/>
      <c r="B155" s="22"/>
      <c r="C155" s="22"/>
      <c r="D155" s="22"/>
      <c r="E155" s="22"/>
      <c r="F155" s="22"/>
      <c r="G155" s="22"/>
    </row>
    <row r="156" spans="1:16" ht="17.100000000000001" customHeight="1" x14ac:dyDescent="0.2">
      <c r="A156" s="22"/>
      <c r="B156" s="172" t="s">
        <v>985</v>
      </c>
      <c r="C156" s="173"/>
      <c r="D156" s="2" t="s">
        <v>126</v>
      </c>
      <c r="E156" s="22"/>
      <c r="F156" s="22"/>
      <c r="G156" s="22"/>
    </row>
    <row r="157" spans="1:16" ht="18" customHeight="1" x14ac:dyDescent="0.2">
      <c r="A157" s="22"/>
      <c r="B157" s="26" t="s">
        <v>136</v>
      </c>
      <c r="C157" s="26" t="s">
        <v>136</v>
      </c>
      <c r="D157" s="26"/>
      <c r="E157" s="22"/>
      <c r="F157" s="22"/>
      <c r="G157" s="22"/>
    </row>
    <row r="158" spans="1:16" s="82" customFormat="1" x14ac:dyDescent="0.2">
      <c r="B158" s="177" t="s">
        <v>936</v>
      </c>
      <c r="C158" s="177"/>
      <c r="D158" s="177"/>
      <c r="E158" s="177"/>
      <c r="F158" s="177"/>
      <c r="P158" s="70"/>
    </row>
    <row r="159" spans="1:16" ht="14.1" customHeight="1" x14ac:dyDescent="0.2">
      <c r="A159" s="22"/>
      <c r="B159" s="19"/>
      <c r="C159" s="19"/>
      <c r="D159" s="22"/>
      <c r="E159" s="22"/>
      <c r="F159" s="22"/>
      <c r="G159" s="22"/>
    </row>
    <row r="160" spans="1:16" ht="29.1" customHeight="1" x14ac:dyDescent="0.2">
      <c r="A160" s="22"/>
      <c r="B160" s="172" t="s">
        <v>137</v>
      </c>
      <c r="C160" s="173"/>
      <c r="D160" s="2" t="s">
        <v>126</v>
      </c>
      <c r="E160" s="22"/>
      <c r="F160" s="22"/>
      <c r="G160" s="22"/>
    </row>
    <row r="161" spans="1:7" ht="29.1" customHeight="1" x14ac:dyDescent="0.2">
      <c r="A161" s="22"/>
      <c r="B161" s="172" t="s">
        <v>138</v>
      </c>
      <c r="C161" s="173"/>
      <c r="D161" s="2" t="s">
        <v>126</v>
      </c>
      <c r="E161" s="22"/>
      <c r="F161" s="22"/>
      <c r="G161" s="22"/>
    </row>
    <row r="162" spans="1:7" ht="17.100000000000001" customHeight="1" x14ac:dyDescent="0.2">
      <c r="A162" s="22"/>
      <c r="B162" s="172" t="s">
        <v>139</v>
      </c>
      <c r="C162" s="173"/>
      <c r="D162" s="27">
        <v>0.28902422341651329</v>
      </c>
      <c r="E162" s="22"/>
      <c r="F162" s="19"/>
      <c r="G162" s="25"/>
    </row>
    <row r="163" spans="1:7" ht="17.100000000000001" customHeight="1" x14ac:dyDescent="0.2">
      <c r="A163" s="22"/>
      <c r="B163" s="172" t="s">
        <v>140</v>
      </c>
      <c r="C163" s="173"/>
      <c r="D163" s="2" t="s">
        <v>126</v>
      </c>
      <c r="E163" s="22"/>
      <c r="F163" s="22"/>
      <c r="G163" s="22"/>
    </row>
  </sheetData>
  <mergeCells count="16">
    <mergeCell ref="B163:C163"/>
    <mergeCell ref="B146:C146"/>
    <mergeCell ref="B147:C147"/>
    <mergeCell ref="B148:C148"/>
    <mergeCell ref="B156:C156"/>
    <mergeCell ref="B160:C160"/>
    <mergeCell ref="B161:C161"/>
    <mergeCell ref="B158:F158"/>
    <mergeCell ref="A1:H1"/>
    <mergeCell ref="A2:H2"/>
    <mergeCell ref="A3:H3"/>
    <mergeCell ref="J2:N2"/>
    <mergeCell ref="B162:C162"/>
    <mergeCell ref="B145:C145"/>
    <mergeCell ref="B142:F142"/>
    <mergeCell ref="B143:F143"/>
  </mergeCell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P16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512</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165</v>
      </c>
      <c r="C7" s="4" t="s">
        <v>166</v>
      </c>
      <c r="D7" s="4" t="s">
        <v>155</v>
      </c>
      <c r="E7" s="5">
        <v>1019378</v>
      </c>
      <c r="F7" s="6">
        <v>5042.3532770000002</v>
      </c>
      <c r="G7" s="7">
        <v>3.2972574999999997E-2</v>
      </c>
      <c r="H7" s="69"/>
    </row>
    <row r="8" spans="1:14" x14ac:dyDescent="0.2">
      <c r="A8" s="3">
        <v>2</v>
      </c>
      <c r="B8" s="4" t="s">
        <v>181</v>
      </c>
      <c r="C8" s="4" t="s">
        <v>182</v>
      </c>
      <c r="D8" s="4" t="s">
        <v>155</v>
      </c>
      <c r="E8" s="5">
        <v>492530</v>
      </c>
      <c r="F8" s="6">
        <v>4986.6199850000003</v>
      </c>
      <c r="G8" s="7">
        <v>3.2608128E-2</v>
      </c>
      <c r="H8" s="69"/>
    </row>
    <row r="9" spans="1:14" x14ac:dyDescent="0.2">
      <c r="A9" s="3">
        <v>3</v>
      </c>
      <c r="B9" s="4" t="s">
        <v>227</v>
      </c>
      <c r="C9" s="4" t="s">
        <v>228</v>
      </c>
      <c r="D9" s="4" t="s">
        <v>976</v>
      </c>
      <c r="E9" s="5">
        <v>305795</v>
      </c>
      <c r="F9" s="6">
        <v>4889.8149475</v>
      </c>
      <c r="G9" s="7">
        <v>3.1975108000000002E-2</v>
      </c>
      <c r="H9" s="69"/>
    </row>
    <row r="10" spans="1:14" x14ac:dyDescent="0.2">
      <c r="A10" s="3">
        <v>4</v>
      </c>
      <c r="B10" s="4" t="s">
        <v>153</v>
      </c>
      <c r="C10" s="4" t="s">
        <v>154</v>
      </c>
      <c r="D10" s="4" t="s">
        <v>155</v>
      </c>
      <c r="E10" s="5">
        <v>117585</v>
      </c>
      <c r="F10" s="6">
        <v>4866.6079799999998</v>
      </c>
      <c r="G10" s="7">
        <v>3.1823353999999998E-2</v>
      </c>
      <c r="H10" s="69"/>
    </row>
    <row r="11" spans="1:14" x14ac:dyDescent="0.2">
      <c r="A11" s="3">
        <v>5</v>
      </c>
      <c r="B11" s="4" t="s">
        <v>41</v>
      </c>
      <c r="C11" s="4" t="s">
        <v>42</v>
      </c>
      <c r="D11" s="4" t="s">
        <v>27</v>
      </c>
      <c r="E11" s="5">
        <v>372310</v>
      </c>
      <c r="F11" s="6">
        <v>4623.9040450000002</v>
      </c>
      <c r="G11" s="7">
        <v>3.0236282999999999E-2</v>
      </c>
      <c r="H11" s="69"/>
    </row>
    <row r="12" spans="1:14" x14ac:dyDescent="0.2">
      <c r="A12" s="3">
        <v>6</v>
      </c>
      <c r="B12" s="4" t="s">
        <v>198</v>
      </c>
      <c r="C12" s="4" t="s">
        <v>199</v>
      </c>
      <c r="D12" s="4" t="s">
        <v>78</v>
      </c>
      <c r="E12" s="5">
        <v>772685</v>
      </c>
      <c r="F12" s="6">
        <v>4559.6141850000004</v>
      </c>
      <c r="G12" s="7">
        <v>2.9815884000000001E-2</v>
      </c>
      <c r="H12" s="69"/>
    </row>
    <row r="13" spans="1:14" x14ac:dyDescent="0.2">
      <c r="A13" s="3">
        <v>7</v>
      </c>
      <c r="B13" s="4" t="s">
        <v>467</v>
      </c>
      <c r="C13" s="4" t="s">
        <v>468</v>
      </c>
      <c r="D13" s="4" t="s">
        <v>27</v>
      </c>
      <c r="E13" s="5">
        <v>490032</v>
      </c>
      <c r="F13" s="6">
        <v>4497.0236640000003</v>
      </c>
      <c r="G13" s="7">
        <v>2.9406597E-2</v>
      </c>
      <c r="H13" s="69"/>
    </row>
    <row r="14" spans="1:14" x14ac:dyDescent="0.2">
      <c r="A14" s="3">
        <v>8</v>
      </c>
      <c r="B14" s="4" t="s">
        <v>513</v>
      </c>
      <c r="C14" s="4" t="s">
        <v>514</v>
      </c>
      <c r="D14" s="4" t="s">
        <v>204</v>
      </c>
      <c r="E14" s="5">
        <v>504084</v>
      </c>
      <c r="F14" s="6">
        <v>4482.0628859999997</v>
      </c>
      <c r="G14" s="7">
        <v>2.9308766E-2</v>
      </c>
      <c r="H14" s="69"/>
    </row>
    <row r="15" spans="1:14" ht="15" x14ac:dyDescent="0.2">
      <c r="A15" s="3">
        <v>9</v>
      </c>
      <c r="B15" s="4" t="s">
        <v>158</v>
      </c>
      <c r="C15" s="4" t="s">
        <v>159</v>
      </c>
      <c r="D15" s="4" t="s">
        <v>160</v>
      </c>
      <c r="E15" s="5">
        <v>258222</v>
      </c>
      <c r="F15" s="6">
        <v>4189.7810609999997</v>
      </c>
      <c r="G15" s="7">
        <v>2.7397498999999999E-2</v>
      </c>
      <c r="H15" s="69"/>
      <c r="J15" s="160" t="s">
        <v>1017</v>
      </c>
    </row>
    <row r="16" spans="1:14" x14ac:dyDescent="0.2">
      <c r="A16" s="3">
        <v>10</v>
      </c>
      <c r="B16" s="4" t="s">
        <v>142</v>
      </c>
      <c r="C16" s="4" t="s">
        <v>143</v>
      </c>
      <c r="D16" s="4" t="s">
        <v>144</v>
      </c>
      <c r="E16" s="5">
        <v>102039</v>
      </c>
      <c r="F16" s="6">
        <v>3817.2789899999998</v>
      </c>
      <c r="G16" s="7">
        <v>2.4961661999999999E-2</v>
      </c>
      <c r="H16" s="69"/>
    </row>
    <row r="17" spans="1:8" x14ac:dyDescent="0.2">
      <c r="A17" s="3">
        <v>11</v>
      </c>
      <c r="B17" s="4" t="s">
        <v>372</v>
      </c>
      <c r="C17" s="4" t="s">
        <v>373</v>
      </c>
      <c r="D17" s="4" t="s">
        <v>22</v>
      </c>
      <c r="E17" s="5">
        <v>2552643</v>
      </c>
      <c r="F17" s="6">
        <v>3693.6744210000002</v>
      </c>
      <c r="G17" s="7">
        <v>2.4153396000000001E-2</v>
      </c>
      <c r="H17" s="69"/>
    </row>
    <row r="18" spans="1:8" x14ac:dyDescent="0.2">
      <c r="A18" s="3">
        <v>12</v>
      </c>
      <c r="B18" s="4" t="s">
        <v>212</v>
      </c>
      <c r="C18" s="4" t="s">
        <v>213</v>
      </c>
      <c r="D18" s="4" t="s">
        <v>979</v>
      </c>
      <c r="E18" s="5">
        <v>668744</v>
      </c>
      <c r="F18" s="6">
        <v>3668.0608400000001</v>
      </c>
      <c r="G18" s="7">
        <v>2.3985906000000001E-2</v>
      </c>
      <c r="H18" s="69"/>
    </row>
    <row r="19" spans="1:8" x14ac:dyDescent="0.2">
      <c r="A19" s="3">
        <v>13</v>
      </c>
      <c r="B19" s="4" t="s">
        <v>448</v>
      </c>
      <c r="C19" s="4" t="s">
        <v>449</v>
      </c>
      <c r="D19" s="4" t="s">
        <v>78</v>
      </c>
      <c r="E19" s="5">
        <v>483280</v>
      </c>
      <c r="F19" s="6">
        <v>3376.4357199999999</v>
      </c>
      <c r="G19" s="7">
        <v>2.2078932999999999E-2</v>
      </c>
      <c r="H19" s="69"/>
    </row>
    <row r="20" spans="1:8" x14ac:dyDescent="0.2">
      <c r="A20" s="3">
        <v>14</v>
      </c>
      <c r="B20" s="4" t="s">
        <v>156</v>
      </c>
      <c r="C20" s="4" t="s">
        <v>157</v>
      </c>
      <c r="D20" s="4" t="s">
        <v>27</v>
      </c>
      <c r="E20" s="5">
        <v>434042</v>
      </c>
      <c r="F20" s="6">
        <v>3367.7318780000001</v>
      </c>
      <c r="G20" s="7">
        <v>2.2022017000000001E-2</v>
      </c>
      <c r="H20" s="69"/>
    </row>
    <row r="21" spans="1:8" x14ac:dyDescent="0.2">
      <c r="A21" s="3">
        <v>15</v>
      </c>
      <c r="B21" s="4" t="s">
        <v>237</v>
      </c>
      <c r="C21" s="4" t="s">
        <v>238</v>
      </c>
      <c r="D21" s="4" t="s">
        <v>204</v>
      </c>
      <c r="E21" s="5">
        <v>200691</v>
      </c>
      <c r="F21" s="6">
        <v>3288.7234170000002</v>
      </c>
      <c r="G21" s="7">
        <v>2.1505370999999999E-2</v>
      </c>
      <c r="H21" s="69"/>
    </row>
    <row r="22" spans="1:8" x14ac:dyDescent="0.2">
      <c r="A22" s="3">
        <v>16</v>
      </c>
      <c r="B22" s="4" t="s">
        <v>225</v>
      </c>
      <c r="C22" s="4" t="s">
        <v>226</v>
      </c>
      <c r="D22" s="4" t="s">
        <v>204</v>
      </c>
      <c r="E22" s="5">
        <v>586262</v>
      </c>
      <c r="F22" s="6">
        <v>2982.021663</v>
      </c>
      <c r="G22" s="7">
        <v>1.9499809999999999E-2</v>
      </c>
      <c r="H22" s="69"/>
    </row>
    <row r="23" spans="1:8" x14ac:dyDescent="0.2">
      <c r="A23" s="3">
        <v>17</v>
      </c>
      <c r="B23" s="4" t="s">
        <v>370</v>
      </c>
      <c r="C23" s="4" t="s">
        <v>371</v>
      </c>
      <c r="D23" s="4" t="s">
        <v>75</v>
      </c>
      <c r="E23" s="5">
        <v>57618</v>
      </c>
      <c r="F23" s="6">
        <v>2938.9213260000001</v>
      </c>
      <c r="G23" s="7">
        <v>1.9217972E-2</v>
      </c>
      <c r="H23" s="69"/>
    </row>
    <row r="24" spans="1:8" x14ac:dyDescent="0.2">
      <c r="A24" s="3">
        <v>18</v>
      </c>
      <c r="B24" s="4" t="s">
        <v>149</v>
      </c>
      <c r="C24" s="4" t="s">
        <v>150</v>
      </c>
      <c r="D24" s="4" t="s">
        <v>75</v>
      </c>
      <c r="E24" s="5">
        <v>487364</v>
      </c>
      <c r="F24" s="6">
        <v>2931.981824</v>
      </c>
      <c r="G24" s="7">
        <v>1.9172593000000002E-2</v>
      </c>
      <c r="H24" s="69"/>
    </row>
    <row r="25" spans="1:8" x14ac:dyDescent="0.2">
      <c r="A25" s="3">
        <v>19</v>
      </c>
      <c r="B25" s="4" t="s">
        <v>515</v>
      </c>
      <c r="C25" s="4" t="s">
        <v>516</v>
      </c>
      <c r="D25" s="4" t="s">
        <v>155</v>
      </c>
      <c r="E25" s="5">
        <v>593075</v>
      </c>
      <c r="F25" s="6">
        <v>2816.8097124999999</v>
      </c>
      <c r="G25" s="7">
        <v>1.8419469000000001E-2</v>
      </c>
      <c r="H25" s="69"/>
    </row>
    <row r="26" spans="1:8" x14ac:dyDescent="0.2">
      <c r="A26" s="3">
        <v>20</v>
      </c>
      <c r="B26" s="4" t="s">
        <v>169</v>
      </c>
      <c r="C26" s="4" t="s">
        <v>170</v>
      </c>
      <c r="D26" s="4" t="s">
        <v>155</v>
      </c>
      <c r="E26" s="5">
        <v>243425</v>
      </c>
      <c r="F26" s="6">
        <v>2796.7098249999999</v>
      </c>
      <c r="G26" s="7">
        <v>1.8288032999999999E-2</v>
      </c>
      <c r="H26" s="69"/>
    </row>
    <row r="27" spans="1:8" x14ac:dyDescent="0.2">
      <c r="A27" s="3">
        <v>21</v>
      </c>
      <c r="B27" s="4" t="s">
        <v>517</v>
      </c>
      <c r="C27" s="4" t="s">
        <v>518</v>
      </c>
      <c r="D27" s="4" t="s">
        <v>144</v>
      </c>
      <c r="E27" s="5">
        <v>197214</v>
      </c>
      <c r="F27" s="6">
        <v>2747.4868409999999</v>
      </c>
      <c r="G27" s="7">
        <v>1.7966157999999999E-2</v>
      </c>
      <c r="H27" s="69"/>
    </row>
    <row r="28" spans="1:8" x14ac:dyDescent="0.2">
      <c r="A28" s="3">
        <v>22</v>
      </c>
      <c r="B28" s="4" t="s">
        <v>519</v>
      </c>
      <c r="C28" s="4" t="s">
        <v>520</v>
      </c>
      <c r="D28" s="4" t="s">
        <v>22</v>
      </c>
      <c r="E28" s="5">
        <v>937619</v>
      </c>
      <c r="F28" s="6">
        <v>2593.9229635000002</v>
      </c>
      <c r="G28" s="7">
        <v>1.6961984999999999E-2</v>
      </c>
      <c r="H28" s="69"/>
    </row>
    <row r="29" spans="1:8" x14ac:dyDescent="0.2">
      <c r="A29" s="3">
        <v>23</v>
      </c>
      <c r="B29" s="4" t="s">
        <v>219</v>
      </c>
      <c r="C29" s="4" t="s">
        <v>220</v>
      </c>
      <c r="D29" s="4" t="s">
        <v>221</v>
      </c>
      <c r="E29" s="5">
        <v>1225926</v>
      </c>
      <c r="F29" s="6">
        <v>2579.3483040000001</v>
      </c>
      <c r="G29" s="7">
        <v>1.6866678999999999E-2</v>
      </c>
      <c r="H29" s="69"/>
    </row>
    <row r="30" spans="1:8" x14ac:dyDescent="0.2">
      <c r="A30" s="3">
        <v>24</v>
      </c>
      <c r="B30" s="4" t="s">
        <v>200</v>
      </c>
      <c r="C30" s="4" t="s">
        <v>201</v>
      </c>
      <c r="D30" s="4" t="s">
        <v>27</v>
      </c>
      <c r="E30" s="5">
        <v>123319</v>
      </c>
      <c r="F30" s="6">
        <v>2492.153671</v>
      </c>
      <c r="G30" s="7">
        <v>1.6296503E-2</v>
      </c>
      <c r="H30" s="69"/>
    </row>
    <row r="31" spans="1:8" x14ac:dyDescent="0.2">
      <c r="A31" s="3">
        <v>25</v>
      </c>
      <c r="B31" s="4" t="s">
        <v>187</v>
      </c>
      <c r="C31" s="4" t="s">
        <v>188</v>
      </c>
      <c r="D31" s="4" t="s">
        <v>978</v>
      </c>
      <c r="E31" s="5">
        <v>275421</v>
      </c>
      <c r="F31" s="6">
        <v>2461.2997664999998</v>
      </c>
      <c r="G31" s="7">
        <v>1.6094745000000001E-2</v>
      </c>
      <c r="H31" s="69"/>
    </row>
    <row r="32" spans="1:8" ht="25.5" x14ac:dyDescent="0.2">
      <c r="A32" s="3">
        <v>26</v>
      </c>
      <c r="B32" s="4" t="s">
        <v>37</v>
      </c>
      <c r="C32" s="4" t="s">
        <v>38</v>
      </c>
      <c r="D32" s="4" t="s">
        <v>974</v>
      </c>
      <c r="E32" s="5">
        <v>72630</v>
      </c>
      <c r="F32" s="6">
        <v>2349.5441850000002</v>
      </c>
      <c r="G32" s="7">
        <v>1.5363961000000001E-2</v>
      </c>
      <c r="H32" s="69"/>
    </row>
    <row r="33" spans="1:8" x14ac:dyDescent="0.2">
      <c r="A33" s="3">
        <v>27</v>
      </c>
      <c r="B33" s="4" t="s">
        <v>79</v>
      </c>
      <c r="C33" s="4" t="s">
        <v>80</v>
      </c>
      <c r="D33" s="4" t="s">
        <v>75</v>
      </c>
      <c r="E33" s="5">
        <v>600000</v>
      </c>
      <c r="F33" s="6">
        <v>2239.1999999999998</v>
      </c>
      <c r="G33" s="7">
        <v>1.4642407E-2</v>
      </c>
      <c r="H33" s="69"/>
    </row>
    <row r="34" spans="1:8" x14ac:dyDescent="0.2">
      <c r="A34" s="3">
        <v>28</v>
      </c>
      <c r="B34" s="4" t="s">
        <v>73</v>
      </c>
      <c r="C34" s="4" t="s">
        <v>74</v>
      </c>
      <c r="D34" s="4" t="s">
        <v>75</v>
      </c>
      <c r="E34" s="5">
        <v>73290</v>
      </c>
      <c r="F34" s="6">
        <v>2220.2839049999998</v>
      </c>
      <c r="G34" s="7">
        <v>1.4518712E-2</v>
      </c>
      <c r="H34" s="69"/>
    </row>
    <row r="35" spans="1:8" x14ac:dyDescent="0.2">
      <c r="A35" s="3">
        <v>29</v>
      </c>
      <c r="B35" s="4" t="s">
        <v>521</v>
      </c>
      <c r="C35" s="4" t="s">
        <v>522</v>
      </c>
      <c r="D35" s="4" t="s">
        <v>224</v>
      </c>
      <c r="E35" s="5">
        <v>605404</v>
      </c>
      <c r="F35" s="6">
        <v>2203.67056</v>
      </c>
      <c r="G35" s="7">
        <v>1.4410076000000001E-2</v>
      </c>
      <c r="H35" s="69"/>
    </row>
    <row r="36" spans="1:8" ht="25.5" x14ac:dyDescent="0.2">
      <c r="A36" s="3">
        <v>30</v>
      </c>
      <c r="B36" s="4" t="s">
        <v>503</v>
      </c>
      <c r="C36" s="4" t="s">
        <v>504</v>
      </c>
      <c r="D36" s="4" t="s">
        <v>974</v>
      </c>
      <c r="E36" s="5">
        <v>159286</v>
      </c>
      <c r="F36" s="6">
        <v>2148.9274260000002</v>
      </c>
      <c r="G36" s="7">
        <v>1.4052103E-2</v>
      </c>
      <c r="H36" s="69"/>
    </row>
    <row r="37" spans="1:8" x14ac:dyDescent="0.2">
      <c r="A37" s="3">
        <v>31</v>
      </c>
      <c r="B37" s="4" t="s">
        <v>260</v>
      </c>
      <c r="C37" s="4" t="s">
        <v>261</v>
      </c>
      <c r="D37" s="4" t="s">
        <v>204</v>
      </c>
      <c r="E37" s="5">
        <v>40215</v>
      </c>
      <c r="F37" s="6">
        <v>2141.3281050000001</v>
      </c>
      <c r="G37" s="7">
        <v>1.4002410999999999E-2</v>
      </c>
      <c r="H37" s="69"/>
    </row>
    <row r="38" spans="1:8" x14ac:dyDescent="0.2">
      <c r="A38" s="3">
        <v>32</v>
      </c>
      <c r="B38" s="4" t="s">
        <v>289</v>
      </c>
      <c r="C38" s="4" t="s">
        <v>290</v>
      </c>
      <c r="D38" s="4" t="s">
        <v>27</v>
      </c>
      <c r="E38" s="5">
        <v>619781</v>
      </c>
      <c r="F38" s="6">
        <v>2100.1279184999999</v>
      </c>
      <c r="G38" s="7">
        <v>1.3732997E-2</v>
      </c>
      <c r="H38" s="69"/>
    </row>
    <row r="39" spans="1:8" ht="25.5" x14ac:dyDescent="0.2">
      <c r="A39" s="3">
        <v>33</v>
      </c>
      <c r="B39" s="4" t="s">
        <v>523</v>
      </c>
      <c r="C39" s="4" t="s">
        <v>524</v>
      </c>
      <c r="D39" s="4" t="s">
        <v>207</v>
      </c>
      <c r="E39" s="5">
        <v>670786</v>
      </c>
      <c r="F39" s="6">
        <v>2090.5045690000002</v>
      </c>
      <c r="G39" s="7">
        <v>1.3670069E-2</v>
      </c>
      <c r="H39" s="69"/>
    </row>
    <row r="40" spans="1:8" ht="25.5" x14ac:dyDescent="0.2">
      <c r="A40" s="3">
        <v>34</v>
      </c>
      <c r="B40" s="4" t="s">
        <v>222</v>
      </c>
      <c r="C40" s="4" t="s">
        <v>223</v>
      </c>
      <c r="D40" s="4" t="s">
        <v>207</v>
      </c>
      <c r="E40" s="5">
        <v>431501</v>
      </c>
      <c r="F40" s="6">
        <v>2012.7364144999999</v>
      </c>
      <c r="G40" s="7">
        <v>1.3161534000000001E-2</v>
      </c>
      <c r="H40" s="69"/>
    </row>
    <row r="41" spans="1:8" x14ac:dyDescent="0.2">
      <c r="A41" s="3">
        <v>35</v>
      </c>
      <c r="B41" s="4" t="s">
        <v>525</v>
      </c>
      <c r="C41" s="4" t="s">
        <v>526</v>
      </c>
      <c r="D41" s="4" t="s">
        <v>32</v>
      </c>
      <c r="E41" s="5">
        <v>466310</v>
      </c>
      <c r="F41" s="6">
        <v>1983.4495850000001</v>
      </c>
      <c r="G41" s="7">
        <v>1.2970023000000001E-2</v>
      </c>
      <c r="H41" s="69"/>
    </row>
    <row r="42" spans="1:8" x14ac:dyDescent="0.2">
      <c r="A42" s="3">
        <v>36</v>
      </c>
      <c r="B42" s="4" t="s">
        <v>527</v>
      </c>
      <c r="C42" s="4" t="s">
        <v>528</v>
      </c>
      <c r="D42" s="4" t="s">
        <v>75</v>
      </c>
      <c r="E42" s="5">
        <v>167736</v>
      </c>
      <c r="F42" s="6">
        <v>1914.035496</v>
      </c>
      <c r="G42" s="7">
        <v>1.2516116000000001E-2</v>
      </c>
      <c r="H42" s="69"/>
    </row>
    <row r="43" spans="1:8" x14ac:dyDescent="0.2">
      <c r="A43" s="3">
        <v>37</v>
      </c>
      <c r="B43" s="4" t="s">
        <v>51</v>
      </c>
      <c r="C43" s="4" t="s">
        <v>52</v>
      </c>
      <c r="D43" s="4" t="s">
        <v>53</v>
      </c>
      <c r="E43" s="5">
        <v>1129503</v>
      </c>
      <c r="F43" s="6">
        <v>1913.3780819999999</v>
      </c>
      <c r="G43" s="7">
        <v>1.2511817E-2</v>
      </c>
      <c r="H43" s="69"/>
    </row>
    <row r="44" spans="1:8" x14ac:dyDescent="0.2">
      <c r="A44" s="3">
        <v>38</v>
      </c>
      <c r="B44" s="4" t="s">
        <v>71</v>
      </c>
      <c r="C44" s="4" t="s">
        <v>72</v>
      </c>
      <c r="D44" s="4" t="s">
        <v>65</v>
      </c>
      <c r="E44" s="5">
        <v>189736</v>
      </c>
      <c r="F44" s="6">
        <v>1753.1606400000001</v>
      </c>
      <c r="G44" s="7">
        <v>1.1464135E-2</v>
      </c>
      <c r="H44" s="69"/>
    </row>
    <row r="45" spans="1:8" x14ac:dyDescent="0.2">
      <c r="A45" s="3">
        <v>39</v>
      </c>
      <c r="B45" s="4" t="s">
        <v>293</v>
      </c>
      <c r="C45" s="4" t="s">
        <v>294</v>
      </c>
      <c r="D45" s="4" t="s">
        <v>334</v>
      </c>
      <c r="E45" s="5">
        <v>255000</v>
      </c>
      <c r="F45" s="6">
        <v>1666.68</v>
      </c>
      <c r="G45" s="7">
        <v>1.0898628E-2</v>
      </c>
      <c r="H45" s="69"/>
    </row>
    <row r="46" spans="1:8" x14ac:dyDescent="0.2">
      <c r="A46" s="3">
        <v>40</v>
      </c>
      <c r="B46" s="4" t="s">
        <v>243</v>
      </c>
      <c r="C46" s="4" t="s">
        <v>244</v>
      </c>
      <c r="D46" s="4" t="s">
        <v>204</v>
      </c>
      <c r="E46" s="5">
        <v>332238</v>
      </c>
      <c r="F46" s="6">
        <v>1616.836227</v>
      </c>
      <c r="G46" s="7">
        <v>1.0572692999999999E-2</v>
      </c>
      <c r="H46" s="69"/>
    </row>
    <row r="47" spans="1:8" x14ac:dyDescent="0.2">
      <c r="A47" s="3">
        <v>41</v>
      </c>
      <c r="B47" s="4" t="s">
        <v>529</v>
      </c>
      <c r="C47" s="4" t="s">
        <v>530</v>
      </c>
      <c r="D47" s="4" t="s">
        <v>175</v>
      </c>
      <c r="E47" s="5">
        <v>94501</v>
      </c>
      <c r="F47" s="6">
        <v>1570.60662</v>
      </c>
      <c r="G47" s="7">
        <v>1.0270392E-2</v>
      </c>
      <c r="H47" s="69"/>
    </row>
    <row r="48" spans="1:8" x14ac:dyDescent="0.2">
      <c r="A48" s="3">
        <v>42</v>
      </c>
      <c r="B48" s="4" t="s">
        <v>76</v>
      </c>
      <c r="C48" s="4" t="s">
        <v>77</v>
      </c>
      <c r="D48" s="4" t="s">
        <v>78</v>
      </c>
      <c r="E48" s="5">
        <v>611312</v>
      </c>
      <c r="F48" s="6">
        <v>1564.9587200000001</v>
      </c>
      <c r="G48" s="7">
        <v>1.023346E-2</v>
      </c>
      <c r="H48" s="69"/>
    </row>
    <row r="49" spans="1:8" x14ac:dyDescent="0.2">
      <c r="A49" s="3">
        <v>43</v>
      </c>
      <c r="B49" s="4" t="s">
        <v>216</v>
      </c>
      <c r="C49" s="4" t="s">
        <v>217</v>
      </c>
      <c r="D49" s="4" t="s">
        <v>75</v>
      </c>
      <c r="E49" s="5">
        <v>176059</v>
      </c>
      <c r="F49" s="6">
        <v>1544.3895480000001</v>
      </c>
      <c r="G49" s="7">
        <v>1.0098955E-2</v>
      </c>
      <c r="H49" s="69"/>
    </row>
    <row r="50" spans="1:8" x14ac:dyDescent="0.2">
      <c r="A50" s="3">
        <v>44</v>
      </c>
      <c r="B50" s="4" t="s">
        <v>531</v>
      </c>
      <c r="C50" s="4" t="s">
        <v>532</v>
      </c>
      <c r="D50" s="4" t="s">
        <v>979</v>
      </c>
      <c r="E50" s="5">
        <v>3249123</v>
      </c>
      <c r="F50" s="6">
        <v>1447.4842965</v>
      </c>
      <c r="G50" s="7">
        <v>9.4652799999999995E-3</v>
      </c>
      <c r="H50" s="69"/>
    </row>
    <row r="51" spans="1:8" x14ac:dyDescent="0.2">
      <c r="A51" s="3">
        <v>45</v>
      </c>
      <c r="B51" s="4" t="s">
        <v>533</v>
      </c>
      <c r="C51" s="4" t="s">
        <v>534</v>
      </c>
      <c r="D51" s="4" t="s">
        <v>144</v>
      </c>
      <c r="E51" s="5">
        <v>181328</v>
      </c>
      <c r="F51" s="6">
        <v>1430.949912</v>
      </c>
      <c r="G51" s="7">
        <v>9.3571590000000003E-3</v>
      </c>
      <c r="H51" s="69"/>
    </row>
    <row r="52" spans="1:8" ht="25.5" x14ac:dyDescent="0.2">
      <c r="A52" s="3">
        <v>46</v>
      </c>
      <c r="B52" s="4" t="s">
        <v>205</v>
      </c>
      <c r="C52" s="4" t="s">
        <v>206</v>
      </c>
      <c r="D52" s="4" t="s">
        <v>207</v>
      </c>
      <c r="E52" s="5">
        <v>318046</v>
      </c>
      <c r="F52" s="6">
        <v>1357.738374</v>
      </c>
      <c r="G52" s="7">
        <v>8.8784199999999997E-3</v>
      </c>
      <c r="H52" s="69"/>
    </row>
    <row r="53" spans="1:8" x14ac:dyDescent="0.2">
      <c r="A53" s="3">
        <v>47</v>
      </c>
      <c r="B53" s="4" t="s">
        <v>274</v>
      </c>
      <c r="C53" s="4" t="s">
        <v>275</v>
      </c>
      <c r="D53" s="4" t="s">
        <v>155</v>
      </c>
      <c r="E53" s="5">
        <v>342266</v>
      </c>
      <c r="F53" s="6">
        <v>1302.835529</v>
      </c>
      <c r="G53" s="7">
        <v>8.519403E-3</v>
      </c>
      <c r="H53" s="69"/>
    </row>
    <row r="54" spans="1:8" x14ac:dyDescent="0.2">
      <c r="A54" s="3">
        <v>48</v>
      </c>
      <c r="B54" s="4" t="s">
        <v>535</v>
      </c>
      <c r="C54" s="4" t="s">
        <v>536</v>
      </c>
      <c r="D54" s="4" t="s">
        <v>75</v>
      </c>
      <c r="E54" s="5">
        <v>12190</v>
      </c>
      <c r="F54" s="6">
        <v>1215.824505</v>
      </c>
      <c r="G54" s="7">
        <v>7.9504280000000007E-3</v>
      </c>
      <c r="H54" s="69"/>
    </row>
    <row r="55" spans="1:8" x14ac:dyDescent="0.2">
      <c r="A55" s="3">
        <v>49</v>
      </c>
      <c r="B55" s="4" t="s">
        <v>255</v>
      </c>
      <c r="C55" s="4" t="s">
        <v>256</v>
      </c>
      <c r="D55" s="4" t="s">
        <v>257</v>
      </c>
      <c r="E55" s="5">
        <v>520000</v>
      </c>
      <c r="F55" s="6">
        <v>1156.48</v>
      </c>
      <c r="G55" s="7">
        <v>7.5623660000000001E-3</v>
      </c>
      <c r="H55" s="69"/>
    </row>
    <row r="56" spans="1:8" x14ac:dyDescent="0.2">
      <c r="A56" s="3">
        <v>50</v>
      </c>
      <c r="B56" s="4" t="s">
        <v>537</v>
      </c>
      <c r="C56" s="4" t="s">
        <v>538</v>
      </c>
      <c r="D56" s="4" t="s">
        <v>75</v>
      </c>
      <c r="E56" s="5">
        <v>131901</v>
      </c>
      <c r="F56" s="6">
        <v>1092.2062304999999</v>
      </c>
      <c r="G56" s="7">
        <v>7.1420720000000002E-3</v>
      </c>
      <c r="H56" s="69"/>
    </row>
    <row r="57" spans="1:8" ht="25.5" x14ac:dyDescent="0.2">
      <c r="A57" s="3">
        <v>51</v>
      </c>
      <c r="B57" s="4" t="s">
        <v>229</v>
      </c>
      <c r="C57" s="4" t="s">
        <v>230</v>
      </c>
      <c r="D57" s="4" t="s">
        <v>75</v>
      </c>
      <c r="E57" s="5">
        <v>51951</v>
      </c>
      <c r="F57" s="6">
        <v>986.31571050000002</v>
      </c>
      <c r="G57" s="7">
        <v>6.4496409999999999E-3</v>
      </c>
      <c r="H57" s="69"/>
    </row>
    <row r="58" spans="1:8" x14ac:dyDescent="0.2">
      <c r="A58" s="3">
        <v>52</v>
      </c>
      <c r="B58" s="4" t="s">
        <v>539</v>
      </c>
      <c r="C58" s="4" t="s">
        <v>540</v>
      </c>
      <c r="D58" s="4" t="s">
        <v>976</v>
      </c>
      <c r="E58" s="5">
        <v>31067</v>
      </c>
      <c r="F58" s="6">
        <v>956.08692499999995</v>
      </c>
      <c r="G58" s="7">
        <v>6.2519710000000003E-3</v>
      </c>
      <c r="H58" s="69"/>
    </row>
    <row r="59" spans="1:8" x14ac:dyDescent="0.2">
      <c r="A59" s="3">
        <v>53</v>
      </c>
      <c r="B59" s="4" t="s">
        <v>541</v>
      </c>
      <c r="C59" s="4" t="s">
        <v>542</v>
      </c>
      <c r="D59" s="4" t="s">
        <v>976</v>
      </c>
      <c r="E59" s="5">
        <v>84421</v>
      </c>
      <c r="F59" s="6">
        <v>924.9586865</v>
      </c>
      <c r="G59" s="7">
        <v>6.0484199999999997E-3</v>
      </c>
      <c r="H59" s="69"/>
    </row>
    <row r="60" spans="1:8" x14ac:dyDescent="0.2">
      <c r="A60" s="3">
        <v>54</v>
      </c>
      <c r="B60" s="4" t="s">
        <v>543</v>
      </c>
      <c r="C60" s="4" t="s">
        <v>544</v>
      </c>
      <c r="D60" s="4" t="s">
        <v>27</v>
      </c>
      <c r="E60" s="5">
        <v>491611</v>
      </c>
      <c r="F60" s="6">
        <v>900.13974099999996</v>
      </c>
      <c r="G60" s="7">
        <v>5.8861260000000002E-3</v>
      </c>
      <c r="H60" s="69"/>
    </row>
    <row r="61" spans="1:8" x14ac:dyDescent="0.2">
      <c r="A61" s="3">
        <v>55</v>
      </c>
      <c r="B61" s="4" t="s">
        <v>545</v>
      </c>
      <c r="C61" s="4" t="s">
        <v>546</v>
      </c>
      <c r="D61" s="4" t="s">
        <v>155</v>
      </c>
      <c r="E61" s="5">
        <v>47961</v>
      </c>
      <c r="F61" s="6">
        <v>870.15642300000002</v>
      </c>
      <c r="G61" s="7">
        <v>5.6900609999999997E-3</v>
      </c>
      <c r="H61" s="69"/>
    </row>
    <row r="62" spans="1:8" ht="25.5" x14ac:dyDescent="0.2">
      <c r="A62" s="3">
        <v>56</v>
      </c>
      <c r="B62" s="4" t="s">
        <v>339</v>
      </c>
      <c r="C62" s="4" t="s">
        <v>340</v>
      </c>
      <c r="D62" s="4" t="s">
        <v>75</v>
      </c>
      <c r="E62" s="5">
        <v>192724</v>
      </c>
      <c r="F62" s="6">
        <v>863.88532999999995</v>
      </c>
      <c r="G62" s="7">
        <v>5.6490539999999997E-3</v>
      </c>
      <c r="H62" s="69"/>
    </row>
    <row r="63" spans="1:8" x14ac:dyDescent="0.2">
      <c r="A63" s="3">
        <v>57</v>
      </c>
      <c r="B63" s="4" t="s">
        <v>547</v>
      </c>
      <c r="C63" s="4" t="s">
        <v>548</v>
      </c>
      <c r="D63" s="4" t="s">
        <v>975</v>
      </c>
      <c r="E63" s="5">
        <v>36660</v>
      </c>
      <c r="F63" s="6">
        <v>821.73389999999995</v>
      </c>
      <c r="G63" s="7">
        <v>5.3734200000000003E-3</v>
      </c>
      <c r="H63" s="69"/>
    </row>
    <row r="64" spans="1:8" x14ac:dyDescent="0.2">
      <c r="A64" s="3">
        <v>58</v>
      </c>
      <c r="B64" s="4" t="s">
        <v>56</v>
      </c>
      <c r="C64" s="4" t="s">
        <v>57</v>
      </c>
      <c r="D64" s="4" t="s">
        <v>53</v>
      </c>
      <c r="E64" s="5">
        <v>150000</v>
      </c>
      <c r="F64" s="6">
        <v>753.67499999999995</v>
      </c>
      <c r="G64" s="7">
        <v>4.9283740000000001E-3</v>
      </c>
      <c r="H64" s="69"/>
    </row>
    <row r="65" spans="1:8" x14ac:dyDescent="0.2">
      <c r="A65" s="3">
        <v>59</v>
      </c>
      <c r="B65" s="4" t="s">
        <v>549</v>
      </c>
      <c r="C65" s="4" t="s">
        <v>550</v>
      </c>
      <c r="D65" s="4" t="s">
        <v>160</v>
      </c>
      <c r="E65" s="5">
        <v>28718</v>
      </c>
      <c r="F65" s="6">
        <v>652.48731899999996</v>
      </c>
      <c r="G65" s="7">
        <v>4.2666960000000004E-3</v>
      </c>
      <c r="H65" s="69"/>
    </row>
    <row r="66" spans="1:8" x14ac:dyDescent="0.2">
      <c r="A66" s="3">
        <v>60</v>
      </c>
      <c r="B66" s="4" t="s">
        <v>551</v>
      </c>
      <c r="C66" s="4" t="s">
        <v>552</v>
      </c>
      <c r="D66" s="4" t="s">
        <v>22</v>
      </c>
      <c r="E66" s="5">
        <v>444529</v>
      </c>
      <c r="F66" s="6">
        <v>634.78741200000002</v>
      </c>
      <c r="G66" s="7">
        <v>4.1509540000000001E-3</v>
      </c>
      <c r="H66" s="69"/>
    </row>
    <row r="67" spans="1:8" x14ac:dyDescent="0.2">
      <c r="A67" s="3">
        <v>61</v>
      </c>
      <c r="B67" s="4" t="s">
        <v>553</v>
      </c>
      <c r="C67" s="4" t="s">
        <v>554</v>
      </c>
      <c r="D67" s="4" t="s">
        <v>204</v>
      </c>
      <c r="E67" s="5">
        <v>56754</v>
      </c>
      <c r="F67" s="6">
        <v>512.20484999999996</v>
      </c>
      <c r="G67" s="7">
        <v>3.3493709999999999E-3</v>
      </c>
      <c r="H67" s="69"/>
    </row>
    <row r="68" spans="1:8" x14ac:dyDescent="0.2">
      <c r="A68" s="3">
        <v>62</v>
      </c>
      <c r="B68" s="4" t="s">
        <v>46</v>
      </c>
      <c r="C68" s="4" t="s">
        <v>47</v>
      </c>
      <c r="D68" s="4" t="s">
        <v>48</v>
      </c>
      <c r="E68" s="5">
        <v>77133</v>
      </c>
      <c r="F68" s="6">
        <v>506.41671150000002</v>
      </c>
      <c r="G68" s="7">
        <v>3.3115219999999999E-3</v>
      </c>
      <c r="H68" s="69"/>
    </row>
    <row r="69" spans="1:8" x14ac:dyDescent="0.2">
      <c r="A69" s="3">
        <v>63</v>
      </c>
      <c r="B69" s="4" t="s">
        <v>555</v>
      </c>
      <c r="C69" s="4" t="s">
        <v>556</v>
      </c>
      <c r="D69" s="4" t="s">
        <v>224</v>
      </c>
      <c r="E69" s="5">
        <v>350000</v>
      </c>
      <c r="F69" s="6">
        <v>390.42500000000001</v>
      </c>
      <c r="G69" s="7">
        <v>2.5530380000000001E-3</v>
      </c>
      <c r="H69" s="69"/>
    </row>
    <row r="70" spans="1:8" x14ac:dyDescent="0.2">
      <c r="A70" s="3">
        <v>64</v>
      </c>
      <c r="B70" s="4" t="s">
        <v>196</v>
      </c>
      <c r="C70" s="4" t="s">
        <v>197</v>
      </c>
      <c r="D70" s="4" t="s">
        <v>144</v>
      </c>
      <c r="E70" s="5">
        <v>24254</v>
      </c>
      <c r="F70" s="6">
        <v>313.85888699999998</v>
      </c>
      <c r="G70" s="7">
        <v>2.0523619999999998E-3</v>
      </c>
      <c r="H70" s="69"/>
    </row>
    <row r="71" spans="1:8" x14ac:dyDescent="0.2">
      <c r="A71" s="3">
        <v>65</v>
      </c>
      <c r="B71" s="4" t="s">
        <v>557</v>
      </c>
      <c r="C71" s="4" t="s">
        <v>558</v>
      </c>
      <c r="D71" s="4" t="s">
        <v>976</v>
      </c>
      <c r="E71" s="5">
        <v>16923</v>
      </c>
      <c r="F71" s="6">
        <v>245.56119150000001</v>
      </c>
      <c r="G71" s="7">
        <v>1.6057549999999999E-3</v>
      </c>
      <c r="H71" s="69"/>
    </row>
    <row r="72" spans="1:8" x14ac:dyDescent="0.2">
      <c r="A72" s="1"/>
      <c r="B72" s="1"/>
      <c r="C72" s="2" t="s">
        <v>95</v>
      </c>
      <c r="D72" s="1"/>
      <c r="E72" s="1" t="s">
        <v>96</v>
      </c>
      <c r="F72" s="9">
        <v>145060.37313551901</v>
      </c>
      <c r="G72" s="10">
        <v>0.94856780799999996</v>
      </c>
      <c r="H72" s="69"/>
    </row>
    <row r="73" spans="1:8" x14ac:dyDescent="0.2">
      <c r="A73" s="1"/>
      <c r="B73" s="1"/>
      <c r="C73" s="11"/>
      <c r="D73" s="1"/>
      <c r="E73" s="1"/>
      <c r="F73" s="12"/>
      <c r="G73" s="12"/>
      <c r="H73" s="69"/>
    </row>
    <row r="74" spans="1:8" x14ac:dyDescent="0.2">
      <c r="A74" s="1"/>
      <c r="B74" s="1"/>
      <c r="C74" s="2" t="s">
        <v>97</v>
      </c>
      <c r="D74" s="1"/>
      <c r="E74" s="1"/>
      <c r="F74" s="1"/>
      <c r="G74" s="1"/>
      <c r="H74" s="69"/>
    </row>
    <row r="75" spans="1:8" x14ac:dyDescent="0.2">
      <c r="A75" s="1"/>
      <c r="B75" s="1"/>
      <c r="C75" s="2" t="s">
        <v>95</v>
      </c>
      <c r="D75" s="1"/>
      <c r="E75" s="1" t="s">
        <v>96</v>
      </c>
      <c r="F75" s="13">
        <v>0</v>
      </c>
      <c r="G75" s="14">
        <v>0</v>
      </c>
      <c r="H75" s="69"/>
    </row>
    <row r="76" spans="1:8" x14ac:dyDescent="0.2">
      <c r="A76" s="1"/>
      <c r="B76" s="1"/>
      <c r="C76" s="11"/>
      <c r="D76" s="1"/>
      <c r="E76" s="1"/>
      <c r="F76" s="12"/>
      <c r="G76" s="12"/>
      <c r="H76" s="69"/>
    </row>
    <row r="77" spans="1:8" x14ac:dyDescent="0.2">
      <c r="A77" s="1"/>
      <c r="B77" s="1"/>
      <c r="C77" s="2" t="s">
        <v>98</v>
      </c>
      <c r="D77" s="1"/>
      <c r="E77" s="1"/>
      <c r="F77" s="1"/>
      <c r="G77" s="1"/>
      <c r="H77" s="69"/>
    </row>
    <row r="78" spans="1:8" x14ac:dyDescent="0.2">
      <c r="A78" s="3">
        <v>1</v>
      </c>
      <c r="B78" s="4" t="s">
        <v>92</v>
      </c>
      <c r="C78" s="4" t="s">
        <v>933</v>
      </c>
      <c r="D78" s="4" t="s">
        <v>93</v>
      </c>
      <c r="E78" s="5">
        <v>375961</v>
      </c>
      <c r="F78" s="6">
        <v>7.5190000000000003E-6</v>
      </c>
      <c r="G78" s="8" t="s">
        <v>94</v>
      </c>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99</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100</v>
      </c>
      <c r="D84" s="1"/>
      <c r="E84" s="1"/>
      <c r="F84" s="12"/>
      <c r="G84" s="12"/>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101</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102</v>
      </c>
      <c r="D90" s="1"/>
      <c r="E90" s="1"/>
      <c r="F90" s="9">
        <v>145060.37313551901</v>
      </c>
      <c r="G90" s="10">
        <v>0.94856780799999996</v>
      </c>
      <c r="H90" s="69"/>
    </row>
    <row r="91" spans="1:8" x14ac:dyDescent="0.2">
      <c r="A91" s="1"/>
      <c r="B91" s="1"/>
      <c r="C91" s="11"/>
      <c r="D91" s="1"/>
      <c r="E91" s="1"/>
      <c r="F91" s="12"/>
      <c r="G91" s="12"/>
      <c r="H91" s="69"/>
    </row>
    <row r="92" spans="1:8" x14ac:dyDescent="0.2">
      <c r="A92" s="1"/>
      <c r="B92" s="1"/>
      <c r="C92" s="2" t="s">
        <v>103</v>
      </c>
      <c r="D92" s="1"/>
      <c r="E92" s="1"/>
      <c r="F92" s="12"/>
      <c r="G92" s="12"/>
      <c r="H92" s="69"/>
    </row>
    <row r="93" spans="1:8" ht="25.5" x14ac:dyDescent="0.2">
      <c r="A93" s="1"/>
      <c r="B93" s="1"/>
      <c r="C93" s="2" t="s">
        <v>10</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104</v>
      </c>
      <c r="D96" s="1"/>
      <c r="E96" s="1"/>
      <c r="F96" s="1"/>
      <c r="G96" s="1"/>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105</v>
      </c>
      <c r="D99" s="1"/>
      <c r="E99" s="1"/>
      <c r="F99" s="1"/>
      <c r="G99" s="1"/>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106</v>
      </c>
      <c r="D102" s="1"/>
      <c r="E102" s="1"/>
      <c r="F102" s="12"/>
      <c r="G102" s="12"/>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2" t="s">
        <v>107</v>
      </c>
      <c r="D105" s="1"/>
      <c r="E105" s="1"/>
      <c r="F105" s="9">
        <v>0</v>
      </c>
      <c r="G105" s="10">
        <v>0</v>
      </c>
      <c r="H105" s="69"/>
    </row>
    <row r="106" spans="1:8" x14ac:dyDescent="0.2">
      <c r="A106" s="1"/>
      <c r="B106" s="1"/>
      <c r="C106" s="11"/>
      <c r="D106" s="1"/>
      <c r="E106" s="1"/>
      <c r="F106" s="12"/>
      <c r="G106" s="12"/>
      <c r="H106" s="69"/>
    </row>
    <row r="107" spans="1:8" x14ac:dyDescent="0.2">
      <c r="A107" s="1"/>
      <c r="B107" s="1"/>
      <c r="C107" s="2" t="s">
        <v>108</v>
      </c>
      <c r="D107" s="1"/>
      <c r="E107" s="1"/>
      <c r="F107" s="12"/>
      <c r="G107" s="12"/>
      <c r="H107" s="69"/>
    </row>
    <row r="108" spans="1:8" x14ac:dyDescent="0.2">
      <c r="A108" s="1"/>
      <c r="B108" s="1"/>
      <c r="C108" s="2" t="s">
        <v>109</v>
      </c>
      <c r="D108" s="1"/>
      <c r="E108" s="1"/>
      <c r="F108" s="12"/>
      <c r="G108" s="12"/>
      <c r="H108" s="69"/>
    </row>
    <row r="109" spans="1:8" x14ac:dyDescent="0.2">
      <c r="A109" s="1"/>
      <c r="B109" s="1"/>
      <c r="C109" s="2" t="s">
        <v>95</v>
      </c>
      <c r="D109" s="1"/>
      <c r="E109" s="1" t="s">
        <v>96</v>
      </c>
      <c r="F109" s="13">
        <v>0</v>
      </c>
      <c r="G109" s="14">
        <v>0</v>
      </c>
      <c r="H109" s="69"/>
    </row>
    <row r="110" spans="1:8" x14ac:dyDescent="0.2">
      <c r="A110" s="1"/>
      <c r="B110" s="1"/>
      <c r="C110" s="11"/>
      <c r="D110" s="1"/>
      <c r="E110" s="1"/>
      <c r="F110" s="12"/>
      <c r="G110" s="12"/>
      <c r="H110" s="69"/>
    </row>
    <row r="111" spans="1:8" x14ac:dyDescent="0.2">
      <c r="A111" s="1"/>
      <c r="B111" s="1"/>
      <c r="C111" s="2" t="s">
        <v>110</v>
      </c>
      <c r="D111" s="1"/>
      <c r="E111" s="1"/>
      <c r="F111" s="12"/>
      <c r="G111" s="12"/>
      <c r="H111" s="69"/>
    </row>
    <row r="112" spans="1:8" x14ac:dyDescent="0.2">
      <c r="A112" s="1"/>
      <c r="B112" s="1"/>
      <c r="C112" s="2" t="s">
        <v>95</v>
      </c>
      <c r="D112" s="1"/>
      <c r="E112" s="1" t="s">
        <v>96</v>
      </c>
      <c r="F112" s="13">
        <v>0</v>
      </c>
      <c r="G112" s="14">
        <v>0</v>
      </c>
      <c r="H112" s="69"/>
    </row>
    <row r="113" spans="1:8" x14ac:dyDescent="0.2">
      <c r="A113" s="1"/>
      <c r="B113" s="1"/>
      <c r="C113" s="11"/>
      <c r="D113" s="1"/>
      <c r="E113" s="1"/>
      <c r="F113" s="12"/>
      <c r="G113" s="12"/>
      <c r="H113" s="69"/>
    </row>
    <row r="114" spans="1:8" x14ac:dyDescent="0.2">
      <c r="A114" s="1"/>
      <c r="B114" s="1"/>
      <c r="C114" s="2" t="s">
        <v>111</v>
      </c>
      <c r="D114" s="1"/>
      <c r="E114" s="1"/>
      <c r="F114" s="12"/>
      <c r="G114" s="12"/>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2" t="s">
        <v>112</v>
      </c>
      <c r="D117" s="1"/>
      <c r="E117" s="1"/>
      <c r="F117" s="12"/>
      <c r="G117" s="12"/>
      <c r="H117" s="69"/>
    </row>
    <row r="118" spans="1:8" x14ac:dyDescent="0.2">
      <c r="A118" s="3">
        <v>1</v>
      </c>
      <c r="B118" s="4"/>
      <c r="C118" s="4" t="s">
        <v>113</v>
      </c>
      <c r="D118" s="4"/>
      <c r="E118" s="8"/>
      <c r="F118" s="6">
        <v>4554.1316131000003</v>
      </c>
      <c r="G118" s="7">
        <v>2.9780032000000001E-2</v>
      </c>
      <c r="H118" s="6">
        <v>3.3628721504199861</v>
      </c>
    </row>
    <row r="119" spans="1:8" x14ac:dyDescent="0.2">
      <c r="A119" s="3">
        <v>2</v>
      </c>
      <c r="B119" s="4"/>
      <c r="C119" s="4" t="s">
        <v>114</v>
      </c>
      <c r="D119" s="4"/>
      <c r="E119" s="8"/>
      <c r="F119" s="6">
        <v>1758.7639113</v>
      </c>
      <c r="G119" s="7">
        <v>1.1500776000000001E-2</v>
      </c>
      <c r="H119" s="6">
        <v>3.4499999999999966</v>
      </c>
    </row>
    <row r="120" spans="1:8" x14ac:dyDescent="0.2">
      <c r="A120" s="1"/>
      <c r="B120" s="1"/>
      <c r="C120" s="2" t="s">
        <v>95</v>
      </c>
      <c r="D120" s="1"/>
      <c r="E120" s="1" t="s">
        <v>96</v>
      </c>
      <c r="F120" s="9">
        <v>6312.8955243999999</v>
      </c>
      <c r="G120" s="10">
        <v>4.1280808000000002E-2</v>
      </c>
      <c r="H120" s="69"/>
    </row>
    <row r="121" spans="1:8" x14ac:dyDescent="0.2">
      <c r="A121" s="1"/>
      <c r="B121" s="1"/>
      <c r="C121" s="11"/>
      <c r="D121" s="1"/>
      <c r="E121" s="1"/>
      <c r="F121" s="12"/>
      <c r="G121" s="12"/>
      <c r="H121" s="69"/>
    </row>
    <row r="122" spans="1:8" x14ac:dyDescent="0.2">
      <c r="A122" s="1"/>
      <c r="B122" s="1"/>
      <c r="C122" s="2" t="s">
        <v>115</v>
      </c>
      <c r="D122" s="1"/>
      <c r="E122" s="1"/>
      <c r="F122" s="9">
        <v>6312.8955243999999</v>
      </c>
      <c r="G122" s="10">
        <v>4.1280808000000002E-2</v>
      </c>
      <c r="H122" s="69"/>
    </row>
    <row r="123" spans="1:8" x14ac:dyDescent="0.2">
      <c r="A123" s="1"/>
      <c r="B123" s="1"/>
      <c r="C123" s="12"/>
      <c r="D123" s="1"/>
      <c r="E123" s="1"/>
      <c r="F123" s="1"/>
      <c r="G123" s="1"/>
      <c r="H123" s="69"/>
    </row>
    <row r="124" spans="1:8" x14ac:dyDescent="0.2">
      <c r="A124" s="1"/>
      <c r="B124" s="1"/>
      <c r="C124" s="2" t="s">
        <v>116</v>
      </c>
      <c r="D124" s="1"/>
      <c r="E124" s="1"/>
      <c r="F124" s="1"/>
      <c r="G124" s="1"/>
      <c r="H124" s="69"/>
    </row>
    <row r="125" spans="1:8" x14ac:dyDescent="0.2">
      <c r="A125" s="1"/>
      <c r="B125" s="1"/>
      <c r="C125" s="2" t="s">
        <v>117</v>
      </c>
      <c r="D125" s="1"/>
      <c r="E125" s="1"/>
      <c r="F125" s="1"/>
      <c r="G125" s="1"/>
      <c r="H125" s="69"/>
    </row>
    <row r="126" spans="1:8" x14ac:dyDescent="0.2">
      <c r="A126" s="1"/>
      <c r="B126" s="1"/>
      <c r="C126" s="2" t="s">
        <v>95</v>
      </c>
      <c r="D126" s="1"/>
      <c r="E126" s="1" t="s">
        <v>96</v>
      </c>
      <c r="F126" s="13">
        <v>0</v>
      </c>
      <c r="G126" s="14">
        <v>0</v>
      </c>
      <c r="H126" s="69"/>
    </row>
    <row r="127" spans="1:8" x14ac:dyDescent="0.2">
      <c r="A127" s="1"/>
      <c r="B127" s="1"/>
      <c r="C127" s="11"/>
      <c r="D127" s="1"/>
      <c r="E127" s="1"/>
      <c r="F127" s="12"/>
      <c r="G127" s="12"/>
      <c r="H127" s="69"/>
    </row>
    <row r="128" spans="1:8" x14ac:dyDescent="0.2">
      <c r="A128" s="1"/>
      <c r="B128" s="1"/>
      <c r="C128" s="2" t="s">
        <v>118</v>
      </c>
      <c r="D128" s="1"/>
      <c r="E128" s="1"/>
      <c r="F128" s="1"/>
      <c r="G128" s="1"/>
      <c r="H128" s="69"/>
    </row>
    <row r="129" spans="1:8" x14ac:dyDescent="0.2">
      <c r="A129" s="1"/>
      <c r="B129" s="1"/>
      <c r="C129" s="2" t="s">
        <v>119</v>
      </c>
      <c r="D129" s="1"/>
      <c r="E129" s="1"/>
      <c r="F129" s="1"/>
      <c r="G129" s="1"/>
      <c r="H129" s="69"/>
    </row>
    <row r="130" spans="1:8" x14ac:dyDescent="0.2">
      <c r="A130" s="1"/>
      <c r="B130" s="1"/>
      <c r="C130" s="2" t="s">
        <v>95</v>
      </c>
      <c r="D130" s="1"/>
      <c r="E130" s="1" t="s">
        <v>96</v>
      </c>
      <c r="F130" s="13">
        <v>0</v>
      </c>
      <c r="G130" s="14">
        <v>0</v>
      </c>
      <c r="H130" s="69"/>
    </row>
    <row r="131" spans="1:8" x14ac:dyDescent="0.2">
      <c r="A131" s="1"/>
      <c r="B131" s="1"/>
      <c r="C131" s="11"/>
      <c r="D131" s="1"/>
      <c r="E131" s="1"/>
      <c r="F131" s="12"/>
      <c r="G131" s="12"/>
      <c r="H131" s="69"/>
    </row>
    <row r="132" spans="1:8" x14ac:dyDescent="0.2">
      <c r="A132" s="1"/>
      <c r="B132" s="1"/>
      <c r="C132" s="11"/>
      <c r="D132" s="1"/>
      <c r="E132" s="1"/>
      <c r="F132" s="12"/>
      <c r="G132" s="12"/>
      <c r="H132" s="69"/>
    </row>
    <row r="133" spans="1:8" ht="25.5" x14ac:dyDescent="0.2">
      <c r="A133" s="1"/>
      <c r="B133" s="1"/>
      <c r="C133" s="2" t="s">
        <v>120</v>
      </c>
      <c r="D133" s="1"/>
      <c r="E133" s="1"/>
      <c r="F133" s="12"/>
      <c r="G133" s="12"/>
      <c r="H133" s="69"/>
    </row>
    <row r="134" spans="1:8" x14ac:dyDescent="0.2">
      <c r="A134" s="1"/>
      <c r="B134" s="1"/>
      <c r="C134" s="2" t="s">
        <v>95</v>
      </c>
      <c r="D134" s="1"/>
      <c r="E134" s="1" t="s">
        <v>96</v>
      </c>
      <c r="F134" s="13">
        <v>0</v>
      </c>
      <c r="G134" s="14">
        <v>0</v>
      </c>
      <c r="H134" s="69"/>
    </row>
    <row r="135" spans="1:8" x14ac:dyDescent="0.2">
      <c r="A135" s="1"/>
      <c r="B135" s="1"/>
      <c r="C135" s="11"/>
      <c r="D135" s="1"/>
      <c r="E135" s="1"/>
      <c r="F135" s="12"/>
      <c r="G135" s="12"/>
      <c r="H135" s="69"/>
    </row>
    <row r="136" spans="1:8" x14ac:dyDescent="0.2">
      <c r="A136" s="1"/>
      <c r="B136" s="4"/>
      <c r="C136" s="4"/>
      <c r="D136" s="2"/>
      <c r="E136" s="1"/>
      <c r="F136" s="4"/>
      <c r="G136" s="8"/>
      <c r="H136" s="69"/>
    </row>
    <row r="137" spans="1:8" x14ac:dyDescent="0.2">
      <c r="A137" s="8"/>
      <c r="B137" s="4"/>
      <c r="C137" s="4" t="s">
        <v>121</v>
      </c>
      <c r="D137" s="4"/>
      <c r="E137" s="8"/>
      <c r="F137" s="6">
        <v>1552.4077553499999</v>
      </c>
      <c r="G137" s="7">
        <v>1.0151387E-2</v>
      </c>
      <c r="H137" s="69"/>
    </row>
    <row r="138" spans="1:8" x14ac:dyDescent="0.2">
      <c r="A138" s="11"/>
      <c r="B138" s="11"/>
      <c r="C138" s="2" t="s">
        <v>122</v>
      </c>
      <c r="D138" s="15"/>
      <c r="E138" s="15"/>
      <c r="F138" s="9">
        <v>152925.676415269</v>
      </c>
      <c r="G138" s="10">
        <v>1.000000003</v>
      </c>
      <c r="H138" s="69"/>
    </row>
    <row r="139" spans="1:8" ht="14.1" customHeight="1" x14ac:dyDescent="0.2">
      <c r="A139" s="16"/>
      <c r="B139" s="16"/>
      <c r="C139" s="16"/>
      <c r="D139" s="17"/>
      <c r="E139" s="17"/>
      <c r="F139" s="17"/>
      <c r="G139" s="17"/>
    </row>
    <row r="140" spans="1:8" ht="14.1" customHeight="1" x14ac:dyDescent="0.2">
      <c r="A140" s="18"/>
      <c r="B140" s="176" t="s">
        <v>96</v>
      </c>
      <c r="C140" s="176"/>
      <c r="D140" s="176"/>
      <c r="E140" s="176"/>
      <c r="F140" s="176"/>
      <c r="G140" s="20"/>
    </row>
    <row r="141" spans="1:8" ht="17.100000000000001" customHeight="1" x14ac:dyDescent="0.2">
      <c r="A141" s="18"/>
      <c r="B141" s="176" t="s">
        <v>123</v>
      </c>
      <c r="C141" s="176"/>
      <c r="D141" s="176"/>
      <c r="E141" s="176"/>
      <c r="F141" s="176"/>
      <c r="G141" s="20"/>
    </row>
    <row r="142" spans="1:8" ht="14.1" customHeight="1" x14ac:dyDescent="0.2">
      <c r="A142" s="18"/>
      <c r="B142" s="18"/>
      <c r="C142" s="18"/>
      <c r="D142" s="20"/>
      <c r="E142" s="20"/>
      <c r="F142" s="20"/>
      <c r="G142" s="20"/>
    </row>
    <row r="143" spans="1:8" ht="14.1" customHeight="1" x14ac:dyDescent="0.2">
      <c r="A143" s="18"/>
      <c r="B143" s="174" t="s">
        <v>124</v>
      </c>
      <c r="C143" s="175"/>
      <c r="D143" s="12" t="s">
        <v>96</v>
      </c>
      <c r="E143" s="21"/>
      <c r="F143" s="20"/>
      <c r="G143" s="20"/>
    </row>
    <row r="144" spans="1:8" ht="29.1" customHeight="1" x14ac:dyDescent="0.2">
      <c r="A144" s="18"/>
      <c r="B144" s="172" t="s">
        <v>125</v>
      </c>
      <c r="C144" s="173"/>
      <c r="D144" s="2" t="s">
        <v>126</v>
      </c>
      <c r="E144" s="21"/>
      <c r="F144" s="20"/>
      <c r="G144" s="20"/>
    </row>
    <row r="145" spans="1:16" ht="17.100000000000001" customHeight="1" x14ac:dyDescent="0.2">
      <c r="A145" s="18"/>
      <c r="B145" s="172" t="s">
        <v>934</v>
      </c>
      <c r="C145" s="173"/>
      <c r="D145" s="2" t="s">
        <v>935</v>
      </c>
      <c r="E145" s="21"/>
      <c r="F145" s="20"/>
      <c r="G145" s="20"/>
    </row>
    <row r="146" spans="1:16" ht="17.100000000000001" customHeight="1" x14ac:dyDescent="0.2">
      <c r="A146" s="18"/>
      <c r="B146" s="172" t="s">
        <v>128</v>
      </c>
      <c r="C146" s="173"/>
      <c r="D146" s="12" t="s">
        <v>96</v>
      </c>
      <c r="E146" s="21"/>
      <c r="F146" s="20"/>
      <c r="G146" s="20"/>
    </row>
    <row r="147" spans="1:16" ht="24" customHeight="1" x14ac:dyDescent="0.2">
      <c r="A147" s="22"/>
      <c r="B147" s="23" t="s">
        <v>96</v>
      </c>
      <c r="C147" s="23" t="s">
        <v>129</v>
      </c>
      <c r="D147" s="23" t="s">
        <v>130</v>
      </c>
      <c r="E147" s="22"/>
      <c r="F147" s="22"/>
      <c r="G147" s="22"/>
    </row>
    <row r="148" spans="1:16" ht="18" customHeight="1" x14ac:dyDescent="0.2">
      <c r="A148" s="22"/>
      <c r="B148" s="23" t="s">
        <v>131</v>
      </c>
      <c r="C148" s="23" t="s">
        <v>132</v>
      </c>
      <c r="D148" s="23" t="s">
        <v>133</v>
      </c>
      <c r="E148" s="22"/>
      <c r="F148" s="22"/>
      <c r="G148" s="22"/>
    </row>
    <row r="149" spans="1:16" ht="17.100000000000001" customHeight="1" x14ac:dyDescent="0.2">
      <c r="A149" s="22"/>
      <c r="B149" s="4" t="s">
        <v>134</v>
      </c>
      <c r="C149" s="24">
        <v>155.71369999999999</v>
      </c>
      <c r="D149" s="24">
        <v>155.23179999999999</v>
      </c>
      <c r="E149" s="22"/>
      <c r="F149" s="19"/>
      <c r="G149" s="25"/>
    </row>
    <row r="150" spans="1:16" ht="17.100000000000001" customHeight="1" x14ac:dyDescent="0.2">
      <c r="A150" s="22"/>
      <c r="B150" s="4" t="s">
        <v>983</v>
      </c>
      <c r="C150" s="24">
        <v>27.288900000000002</v>
      </c>
      <c r="D150" s="24">
        <v>27.204499999999999</v>
      </c>
      <c r="E150" s="22"/>
      <c r="F150" s="19"/>
      <c r="G150" s="25"/>
    </row>
    <row r="151" spans="1:16" ht="29.1" customHeight="1" x14ac:dyDescent="0.2">
      <c r="A151" s="22"/>
      <c r="B151" s="4" t="s">
        <v>408</v>
      </c>
      <c r="C151" s="24">
        <v>158.95150000000001</v>
      </c>
      <c r="D151" s="24">
        <v>158.45949999999999</v>
      </c>
      <c r="E151" s="22"/>
      <c r="F151" s="19"/>
      <c r="G151" s="25"/>
    </row>
    <row r="152" spans="1:16" ht="29.1" customHeight="1" x14ac:dyDescent="0.2">
      <c r="A152" s="22"/>
      <c r="B152" s="4" t="s">
        <v>986</v>
      </c>
      <c r="C152" s="24">
        <v>28.363900000000001</v>
      </c>
      <c r="D152" s="24">
        <v>28.2761</v>
      </c>
      <c r="E152" s="22"/>
      <c r="F152" s="19"/>
      <c r="G152" s="25"/>
    </row>
    <row r="153" spans="1:16" ht="17.100000000000001" customHeight="1" x14ac:dyDescent="0.2">
      <c r="A153" s="22"/>
      <c r="B153" s="4" t="s">
        <v>135</v>
      </c>
      <c r="C153" s="24">
        <v>146.67599999999999</v>
      </c>
      <c r="D153" s="24">
        <v>146.1019</v>
      </c>
      <c r="E153" s="22"/>
      <c r="F153" s="19"/>
      <c r="G153" s="25"/>
    </row>
    <row r="154" spans="1:16" ht="17.100000000000001" customHeight="1" x14ac:dyDescent="0.2">
      <c r="A154" s="22"/>
      <c r="B154" s="4" t="s">
        <v>984</v>
      </c>
      <c r="C154" s="24">
        <v>25.018000000000001</v>
      </c>
      <c r="D154" s="24">
        <v>24.920100000000001</v>
      </c>
      <c r="E154" s="22"/>
      <c r="F154" s="19"/>
      <c r="G154" s="25"/>
    </row>
    <row r="155" spans="1:16" ht="14.1" customHeight="1" x14ac:dyDescent="0.2">
      <c r="A155" s="22"/>
      <c r="B155" s="22"/>
      <c r="C155" s="22"/>
      <c r="D155" s="22"/>
      <c r="E155" s="22"/>
      <c r="F155" s="22"/>
      <c r="G155" s="22"/>
    </row>
    <row r="156" spans="1:16" ht="17.100000000000001" customHeight="1" x14ac:dyDescent="0.2">
      <c r="A156" s="22"/>
      <c r="B156" s="172" t="s">
        <v>985</v>
      </c>
      <c r="C156" s="173"/>
      <c r="D156" s="2" t="s">
        <v>126</v>
      </c>
      <c r="E156" s="22"/>
      <c r="F156" s="22"/>
      <c r="G156" s="22"/>
    </row>
    <row r="157" spans="1:16" ht="18" customHeight="1" x14ac:dyDescent="0.2">
      <c r="A157" s="22"/>
      <c r="B157" s="26" t="s">
        <v>136</v>
      </c>
      <c r="C157" s="26" t="s">
        <v>136</v>
      </c>
      <c r="D157" s="26"/>
      <c r="E157" s="22"/>
      <c r="F157" s="22"/>
      <c r="G157" s="22"/>
      <c r="I157" s="82"/>
      <c r="J157" s="82"/>
      <c r="K157" s="82"/>
      <c r="L157" s="82"/>
      <c r="M157" s="82"/>
      <c r="N157" s="82"/>
      <c r="O157" s="82"/>
    </row>
    <row r="158" spans="1:16" s="82" customFormat="1" x14ac:dyDescent="0.2">
      <c r="B158" s="177" t="s">
        <v>936</v>
      </c>
      <c r="C158" s="177"/>
      <c r="D158" s="177"/>
      <c r="E158" s="177"/>
      <c r="F158" s="177"/>
      <c r="I158"/>
      <c r="J158"/>
      <c r="K158"/>
      <c r="L158"/>
      <c r="M158"/>
      <c r="N158"/>
      <c r="O158"/>
      <c r="P158" s="70"/>
    </row>
    <row r="159" spans="1:16" ht="14.1" customHeight="1" x14ac:dyDescent="0.2">
      <c r="A159" s="22"/>
      <c r="B159" s="19"/>
      <c r="C159" s="19"/>
      <c r="D159" s="22"/>
      <c r="E159" s="22"/>
      <c r="F159" s="22"/>
      <c r="G159" s="22"/>
    </row>
    <row r="160" spans="1:16" ht="29.1" customHeight="1" x14ac:dyDescent="0.2">
      <c r="A160" s="22"/>
      <c r="B160" s="172" t="s">
        <v>137</v>
      </c>
      <c r="C160" s="173"/>
      <c r="D160" s="2" t="s">
        <v>126</v>
      </c>
      <c r="E160" s="22"/>
      <c r="F160" s="22"/>
      <c r="G160" s="22"/>
    </row>
    <row r="161" spans="1:7" ht="29.1" customHeight="1" x14ac:dyDescent="0.2">
      <c r="A161" s="22"/>
      <c r="B161" s="172" t="s">
        <v>138</v>
      </c>
      <c r="C161" s="173"/>
      <c r="D161" s="2" t="s">
        <v>126</v>
      </c>
      <c r="E161" s="22"/>
      <c r="F161" s="22"/>
      <c r="G161" s="22"/>
    </row>
    <row r="162" spans="1:7" ht="17.100000000000001" customHeight="1" x14ac:dyDescent="0.2">
      <c r="A162" s="22"/>
      <c r="B162" s="172" t="s">
        <v>139</v>
      </c>
      <c r="C162" s="173"/>
      <c r="D162" s="27">
        <v>0.46207427344303542</v>
      </c>
      <c r="E162" s="22"/>
      <c r="F162" s="19"/>
      <c r="G162" s="25"/>
    </row>
    <row r="163" spans="1:7" ht="17.100000000000001" customHeight="1" x14ac:dyDescent="0.2">
      <c r="A163" s="22"/>
      <c r="B163" s="172" t="s">
        <v>140</v>
      </c>
      <c r="C163" s="173"/>
      <c r="D163" s="2" t="s">
        <v>126</v>
      </c>
      <c r="E163" s="22"/>
      <c r="F163" s="22"/>
      <c r="G163" s="22"/>
    </row>
  </sheetData>
  <mergeCells count="16">
    <mergeCell ref="B163:C163"/>
    <mergeCell ref="B144:C144"/>
    <mergeCell ref="B145:C145"/>
    <mergeCell ref="B146:C146"/>
    <mergeCell ref="B156:C156"/>
    <mergeCell ref="B160:C160"/>
    <mergeCell ref="B161:C161"/>
    <mergeCell ref="B158:F158"/>
    <mergeCell ref="A1:H1"/>
    <mergeCell ref="A2:H2"/>
    <mergeCell ref="A3:H3"/>
    <mergeCell ref="J2:N2"/>
    <mergeCell ref="B162:C162"/>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P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559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ht="25.5" x14ac:dyDescent="0.2">
      <c r="A7" s="3">
        <v>1</v>
      </c>
      <c r="B7" s="4" t="s">
        <v>322</v>
      </c>
      <c r="C7" s="4" t="s">
        <v>323</v>
      </c>
      <c r="D7" s="4" t="s">
        <v>207</v>
      </c>
      <c r="E7" s="5">
        <v>910000</v>
      </c>
      <c r="F7" s="6">
        <v>8112.1949999999997</v>
      </c>
      <c r="G7" s="7">
        <v>6.6207902999999999E-2</v>
      </c>
      <c r="H7" s="69"/>
    </row>
    <row r="8" spans="1:14" ht="25.5" x14ac:dyDescent="0.2">
      <c r="A8" s="3">
        <v>2</v>
      </c>
      <c r="B8" s="4" t="s">
        <v>426</v>
      </c>
      <c r="C8" s="4" t="s">
        <v>427</v>
      </c>
      <c r="D8" s="4" t="s">
        <v>207</v>
      </c>
      <c r="E8" s="5">
        <v>325000</v>
      </c>
      <c r="F8" s="6">
        <v>7532.0375000000004</v>
      </c>
      <c r="G8" s="7">
        <v>6.1472932000000001E-2</v>
      </c>
      <c r="H8" s="69"/>
    </row>
    <row r="9" spans="1:14" ht="25.5" x14ac:dyDescent="0.2">
      <c r="A9" s="3">
        <v>3</v>
      </c>
      <c r="B9" s="4" t="s">
        <v>437</v>
      </c>
      <c r="C9" s="4" t="s">
        <v>438</v>
      </c>
      <c r="D9" s="4" t="s">
        <v>207</v>
      </c>
      <c r="E9" s="5">
        <v>3000000</v>
      </c>
      <c r="F9" s="6">
        <v>6634.5</v>
      </c>
      <c r="G9" s="7">
        <v>5.4147655000000003E-2</v>
      </c>
      <c r="H9" s="69"/>
    </row>
    <row r="10" spans="1:14" ht="25.5" x14ac:dyDescent="0.2">
      <c r="A10" s="3">
        <v>4</v>
      </c>
      <c r="B10" s="4" t="s">
        <v>560</v>
      </c>
      <c r="C10" s="4" t="s">
        <v>561</v>
      </c>
      <c r="D10" s="4" t="s">
        <v>207</v>
      </c>
      <c r="E10" s="5">
        <v>210000</v>
      </c>
      <c r="F10" s="6">
        <v>6601.665</v>
      </c>
      <c r="G10" s="7">
        <v>5.3879670999999997E-2</v>
      </c>
      <c r="H10" s="69"/>
    </row>
    <row r="11" spans="1:14" x14ac:dyDescent="0.2">
      <c r="A11" s="3">
        <v>5</v>
      </c>
      <c r="B11" s="4" t="s">
        <v>20</v>
      </c>
      <c r="C11" s="4" t="s">
        <v>21</v>
      </c>
      <c r="D11" s="4" t="s">
        <v>22</v>
      </c>
      <c r="E11" s="5">
        <v>900000</v>
      </c>
      <c r="F11" s="6">
        <v>6429.15</v>
      </c>
      <c r="G11" s="7">
        <v>5.2471684999999997E-2</v>
      </c>
      <c r="H11" s="69"/>
    </row>
    <row r="12" spans="1:14" ht="15" x14ac:dyDescent="0.2">
      <c r="A12" s="3">
        <v>6</v>
      </c>
      <c r="B12" s="4" t="s">
        <v>410</v>
      </c>
      <c r="C12" s="4" t="s">
        <v>411</v>
      </c>
      <c r="D12" s="4" t="s">
        <v>22</v>
      </c>
      <c r="E12" s="5">
        <v>370000</v>
      </c>
      <c r="F12" s="6">
        <v>5526.1350000000002</v>
      </c>
      <c r="G12" s="7">
        <v>4.5101703E-2</v>
      </c>
      <c r="H12" s="69"/>
      <c r="J12" s="160"/>
    </row>
    <row r="13" spans="1:14" ht="25.5" x14ac:dyDescent="0.2">
      <c r="A13" s="3">
        <v>7</v>
      </c>
      <c r="B13" s="4" t="s">
        <v>339</v>
      </c>
      <c r="C13" s="4" t="s">
        <v>340</v>
      </c>
      <c r="D13" s="4" t="s">
        <v>75</v>
      </c>
      <c r="E13" s="5">
        <v>1220000</v>
      </c>
      <c r="F13" s="6">
        <v>5468.65</v>
      </c>
      <c r="G13" s="7">
        <v>4.4632537999999999E-2</v>
      </c>
      <c r="H13" s="69"/>
      <c r="J13" s="160" t="s">
        <v>1018</v>
      </c>
    </row>
    <row r="14" spans="1:14" ht="25.5" x14ac:dyDescent="0.2">
      <c r="A14" s="3">
        <v>8</v>
      </c>
      <c r="B14" s="4" t="s">
        <v>404</v>
      </c>
      <c r="C14" s="4" t="s">
        <v>405</v>
      </c>
      <c r="D14" s="4" t="s">
        <v>207</v>
      </c>
      <c r="E14" s="5">
        <v>700000</v>
      </c>
      <c r="F14" s="6">
        <v>5450.2</v>
      </c>
      <c r="G14" s="7">
        <v>4.4481958000000002E-2</v>
      </c>
      <c r="H14" s="69"/>
    </row>
    <row r="15" spans="1:14" x14ac:dyDescent="0.2">
      <c r="A15" s="3">
        <v>9</v>
      </c>
      <c r="B15" s="4" t="s">
        <v>435</v>
      </c>
      <c r="C15" s="4" t="s">
        <v>436</v>
      </c>
      <c r="D15" s="4" t="s">
        <v>83</v>
      </c>
      <c r="E15" s="5">
        <v>650000</v>
      </c>
      <c r="F15" s="6">
        <v>5430.75</v>
      </c>
      <c r="G15" s="7">
        <v>4.4323215999999999E-2</v>
      </c>
      <c r="H15" s="69"/>
    </row>
    <row r="16" spans="1:14" x14ac:dyDescent="0.2">
      <c r="A16" s="3">
        <v>10</v>
      </c>
      <c r="B16" s="4" t="s">
        <v>314</v>
      </c>
      <c r="C16" s="4" t="s">
        <v>315</v>
      </c>
      <c r="D16" s="4" t="s">
        <v>75</v>
      </c>
      <c r="E16" s="5">
        <v>420000</v>
      </c>
      <c r="F16" s="6">
        <v>5044.2</v>
      </c>
      <c r="G16" s="7">
        <v>4.1168376999999999E-2</v>
      </c>
      <c r="H16" s="69"/>
    </row>
    <row r="17" spans="1:8" x14ac:dyDescent="0.2">
      <c r="A17" s="3">
        <v>11</v>
      </c>
      <c r="B17" s="4" t="s">
        <v>316</v>
      </c>
      <c r="C17" s="4" t="s">
        <v>317</v>
      </c>
      <c r="D17" s="4" t="s">
        <v>221</v>
      </c>
      <c r="E17" s="5">
        <v>12350</v>
      </c>
      <c r="F17" s="6">
        <v>4741.2761499999997</v>
      </c>
      <c r="G17" s="7">
        <v>3.8696056E-2</v>
      </c>
      <c r="H17" s="69"/>
    </row>
    <row r="18" spans="1:8" x14ac:dyDescent="0.2">
      <c r="A18" s="3">
        <v>12</v>
      </c>
      <c r="B18" s="4" t="s">
        <v>562</v>
      </c>
      <c r="C18" s="4" t="s">
        <v>563</v>
      </c>
      <c r="D18" s="4" t="s">
        <v>83</v>
      </c>
      <c r="E18" s="5">
        <v>65000</v>
      </c>
      <c r="F18" s="6">
        <v>4594.07</v>
      </c>
      <c r="G18" s="7">
        <v>3.7494629000000002E-2</v>
      </c>
      <c r="H18" s="69"/>
    </row>
    <row r="19" spans="1:8" ht="25.5" x14ac:dyDescent="0.2">
      <c r="A19" s="3">
        <v>13</v>
      </c>
      <c r="B19" s="4" t="s">
        <v>28</v>
      </c>
      <c r="C19" s="4" t="s">
        <v>29</v>
      </c>
      <c r="D19" s="4" t="s">
        <v>974</v>
      </c>
      <c r="E19" s="5">
        <v>452196</v>
      </c>
      <c r="F19" s="6">
        <v>4255.3904579999999</v>
      </c>
      <c r="G19" s="7">
        <v>3.4730486999999997E-2</v>
      </c>
      <c r="H19" s="69"/>
    </row>
    <row r="20" spans="1:8" x14ac:dyDescent="0.2">
      <c r="A20" s="3">
        <v>14</v>
      </c>
      <c r="B20" s="4" t="s">
        <v>535</v>
      </c>
      <c r="C20" s="4" t="s">
        <v>536</v>
      </c>
      <c r="D20" s="4" t="s">
        <v>75</v>
      </c>
      <c r="E20" s="5">
        <v>40000</v>
      </c>
      <c r="F20" s="6">
        <v>3989.58</v>
      </c>
      <c r="G20" s="7">
        <v>3.2561066999999999E-2</v>
      </c>
      <c r="H20" s="69"/>
    </row>
    <row r="21" spans="1:8" x14ac:dyDescent="0.2">
      <c r="A21" s="3">
        <v>15</v>
      </c>
      <c r="B21" s="4" t="s">
        <v>450</v>
      </c>
      <c r="C21" s="4" t="s">
        <v>451</v>
      </c>
      <c r="D21" s="4" t="s">
        <v>75</v>
      </c>
      <c r="E21" s="5">
        <v>140000</v>
      </c>
      <c r="F21" s="6">
        <v>3325.7</v>
      </c>
      <c r="G21" s="7">
        <v>2.7142791999999999E-2</v>
      </c>
      <c r="H21" s="69"/>
    </row>
    <row r="22" spans="1:8" x14ac:dyDescent="0.2">
      <c r="A22" s="3">
        <v>16</v>
      </c>
      <c r="B22" s="4" t="s">
        <v>564</v>
      </c>
      <c r="C22" s="4" t="s">
        <v>565</v>
      </c>
      <c r="D22" s="4" t="s">
        <v>78</v>
      </c>
      <c r="E22" s="5">
        <v>42500</v>
      </c>
      <c r="F22" s="6">
        <v>2973.8312500000002</v>
      </c>
      <c r="G22" s="7">
        <v>2.4271006000000001E-2</v>
      </c>
      <c r="H22" s="69"/>
    </row>
    <row r="23" spans="1:8" ht="25.5" x14ac:dyDescent="0.2">
      <c r="A23" s="3">
        <v>17</v>
      </c>
      <c r="B23" s="4" t="s">
        <v>485</v>
      </c>
      <c r="C23" s="4" t="s">
        <v>486</v>
      </c>
      <c r="D23" s="4" t="s">
        <v>207</v>
      </c>
      <c r="E23" s="5">
        <v>325000</v>
      </c>
      <c r="F23" s="6">
        <v>2869.5875000000001</v>
      </c>
      <c r="G23" s="7">
        <v>2.3420218E-2</v>
      </c>
      <c r="H23" s="69"/>
    </row>
    <row r="24" spans="1:8" x14ac:dyDescent="0.2">
      <c r="A24" s="3">
        <v>18</v>
      </c>
      <c r="B24" s="4" t="s">
        <v>418</v>
      </c>
      <c r="C24" s="4" t="s">
        <v>419</v>
      </c>
      <c r="D24" s="4" t="s">
        <v>982</v>
      </c>
      <c r="E24" s="5">
        <v>240000</v>
      </c>
      <c r="F24" s="6">
        <v>2785.32</v>
      </c>
      <c r="G24" s="7">
        <v>2.2732466E-2</v>
      </c>
      <c r="H24" s="69"/>
    </row>
    <row r="25" spans="1:8" x14ac:dyDescent="0.2">
      <c r="A25" s="3">
        <v>19</v>
      </c>
      <c r="B25" s="4" t="s">
        <v>505</v>
      </c>
      <c r="C25" s="4" t="s">
        <v>506</v>
      </c>
      <c r="D25" s="4" t="s">
        <v>334</v>
      </c>
      <c r="E25" s="5">
        <v>1000000</v>
      </c>
      <c r="F25" s="6">
        <v>2551</v>
      </c>
      <c r="G25" s="7">
        <v>2.0820056999999999E-2</v>
      </c>
      <c r="H25" s="69"/>
    </row>
    <row r="26" spans="1:8" x14ac:dyDescent="0.2">
      <c r="A26" s="3">
        <v>20</v>
      </c>
      <c r="B26" s="4" t="s">
        <v>378</v>
      </c>
      <c r="C26" s="4" t="s">
        <v>379</v>
      </c>
      <c r="D26" s="4" t="s">
        <v>224</v>
      </c>
      <c r="E26" s="5">
        <v>340000</v>
      </c>
      <c r="F26" s="6">
        <v>2516.6799999999998</v>
      </c>
      <c r="G26" s="7">
        <v>2.0539953E-2</v>
      </c>
      <c r="H26" s="69"/>
    </row>
    <row r="27" spans="1:8" ht="25.5" x14ac:dyDescent="0.2">
      <c r="A27" s="3">
        <v>21</v>
      </c>
      <c r="B27" s="4" t="s">
        <v>566</v>
      </c>
      <c r="C27" s="4" t="s">
        <v>567</v>
      </c>
      <c r="D27" s="4" t="s">
        <v>207</v>
      </c>
      <c r="E27" s="5">
        <v>15500</v>
      </c>
      <c r="F27" s="6">
        <v>2331.2154999999998</v>
      </c>
      <c r="G27" s="7">
        <v>1.902628E-2</v>
      </c>
      <c r="H27" s="69"/>
    </row>
    <row r="28" spans="1:8" ht="25.5" x14ac:dyDescent="0.2">
      <c r="A28" s="3">
        <v>22</v>
      </c>
      <c r="B28" s="4" t="s">
        <v>568</v>
      </c>
      <c r="C28" s="4" t="s">
        <v>569</v>
      </c>
      <c r="D28" s="4" t="s">
        <v>207</v>
      </c>
      <c r="E28" s="5">
        <v>10000</v>
      </c>
      <c r="F28" s="6">
        <v>1915.2550000000001</v>
      </c>
      <c r="G28" s="7">
        <v>1.5631407E-2</v>
      </c>
      <c r="H28" s="69"/>
    </row>
    <row r="29" spans="1:8" x14ac:dyDescent="0.2">
      <c r="A29" s="3">
        <v>23</v>
      </c>
      <c r="B29" s="4" t="s">
        <v>374</v>
      </c>
      <c r="C29" s="4" t="s">
        <v>375</v>
      </c>
      <c r="D29" s="4" t="s">
        <v>75</v>
      </c>
      <c r="E29" s="5">
        <v>2700040</v>
      </c>
      <c r="F29" s="6">
        <v>1810.37682</v>
      </c>
      <c r="G29" s="7">
        <v>1.4775440000000001E-2</v>
      </c>
      <c r="H29" s="69"/>
    </row>
    <row r="30" spans="1:8" x14ac:dyDescent="0.2">
      <c r="A30" s="3">
        <v>24</v>
      </c>
      <c r="B30" s="4" t="s">
        <v>386</v>
      </c>
      <c r="C30" s="4" t="s">
        <v>387</v>
      </c>
      <c r="D30" s="4" t="s">
        <v>75</v>
      </c>
      <c r="E30" s="5">
        <v>85000</v>
      </c>
      <c r="F30" s="6">
        <v>1735.53</v>
      </c>
      <c r="G30" s="7">
        <v>1.4164576E-2</v>
      </c>
      <c r="H30" s="69"/>
    </row>
    <row r="31" spans="1:8" ht="25.5" x14ac:dyDescent="0.2">
      <c r="A31" s="3">
        <v>25</v>
      </c>
      <c r="B31" s="4" t="s">
        <v>205</v>
      </c>
      <c r="C31" s="4" t="s">
        <v>206</v>
      </c>
      <c r="D31" s="4" t="s">
        <v>207</v>
      </c>
      <c r="E31" s="5">
        <v>400000</v>
      </c>
      <c r="F31" s="6">
        <v>1707.6</v>
      </c>
      <c r="G31" s="7">
        <v>1.3936624E-2</v>
      </c>
      <c r="H31" s="69"/>
    </row>
    <row r="32" spans="1:8" x14ac:dyDescent="0.2">
      <c r="A32" s="3">
        <v>26</v>
      </c>
      <c r="B32" s="4" t="s">
        <v>212</v>
      </c>
      <c r="C32" s="4" t="s">
        <v>213</v>
      </c>
      <c r="D32" s="4" t="s">
        <v>979</v>
      </c>
      <c r="E32" s="5">
        <v>310000</v>
      </c>
      <c r="F32" s="6">
        <v>1700.35</v>
      </c>
      <c r="G32" s="7">
        <v>1.3877453E-2</v>
      </c>
      <c r="H32" s="69"/>
    </row>
    <row r="33" spans="1:8" x14ac:dyDescent="0.2">
      <c r="A33" s="3">
        <v>27</v>
      </c>
      <c r="B33" s="4" t="s">
        <v>402</v>
      </c>
      <c r="C33" s="4" t="s">
        <v>403</v>
      </c>
      <c r="D33" s="4" t="s">
        <v>75</v>
      </c>
      <c r="E33" s="5">
        <v>88000</v>
      </c>
      <c r="F33" s="6">
        <v>1652.816</v>
      </c>
      <c r="G33" s="7">
        <v>1.3489503E-2</v>
      </c>
      <c r="H33" s="69"/>
    </row>
    <row r="34" spans="1:8" x14ac:dyDescent="0.2">
      <c r="A34" s="3">
        <v>28</v>
      </c>
      <c r="B34" s="4" t="s">
        <v>210</v>
      </c>
      <c r="C34" s="4" t="s">
        <v>211</v>
      </c>
      <c r="D34" s="4" t="s">
        <v>53</v>
      </c>
      <c r="E34" s="5">
        <v>150000</v>
      </c>
      <c r="F34" s="6">
        <v>1421.7750000000001</v>
      </c>
      <c r="G34" s="7">
        <v>1.1603855999999999E-2</v>
      </c>
      <c r="H34" s="69"/>
    </row>
    <row r="35" spans="1:8" ht="25.5" x14ac:dyDescent="0.2">
      <c r="A35" s="3">
        <v>29</v>
      </c>
      <c r="B35" s="4" t="s">
        <v>570</v>
      </c>
      <c r="C35" s="4" t="s">
        <v>571</v>
      </c>
      <c r="D35" s="4" t="s">
        <v>207</v>
      </c>
      <c r="E35" s="5">
        <v>235000</v>
      </c>
      <c r="F35" s="6">
        <v>1265.1224999999999</v>
      </c>
      <c r="G35" s="7">
        <v>1.0325332E-2</v>
      </c>
      <c r="H35" s="69"/>
    </row>
    <row r="36" spans="1:8" x14ac:dyDescent="0.2">
      <c r="A36" s="3">
        <v>30</v>
      </c>
      <c r="B36" s="4" t="s">
        <v>572</v>
      </c>
      <c r="C36" s="4" t="s">
        <v>573</v>
      </c>
      <c r="D36" s="4" t="s">
        <v>75</v>
      </c>
      <c r="E36" s="5">
        <v>500000</v>
      </c>
      <c r="F36" s="6">
        <v>1223.75</v>
      </c>
      <c r="G36" s="7">
        <v>9.9876689999999994E-3</v>
      </c>
      <c r="H36" s="69"/>
    </row>
    <row r="37" spans="1:8" x14ac:dyDescent="0.2">
      <c r="A37" s="3">
        <v>31</v>
      </c>
      <c r="B37" s="4" t="s">
        <v>531</v>
      </c>
      <c r="C37" s="4" t="s">
        <v>532</v>
      </c>
      <c r="D37" s="4" t="s">
        <v>979</v>
      </c>
      <c r="E37" s="5">
        <v>2400000</v>
      </c>
      <c r="F37" s="6">
        <v>1069.2</v>
      </c>
      <c r="G37" s="7">
        <v>8.7263050000000002E-3</v>
      </c>
      <c r="H37" s="69"/>
    </row>
    <row r="38" spans="1:8" x14ac:dyDescent="0.2">
      <c r="A38" s="3">
        <v>32</v>
      </c>
      <c r="B38" s="4" t="s">
        <v>400</v>
      </c>
      <c r="C38" s="4" t="s">
        <v>401</v>
      </c>
      <c r="D38" s="4" t="s">
        <v>334</v>
      </c>
      <c r="E38" s="5">
        <v>700000</v>
      </c>
      <c r="F38" s="6">
        <v>1067.8499999999999</v>
      </c>
      <c r="G38" s="7">
        <v>8.7152870000000004E-3</v>
      </c>
      <c r="H38" s="69"/>
    </row>
    <row r="39" spans="1:8" x14ac:dyDescent="0.2">
      <c r="A39" s="3">
        <v>33</v>
      </c>
      <c r="B39" s="4" t="s">
        <v>219</v>
      </c>
      <c r="C39" s="4" t="s">
        <v>220</v>
      </c>
      <c r="D39" s="4" t="s">
        <v>221</v>
      </c>
      <c r="E39" s="5">
        <v>500000</v>
      </c>
      <c r="F39" s="6">
        <v>1052</v>
      </c>
      <c r="G39" s="7">
        <v>8.5859270000000001E-3</v>
      </c>
      <c r="H39" s="69"/>
    </row>
    <row r="40" spans="1:8" x14ac:dyDescent="0.2">
      <c r="A40" s="3">
        <v>34</v>
      </c>
      <c r="B40" s="4" t="s">
        <v>461</v>
      </c>
      <c r="C40" s="4" t="s">
        <v>462</v>
      </c>
      <c r="D40" s="4" t="s">
        <v>75</v>
      </c>
      <c r="E40" s="5">
        <v>264897</v>
      </c>
      <c r="F40" s="6">
        <v>1030.0519844999999</v>
      </c>
      <c r="G40" s="7">
        <v>8.406798E-3</v>
      </c>
      <c r="H40" s="69"/>
    </row>
    <row r="41" spans="1:8" x14ac:dyDescent="0.2">
      <c r="A41" s="3">
        <v>35</v>
      </c>
      <c r="B41" s="4" t="s">
        <v>574</v>
      </c>
      <c r="C41" s="4" t="s">
        <v>575</v>
      </c>
      <c r="D41" s="4" t="s">
        <v>83</v>
      </c>
      <c r="E41" s="5">
        <v>30000</v>
      </c>
      <c r="F41" s="6">
        <v>972.09</v>
      </c>
      <c r="G41" s="7">
        <v>7.9337390000000004E-3</v>
      </c>
      <c r="H41" s="69"/>
    </row>
    <row r="42" spans="1:8" x14ac:dyDescent="0.2">
      <c r="A42" s="3">
        <v>36</v>
      </c>
      <c r="B42" s="4" t="s">
        <v>576</v>
      </c>
      <c r="C42" s="4" t="s">
        <v>577</v>
      </c>
      <c r="D42" s="4" t="s">
        <v>75</v>
      </c>
      <c r="E42" s="5">
        <v>170000</v>
      </c>
      <c r="F42" s="6">
        <v>950.47</v>
      </c>
      <c r="G42" s="7">
        <v>7.7572869999999999E-3</v>
      </c>
      <c r="H42" s="69"/>
    </row>
    <row r="43" spans="1:8" x14ac:dyDescent="0.2">
      <c r="A43" s="3">
        <v>37</v>
      </c>
      <c r="B43" s="4" t="s">
        <v>578</v>
      </c>
      <c r="C43" s="4" t="s">
        <v>579</v>
      </c>
      <c r="D43" s="4" t="s">
        <v>979</v>
      </c>
      <c r="E43" s="5">
        <v>550000</v>
      </c>
      <c r="F43" s="6">
        <v>814.82500000000005</v>
      </c>
      <c r="G43" s="7">
        <v>6.6502169999999999E-3</v>
      </c>
      <c r="H43" s="69"/>
    </row>
    <row r="44" spans="1:8" x14ac:dyDescent="0.2">
      <c r="A44" s="3">
        <v>38</v>
      </c>
      <c r="B44" s="4" t="s">
        <v>287</v>
      </c>
      <c r="C44" s="4" t="s">
        <v>288</v>
      </c>
      <c r="D44" s="4" t="s">
        <v>334</v>
      </c>
      <c r="E44" s="5">
        <v>18612</v>
      </c>
      <c r="F44" s="6">
        <v>454.21655399999997</v>
      </c>
      <c r="G44" s="7">
        <v>3.707101E-3</v>
      </c>
      <c r="H44" s="69"/>
    </row>
    <row r="45" spans="1:8" x14ac:dyDescent="0.2">
      <c r="A45" s="3">
        <v>39</v>
      </c>
      <c r="B45" s="4" t="s">
        <v>580</v>
      </c>
      <c r="C45" s="4" t="s">
        <v>581</v>
      </c>
      <c r="D45" s="4" t="s">
        <v>334</v>
      </c>
      <c r="E45" s="5">
        <v>3974</v>
      </c>
      <c r="F45" s="6">
        <v>187.21116599999999</v>
      </c>
      <c r="G45" s="7">
        <v>1.5279289999999999E-3</v>
      </c>
      <c r="H45" s="69"/>
    </row>
    <row r="46" spans="1:8" x14ac:dyDescent="0.2">
      <c r="A46" s="1"/>
      <c r="B46" s="1"/>
      <c r="C46" s="2" t="s">
        <v>95</v>
      </c>
      <c r="D46" s="1"/>
      <c r="E46" s="1" t="s">
        <v>96</v>
      </c>
      <c r="F46" s="9">
        <v>121193.62338249999</v>
      </c>
      <c r="G46" s="10">
        <v>0.98912509900000001</v>
      </c>
      <c r="H46" s="69"/>
    </row>
    <row r="47" spans="1:8" x14ac:dyDescent="0.2">
      <c r="A47" s="1"/>
      <c r="B47" s="1"/>
      <c r="C47" s="11"/>
      <c r="D47" s="1"/>
      <c r="E47" s="1"/>
      <c r="F47" s="12"/>
      <c r="G47" s="12"/>
      <c r="H47" s="69"/>
    </row>
    <row r="48" spans="1:8" x14ac:dyDescent="0.2">
      <c r="A48" s="1"/>
      <c r="B48" s="1"/>
      <c r="C48" s="2" t="s">
        <v>97</v>
      </c>
      <c r="D48" s="1"/>
      <c r="E48" s="1"/>
      <c r="F48" s="1"/>
      <c r="G48" s="1"/>
      <c r="H48" s="69"/>
    </row>
    <row r="49" spans="1:8" x14ac:dyDescent="0.2">
      <c r="A49" s="1"/>
      <c r="B49" s="1"/>
      <c r="C49" s="2" t="s">
        <v>95</v>
      </c>
      <c r="D49" s="1"/>
      <c r="E49" s="1" t="s">
        <v>96</v>
      </c>
      <c r="F49" s="13">
        <v>0</v>
      </c>
      <c r="G49" s="14">
        <v>0</v>
      </c>
      <c r="H49" s="69"/>
    </row>
    <row r="50" spans="1:8" x14ac:dyDescent="0.2">
      <c r="A50" s="1"/>
      <c r="B50" s="1"/>
      <c r="C50" s="11"/>
      <c r="D50" s="1"/>
      <c r="E50" s="1"/>
      <c r="F50" s="12"/>
      <c r="G50" s="12"/>
      <c r="H50" s="69"/>
    </row>
    <row r="51" spans="1:8" x14ac:dyDescent="0.2">
      <c r="A51" s="1"/>
      <c r="B51" s="1"/>
      <c r="C51" s="2" t="s">
        <v>98</v>
      </c>
      <c r="D51" s="1"/>
      <c r="E51" s="1"/>
      <c r="F51" s="1"/>
      <c r="G51" s="1"/>
      <c r="H51" s="69"/>
    </row>
    <row r="52" spans="1:8" x14ac:dyDescent="0.2">
      <c r="A52" s="1"/>
      <c r="B52" s="1"/>
      <c r="C52" s="2" t="s">
        <v>95</v>
      </c>
      <c r="D52" s="1"/>
      <c r="E52" s="1" t="s">
        <v>96</v>
      </c>
      <c r="F52" s="13">
        <v>0</v>
      </c>
      <c r="G52" s="14">
        <v>0</v>
      </c>
      <c r="H52" s="69"/>
    </row>
    <row r="53" spans="1:8" x14ac:dyDescent="0.2">
      <c r="A53" s="1"/>
      <c r="B53" s="1"/>
      <c r="C53" s="11"/>
      <c r="D53" s="1"/>
      <c r="E53" s="1"/>
      <c r="F53" s="12"/>
      <c r="G53" s="12"/>
      <c r="H53" s="69"/>
    </row>
    <row r="54" spans="1:8" x14ac:dyDescent="0.2">
      <c r="A54" s="1"/>
      <c r="B54" s="1"/>
      <c r="C54" s="2" t="s">
        <v>99</v>
      </c>
      <c r="D54" s="1"/>
      <c r="E54" s="1"/>
      <c r="F54" s="1"/>
      <c r="G54" s="1"/>
      <c r="H54" s="69"/>
    </row>
    <row r="55" spans="1:8" x14ac:dyDescent="0.2">
      <c r="A55" s="1"/>
      <c r="B55" s="1"/>
      <c r="C55" s="2" t="s">
        <v>95</v>
      </c>
      <c r="D55" s="1"/>
      <c r="E55" s="1" t="s">
        <v>96</v>
      </c>
      <c r="F55" s="13">
        <v>0</v>
      </c>
      <c r="G55" s="14">
        <v>0</v>
      </c>
      <c r="H55" s="69"/>
    </row>
    <row r="56" spans="1:8" x14ac:dyDescent="0.2">
      <c r="A56" s="1"/>
      <c r="B56" s="1"/>
      <c r="C56" s="11"/>
      <c r="D56" s="1"/>
      <c r="E56" s="1"/>
      <c r="F56" s="12"/>
      <c r="G56" s="12"/>
      <c r="H56" s="69"/>
    </row>
    <row r="57" spans="1:8" x14ac:dyDescent="0.2">
      <c r="A57" s="1"/>
      <c r="B57" s="1"/>
      <c r="C57" s="2" t="s">
        <v>100</v>
      </c>
      <c r="D57" s="1"/>
      <c r="E57" s="1"/>
      <c r="F57" s="12"/>
      <c r="G57" s="12"/>
      <c r="H57" s="69"/>
    </row>
    <row r="58" spans="1:8" x14ac:dyDescent="0.2">
      <c r="A58" s="1"/>
      <c r="B58" s="1"/>
      <c r="C58" s="2" t="s">
        <v>95</v>
      </c>
      <c r="D58" s="1"/>
      <c r="E58" s="1" t="s">
        <v>96</v>
      </c>
      <c r="F58" s="13">
        <v>0</v>
      </c>
      <c r="G58" s="14">
        <v>0</v>
      </c>
      <c r="H58" s="69"/>
    </row>
    <row r="59" spans="1:8" x14ac:dyDescent="0.2">
      <c r="A59" s="1"/>
      <c r="B59" s="1"/>
      <c r="C59" s="11"/>
      <c r="D59" s="1"/>
      <c r="E59" s="1"/>
      <c r="F59" s="12"/>
      <c r="G59" s="12"/>
      <c r="H59" s="69"/>
    </row>
    <row r="60" spans="1:8" x14ac:dyDescent="0.2">
      <c r="A60" s="1"/>
      <c r="B60" s="1"/>
      <c r="C60" s="2" t="s">
        <v>101</v>
      </c>
      <c r="D60" s="1"/>
      <c r="E60" s="1"/>
      <c r="F60" s="12"/>
      <c r="G60" s="12"/>
      <c r="H60" s="69"/>
    </row>
    <row r="61" spans="1:8" x14ac:dyDescent="0.2">
      <c r="A61" s="1"/>
      <c r="B61" s="1"/>
      <c r="C61" s="2" t="s">
        <v>95</v>
      </c>
      <c r="D61" s="1"/>
      <c r="E61" s="1" t="s">
        <v>96</v>
      </c>
      <c r="F61" s="13">
        <v>0</v>
      </c>
      <c r="G61" s="14">
        <v>0</v>
      </c>
      <c r="H61" s="69"/>
    </row>
    <row r="62" spans="1:8" x14ac:dyDescent="0.2">
      <c r="A62" s="1"/>
      <c r="B62" s="1"/>
      <c r="C62" s="11"/>
      <c r="D62" s="1"/>
      <c r="E62" s="1"/>
      <c r="F62" s="12"/>
      <c r="G62" s="12"/>
      <c r="H62" s="69"/>
    </row>
    <row r="63" spans="1:8" x14ac:dyDescent="0.2">
      <c r="A63" s="1"/>
      <c r="B63" s="1"/>
      <c r="C63" s="2" t="s">
        <v>102</v>
      </c>
      <c r="D63" s="1"/>
      <c r="E63" s="1"/>
      <c r="F63" s="9">
        <v>121193.62338249999</v>
      </c>
      <c r="G63" s="10">
        <v>0.98912509900000001</v>
      </c>
      <c r="H63" s="69"/>
    </row>
    <row r="64" spans="1:8" x14ac:dyDescent="0.2">
      <c r="A64" s="1"/>
      <c r="B64" s="1"/>
      <c r="C64" s="11"/>
      <c r="D64" s="1"/>
      <c r="E64" s="1"/>
      <c r="F64" s="12"/>
      <c r="G64" s="12"/>
      <c r="H64" s="69"/>
    </row>
    <row r="65" spans="1:8" x14ac:dyDescent="0.2">
      <c r="A65" s="1"/>
      <c r="B65" s="1"/>
      <c r="C65" s="2" t="s">
        <v>103</v>
      </c>
      <c r="D65" s="1"/>
      <c r="E65" s="1"/>
      <c r="F65" s="12"/>
      <c r="G65" s="12"/>
      <c r="H65" s="69"/>
    </row>
    <row r="66" spans="1:8" ht="25.5" x14ac:dyDescent="0.2">
      <c r="A66" s="1"/>
      <c r="B66" s="1"/>
      <c r="C66" s="2" t="s">
        <v>10</v>
      </c>
      <c r="D66" s="1"/>
      <c r="E66" s="1"/>
      <c r="F66" s="12"/>
      <c r="G66" s="12"/>
      <c r="H66" s="69"/>
    </row>
    <row r="67" spans="1:8" x14ac:dyDescent="0.2">
      <c r="A67" s="1"/>
      <c r="B67" s="1"/>
      <c r="C67" s="2" t="s">
        <v>95</v>
      </c>
      <c r="D67" s="1"/>
      <c r="E67" s="1" t="s">
        <v>96</v>
      </c>
      <c r="F67" s="13">
        <v>0</v>
      </c>
      <c r="G67" s="14">
        <v>0</v>
      </c>
      <c r="H67" s="69"/>
    </row>
    <row r="68" spans="1:8" x14ac:dyDescent="0.2">
      <c r="A68" s="1"/>
      <c r="B68" s="1"/>
      <c r="C68" s="11"/>
      <c r="D68" s="1"/>
      <c r="E68" s="1"/>
      <c r="F68" s="12"/>
      <c r="G68" s="12"/>
      <c r="H68" s="69"/>
    </row>
    <row r="69" spans="1:8" x14ac:dyDescent="0.2">
      <c r="A69" s="1"/>
      <c r="B69" s="1"/>
      <c r="C69" s="2" t="s">
        <v>104</v>
      </c>
      <c r="D69" s="1"/>
      <c r="E69" s="1"/>
      <c r="F69" s="1"/>
      <c r="G69" s="1"/>
      <c r="H69" s="69"/>
    </row>
    <row r="70" spans="1:8" x14ac:dyDescent="0.2">
      <c r="A70" s="1"/>
      <c r="B70" s="1"/>
      <c r="C70" s="2" t="s">
        <v>95</v>
      </c>
      <c r="D70" s="1"/>
      <c r="E70" s="1" t="s">
        <v>96</v>
      </c>
      <c r="F70" s="13">
        <v>0</v>
      </c>
      <c r="G70" s="14">
        <v>0</v>
      </c>
      <c r="H70" s="69"/>
    </row>
    <row r="71" spans="1:8" x14ac:dyDescent="0.2">
      <c r="A71" s="1"/>
      <c r="B71" s="1"/>
      <c r="C71" s="11"/>
      <c r="D71" s="1"/>
      <c r="E71" s="1"/>
      <c r="F71" s="12"/>
      <c r="G71" s="12"/>
      <c r="H71" s="69"/>
    </row>
    <row r="72" spans="1:8" x14ac:dyDescent="0.2">
      <c r="A72" s="1"/>
      <c r="B72" s="1"/>
      <c r="C72" s="2" t="s">
        <v>105</v>
      </c>
      <c r="D72" s="1"/>
      <c r="E72" s="1"/>
      <c r="F72" s="1"/>
      <c r="G72" s="1"/>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106</v>
      </c>
      <c r="D75" s="1"/>
      <c r="E75" s="1"/>
      <c r="F75" s="12"/>
      <c r="G75" s="12"/>
      <c r="H75" s="69"/>
    </row>
    <row r="76" spans="1:8" x14ac:dyDescent="0.2">
      <c r="A76" s="1"/>
      <c r="B76" s="1"/>
      <c r="C76" s="2" t="s">
        <v>95</v>
      </c>
      <c r="D76" s="1"/>
      <c r="E76" s="1" t="s">
        <v>96</v>
      </c>
      <c r="F76" s="13">
        <v>0</v>
      </c>
      <c r="G76" s="14">
        <v>0</v>
      </c>
      <c r="H76" s="69"/>
    </row>
    <row r="77" spans="1:8" x14ac:dyDescent="0.2">
      <c r="A77" s="1"/>
      <c r="B77" s="1"/>
      <c r="C77" s="11"/>
      <c r="D77" s="1"/>
      <c r="E77" s="1"/>
      <c r="F77" s="12"/>
      <c r="G77" s="12"/>
      <c r="H77" s="69"/>
    </row>
    <row r="78" spans="1:8" x14ac:dyDescent="0.2">
      <c r="A78" s="1"/>
      <c r="B78" s="1"/>
      <c r="C78" s="2" t="s">
        <v>107</v>
      </c>
      <c r="D78" s="1"/>
      <c r="E78" s="1"/>
      <c r="F78" s="9">
        <v>0</v>
      </c>
      <c r="G78" s="10">
        <v>0</v>
      </c>
      <c r="H78" s="69"/>
    </row>
    <row r="79" spans="1:8" x14ac:dyDescent="0.2">
      <c r="A79" s="1"/>
      <c r="B79" s="1"/>
      <c r="C79" s="11"/>
      <c r="D79" s="1"/>
      <c r="E79" s="1"/>
      <c r="F79" s="12"/>
      <c r="G79" s="12"/>
      <c r="H79" s="69"/>
    </row>
    <row r="80" spans="1:8" x14ac:dyDescent="0.2">
      <c r="A80" s="1"/>
      <c r="B80" s="1"/>
      <c r="C80" s="2" t="s">
        <v>108</v>
      </c>
      <c r="D80" s="1"/>
      <c r="E80" s="1"/>
      <c r="F80" s="12"/>
      <c r="G80" s="12"/>
      <c r="H80" s="69"/>
    </row>
    <row r="81" spans="1:8" x14ac:dyDescent="0.2">
      <c r="A81" s="1"/>
      <c r="B81" s="1"/>
      <c r="C81" s="2" t="s">
        <v>109</v>
      </c>
      <c r="D81" s="1"/>
      <c r="E81" s="1"/>
      <c r="F81" s="12"/>
      <c r="G81" s="12"/>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110</v>
      </c>
      <c r="D84" s="1"/>
      <c r="E84" s="1"/>
      <c r="F84" s="12"/>
      <c r="G84" s="12"/>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111</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112</v>
      </c>
      <c r="D90" s="1"/>
      <c r="E90" s="1"/>
      <c r="F90" s="12"/>
      <c r="G90" s="12"/>
      <c r="H90" s="69"/>
    </row>
    <row r="91" spans="1:8" x14ac:dyDescent="0.2">
      <c r="A91" s="3">
        <v>1</v>
      </c>
      <c r="B91" s="4"/>
      <c r="C91" s="4" t="s">
        <v>113</v>
      </c>
      <c r="D91" s="4"/>
      <c r="E91" s="8"/>
      <c r="F91" s="6">
        <v>609.86991079999996</v>
      </c>
      <c r="G91" s="7">
        <v>4.9774700000000003E-3</v>
      </c>
      <c r="H91" s="6">
        <v>3.3628721504199861</v>
      </c>
    </row>
    <row r="92" spans="1:8" x14ac:dyDescent="0.2">
      <c r="A92" s="3">
        <v>2</v>
      </c>
      <c r="B92" s="4"/>
      <c r="C92" s="4" t="s">
        <v>114</v>
      </c>
      <c r="D92" s="4"/>
      <c r="E92" s="8"/>
      <c r="F92" s="6">
        <v>235.52625839999999</v>
      </c>
      <c r="G92" s="7">
        <v>1.922254E-3</v>
      </c>
      <c r="H92" s="6">
        <v>3.4499999999999966</v>
      </c>
    </row>
    <row r="93" spans="1:8" x14ac:dyDescent="0.2">
      <c r="A93" s="1"/>
      <c r="B93" s="1"/>
      <c r="C93" s="2" t="s">
        <v>95</v>
      </c>
      <c r="D93" s="1"/>
      <c r="E93" s="1" t="s">
        <v>96</v>
      </c>
      <c r="F93" s="9">
        <v>845.39616920000003</v>
      </c>
      <c r="G93" s="10">
        <v>6.8997240000000003E-3</v>
      </c>
      <c r="H93" s="69"/>
    </row>
    <row r="94" spans="1:8" x14ac:dyDescent="0.2">
      <c r="A94" s="1"/>
      <c r="B94" s="1"/>
      <c r="C94" s="11"/>
      <c r="D94" s="1"/>
      <c r="E94" s="1"/>
      <c r="F94" s="12"/>
      <c r="G94" s="12"/>
      <c r="H94" s="69"/>
    </row>
    <row r="95" spans="1:8" x14ac:dyDescent="0.2">
      <c r="A95" s="1"/>
      <c r="B95" s="1"/>
      <c r="C95" s="2" t="s">
        <v>115</v>
      </c>
      <c r="D95" s="1"/>
      <c r="E95" s="1"/>
      <c r="F95" s="9">
        <v>845.39616920000003</v>
      </c>
      <c r="G95" s="10">
        <v>6.8997240000000003E-3</v>
      </c>
      <c r="H95" s="69"/>
    </row>
    <row r="96" spans="1:8" x14ac:dyDescent="0.2">
      <c r="A96" s="1"/>
      <c r="B96" s="1"/>
      <c r="C96" s="12"/>
      <c r="D96" s="1"/>
      <c r="E96" s="1"/>
      <c r="F96" s="1"/>
      <c r="G96" s="1"/>
      <c r="H96" s="69"/>
    </row>
    <row r="97" spans="1:8" x14ac:dyDescent="0.2">
      <c r="A97" s="1"/>
      <c r="B97" s="1"/>
      <c r="C97" s="2" t="s">
        <v>116</v>
      </c>
      <c r="D97" s="1"/>
      <c r="E97" s="1"/>
      <c r="F97" s="1"/>
      <c r="G97" s="1"/>
      <c r="H97" s="69"/>
    </row>
    <row r="98" spans="1:8" x14ac:dyDescent="0.2">
      <c r="A98" s="1"/>
      <c r="B98" s="1"/>
      <c r="C98" s="2" t="s">
        <v>117</v>
      </c>
      <c r="D98" s="1"/>
      <c r="E98" s="1"/>
      <c r="F98" s="1"/>
      <c r="G98" s="1"/>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118</v>
      </c>
      <c r="D101" s="1"/>
      <c r="E101" s="1"/>
      <c r="F101" s="1"/>
      <c r="G101" s="1"/>
      <c r="H101" s="69"/>
    </row>
    <row r="102" spans="1:8" x14ac:dyDescent="0.2">
      <c r="A102" s="1"/>
      <c r="B102" s="1"/>
      <c r="C102" s="2" t="s">
        <v>119</v>
      </c>
      <c r="D102" s="1"/>
      <c r="E102" s="1"/>
      <c r="F102" s="1"/>
      <c r="G102" s="1"/>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11"/>
      <c r="D105" s="1"/>
      <c r="E105" s="1"/>
      <c r="F105" s="12"/>
      <c r="G105" s="12"/>
      <c r="H105" s="69"/>
    </row>
    <row r="106" spans="1:8" ht="25.5" x14ac:dyDescent="0.2">
      <c r="A106" s="1"/>
      <c r="B106" s="1"/>
      <c r="C106" s="2" t="s">
        <v>120</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4"/>
      <c r="C109" s="4"/>
      <c r="D109" s="2"/>
      <c r="E109" s="1"/>
      <c r="F109" s="4"/>
      <c r="G109" s="8"/>
      <c r="H109" s="69"/>
    </row>
    <row r="110" spans="1:8" x14ac:dyDescent="0.2">
      <c r="A110" s="8"/>
      <c r="B110" s="4"/>
      <c r="C110" s="4" t="s">
        <v>121</v>
      </c>
      <c r="D110" s="4"/>
      <c r="E110" s="8"/>
      <c r="F110" s="6">
        <v>487.06274043000002</v>
      </c>
      <c r="G110" s="7">
        <v>3.9751760000000004E-3</v>
      </c>
      <c r="H110" s="69"/>
    </row>
    <row r="111" spans="1:8" x14ac:dyDescent="0.2">
      <c r="A111" s="11"/>
      <c r="B111" s="11"/>
      <c r="C111" s="2" t="s">
        <v>122</v>
      </c>
      <c r="D111" s="15"/>
      <c r="E111" s="15"/>
      <c r="F111" s="9">
        <v>122526.08229213</v>
      </c>
      <c r="G111" s="10">
        <v>0.99999999900000003</v>
      </c>
      <c r="H111" s="69"/>
    </row>
    <row r="112" spans="1:8" ht="14.1" customHeight="1" x14ac:dyDescent="0.2">
      <c r="A112" s="16"/>
      <c r="B112" s="16"/>
      <c r="C112" s="16"/>
      <c r="D112" s="17"/>
      <c r="E112" s="17"/>
      <c r="F112" s="17"/>
      <c r="G112" s="17"/>
    </row>
    <row r="113" spans="1:15" ht="14.1" customHeight="1" x14ac:dyDescent="0.2">
      <c r="A113" s="18"/>
      <c r="B113" s="176" t="s">
        <v>96</v>
      </c>
      <c r="C113" s="176"/>
      <c r="D113" s="176"/>
      <c r="E113" s="176"/>
      <c r="F113" s="176"/>
      <c r="G113" s="20"/>
    </row>
    <row r="114" spans="1:15" ht="14.1" customHeight="1" x14ac:dyDescent="0.2">
      <c r="A114" s="18"/>
      <c r="B114" s="176" t="s">
        <v>96</v>
      </c>
      <c r="C114" s="176"/>
      <c r="D114" s="176"/>
      <c r="E114" s="176"/>
      <c r="F114" s="176"/>
      <c r="G114" s="20"/>
    </row>
    <row r="115" spans="1:15" ht="14.1" customHeight="1" x14ac:dyDescent="0.2">
      <c r="A115" s="18"/>
      <c r="B115" s="18"/>
      <c r="C115" s="18"/>
      <c r="D115" s="20"/>
      <c r="E115" s="20"/>
      <c r="F115" s="20"/>
      <c r="G115" s="20"/>
    </row>
    <row r="116" spans="1:15" ht="14.1" customHeight="1" x14ac:dyDescent="0.2">
      <c r="A116" s="18"/>
      <c r="B116" s="174" t="s">
        <v>124</v>
      </c>
      <c r="C116" s="175"/>
      <c r="D116" s="12" t="s">
        <v>96</v>
      </c>
      <c r="E116" s="21"/>
      <c r="F116" s="20"/>
      <c r="G116" s="20"/>
    </row>
    <row r="117" spans="1:15" ht="29.1" customHeight="1" x14ac:dyDescent="0.2">
      <c r="A117" s="18"/>
      <c r="B117" s="172" t="s">
        <v>125</v>
      </c>
      <c r="C117" s="173"/>
      <c r="D117" s="2" t="s">
        <v>126</v>
      </c>
      <c r="E117" s="21"/>
      <c r="F117" s="20"/>
      <c r="G117" s="20"/>
    </row>
    <row r="118" spans="1:15" ht="17.100000000000001" customHeight="1" x14ac:dyDescent="0.2">
      <c r="A118" s="18"/>
      <c r="B118" s="172" t="s">
        <v>127</v>
      </c>
      <c r="C118" s="173"/>
      <c r="D118" s="2" t="s">
        <v>126</v>
      </c>
      <c r="E118" s="21"/>
      <c r="F118" s="20"/>
      <c r="G118" s="20"/>
    </row>
    <row r="119" spans="1:15" ht="17.100000000000001" customHeight="1" x14ac:dyDescent="0.2">
      <c r="A119" s="18"/>
      <c r="B119" s="172" t="s">
        <v>128</v>
      </c>
      <c r="C119" s="173"/>
      <c r="D119" s="12" t="s">
        <v>96</v>
      </c>
      <c r="E119" s="21"/>
      <c r="F119" s="20"/>
      <c r="G119" s="20"/>
    </row>
    <row r="120" spans="1:15" ht="24" customHeight="1" x14ac:dyDescent="0.2">
      <c r="A120" s="22"/>
      <c r="B120" s="23" t="s">
        <v>96</v>
      </c>
      <c r="C120" s="23" t="s">
        <v>129</v>
      </c>
      <c r="D120" s="23" t="s">
        <v>130</v>
      </c>
      <c r="E120" s="22"/>
      <c r="F120" s="22"/>
      <c r="G120" s="22"/>
    </row>
    <row r="121" spans="1:15" ht="18" customHeight="1" x14ac:dyDescent="0.2">
      <c r="A121" s="22"/>
      <c r="B121" s="23" t="s">
        <v>131</v>
      </c>
      <c r="C121" s="23" t="s">
        <v>132</v>
      </c>
      <c r="D121" s="23" t="s">
        <v>133</v>
      </c>
      <c r="E121" s="22"/>
      <c r="F121" s="22"/>
      <c r="G121" s="22"/>
    </row>
    <row r="122" spans="1:15" ht="17.100000000000001" customHeight="1" x14ac:dyDescent="0.2">
      <c r="A122" s="22"/>
      <c r="B122" s="4" t="s">
        <v>134</v>
      </c>
      <c r="C122" s="24">
        <v>62.440300000000001</v>
      </c>
      <c r="D122" s="24">
        <v>60.206600000000002</v>
      </c>
      <c r="E122" s="22"/>
      <c r="F122" s="19"/>
      <c r="G122" s="25"/>
    </row>
    <row r="123" spans="1:15" ht="17.100000000000001" customHeight="1" x14ac:dyDescent="0.2">
      <c r="A123" s="22"/>
      <c r="B123" s="4" t="s">
        <v>983</v>
      </c>
      <c r="C123" s="24">
        <v>24.049600000000002</v>
      </c>
      <c r="D123" s="24">
        <v>23.1892</v>
      </c>
      <c r="E123" s="22"/>
      <c r="F123" s="19"/>
      <c r="G123" s="25"/>
    </row>
    <row r="124" spans="1:15" ht="17.100000000000001" customHeight="1" x14ac:dyDescent="0.2">
      <c r="A124" s="22"/>
      <c r="B124" s="4" t="s">
        <v>135</v>
      </c>
      <c r="C124" s="24">
        <v>58.875900000000001</v>
      </c>
      <c r="D124" s="24">
        <v>56.723599999999998</v>
      </c>
      <c r="E124" s="22"/>
      <c r="F124" s="19"/>
      <c r="G124" s="25"/>
    </row>
    <row r="125" spans="1:15" ht="17.100000000000001" customHeight="1" x14ac:dyDescent="0.2">
      <c r="A125" s="22"/>
      <c r="B125" s="4" t="s">
        <v>984</v>
      </c>
      <c r="C125" s="24">
        <v>22.3032</v>
      </c>
      <c r="D125" s="24">
        <v>21.4878</v>
      </c>
      <c r="E125" s="22"/>
      <c r="F125" s="19"/>
      <c r="G125" s="25"/>
    </row>
    <row r="126" spans="1:15" ht="14.1" customHeight="1" x14ac:dyDescent="0.2">
      <c r="A126" s="22"/>
      <c r="B126" s="22"/>
      <c r="C126" s="22"/>
      <c r="D126" s="22"/>
      <c r="E126" s="22"/>
      <c r="F126" s="22"/>
      <c r="G126" s="22"/>
      <c r="I126" s="82"/>
      <c r="J126" s="82"/>
      <c r="K126" s="82"/>
      <c r="L126" s="82"/>
      <c r="M126" s="82"/>
      <c r="N126" s="82"/>
      <c r="O126" s="82"/>
    </row>
    <row r="127" spans="1:15" ht="17.100000000000001" customHeight="1" x14ac:dyDescent="0.2">
      <c r="A127" s="22"/>
      <c r="B127" s="172" t="s">
        <v>985</v>
      </c>
      <c r="C127" s="173"/>
      <c r="D127" s="2" t="s">
        <v>126</v>
      </c>
      <c r="E127" s="22"/>
      <c r="F127" s="22"/>
      <c r="G127" s="22"/>
    </row>
    <row r="128" spans="1:15" ht="18" customHeight="1" x14ac:dyDescent="0.2">
      <c r="A128" s="22"/>
      <c r="B128" s="26" t="s">
        <v>136</v>
      </c>
      <c r="C128" s="26" t="s">
        <v>136</v>
      </c>
      <c r="D128" s="26"/>
      <c r="E128" s="22"/>
      <c r="F128" s="22"/>
      <c r="G128" s="22"/>
    </row>
    <row r="129" spans="1:16" s="82" customFormat="1" x14ac:dyDescent="0.2">
      <c r="B129" s="177" t="s">
        <v>936</v>
      </c>
      <c r="C129" s="177"/>
      <c r="D129" s="177"/>
      <c r="E129" s="177"/>
      <c r="F129" s="177"/>
      <c r="I129"/>
      <c r="J129"/>
      <c r="K129"/>
      <c r="L129"/>
      <c r="M129"/>
      <c r="N129"/>
      <c r="O129"/>
      <c r="P129" s="70"/>
    </row>
    <row r="130" spans="1:16" ht="14.1" customHeight="1" x14ac:dyDescent="0.2">
      <c r="A130" s="22"/>
      <c r="B130" s="19"/>
      <c r="C130" s="19"/>
      <c r="D130" s="22"/>
      <c r="E130" s="22"/>
      <c r="F130" s="22"/>
      <c r="G130" s="22"/>
    </row>
    <row r="131" spans="1:16" ht="29.1" customHeight="1" x14ac:dyDescent="0.2">
      <c r="A131" s="22"/>
      <c r="B131" s="172" t="s">
        <v>137</v>
      </c>
      <c r="C131" s="173"/>
      <c r="D131" s="2" t="s">
        <v>126</v>
      </c>
      <c r="E131" s="22"/>
      <c r="F131" s="22"/>
      <c r="G131" s="22"/>
    </row>
    <row r="132" spans="1:16" ht="29.1" customHeight="1" x14ac:dyDescent="0.2">
      <c r="A132" s="22"/>
      <c r="B132" s="172" t="s">
        <v>138</v>
      </c>
      <c r="C132" s="173"/>
      <c r="D132" s="2" t="s">
        <v>126</v>
      </c>
      <c r="E132" s="22"/>
      <c r="F132" s="22"/>
      <c r="G132" s="22"/>
    </row>
    <row r="133" spans="1:16" ht="17.100000000000001" customHeight="1" x14ac:dyDescent="0.2">
      <c r="A133" s="22"/>
      <c r="B133" s="172" t="s">
        <v>139</v>
      </c>
      <c r="C133" s="173"/>
      <c r="D133" s="27">
        <v>0.18609876047181675</v>
      </c>
      <c r="E133" s="22"/>
      <c r="F133" s="19"/>
      <c r="G133" s="25"/>
    </row>
    <row r="134" spans="1:16" ht="17.100000000000001" customHeight="1" x14ac:dyDescent="0.2">
      <c r="A134" s="22"/>
      <c r="B134" s="172" t="s">
        <v>140</v>
      </c>
      <c r="C134" s="173"/>
      <c r="D134" s="2" t="s">
        <v>126</v>
      </c>
      <c r="E134" s="22"/>
      <c r="F134" s="22"/>
      <c r="G134" s="22"/>
    </row>
  </sheetData>
  <mergeCells count="16">
    <mergeCell ref="B134:C134"/>
    <mergeCell ref="B117:C117"/>
    <mergeCell ref="B118:C118"/>
    <mergeCell ref="B119:C119"/>
    <mergeCell ref="B127:C127"/>
    <mergeCell ref="B131:C131"/>
    <mergeCell ref="B132:C132"/>
    <mergeCell ref="B129:F129"/>
    <mergeCell ref="A1:H1"/>
    <mergeCell ref="A2:H2"/>
    <mergeCell ref="A3:H3"/>
    <mergeCell ref="J2:N2"/>
    <mergeCell ref="B133:C133"/>
    <mergeCell ref="B116:C116"/>
    <mergeCell ref="B113:F113"/>
    <mergeCell ref="B114:F114"/>
  </mergeCell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P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s>
  <sheetData>
    <row r="1" spans="1:14" ht="18" customHeight="1" x14ac:dyDescent="0.2">
      <c r="A1" s="167" t="s">
        <v>0</v>
      </c>
      <c r="B1" s="167"/>
      <c r="C1" s="167"/>
      <c r="D1" s="167"/>
      <c r="E1" s="167"/>
      <c r="F1" s="167"/>
      <c r="G1" s="167"/>
      <c r="H1" s="167"/>
    </row>
    <row r="2" spans="1:14" ht="17.100000000000001" customHeight="1" x14ac:dyDescent="0.2">
      <c r="A2" s="168" t="s">
        <v>582</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20</v>
      </c>
      <c r="C7" s="4" t="s">
        <v>21</v>
      </c>
      <c r="D7" s="4" t="s">
        <v>22</v>
      </c>
      <c r="E7" s="5">
        <v>2018224</v>
      </c>
      <c r="F7" s="6">
        <v>14417.183144000001</v>
      </c>
      <c r="G7" s="7">
        <v>7.3992760000000005E-2</v>
      </c>
      <c r="H7" s="69"/>
    </row>
    <row r="8" spans="1:14" x14ac:dyDescent="0.2">
      <c r="A8" s="3">
        <v>2</v>
      </c>
      <c r="B8" s="4" t="s">
        <v>410</v>
      </c>
      <c r="C8" s="4" t="s">
        <v>411</v>
      </c>
      <c r="D8" s="4" t="s">
        <v>22</v>
      </c>
      <c r="E8" s="5">
        <v>870509</v>
      </c>
      <c r="F8" s="6">
        <v>13001.4871695</v>
      </c>
      <c r="G8" s="7">
        <v>6.6727038000000002E-2</v>
      </c>
      <c r="H8" s="69"/>
    </row>
    <row r="9" spans="1:14" x14ac:dyDescent="0.2">
      <c r="A9" s="3">
        <v>3</v>
      </c>
      <c r="B9" s="4" t="s">
        <v>306</v>
      </c>
      <c r="C9" s="4" t="s">
        <v>307</v>
      </c>
      <c r="D9" s="4" t="s">
        <v>155</v>
      </c>
      <c r="E9" s="5">
        <v>279273</v>
      </c>
      <c r="F9" s="6">
        <v>12088.4714415</v>
      </c>
      <c r="G9" s="7">
        <v>6.2041201999999997E-2</v>
      </c>
      <c r="H9" s="69"/>
    </row>
    <row r="10" spans="1:14" x14ac:dyDescent="0.2">
      <c r="A10" s="3">
        <v>4</v>
      </c>
      <c r="B10" s="4" t="s">
        <v>17</v>
      </c>
      <c r="C10" s="4" t="s">
        <v>18</v>
      </c>
      <c r="D10" s="4" t="s">
        <v>19</v>
      </c>
      <c r="E10" s="5">
        <v>1404065</v>
      </c>
      <c r="F10" s="6">
        <v>10225.1033625</v>
      </c>
      <c r="G10" s="7">
        <v>5.2477909000000003E-2</v>
      </c>
      <c r="H10" s="69"/>
    </row>
    <row r="11" spans="1:14" x14ac:dyDescent="0.2">
      <c r="A11" s="3">
        <v>5</v>
      </c>
      <c r="B11" s="4" t="s">
        <v>14</v>
      </c>
      <c r="C11" s="4" t="s">
        <v>15</v>
      </c>
      <c r="D11" s="4" t="s">
        <v>16</v>
      </c>
      <c r="E11" s="5">
        <v>412424</v>
      </c>
      <c r="F11" s="6">
        <v>9920.4468959999995</v>
      </c>
      <c r="G11" s="7">
        <v>5.0914332E-2</v>
      </c>
      <c r="H11" s="69"/>
    </row>
    <row r="12" spans="1:14" ht="25.5" x14ac:dyDescent="0.2">
      <c r="A12" s="3">
        <v>6</v>
      </c>
      <c r="B12" s="4" t="s">
        <v>414</v>
      </c>
      <c r="C12" s="4" t="s">
        <v>415</v>
      </c>
      <c r="D12" s="4" t="s">
        <v>78</v>
      </c>
      <c r="E12" s="5">
        <v>305220</v>
      </c>
      <c r="F12" s="6">
        <v>8158.8358200000002</v>
      </c>
      <c r="G12" s="7">
        <v>4.1873281999999998E-2</v>
      </c>
      <c r="H12" s="69"/>
    </row>
    <row r="13" spans="1:14" x14ac:dyDescent="0.2">
      <c r="A13" s="3">
        <v>7</v>
      </c>
      <c r="B13" s="4" t="s">
        <v>308</v>
      </c>
      <c r="C13" s="4" t="s">
        <v>309</v>
      </c>
      <c r="D13" s="4" t="s">
        <v>175</v>
      </c>
      <c r="E13" s="5">
        <v>95620</v>
      </c>
      <c r="F13" s="6">
        <v>5438.62655</v>
      </c>
      <c r="G13" s="7">
        <v>2.7912455999999999E-2</v>
      </c>
      <c r="H13" s="69"/>
    </row>
    <row r="14" spans="1:14" x14ac:dyDescent="0.2">
      <c r="A14" s="3">
        <v>8</v>
      </c>
      <c r="B14" s="4" t="s">
        <v>326</v>
      </c>
      <c r="C14" s="4" t="s">
        <v>327</v>
      </c>
      <c r="D14" s="4" t="s">
        <v>22</v>
      </c>
      <c r="E14" s="5">
        <v>785346</v>
      </c>
      <c r="F14" s="6">
        <v>5149.1210490000003</v>
      </c>
      <c r="G14" s="7">
        <v>2.6426637999999999E-2</v>
      </c>
      <c r="H14" s="69"/>
    </row>
    <row r="15" spans="1:14" ht="15" x14ac:dyDescent="0.2">
      <c r="A15" s="3">
        <v>9</v>
      </c>
      <c r="B15" s="4" t="s">
        <v>441</v>
      </c>
      <c r="C15" s="4" t="s">
        <v>442</v>
      </c>
      <c r="D15" s="4" t="s">
        <v>22</v>
      </c>
      <c r="E15" s="5">
        <v>254049</v>
      </c>
      <c r="F15" s="6">
        <v>4984.1873310000001</v>
      </c>
      <c r="G15" s="7">
        <v>2.5580155E-2</v>
      </c>
      <c r="H15" s="69"/>
      <c r="J15" s="160" t="s">
        <v>1019</v>
      </c>
    </row>
    <row r="16" spans="1:14" x14ac:dyDescent="0.2">
      <c r="A16" s="3">
        <v>10</v>
      </c>
      <c r="B16" s="4" t="s">
        <v>176</v>
      </c>
      <c r="C16" s="4" t="s">
        <v>177</v>
      </c>
      <c r="D16" s="4" t="s">
        <v>78</v>
      </c>
      <c r="E16" s="5">
        <v>609563</v>
      </c>
      <c r="F16" s="6">
        <v>4933.8029219999999</v>
      </c>
      <c r="G16" s="7">
        <v>2.5321568999999999E-2</v>
      </c>
      <c r="H16" s="69"/>
    </row>
    <row r="17" spans="1:8" x14ac:dyDescent="0.2">
      <c r="A17" s="3">
        <v>11</v>
      </c>
      <c r="B17" s="4" t="s">
        <v>363</v>
      </c>
      <c r="C17" s="4" t="s">
        <v>364</v>
      </c>
      <c r="D17" s="4" t="s">
        <v>48</v>
      </c>
      <c r="E17" s="5">
        <v>774290</v>
      </c>
      <c r="F17" s="6">
        <v>4800.598</v>
      </c>
      <c r="G17" s="7">
        <v>2.4637926000000001E-2</v>
      </c>
      <c r="H17" s="69"/>
    </row>
    <row r="18" spans="1:8" x14ac:dyDescent="0.2">
      <c r="A18" s="3">
        <v>12</v>
      </c>
      <c r="B18" s="4" t="s">
        <v>84</v>
      </c>
      <c r="C18" s="4" t="s">
        <v>85</v>
      </c>
      <c r="D18" s="4" t="s">
        <v>70</v>
      </c>
      <c r="E18" s="5">
        <v>974973</v>
      </c>
      <c r="F18" s="6">
        <v>4721.3067524999997</v>
      </c>
      <c r="G18" s="7">
        <v>2.4230983000000001E-2</v>
      </c>
      <c r="H18" s="69"/>
    </row>
    <row r="19" spans="1:8" x14ac:dyDescent="0.2">
      <c r="A19" s="3">
        <v>13</v>
      </c>
      <c r="B19" s="4" t="s">
        <v>384</v>
      </c>
      <c r="C19" s="4" t="s">
        <v>385</v>
      </c>
      <c r="D19" s="4" t="s">
        <v>982</v>
      </c>
      <c r="E19" s="5">
        <v>25000</v>
      </c>
      <c r="F19" s="6">
        <v>4309.3374999999996</v>
      </c>
      <c r="G19" s="7">
        <v>2.2116648999999999E-2</v>
      </c>
      <c r="H19" s="69"/>
    </row>
    <row r="20" spans="1:8" x14ac:dyDescent="0.2">
      <c r="A20" s="3">
        <v>14</v>
      </c>
      <c r="B20" s="4" t="s">
        <v>212</v>
      </c>
      <c r="C20" s="4" t="s">
        <v>213</v>
      </c>
      <c r="D20" s="4" t="s">
        <v>979</v>
      </c>
      <c r="E20" s="5">
        <v>667345</v>
      </c>
      <c r="F20" s="6">
        <v>3660.3873250000001</v>
      </c>
      <c r="G20" s="7">
        <v>1.8786067E-2</v>
      </c>
      <c r="H20" s="69"/>
    </row>
    <row r="21" spans="1:8" x14ac:dyDescent="0.2">
      <c r="A21" s="3">
        <v>15</v>
      </c>
      <c r="B21" s="4" t="s">
        <v>169</v>
      </c>
      <c r="C21" s="4" t="s">
        <v>170</v>
      </c>
      <c r="D21" s="4" t="s">
        <v>155</v>
      </c>
      <c r="E21" s="5">
        <v>306735</v>
      </c>
      <c r="F21" s="6">
        <v>3524.0784149999999</v>
      </c>
      <c r="G21" s="7">
        <v>1.8086492999999999E-2</v>
      </c>
      <c r="H21" s="69"/>
    </row>
    <row r="22" spans="1:8" x14ac:dyDescent="0.2">
      <c r="A22" s="3">
        <v>16</v>
      </c>
      <c r="B22" s="4" t="s">
        <v>465</v>
      </c>
      <c r="C22" s="4" t="s">
        <v>466</v>
      </c>
      <c r="D22" s="4" t="s">
        <v>48</v>
      </c>
      <c r="E22" s="5">
        <v>450000</v>
      </c>
      <c r="F22" s="6">
        <v>3089.9250000000002</v>
      </c>
      <c r="G22" s="7">
        <v>1.5858304E-2</v>
      </c>
      <c r="H22" s="69"/>
    </row>
    <row r="23" spans="1:8" x14ac:dyDescent="0.2">
      <c r="A23" s="3">
        <v>17</v>
      </c>
      <c r="B23" s="4" t="s">
        <v>564</v>
      </c>
      <c r="C23" s="4" t="s">
        <v>565</v>
      </c>
      <c r="D23" s="4" t="s">
        <v>78</v>
      </c>
      <c r="E23" s="5">
        <v>39471</v>
      </c>
      <c r="F23" s="6">
        <v>2761.8845474999998</v>
      </c>
      <c r="G23" s="7">
        <v>1.4174714999999999E-2</v>
      </c>
      <c r="H23" s="69"/>
    </row>
    <row r="24" spans="1:8" x14ac:dyDescent="0.2">
      <c r="A24" s="3">
        <v>18</v>
      </c>
      <c r="B24" s="4" t="s">
        <v>187</v>
      </c>
      <c r="C24" s="4" t="s">
        <v>188</v>
      </c>
      <c r="D24" s="4" t="s">
        <v>978</v>
      </c>
      <c r="E24" s="5">
        <v>308429</v>
      </c>
      <c r="F24" s="6">
        <v>2756.2757584999999</v>
      </c>
      <c r="G24" s="7">
        <v>1.4145929E-2</v>
      </c>
      <c r="H24" s="69"/>
    </row>
    <row r="25" spans="1:8" x14ac:dyDescent="0.2">
      <c r="A25" s="3">
        <v>19</v>
      </c>
      <c r="B25" s="4" t="s">
        <v>316</v>
      </c>
      <c r="C25" s="4" t="s">
        <v>317</v>
      </c>
      <c r="D25" s="4" t="s">
        <v>221</v>
      </c>
      <c r="E25" s="5">
        <v>7154</v>
      </c>
      <c r="F25" s="6">
        <v>2746.4849859999999</v>
      </c>
      <c r="G25" s="7">
        <v>1.4095679999999999E-2</v>
      </c>
      <c r="H25" s="69"/>
    </row>
    <row r="26" spans="1:8" x14ac:dyDescent="0.2">
      <c r="A26" s="3">
        <v>20</v>
      </c>
      <c r="B26" s="4" t="s">
        <v>418</v>
      </c>
      <c r="C26" s="4" t="s">
        <v>419</v>
      </c>
      <c r="D26" s="4" t="s">
        <v>982</v>
      </c>
      <c r="E26" s="5">
        <v>232605</v>
      </c>
      <c r="F26" s="6">
        <v>2699.4973275000002</v>
      </c>
      <c r="G26" s="7">
        <v>1.3854527E-2</v>
      </c>
      <c r="H26" s="69"/>
    </row>
    <row r="27" spans="1:8" x14ac:dyDescent="0.2">
      <c r="A27" s="3">
        <v>21</v>
      </c>
      <c r="B27" s="4" t="s">
        <v>583</v>
      </c>
      <c r="C27" s="4" t="s">
        <v>584</v>
      </c>
      <c r="D27" s="4" t="s">
        <v>155</v>
      </c>
      <c r="E27" s="5">
        <v>45000</v>
      </c>
      <c r="F27" s="6">
        <v>2601.7424999999998</v>
      </c>
      <c r="G27" s="7">
        <v>1.3352823999999999E-2</v>
      </c>
      <c r="H27" s="69"/>
    </row>
    <row r="28" spans="1:8" x14ac:dyDescent="0.2">
      <c r="A28" s="3">
        <v>22</v>
      </c>
      <c r="B28" s="4" t="s">
        <v>450</v>
      </c>
      <c r="C28" s="4" t="s">
        <v>451</v>
      </c>
      <c r="D28" s="4" t="s">
        <v>75</v>
      </c>
      <c r="E28" s="5">
        <v>102611</v>
      </c>
      <c r="F28" s="6">
        <v>2437.5243049999999</v>
      </c>
      <c r="G28" s="7">
        <v>1.2510013E-2</v>
      </c>
      <c r="H28" s="69"/>
    </row>
    <row r="29" spans="1:8" x14ac:dyDescent="0.2">
      <c r="A29" s="3">
        <v>23</v>
      </c>
      <c r="B29" s="4" t="s">
        <v>167</v>
      </c>
      <c r="C29" s="4" t="s">
        <v>168</v>
      </c>
      <c r="D29" s="4" t="s">
        <v>976</v>
      </c>
      <c r="E29" s="5">
        <v>226032</v>
      </c>
      <c r="F29" s="6">
        <v>2292.5295599999999</v>
      </c>
      <c r="G29" s="7">
        <v>1.1765862E-2</v>
      </c>
      <c r="H29" s="69"/>
    </row>
    <row r="30" spans="1:8" x14ac:dyDescent="0.2">
      <c r="A30" s="3">
        <v>24</v>
      </c>
      <c r="B30" s="4" t="s">
        <v>210</v>
      </c>
      <c r="C30" s="4" t="s">
        <v>211</v>
      </c>
      <c r="D30" s="4" t="s">
        <v>53</v>
      </c>
      <c r="E30" s="5">
        <v>237112</v>
      </c>
      <c r="F30" s="6">
        <v>2247.4660920000001</v>
      </c>
      <c r="G30" s="7">
        <v>1.1534585E-2</v>
      </c>
      <c r="H30" s="69"/>
    </row>
    <row r="31" spans="1:8" x14ac:dyDescent="0.2">
      <c r="A31" s="3">
        <v>25</v>
      </c>
      <c r="B31" s="4" t="s">
        <v>585</v>
      </c>
      <c r="C31" s="4" t="s">
        <v>586</v>
      </c>
      <c r="D31" s="4" t="s">
        <v>979</v>
      </c>
      <c r="E31" s="5">
        <v>1358497</v>
      </c>
      <c r="F31" s="6">
        <v>2016.6887965000001</v>
      </c>
      <c r="G31" s="7">
        <v>1.0350175E-2</v>
      </c>
      <c r="H31" s="69"/>
    </row>
    <row r="32" spans="1:8" x14ac:dyDescent="0.2">
      <c r="A32" s="3">
        <v>26</v>
      </c>
      <c r="B32" s="4" t="s">
        <v>394</v>
      </c>
      <c r="C32" s="4" t="s">
        <v>395</v>
      </c>
      <c r="D32" s="4" t="s">
        <v>975</v>
      </c>
      <c r="E32" s="5">
        <v>610000</v>
      </c>
      <c r="F32" s="6">
        <v>1978.23</v>
      </c>
      <c r="G32" s="7">
        <v>1.0152794999999999E-2</v>
      </c>
      <c r="H32" s="69"/>
    </row>
    <row r="33" spans="1:8" x14ac:dyDescent="0.2">
      <c r="A33" s="3">
        <v>27</v>
      </c>
      <c r="B33" s="4" t="s">
        <v>227</v>
      </c>
      <c r="C33" s="4" t="s">
        <v>228</v>
      </c>
      <c r="D33" s="4" t="s">
        <v>976</v>
      </c>
      <c r="E33" s="5">
        <v>122830</v>
      </c>
      <c r="F33" s="6">
        <v>1964.1131150000001</v>
      </c>
      <c r="G33" s="7">
        <v>1.0080343E-2</v>
      </c>
      <c r="H33" s="69"/>
    </row>
    <row r="34" spans="1:8" x14ac:dyDescent="0.2">
      <c r="A34" s="3">
        <v>28</v>
      </c>
      <c r="B34" s="4" t="s">
        <v>46</v>
      </c>
      <c r="C34" s="4" t="s">
        <v>47</v>
      </c>
      <c r="D34" s="4" t="s">
        <v>48</v>
      </c>
      <c r="E34" s="5">
        <v>298141</v>
      </c>
      <c r="F34" s="6">
        <v>1957.4447355</v>
      </c>
      <c r="G34" s="7">
        <v>1.0046118999999999E-2</v>
      </c>
      <c r="H34" s="69"/>
    </row>
    <row r="35" spans="1:8" x14ac:dyDescent="0.2">
      <c r="A35" s="3">
        <v>29</v>
      </c>
      <c r="B35" s="4" t="s">
        <v>541</v>
      </c>
      <c r="C35" s="4" t="s">
        <v>542</v>
      </c>
      <c r="D35" s="4" t="s">
        <v>976</v>
      </c>
      <c r="E35" s="5">
        <v>168338</v>
      </c>
      <c r="F35" s="6">
        <v>1844.395297</v>
      </c>
      <c r="G35" s="7">
        <v>9.4659199999999992E-3</v>
      </c>
      <c r="H35" s="69"/>
    </row>
    <row r="36" spans="1:8" x14ac:dyDescent="0.2">
      <c r="A36" s="3">
        <v>30</v>
      </c>
      <c r="B36" s="4" t="s">
        <v>193</v>
      </c>
      <c r="C36" s="4" t="s">
        <v>194</v>
      </c>
      <c r="D36" s="4" t="s">
        <v>195</v>
      </c>
      <c r="E36" s="5">
        <v>380798</v>
      </c>
      <c r="F36" s="6">
        <v>1831.257582</v>
      </c>
      <c r="G36" s="7">
        <v>9.3984940000000003E-3</v>
      </c>
      <c r="H36" s="69"/>
    </row>
    <row r="37" spans="1:8" x14ac:dyDescent="0.2">
      <c r="A37" s="3">
        <v>31</v>
      </c>
      <c r="B37" s="4" t="s">
        <v>241</v>
      </c>
      <c r="C37" s="4" t="s">
        <v>242</v>
      </c>
      <c r="D37" s="4" t="s">
        <v>155</v>
      </c>
      <c r="E37" s="5">
        <v>139876</v>
      </c>
      <c r="F37" s="6">
        <v>1686.275118</v>
      </c>
      <c r="G37" s="7">
        <v>8.6544059999999999E-3</v>
      </c>
      <c r="H37" s="69"/>
    </row>
    <row r="38" spans="1:8" x14ac:dyDescent="0.2">
      <c r="A38" s="3">
        <v>32</v>
      </c>
      <c r="B38" s="4" t="s">
        <v>332</v>
      </c>
      <c r="C38" s="4" t="s">
        <v>333</v>
      </c>
      <c r="D38" s="4" t="s">
        <v>334</v>
      </c>
      <c r="E38" s="5">
        <v>166156</v>
      </c>
      <c r="F38" s="6">
        <v>1685.4864640000001</v>
      </c>
      <c r="G38" s="7">
        <v>8.6503580000000004E-3</v>
      </c>
      <c r="H38" s="69"/>
    </row>
    <row r="39" spans="1:8" x14ac:dyDescent="0.2">
      <c r="A39" s="3">
        <v>33</v>
      </c>
      <c r="B39" s="4" t="s">
        <v>173</v>
      </c>
      <c r="C39" s="4" t="s">
        <v>174</v>
      </c>
      <c r="D39" s="4" t="s">
        <v>175</v>
      </c>
      <c r="E39" s="5">
        <v>652856</v>
      </c>
      <c r="F39" s="6">
        <v>1652.0521080000001</v>
      </c>
      <c r="G39" s="7">
        <v>8.4787639999999997E-3</v>
      </c>
      <c r="H39" s="69"/>
    </row>
    <row r="40" spans="1:8" x14ac:dyDescent="0.2">
      <c r="A40" s="3">
        <v>34</v>
      </c>
      <c r="B40" s="4" t="s">
        <v>163</v>
      </c>
      <c r="C40" s="4" t="s">
        <v>164</v>
      </c>
      <c r="D40" s="4" t="s">
        <v>975</v>
      </c>
      <c r="E40" s="5">
        <v>404089</v>
      </c>
      <c r="F40" s="6">
        <v>1617.3662225</v>
      </c>
      <c r="G40" s="7">
        <v>8.3007470000000007E-3</v>
      </c>
      <c r="H40" s="69"/>
    </row>
    <row r="41" spans="1:8" x14ac:dyDescent="0.2">
      <c r="A41" s="3">
        <v>35</v>
      </c>
      <c r="B41" s="4" t="s">
        <v>318</v>
      </c>
      <c r="C41" s="4" t="s">
        <v>319</v>
      </c>
      <c r="D41" s="4" t="s">
        <v>155</v>
      </c>
      <c r="E41" s="5">
        <v>28492</v>
      </c>
      <c r="F41" s="6">
        <v>1504.2066480000001</v>
      </c>
      <c r="G41" s="7">
        <v>7.7199829999999997E-3</v>
      </c>
      <c r="H41" s="69"/>
    </row>
    <row r="42" spans="1:8" x14ac:dyDescent="0.2">
      <c r="A42" s="3">
        <v>36</v>
      </c>
      <c r="B42" s="4" t="s">
        <v>153</v>
      </c>
      <c r="C42" s="4" t="s">
        <v>154</v>
      </c>
      <c r="D42" s="4" t="s">
        <v>155</v>
      </c>
      <c r="E42" s="5">
        <v>35993</v>
      </c>
      <c r="F42" s="6">
        <v>1489.6782840000001</v>
      </c>
      <c r="G42" s="7">
        <v>7.6454189999999997E-3</v>
      </c>
      <c r="H42" s="69"/>
    </row>
    <row r="43" spans="1:8" ht="25.5" x14ac:dyDescent="0.2">
      <c r="A43" s="3">
        <v>37</v>
      </c>
      <c r="B43" s="4" t="s">
        <v>458</v>
      </c>
      <c r="C43" s="4" t="s">
        <v>459</v>
      </c>
      <c r="D43" s="4" t="s">
        <v>982</v>
      </c>
      <c r="E43" s="5">
        <v>92987</v>
      </c>
      <c r="F43" s="6">
        <v>1336.5486444999999</v>
      </c>
      <c r="G43" s="7">
        <v>6.8595180000000002E-3</v>
      </c>
      <c r="H43" s="69"/>
    </row>
    <row r="44" spans="1:8" x14ac:dyDescent="0.2">
      <c r="A44" s="3">
        <v>38</v>
      </c>
      <c r="B44" s="4" t="s">
        <v>587</v>
      </c>
      <c r="C44" s="4" t="s">
        <v>588</v>
      </c>
      <c r="D44" s="4" t="s">
        <v>334</v>
      </c>
      <c r="E44" s="5">
        <v>22186</v>
      </c>
      <c r="F44" s="6">
        <v>1287.9083929999999</v>
      </c>
      <c r="G44" s="7">
        <v>6.6098830000000004E-3</v>
      </c>
      <c r="H44" s="69"/>
    </row>
    <row r="45" spans="1:8" x14ac:dyDescent="0.2">
      <c r="A45" s="3">
        <v>39</v>
      </c>
      <c r="B45" s="4" t="s">
        <v>214</v>
      </c>
      <c r="C45" s="4" t="s">
        <v>215</v>
      </c>
      <c r="D45" s="4" t="s">
        <v>979</v>
      </c>
      <c r="E45" s="5">
        <v>118908</v>
      </c>
      <c r="F45" s="6">
        <v>1213.2777779999999</v>
      </c>
      <c r="G45" s="7">
        <v>6.2268590000000004E-3</v>
      </c>
      <c r="H45" s="69"/>
    </row>
    <row r="46" spans="1:8" x14ac:dyDescent="0.2">
      <c r="A46" s="3">
        <v>40</v>
      </c>
      <c r="B46" s="4" t="s">
        <v>589</v>
      </c>
      <c r="C46" s="4" t="s">
        <v>590</v>
      </c>
      <c r="D46" s="4" t="s">
        <v>982</v>
      </c>
      <c r="E46" s="5">
        <v>165838</v>
      </c>
      <c r="F46" s="6">
        <v>1129.0251040000001</v>
      </c>
      <c r="G46" s="7">
        <v>5.7944529999999998E-3</v>
      </c>
      <c r="H46" s="69"/>
    </row>
    <row r="47" spans="1:8" x14ac:dyDescent="0.2">
      <c r="A47" s="3">
        <v>41</v>
      </c>
      <c r="B47" s="4" t="s">
        <v>400</v>
      </c>
      <c r="C47" s="4" t="s">
        <v>401</v>
      </c>
      <c r="D47" s="4" t="s">
        <v>334</v>
      </c>
      <c r="E47" s="5">
        <v>689908</v>
      </c>
      <c r="F47" s="6">
        <v>1052.4546539999999</v>
      </c>
      <c r="G47" s="7">
        <v>5.4014730000000004E-3</v>
      </c>
      <c r="H47" s="69"/>
    </row>
    <row r="48" spans="1:8" x14ac:dyDescent="0.2">
      <c r="A48" s="3">
        <v>42</v>
      </c>
      <c r="B48" s="4" t="s">
        <v>591</v>
      </c>
      <c r="C48" s="4" t="s">
        <v>592</v>
      </c>
      <c r="D48" s="4" t="s">
        <v>175</v>
      </c>
      <c r="E48" s="5">
        <v>30137</v>
      </c>
      <c r="F48" s="6">
        <v>992.38127299999996</v>
      </c>
      <c r="G48" s="7">
        <v>5.0931609999999997E-3</v>
      </c>
      <c r="H48" s="69"/>
    </row>
    <row r="49" spans="1:8" x14ac:dyDescent="0.2">
      <c r="A49" s="3">
        <v>43</v>
      </c>
      <c r="B49" s="4" t="s">
        <v>531</v>
      </c>
      <c r="C49" s="4" t="s">
        <v>532</v>
      </c>
      <c r="D49" s="4" t="s">
        <v>979</v>
      </c>
      <c r="E49" s="5">
        <v>2164038</v>
      </c>
      <c r="F49" s="6">
        <v>964.07892900000002</v>
      </c>
      <c r="G49" s="7">
        <v>4.9479060000000002E-3</v>
      </c>
      <c r="H49" s="69"/>
    </row>
    <row r="50" spans="1:8" x14ac:dyDescent="0.2">
      <c r="A50" s="3">
        <v>44</v>
      </c>
      <c r="B50" s="4" t="s">
        <v>593</v>
      </c>
      <c r="C50" s="4" t="s">
        <v>594</v>
      </c>
      <c r="D50" s="4" t="s">
        <v>334</v>
      </c>
      <c r="E50" s="5">
        <v>12431</v>
      </c>
      <c r="F50" s="6">
        <v>927.34016899999995</v>
      </c>
      <c r="G50" s="7">
        <v>4.759353E-3</v>
      </c>
      <c r="H50" s="69"/>
    </row>
    <row r="51" spans="1:8" x14ac:dyDescent="0.2">
      <c r="A51" s="3">
        <v>45</v>
      </c>
      <c r="B51" s="4" t="s">
        <v>303</v>
      </c>
      <c r="C51" s="4" t="s">
        <v>304</v>
      </c>
      <c r="D51" s="4" t="s">
        <v>979</v>
      </c>
      <c r="E51" s="5">
        <v>2402077</v>
      </c>
      <c r="F51" s="6">
        <v>834.72175749999997</v>
      </c>
      <c r="G51" s="7">
        <v>4.2840109999999999E-3</v>
      </c>
      <c r="H51" s="69"/>
    </row>
    <row r="52" spans="1:8" x14ac:dyDescent="0.2">
      <c r="A52" s="3">
        <v>46</v>
      </c>
      <c r="B52" s="4" t="s">
        <v>580</v>
      </c>
      <c r="C52" s="4" t="s">
        <v>581</v>
      </c>
      <c r="D52" s="4" t="s">
        <v>334</v>
      </c>
      <c r="E52" s="5">
        <v>14214</v>
      </c>
      <c r="F52" s="6">
        <v>669.60732599999994</v>
      </c>
      <c r="G52" s="7">
        <v>3.4366000000000002E-3</v>
      </c>
      <c r="H52" s="69"/>
    </row>
    <row r="53" spans="1:8" x14ac:dyDescent="0.2">
      <c r="A53" s="3">
        <v>47</v>
      </c>
      <c r="B53" s="4" t="s">
        <v>287</v>
      </c>
      <c r="C53" s="4" t="s">
        <v>288</v>
      </c>
      <c r="D53" s="4" t="s">
        <v>334</v>
      </c>
      <c r="E53" s="5">
        <v>26676</v>
      </c>
      <c r="F53" s="6">
        <v>651.01444200000003</v>
      </c>
      <c r="G53" s="7">
        <v>3.3411769999999999E-3</v>
      </c>
      <c r="H53" s="69"/>
    </row>
    <row r="54" spans="1:8" x14ac:dyDescent="0.2">
      <c r="A54" s="3">
        <v>48</v>
      </c>
      <c r="B54" s="4" t="s">
        <v>595</v>
      </c>
      <c r="C54" s="4" t="s">
        <v>596</v>
      </c>
      <c r="D54" s="4" t="s">
        <v>334</v>
      </c>
      <c r="E54" s="5">
        <v>35783</v>
      </c>
      <c r="F54" s="6">
        <v>448.61147099999999</v>
      </c>
      <c r="G54" s="7">
        <v>2.3023919999999999E-3</v>
      </c>
      <c r="H54" s="69"/>
    </row>
    <row r="55" spans="1:8" ht="25.5" x14ac:dyDescent="0.2">
      <c r="A55" s="3">
        <v>49</v>
      </c>
      <c r="B55" s="4" t="s">
        <v>266</v>
      </c>
      <c r="C55" s="4" t="s">
        <v>267</v>
      </c>
      <c r="D55" s="4" t="s">
        <v>981</v>
      </c>
      <c r="E55" s="5">
        <v>23520</v>
      </c>
      <c r="F55" s="6">
        <v>285.90911999999997</v>
      </c>
      <c r="G55" s="7">
        <v>1.46736E-3</v>
      </c>
      <c r="H55" s="69"/>
    </row>
    <row r="56" spans="1:8" ht="25.5" x14ac:dyDescent="0.2">
      <c r="A56" s="3">
        <v>50</v>
      </c>
      <c r="B56" s="4" t="s">
        <v>445</v>
      </c>
      <c r="C56" s="4" t="s">
        <v>930</v>
      </c>
      <c r="D56" s="72" t="s">
        <v>19</v>
      </c>
      <c r="E56" s="5">
        <v>92315</v>
      </c>
      <c r="F56" s="6">
        <v>360.76702</v>
      </c>
      <c r="G56" s="7">
        <v>1.8515510000000001E-3</v>
      </c>
      <c r="H56" s="69"/>
    </row>
    <row r="57" spans="1:8" x14ac:dyDescent="0.2">
      <c r="A57" s="1"/>
      <c r="B57" s="1"/>
      <c r="C57" s="2" t="s">
        <v>95</v>
      </c>
      <c r="D57" s="1"/>
      <c r="E57" s="1" t="s">
        <v>96</v>
      </c>
      <c r="F57" s="9">
        <v>166347.14420599994</v>
      </c>
      <c r="G57" s="10">
        <v>0.85373711800000007</v>
      </c>
      <c r="H57" s="69"/>
    </row>
    <row r="58" spans="1:8" x14ac:dyDescent="0.2">
      <c r="A58" s="1"/>
      <c r="B58" s="1"/>
      <c r="C58" s="11"/>
      <c r="D58" s="1"/>
      <c r="E58" s="1"/>
      <c r="F58" s="12"/>
      <c r="G58" s="12"/>
      <c r="H58" s="69"/>
    </row>
    <row r="59" spans="1:8" x14ac:dyDescent="0.2">
      <c r="A59" s="1"/>
      <c r="B59" s="1"/>
      <c r="C59" s="2" t="s">
        <v>97</v>
      </c>
      <c r="D59" s="1"/>
      <c r="E59" s="1"/>
      <c r="F59" s="1"/>
      <c r="G59" s="1"/>
      <c r="H59" s="69"/>
    </row>
    <row r="60" spans="1:8" x14ac:dyDescent="0.2">
      <c r="A60" s="3">
        <v>1</v>
      </c>
      <c r="B60" s="4" t="s">
        <v>597</v>
      </c>
      <c r="C60" s="4" t="s">
        <v>598</v>
      </c>
      <c r="D60" s="4"/>
      <c r="E60" s="5">
        <v>37829</v>
      </c>
      <c r="F60" s="6">
        <v>725.18548781699997</v>
      </c>
      <c r="G60" s="7">
        <v>3.7218419999999999E-3</v>
      </c>
      <c r="H60" s="69"/>
    </row>
    <row r="61" spans="1:8" x14ac:dyDescent="0.2">
      <c r="A61" s="1"/>
      <c r="B61" s="1"/>
      <c r="C61" s="2" t="s">
        <v>95</v>
      </c>
      <c r="D61" s="1"/>
      <c r="E61" s="1" t="s">
        <v>96</v>
      </c>
      <c r="F61" s="9">
        <v>725.18548781699997</v>
      </c>
      <c r="G61" s="10">
        <v>3.7218419999999999E-3</v>
      </c>
      <c r="H61" s="69"/>
    </row>
    <row r="62" spans="1:8" x14ac:dyDescent="0.2">
      <c r="A62" s="1"/>
      <c r="B62" s="1"/>
      <c r="C62" s="11"/>
      <c r="D62" s="1"/>
      <c r="E62" s="1"/>
      <c r="F62" s="12"/>
      <c r="G62" s="12"/>
      <c r="H62" s="69"/>
    </row>
    <row r="63" spans="1:8" x14ac:dyDescent="0.2">
      <c r="A63" s="1"/>
      <c r="B63" s="1"/>
      <c r="C63" s="2" t="s">
        <v>98</v>
      </c>
      <c r="D63" s="1"/>
      <c r="E63" s="1"/>
      <c r="F63" s="1"/>
      <c r="G63" s="1"/>
      <c r="H63" s="69"/>
    </row>
    <row r="64" spans="1:8" x14ac:dyDescent="0.2">
      <c r="A64" s="1"/>
      <c r="B64" s="1"/>
      <c r="C64" s="2" t="s">
        <v>95</v>
      </c>
      <c r="D64" s="1"/>
      <c r="E64" s="1" t="s">
        <v>96</v>
      </c>
      <c r="F64" s="13">
        <v>0</v>
      </c>
      <c r="G64" s="14">
        <v>0</v>
      </c>
      <c r="H64" s="69"/>
    </row>
    <row r="65" spans="1:8" x14ac:dyDescent="0.2">
      <c r="A65" s="1"/>
      <c r="B65" s="1"/>
      <c r="C65" s="11"/>
      <c r="D65" s="1"/>
      <c r="E65" s="1"/>
      <c r="F65" s="12"/>
      <c r="G65" s="12"/>
      <c r="H65" s="69"/>
    </row>
    <row r="66" spans="1:8" x14ac:dyDescent="0.2">
      <c r="A66" s="1"/>
      <c r="B66" s="1"/>
      <c r="C66" s="2" t="s">
        <v>99</v>
      </c>
      <c r="D66" s="1"/>
      <c r="E66" s="1"/>
      <c r="F66" s="1"/>
      <c r="G66" s="1"/>
      <c r="H66" s="69"/>
    </row>
    <row r="67" spans="1:8" x14ac:dyDescent="0.2">
      <c r="A67" s="1"/>
      <c r="B67" s="1"/>
      <c r="C67" s="2" t="s">
        <v>95</v>
      </c>
      <c r="D67" s="1"/>
      <c r="E67" s="1" t="s">
        <v>96</v>
      </c>
      <c r="F67" s="9">
        <v>360.76702</v>
      </c>
      <c r="G67" s="10">
        <v>0</v>
      </c>
      <c r="H67" s="69"/>
    </row>
    <row r="68" spans="1:8" x14ac:dyDescent="0.2">
      <c r="A68" s="1"/>
      <c r="B68" s="1"/>
      <c r="C68" s="11"/>
      <c r="D68" s="1"/>
      <c r="E68" s="1"/>
      <c r="F68" s="12"/>
      <c r="G68" s="12"/>
      <c r="H68" s="69"/>
    </row>
    <row r="69" spans="1:8" x14ac:dyDescent="0.2">
      <c r="A69" s="1"/>
      <c r="B69" s="1"/>
      <c r="C69" s="2" t="s">
        <v>100</v>
      </c>
      <c r="D69" s="1"/>
      <c r="E69" s="1"/>
      <c r="F69" s="12"/>
      <c r="G69" s="12"/>
      <c r="H69" s="69"/>
    </row>
    <row r="70" spans="1:8" x14ac:dyDescent="0.2">
      <c r="A70" s="1"/>
      <c r="B70" s="1"/>
      <c r="C70" s="2" t="s">
        <v>95</v>
      </c>
      <c r="D70" s="1"/>
      <c r="E70" s="1" t="s">
        <v>96</v>
      </c>
      <c r="F70" s="13">
        <v>0</v>
      </c>
      <c r="G70" s="14">
        <v>0</v>
      </c>
      <c r="H70" s="69"/>
    </row>
    <row r="71" spans="1:8" x14ac:dyDescent="0.2">
      <c r="A71" s="1"/>
      <c r="B71" s="1"/>
      <c r="C71" s="11"/>
      <c r="D71" s="1"/>
      <c r="E71" s="1"/>
      <c r="F71" s="12"/>
      <c r="G71" s="12"/>
      <c r="H71" s="69"/>
    </row>
    <row r="72" spans="1:8" x14ac:dyDescent="0.2">
      <c r="A72" s="1"/>
      <c r="B72" s="1"/>
      <c r="C72" s="2" t="s">
        <v>101</v>
      </c>
      <c r="D72" s="1"/>
      <c r="E72" s="1"/>
      <c r="F72" s="12"/>
      <c r="G72" s="12"/>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102</v>
      </c>
      <c r="D75" s="1"/>
      <c r="E75" s="1"/>
      <c r="F75" s="9">
        <v>167072.32969381701</v>
      </c>
      <c r="G75" s="10">
        <v>0.85745895999999999</v>
      </c>
      <c r="H75" s="69"/>
    </row>
    <row r="76" spans="1:8" x14ac:dyDescent="0.2">
      <c r="A76" s="1"/>
      <c r="B76" s="1"/>
      <c r="C76" s="11"/>
      <c r="D76" s="1"/>
      <c r="E76" s="1"/>
      <c r="F76" s="12"/>
      <c r="G76" s="12"/>
      <c r="H76" s="69"/>
    </row>
    <row r="77" spans="1:8" x14ac:dyDescent="0.2">
      <c r="A77" s="1"/>
      <c r="B77" s="1"/>
      <c r="C77" s="2" t="s">
        <v>103</v>
      </c>
      <c r="D77" s="1"/>
      <c r="E77" s="1"/>
      <c r="F77" s="12"/>
      <c r="G77" s="12"/>
      <c r="H77" s="69"/>
    </row>
    <row r="78" spans="1:8" ht="25.5" x14ac:dyDescent="0.2">
      <c r="A78" s="1"/>
      <c r="B78" s="1"/>
      <c r="C78" s="2" t="s">
        <v>10</v>
      </c>
      <c r="D78" s="1"/>
      <c r="E78" s="1"/>
      <c r="F78" s="12"/>
      <c r="G78" s="12"/>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104</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105</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106</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107</v>
      </c>
      <c r="D90" s="1"/>
      <c r="E90" s="1"/>
      <c r="F90" s="9">
        <v>0</v>
      </c>
      <c r="G90" s="10">
        <v>0</v>
      </c>
      <c r="H90" s="69"/>
    </row>
    <row r="91" spans="1:8" x14ac:dyDescent="0.2">
      <c r="A91" s="1"/>
      <c r="B91" s="1"/>
      <c r="C91" s="11"/>
      <c r="D91" s="1"/>
      <c r="E91" s="1"/>
      <c r="F91" s="12"/>
      <c r="G91" s="12"/>
      <c r="H91" s="69"/>
    </row>
    <row r="92" spans="1:8" x14ac:dyDescent="0.2">
      <c r="A92" s="1"/>
      <c r="B92" s="1"/>
      <c r="C92" s="2" t="s">
        <v>108</v>
      </c>
      <c r="D92" s="1"/>
      <c r="E92" s="1"/>
      <c r="F92" s="12"/>
      <c r="G92" s="12"/>
      <c r="H92" s="69"/>
    </row>
    <row r="93" spans="1:8" x14ac:dyDescent="0.2">
      <c r="A93" s="1"/>
      <c r="B93" s="1"/>
      <c r="C93" s="2" t="s">
        <v>109</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110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112</v>
      </c>
      <c r="D102" s="1"/>
      <c r="E102" s="1"/>
      <c r="F102" s="12"/>
      <c r="G102" s="12"/>
      <c r="H102" s="69"/>
    </row>
    <row r="103" spans="1:8" x14ac:dyDescent="0.2">
      <c r="A103" s="3">
        <v>1</v>
      </c>
      <c r="B103" s="4"/>
      <c r="C103" s="4" t="s">
        <v>113</v>
      </c>
      <c r="D103" s="4"/>
      <c r="E103" s="8"/>
      <c r="F103" s="6">
        <v>19618.0782225</v>
      </c>
      <c r="G103" s="7">
        <v>0.10068511600000001</v>
      </c>
      <c r="H103" s="6">
        <v>3.3628721504199861</v>
      </c>
    </row>
    <row r="104" spans="1:8" x14ac:dyDescent="0.2">
      <c r="A104" s="3">
        <v>2</v>
      </c>
      <c r="B104" s="4"/>
      <c r="C104" s="4" t="s">
        <v>114</v>
      </c>
      <c r="D104" s="4"/>
      <c r="E104" s="8"/>
      <c r="F104" s="6">
        <v>7576.3221833999996</v>
      </c>
      <c r="G104" s="7">
        <v>3.8883670000000002E-2</v>
      </c>
      <c r="H104" s="6">
        <v>3.4499999999999966</v>
      </c>
    </row>
    <row r="105" spans="1:8" x14ac:dyDescent="0.2">
      <c r="A105" s="1"/>
      <c r="B105" s="1"/>
      <c r="C105" s="2" t="s">
        <v>95</v>
      </c>
      <c r="D105" s="1"/>
      <c r="E105" s="1" t="s">
        <v>96</v>
      </c>
      <c r="F105" s="9">
        <v>27194.4004059</v>
      </c>
      <c r="G105" s="10">
        <v>0.139568786</v>
      </c>
      <c r="H105" s="69"/>
    </row>
    <row r="106" spans="1:8" x14ac:dyDescent="0.2">
      <c r="A106" s="1"/>
      <c r="B106" s="1"/>
      <c r="C106" s="11"/>
      <c r="D106" s="1"/>
      <c r="E106" s="1"/>
      <c r="F106" s="12"/>
      <c r="G106" s="12"/>
      <c r="H106" s="69"/>
    </row>
    <row r="107" spans="1:8" x14ac:dyDescent="0.2">
      <c r="A107" s="1"/>
      <c r="B107" s="1"/>
      <c r="C107" s="2" t="s">
        <v>115</v>
      </c>
      <c r="D107" s="1"/>
      <c r="E107" s="1"/>
      <c r="F107" s="9">
        <v>27194.4004059</v>
      </c>
      <c r="G107" s="10">
        <v>0.139568786</v>
      </c>
      <c r="H107" s="69"/>
    </row>
    <row r="108" spans="1:8" x14ac:dyDescent="0.2">
      <c r="A108" s="1"/>
      <c r="B108" s="1"/>
      <c r="C108" s="12"/>
      <c r="D108" s="1"/>
      <c r="E108" s="1"/>
      <c r="F108" s="1"/>
      <c r="G108" s="1"/>
      <c r="H108" s="69"/>
    </row>
    <row r="109" spans="1:8" x14ac:dyDescent="0.2">
      <c r="A109" s="1"/>
      <c r="B109" s="1"/>
      <c r="C109" s="2" t="s">
        <v>116</v>
      </c>
      <c r="D109" s="1"/>
      <c r="E109" s="1"/>
      <c r="F109" s="1"/>
      <c r="G109" s="1"/>
      <c r="H109" s="69"/>
    </row>
    <row r="110" spans="1:8" x14ac:dyDescent="0.2">
      <c r="A110" s="1"/>
      <c r="B110" s="1"/>
      <c r="C110" s="2" t="s">
        <v>117</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118</v>
      </c>
      <c r="D113" s="1"/>
      <c r="E113" s="1"/>
      <c r="F113" s="1"/>
      <c r="G113" s="1"/>
      <c r="H113" s="69"/>
    </row>
    <row r="114" spans="1:8" x14ac:dyDescent="0.2">
      <c r="A114" s="1"/>
      <c r="B114" s="1"/>
      <c r="C114" s="2" t="s">
        <v>119</v>
      </c>
      <c r="D114" s="1"/>
      <c r="E114" s="1"/>
      <c r="F114" s="1"/>
      <c r="G114" s="1"/>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11"/>
      <c r="D117" s="1"/>
      <c r="E117" s="1"/>
      <c r="F117" s="12"/>
      <c r="G117" s="12"/>
      <c r="H117" s="69"/>
    </row>
    <row r="118" spans="1:8" ht="25.5" x14ac:dyDescent="0.2">
      <c r="A118" s="1"/>
      <c r="B118" s="1"/>
      <c r="C118" s="2" t="s">
        <v>120</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4"/>
      <c r="C121" s="4"/>
      <c r="D121" s="2"/>
      <c r="E121" s="1"/>
      <c r="F121" s="4"/>
      <c r="G121" s="8"/>
      <c r="H121" s="69"/>
    </row>
    <row r="122" spans="1:8" x14ac:dyDescent="0.2">
      <c r="A122" s="8"/>
      <c r="B122" s="4"/>
      <c r="C122" s="4" t="s">
        <v>121</v>
      </c>
      <c r="D122" s="4"/>
      <c r="E122" s="8"/>
      <c r="F122" s="6">
        <v>579.13201154000126</v>
      </c>
      <c r="G122" s="7">
        <v>2.9722571742853681E-3</v>
      </c>
      <c r="H122" s="69"/>
    </row>
    <row r="123" spans="1:8" x14ac:dyDescent="0.2">
      <c r="A123" s="11"/>
      <c r="B123" s="11"/>
      <c r="C123" s="2" t="s">
        <v>122</v>
      </c>
      <c r="D123" s="15"/>
      <c r="E123" s="15"/>
      <c r="F123" s="9">
        <v>194845.86211125701</v>
      </c>
      <c r="G123" s="10">
        <v>1.0000000040000001</v>
      </c>
      <c r="H123" s="69"/>
    </row>
    <row r="124" spans="1:8" ht="14.1" customHeight="1" x14ac:dyDescent="0.2">
      <c r="A124" s="16"/>
      <c r="B124" s="16"/>
      <c r="C124" s="16"/>
      <c r="D124" s="17"/>
      <c r="E124" s="17"/>
      <c r="F124" s="17"/>
      <c r="G124" s="17"/>
    </row>
    <row r="125" spans="1:8" ht="14.1" customHeight="1" x14ac:dyDescent="0.2">
      <c r="A125" s="18"/>
      <c r="B125" s="176" t="s">
        <v>96</v>
      </c>
      <c r="C125" s="176"/>
      <c r="D125" s="176"/>
      <c r="E125" s="176"/>
      <c r="F125" s="176"/>
      <c r="G125" s="20"/>
    </row>
    <row r="126" spans="1:8" ht="14.1" customHeight="1" x14ac:dyDescent="0.2">
      <c r="A126" s="18"/>
      <c r="B126" s="176" t="s">
        <v>96</v>
      </c>
      <c r="C126" s="176"/>
      <c r="D126" s="176"/>
      <c r="E126" s="176"/>
      <c r="F126" s="176"/>
      <c r="G126" s="20"/>
    </row>
    <row r="127" spans="1:8" ht="14.1" customHeight="1" x14ac:dyDescent="0.2">
      <c r="A127" s="18"/>
      <c r="B127" s="18"/>
      <c r="C127" s="18"/>
      <c r="D127" s="20"/>
      <c r="E127" s="20"/>
      <c r="F127" s="20"/>
      <c r="G127" s="20"/>
    </row>
    <row r="128" spans="1:8" ht="14.1" customHeight="1" x14ac:dyDescent="0.2">
      <c r="A128" s="18"/>
      <c r="B128" s="174" t="s">
        <v>124</v>
      </c>
      <c r="C128" s="175"/>
      <c r="D128" s="12" t="s">
        <v>96</v>
      </c>
      <c r="E128" s="21"/>
      <c r="F128" s="20"/>
      <c r="G128" s="20"/>
    </row>
    <row r="129" spans="1:16" ht="29.1" customHeight="1" x14ac:dyDescent="0.2">
      <c r="A129" s="18"/>
      <c r="B129" s="172" t="s">
        <v>125</v>
      </c>
      <c r="C129" s="173"/>
      <c r="D129" s="2" t="s">
        <v>126</v>
      </c>
      <c r="E129" s="21"/>
      <c r="F129" s="20"/>
      <c r="G129" s="20"/>
    </row>
    <row r="130" spans="1:16" ht="17.100000000000001" customHeight="1" x14ac:dyDescent="0.2">
      <c r="A130" s="18"/>
      <c r="B130" s="172" t="s">
        <v>127</v>
      </c>
      <c r="C130" s="173"/>
      <c r="D130" s="2" t="s">
        <v>126</v>
      </c>
      <c r="E130" s="21"/>
      <c r="F130" s="20"/>
      <c r="G130" s="20"/>
    </row>
    <row r="131" spans="1:16" ht="17.100000000000001" customHeight="1" x14ac:dyDescent="0.2">
      <c r="A131" s="18"/>
      <c r="B131" s="172" t="s">
        <v>128</v>
      </c>
      <c r="C131" s="173"/>
      <c r="D131" s="12" t="s">
        <v>96</v>
      </c>
      <c r="E131" s="21"/>
      <c r="F131" s="20"/>
      <c r="G131" s="20"/>
    </row>
    <row r="132" spans="1:16" ht="24" customHeight="1" x14ac:dyDescent="0.2">
      <c r="A132" s="22"/>
      <c r="B132" s="23" t="s">
        <v>96</v>
      </c>
      <c r="C132" s="23" t="s">
        <v>129</v>
      </c>
      <c r="D132" s="23" t="s">
        <v>130</v>
      </c>
      <c r="E132" s="22"/>
      <c r="F132" s="22"/>
      <c r="G132" s="22"/>
    </row>
    <row r="133" spans="1:16" ht="18" customHeight="1" x14ac:dyDescent="0.2">
      <c r="A133" s="22"/>
      <c r="B133" s="23" t="s">
        <v>131</v>
      </c>
      <c r="C133" s="23" t="s">
        <v>132</v>
      </c>
      <c r="D133" s="23" t="s">
        <v>133</v>
      </c>
      <c r="E133" s="22"/>
      <c r="F133" s="22"/>
      <c r="G133" s="22"/>
    </row>
    <row r="134" spans="1:16" ht="17.100000000000001" customHeight="1" x14ac:dyDescent="0.2">
      <c r="A134" s="22"/>
      <c r="B134" s="4" t="s">
        <v>134</v>
      </c>
      <c r="C134" s="24">
        <v>21.931699999999999</v>
      </c>
      <c r="D134" s="24">
        <v>21.722999999999999</v>
      </c>
      <c r="E134" s="22"/>
      <c r="F134" s="19"/>
      <c r="G134" s="25"/>
    </row>
    <row r="135" spans="1:16" ht="17.100000000000001" customHeight="1" x14ac:dyDescent="0.2">
      <c r="A135" s="22"/>
      <c r="B135" s="4" t="s">
        <v>983</v>
      </c>
      <c r="C135" s="24">
        <v>18.691099999999999</v>
      </c>
      <c r="D135" s="24">
        <v>18.513200000000001</v>
      </c>
      <c r="E135" s="22"/>
      <c r="F135" s="19"/>
      <c r="G135" s="25"/>
    </row>
    <row r="136" spans="1:16" ht="17.100000000000001" customHeight="1" x14ac:dyDescent="0.2">
      <c r="A136" s="22"/>
      <c r="B136" s="4" t="s">
        <v>135</v>
      </c>
      <c r="C136" s="24">
        <v>21.223700000000001</v>
      </c>
      <c r="D136" s="24">
        <v>20.997199999999999</v>
      </c>
      <c r="E136" s="22"/>
      <c r="F136" s="19"/>
      <c r="G136" s="25"/>
    </row>
    <row r="137" spans="1:16" ht="17.100000000000001" customHeight="1" x14ac:dyDescent="0.2">
      <c r="A137" s="22"/>
      <c r="B137" s="4" t="s">
        <v>984</v>
      </c>
      <c r="C137" s="24">
        <v>18.071200000000001</v>
      </c>
      <c r="D137" s="24">
        <v>17.878299999999999</v>
      </c>
      <c r="E137" s="22"/>
      <c r="F137" s="19"/>
      <c r="G137" s="25"/>
    </row>
    <row r="138" spans="1:16" ht="14.1" customHeight="1" x14ac:dyDescent="0.2">
      <c r="A138" s="22"/>
      <c r="B138" s="22"/>
      <c r="C138" s="22"/>
      <c r="D138" s="22"/>
      <c r="E138" s="22"/>
      <c r="F138" s="22"/>
      <c r="G138" s="22"/>
      <c r="I138" s="82"/>
      <c r="J138" s="82"/>
      <c r="K138" s="82"/>
      <c r="L138" s="82"/>
      <c r="M138" s="82"/>
      <c r="N138" s="82"/>
      <c r="O138" s="82"/>
    </row>
    <row r="139" spans="1:16" ht="17.100000000000001" customHeight="1" x14ac:dyDescent="0.2">
      <c r="A139" s="22"/>
      <c r="B139" s="172" t="s">
        <v>985</v>
      </c>
      <c r="C139" s="173"/>
      <c r="D139" s="2" t="s">
        <v>126</v>
      </c>
      <c r="E139" s="22"/>
      <c r="F139" s="22"/>
      <c r="G139" s="22"/>
    </row>
    <row r="140" spans="1:16" ht="18" customHeight="1" x14ac:dyDescent="0.2">
      <c r="A140" s="22"/>
      <c r="B140" s="26" t="s">
        <v>136</v>
      </c>
      <c r="C140" s="26" t="s">
        <v>136</v>
      </c>
      <c r="D140" s="26"/>
      <c r="E140" s="22"/>
      <c r="F140" s="22"/>
      <c r="G140" s="22"/>
    </row>
    <row r="141" spans="1:16" s="82" customFormat="1" x14ac:dyDescent="0.2">
      <c r="B141" s="177" t="s">
        <v>936</v>
      </c>
      <c r="C141" s="177"/>
      <c r="D141" s="177"/>
      <c r="E141" s="177"/>
      <c r="F141" s="177"/>
      <c r="I141"/>
      <c r="J141"/>
      <c r="K141"/>
      <c r="L141"/>
      <c r="M141"/>
      <c r="N141"/>
      <c r="O141"/>
      <c r="P141" s="70"/>
    </row>
    <row r="142" spans="1:16" ht="14.1" customHeight="1" x14ac:dyDescent="0.2">
      <c r="A142" s="22"/>
      <c r="B142" s="19"/>
      <c r="C142" s="19"/>
      <c r="D142" s="22"/>
      <c r="E142" s="22"/>
      <c r="F142" s="22"/>
      <c r="G142" s="22"/>
    </row>
    <row r="143" spans="1:16" ht="29.1" customHeight="1" x14ac:dyDescent="0.2">
      <c r="A143" s="22"/>
      <c r="B143" s="172" t="s">
        <v>137</v>
      </c>
      <c r="C143" s="173"/>
      <c r="D143" s="2" t="s">
        <v>126</v>
      </c>
      <c r="E143" s="22"/>
      <c r="F143" s="22"/>
      <c r="G143" s="22"/>
    </row>
    <row r="144" spans="1:16" ht="29.1" customHeight="1" x14ac:dyDescent="0.2">
      <c r="A144" s="22"/>
      <c r="B144" s="172" t="s">
        <v>138</v>
      </c>
      <c r="C144" s="173"/>
      <c r="D144" s="2" t="s">
        <v>938</v>
      </c>
      <c r="E144" s="22"/>
      <c r="F144" s="22"/>
      <c r="G144" s="22"/>
    </row>
    <row r="145" spans="1:7" ht="17.100000000000001" customHeight="1" x14ac:dyDescent="0.2">
      <c r="A145" s="22"/>
      <c r="B145" s="172" t="s">
        <v>139</v>
      </c>
      <c r="C145" s="173"/>
      <c r="D145" s="27">
        <v>0.49450929477735828</v>
      </c>
      <c r="E145" s="22"/>
      <c r="F145" s="19"/>
      <c r="G145" s="25"/>
    </row>
    <row r="146" spans="1:7" ht="17.100000000000001" customHeight="1" x14ac:dyDescent="0.2">
      <c r="A146" s="22"/>
      <c r="B146" s="172" t="s">
        <v>140</v>
      </c>
      <c r="C146" s="173"/>
      <c r="D146" s="2" t="s">
        <v>126</v>
      </c>
      <c r="E146" s="22"/>
      <c r="F146" s="22"/>
      <c r="G146" s="22"/>
    </row>
  </sheetData>
  <mergeCells count="16">
    <mergeCell ref="B146:C146"/>
    <mergeCell ref="B129:C129"/>
    <mergeCell ref="B130:C130"/>
    <mergeCell ref="B131:C131"/>
    <mergeCell ref="B139:C139"/>
    <mergeCell ref="B143:C143"/>
    <mergeCell ref="B144:C144"/>
    <mergeCell ref="B141:F141"/>
    <mergeCell ref="A1:H1"/>
    <mergeCell ref="A2:H2"/>
    <mergeCell ref="A3:H3"/>
    <mergeCell ref="J2:N2"/>
    <mergeCell ref="B145:C145"/>
    <mergeCell ref="B128:C128"/>
    <mergeCell ref="B125:F125"/>
    <mergeCell ref="B126:F126"/>
  </mergeCell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P19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599</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501</v>
      </c>
      <c r="C7" s="4" t="s">
        <v>502</v>
      </c>
      <c r="D7" s="4" t="s">
        <v>83</v>
      </c>
      <c r="E7" s="5">
        <v>11840</v>
      </c>
      <c r="F7" s="6">
        <v>54.29824</v>
      </c>
      <c r="G7" s="7">
        <v>1.4137416999999999E-2</v>
      </c>
      <c r="H7" s="69"/>
    </row>
    <row r="8" spans="1:14" x14ac:dyDescent="0.2">
      <c r="A8" s="3">
        <v>2</v>
      </c>
      <c r="B8" s="4" t="s">
        <v>308</v>
      </c>
      <c r="C8" s="4" t="s">
        <v>309</v>
      </c>
      <c r="D8" s="4" t="s">
        <v>175</v>
      </c>
      <c r="E8" s="5">
        <v>858</v>
      </c>
      <c r="F8" s="6">
        <v>48.800894999999997</v>
      </c>
      <c r="G8" s="7">
        <v>1.2706095000000001E-2</v>
      </c>
      <c r="H8" s="69"/>
    </row>
    <row r="9" spans="1:14" x14ac:dyDescent="0.2">
      <c r="A9" s="3">
        <v>3</v>
      </c>
      <c r="B9" s="4" t="s">
        <v>600</v>
      </c>
      <c r="C9" s="4" t="s">
        <v>601</v>
      </c>
      <c r="D9" s="4" t="s">
        <v>32</v>
      </c>
      <c r="E9" s="5">
        <v>22244</v>
      </c>
      <c r="F9" s="6">
        <v>45.989469999999997</v>
      </c>
      <c r="G9" s="7">
        <v>1.1974096E-2</v>
      </c>
      <c r="H9" s="69"/>
    </row>
    <row r="10" spans="1:14" x14ac:dyDescent="0.2">
      <c r="A10" s="3">
        <v>4</v>
      </c>
      <c r="B10" s="4" t="s">
        <v>602</v>
      </c>
      <c r="C10" s="4" t="s">
        <v>603</v>
      </c>
      <c r="D10" s="4" t="s">
        <v>432</v>
      </c>
      <c r="E10" s="5">
        <v>13566</v>
      </c>
      <c r="F10" s="6">
        <v>45.968390999999997</v>
      </c>
      <c r="G10" s="7">
        <v>1.1968606999999999E-2</v>
      </c>
      <c r="H10" s="69"/>
    </row>
    <row r="11" spans="1:14" x14ac:dyDescent="0.2">
      <c r="A11" s="3">
        <v>5</v>
      </c>
      <c r="B11" s="4" t="s">
        <v>604</v>
      </c>
      <c r="C11" s="4" t="s">
        <v>605</v>
      </c>
      <c r="D11" s="4" t="s">
        <v>155</v>
      </c>
      <c r="E11" s="5">
        <v>661</v>
      </c>
      <c r="F11" s="6">
        <v>45.012117000000003</v>
      </c>
      <c r="G11" s="7">
        <v>1.1719626E-2</v>
      </c>
      <c r="H11" s="69"/>
    </row>
    <row r="12" spans="1:14" x14ac:dyDescent="0.2">
      <c r="A12" s="3">
        <v>6</v>
      </c>
      <c r="B12" s="4" t="s">
        <v>450</v>
      </c>
      <c r="C12" s="4" t="s">
        <v>451</v>
      </c>
      <c r="D12" s="4" t="s">
        <v>75</v>
      </c>
      <c r="E12" s="5">
        <v>1892</v>
      </c>
      <c r="F12" s="6">
        <v>44.944459999999999</v>
      </c>
      <c r="G12" s="7">
        <v>1.1702011E-2</v>
      </c>
      <c r="H12" s="69"/>
    </row>
    <row r="13" spans="1:14" x14ac:dyDescent="0.2">
      <c r="A13" s="3">
        <v>7</v>
      </c>
      <c r="B13" s="4" t="s">
        <v>606</v>
      </c>
      <c r="C13" s="4" t="s">
        <v>607</v>
      </c>
      <c r="D13" s="4" t="s">
        <v>32</v>
      </c>
      <c r="E13" s="5">
        <v>2489</v>
      </c>
      <c r="F13" s="6">
        <v>44.789555</v>
      </c>
      <c r="G13" s="7">
        <v>1.1661678999999999E-2</v>
      </c>
      <c r="H13" s="69"/>
    </row>
    <row r="14" spans="1:14" x14ac:dyDescent="0.2">
      <c r="A14" s="3">
        <v>8</v>
      </c>
      <c r="B14" s="4" t="s">
        <v>608</v>
      </c>
      <c r="C14" s="4" t="s">
        <v>609</v>
      </c>
      <c r="D14" s="4" t="s">
        <v>32</v>
      </c>
      <c r="E14" s="5">
        <v>3396</v>
      </c>
      <c r="F14" s="6">
        <v>43.991784000000003</v>
      </c>
      <c r="G14" s="7">
        <v>1.1453965999999999E-2</v>
      </c>
      <c r="H14" s="69"/>
    </row>
    <row r="15" spans="1:14" ht="15" x14ac:dyDescent="0.2">
      <c r="A15" s="3">
        <v>9</v>
      </c>
      <c r="B15" s="4" t="s">
        <v>351</v>
      </c>
      <c r="C15" s="4" t="s">
        <v>352</v>
      </c>
      <c r="D15" s="4" t="s">
        <v>22</v>
      </c>
      <c r="E15" s="5">
        <v>50576</v>
      </c>
      <c r="F15" s="6">
        <v>43.368920000000003</v>
      </c>
      <c r="G15" s="7">
        <v>1.1291794000000001E-2</v>
      </c>
      <c r="H15" s="69"/>
      <c r="J15" s="160" t="s">
        <v>1020</v>
      </c>
    </row>
    <row r="16" spans="1:14" x14ac:dyDescent="0.2">
      <c r="A16" s="3">
        <v>10</v>
      </c>
      <c r="B16" s="4" t="s">
        <v>610</v>
      </c>
      <c r="C16" s="4" t="s">
        <v>611</v>
      </c>
      <c r="D16" s="4" t="s">
        <v>646</v>
      </c>
      <c r="E16" s="5">
        <v>2598</v>
      </c>
      <c r="F16" s="6">
        <v>43.200842999999999</v>
      </c>
      <c r="G16" s="7">
        <v>1.1248032E-2</v>
      </c>
      <c r="H16" s="69"/>
    </row>
    <row r="17" spans="1:8" x14ac:dyDescent="0.2">
      <c r="A17" s="3">
        <v>11</v>
      </c>
      <c r="B17" s="4" t="s">
        <v>580</v>
      </c>
      <c r="C17" s="4" t="s">
        <v>581</v>
      </c>
      <c r="D17" s="4" t="s">
        <v>334</v>
      </c>
      <c r="E17" s="5">
        <v>904</v>
      </c>
      <c r="F17" s="6">
        <v>42.586536000000002</v>
      </c>
      <c r="G17" s="7">
        <v>1.1088087E-2</v>
      </c>
      <c r="H17" s="69"/>
    </row>
    <row r="18" spans="1:8" ht="25.5" x14ac:dyDescent="0.2">
      <c r="A18" s="3">
        <v>12</v>
      </c>
      <c r="B18" s="4" t="s">
        <v>485</v>
      </c>
      <c r="C18" s="4" t="s">
        <v>486</v>
      </c>
      <c r="D18" s="4" t="s">
        <v>207</v>
      </c>
      <c r="E18" s="5">
        <v>4814</v>
      </c>
      <c r="F18" s="6">
        <v>42.505212999999998</v>
      </c>
      <c r="G18" s="7">
        <v>1.1066914000000001E-2</v>
      </c>
      <c r="H18" s="69"/>
    </row>
    <row r="19" spans="1:8" ht="25.5" x14ac:dyDescent="0.2">
      <c r="A19" s="3">
        <v>13</v>
      </c>
      <c r="B19" s="4" t="s">
        <v>566</v>
      </c>
      <c r="C19" s="4" t="s">
        <v>567</v>
      </c>
      <c r="D19" s="4" t="s">
        <v>207</v>
      </c>
      <c r="E19" s="5">
        <v>282</v>
      </c>
      <c r="F19" s="6">
        <v>42.413082000000003</v>
      </c>
      <c r="G19" s="7">
        <v>1.1042926E-2</v>
      </c>
      <c r="H19" s="69"/>
    </row>
    <row r="20" spans="1:8" x14ac:dyDescent="0.2">
      <c r="A20" s="3">
        <v>14</v>
      </c>
      <c r="B20" s="4" t="s">
        <v>428</v>
      </c>
      <c r="C20" s="4" t="s">
        <v>429</v>
      </c>
      <c r="D20" s="4" t="s">
        <v>155</v>
      </c>
      <c r="E20" s="5">
        <v>2695</v>
      </c>
      <c r="F20" s="6">
        <v>41.542077499999998</v>
      </c>
      <c r="G20" s="7">
        <v>1.0816146E-2</v>
      </c>
      <c r="H20" s="69"/>
    </row>
    <row r="21" spans="1:8" x14ac:dyDescent="0.2">
      <c r="A21" s="3">
        <v>15</v>
      </c>
      <c r="B21" s="4" t="s">
        <v>185</v>
      </c>
      <c r="C21" s="4" t="s">
        <v>186</v>
      </c>
      <c r="D21" s="4" t="s">
        <v>16</v>
      </c>
      <c r="E21" s="5">
        <v>14009</v>
      </c>
      <c r="F21" s="6">
        <v>41.340558999999999</v>
      </c>
      <c r="G21" s="7">
        <v>1.0763676999999999E-2</v>
      </c>
      <c r="H21" s="69"/>
    </row>
    <row r="22" spans="1:8" x14ac:dyDescent="0.2">
      <c r="A22" s="3">
        <v>16</v>
      </c>
      <c r="B22" s="4" t="s">
        <v>416</v>
      </c>
      <c r="C22" s="4" t="s">
        <v>417</v>
      </c>
      <c r="D22" s="4" t="s">
        <v>22</v>
      </c>
      <c r="E22" s="5">
        <v>8761</v>
      </c>
      <c r="F22" s="6">
        <v>40.348785499999998</v>
      </c>
      <c r="G22" s="7">
        <v>1.0505453E-2</v>
      </c>
      <c r="H22" s="69"/>
    </row>
    <row r="23" spans="1:8" ht="25.5" x14ac:dyDescent="0.2">
      <c r="A23" s="3">
        <v>17</v>
      </c>
      <c r="B23" s="4" t="s">
        <v>612</v>
      </c>
      <c r="C23" s="4" t="s">
        <v>613</v>
      </c>
      <c r="D23" s="4" t="s">
        <v>45</v>
      </c>
      <c r="E23" s="5">
        <v>1874</v>
      </c>
      <c r="F23" s="6">
        <v>40.326605999999998</v>
      </c>
      <c r="G23" s="7">
        <v>1.0499678E-2</v>
      </c>
      <c r="H23" s="69"/>
    </row>
    <row r="24" spans="1:8" x14ac:dyDescent="0.2">
      <c r="A24" s="3">
        <v>18</v>
      </c>
      <c r="B24" s="4" t="s">
        <v>435</v>
      </c>
      <c r="C24" s="4" t="s">
        <v>436</v>
      </c>
      <c r="D24" s="4" t="s">
        <v>83</v>
      </c>
      <c r="E24" s="5">
        <v>4820</v>
      </c>
      <c r="F24" s="6">
        <v>40.271099999999997</v>
      </c>
      <c r="G24" s="7">
        <v>1.0485226E-2</v>
      </c>
      <c r="H24" s="69"/>
    </row>
    <row r="25" spans="1:8" x14ac:dyDescent="0.2">
      <c r="A25" s="3">
        <v>19</v>
      </c>
      <c r="B25" s="4" t="s">
        <v>614</v>
      </c>
      <c r="C25" s="4" t="s">
        <v>615</v>
      </c>
      <c r="D25" s="4" t="s">
        <v>160</v>
      </c>
      <c r="E25" s="5">
        <v>248</v>
      </c>
      <c r="F25" s="6">
        <v>40.097880000000004</v>
      </c>
      <c r="G25" s="7">
        <v>1.0440125999999999E-2</v>
      </c>
      <c r="H25" s="69"/>
    </row>
    <row r="26" spans="1:8" x14ac:dyDescent="0.2">
      <c r="A26" s="3">
        <v>20</v>
      </c>
      <c r="B26" s="4" t="s">
        <v>454</v>
      </c>
      <c r="C26" s="4" t="s">
        <v>455</v>
      </c>
      <c r="D26" s="4" t="s">
        <v>204</v>
      </c>
      <c r="E26" s="5">
        <v>4104</v>
      </c>
      <c r="F26" s="6">
        <v>39.862152000000002</v>
      </c>
      <c r="G26" s="7">
        <v>1.0378750000000001E-2</v>
      </c>
      <c r="H26" s="69"/>
    </row>
    <row r="27" spans="1:8" x14ac:dyDescent="0.2">
      <c r="A27" s="3">
        <v>21</v>
      </c>
      <c r="B27" s="4" t="s">
        <v>11</v>
      </c>
      <c r="C27" s="4" t="s">
        <v>12</v>
      </c>
      <c r="D27" s="4" t="s">
        <v>13</v>
      </c>
      <c r="E27" s="5">
        <v>2256</v>
      </c>
      <c r="F27" s="6">
        <v>39.812759999999997</v>
      </c>
      <c r="G27" s="7">
        <v>1.0365890000000001E-2</v>
      </c>
      <c r="H27" s="69"/>
    </row>
    <row r="28" spans="1:8" x14ac:dyDescent="0.2">
      <c r="A28" s="3">
        <v>22</v>
      </c>
      <c r="B28" s="4" t="s">
        <v>17</v>
      </c>
      <c r="C28" s="4" t="s">
        <v>18</v>
      </c>
      <c r="D28" s="4" t="s">
        <v>19</v>
      </c>
      <c r="E28" s="5">
        <v>5442</v>
      </c>
      <c r="F28" s="6">
        <v>39.631365000000002</v>
      </c>
      <c r="G28" s="7">
        <v>1.0318661E-2</v>
      </c>
      <c r="H28" s="69"/>
    </row>
    <row r="29" spans="1:8" x14ac:dyDescent="0.2">
      <c r="A29" s="3">
        <v>23</v>
      </c>
      <c r="B29" s="4" t="s">
        <v>616</v>
      </c>
      <c r="C29" s="4" t="s">
        <v>617</v>
      </c>
      <c r="D29" s="4" t="s">
        <v>204</v>
      </c>
      <c r="E29" s="5">
        <v>10983</v>
      </c>
      <c r="F29" s="6">
        <v>39.582732</v>
      </c>
      <c r="G29" s="7">
        <v>1.0305999E-2</v>
      </c>
      <c r="H29" s="69"/>
    </row>
    <row r="30" spans="1:8" ht="25.5" x14ac:dyDescent="0.2">
      <c r="A30" s="3">
        <v>24</v>
      </c>
      <c r="B30" s="4" t="s">
        <v>618</v>
      </c>
      <c r="C30" s="4" t="s">
        <v>619</v>
      </c>
      <c r="D30" s="4" t="s">
        <v>974</v>
      </c>
      <c r="E30" s="5">
        <v>2372</v>
      </c>
      <c r="F30" s="6">
        <v>39.433314000000003</v>
      </c>
      <c r="G30" s="7">
        <v>1.0267095E-2</v>
      </c>
      <c r="H30" s="69"/>
    </row>
    <row r="31" spans="1:8" x14ac:dyDescent="0.2">
      <c r="A31" s="3">
        <v>25</v>
      </c>
      <c r="B31" s="4" t="s">
        <v>412</v>
      </c>
      <c r="C31" s="4" t="s">
        <v>413</v>
      </c>
      <c r="D31" s="4" t="s">
        <v>155</v>
      </c>
      <c r="E31" s="5">
        <v>2292</v>
      </c>
      <c r="F31" s="6">
        <v>39.253937999999998</v>
      </c>
      <c r="G31" s="7">
        <v>1.0220392E-2</v>
      </c>
      <c r="H31" s="69"/>
    </row>
    <row r="32" spans="1:8" x14ac:dyDescent="0.2">
      <c r="A32" s="3">
        <v>26</v>
      </c>
      <c r="B32" s="4" t="s">
        <v>620</v>
      </c>
      <c r="C32" s="4" t="s">
        <v>621</v>
      </c>
      <c r="D32" s="4" t="s">
        <v>32</v>
      </c>
      <c r="E32" s="5">
        <v>30847</v>
      </c>
      <c r="F32" s="6">
        <v>39.252807500000003</v>
      </c>
      <c r="G32" s="7">
        <v>1.0220098E-2</v>
      </c>
      <c r="H32" s="69"/>
    </row>
    <row r="33" spans="1:8" x14ac:dyDescent="0.2">
      <c r="A33" s="3">
        <v>27</v>
      </c>
      <c r="B33" s="4" t="s">
        <v>622</v>
      </c>
      <c r="C33" s="4" t="s">
        <v>623</v>
      </c>
      <c r="D33" s="4" t="s">
        <v>78</v>
      </c>
      <c r="E33" s="5">
        <v>779</v>
      </c>
      <c r="F33" s="6">
        <v>39.244461999999999</v>
      </c>
      <c r="G33" s="7">
        <v>1.0217924999999999E-2</v>
      </c>
      <c r="H33" s="69"/>
    </row>
    <row r="34" spans="1:8" x14ac:dyDescent="0.2">
      <c r="A34" s="3">
        <v>28</v>
      </c>
      <c r="B34" s="4" t="s">
        <v>624</v>
      </c>
      <c r="C34" s="4" t="s">
        <v>625</v>
      </c>
      <c r="D34" s="4" t="s">
        <v>75</v>
      </c>
      <c r="E34" s="5">
        <v>2881</v>
      </c>
      <c r="F34" s="6">
        <v>39.191683500000003</v>
      </c>
      <c r="G34" s="7">
        <v>1.0204183E-2</v>
      </c>
      <c r="H34" s="69"/>
    </row>
    <row r="35" spans="1:8" x14ac:dyDescent="0.2">
      <c r="A35" s="3">
        <v>29</v>
      </c>
      <c r="B35" s="4" t="s">
        <v>60</v>
      </c>
      <c r="C35" s="4" t="s">
        <v>61</v>
      </c>
      <c r="D35" s="4" t="s">
        <v>62</v>
      </c>
      <c r="E35" s="5">
        <v>27562</v>
      </c>
      <c r="F35" s="6">
        <v>39.165602</v>
      </c>
      <c r="G35" s="7">
        <v>1.0197392E-2</v>
      </c>
      <c r="H35" s="69"/>
    </row>
    <row r="36" spans="1:8" ht="25.5" x14ac:dyDescent="0.2">
      <c r="A36" s="3">
        <v>30</v>
      </c>
      <c r="B36" s="4" t="s">
        <v>570</v>
      </c>
      <c r="C36" s="4" t="s">
        <v>571</v>
      </c>
      <c r="D36" s="4" t="s">
        <v>207</v>
      </c>
      <c r="E36" s="5">
        <v>7263</v>
      </c>
      <c r="F36" s="6">
        <v>39.100360500000001</v>
      </c>
      <c r="G36" s="7">
        <v>1.0180405999999999E-2</v>
      </c>
      <c r="H36" s="69"/>
    </row>
    <row r="37" spans="1:8" x14ac:dyDescent="0.2">
      <c r="A37" s="3">
        <v>31</v>
      </c>
      <c r="B37" s="4" t="s">
        <v>626</v>
      </c>
      <c r="C37" s="4" t="s">
        <v>627</v>
      </c>
      <c r="D37" s="4" t="s">
        <v>204</v>
      </c>
      <c r="E37" s="5">
        <v>1284</v>
      </c>
      <c r="F37" s="6">
        <v>39.059922</v>
      </c>
      <c r="G37" s="7">
        <v>1.0169877000000001E-2</v>
      </c>
      <c r="H37" s="69"/>
    </row>
    <row r="38" spans="1:8" x14ac:dyDescent="0.2">
      <c r="A38" s="3">
        <v>32</v>
      </c>
      <c r="B38" s="4" t="s">
        <v>439</v>
      </c>
      <c r="C38" s="4" t="s">
        <v>440</v>
      </c>
      <c r="D38" s="4" t="s">
        <v>204</v>
      </c>
      <c r="E38" s="5">
        <v>793</v>
      </c>
      <c r="F38" s="6">
        <v>38.688884000000002</v>
      </c>
      <c r="G38" s="7">
        <v>1.0073271E-2</v>
      </c>
      <c r="H38" s="69"/>
    </row>
    <row r="39" spans="1:8" x14ac:dyDescent="0.2">
      <c r="A39" s="3">
        <v>33</v>
      </c>
      <c r="B39" s="4" t="s">
        <v>424</v>
      </c>
      <c r="C39" s="4" t="s">
        <v>425</v>
      </c>
      <c r="D39" s="4" t="s">
        <v>204</v>
      </c>
      <c r="E39" s="5">
        <v>5132</v>
      </c>
      <c r="F39" s="6">
        <v>38.674751999999998</v>
      </c>
      <c r="G39" s="7">
        <v>1.0069592E-2</v>
      </c>
      <c r="H39" s="69"/>
    </row>
    <row r="40" spans="1:8" x14ac:dyDescent="0.2">
      <c r="A40" s="3">
        <v>34</v>
      </c>
      <c r="B40" s="4" t="s">
        <v>49</v>
      </c>
      <c r="C40" s="4" t="s">
        <v>50</v>
      </c>
      <c r="D40" s="4" t="s">
        <v>16</v>
      </c>
      <c r="E40" s="5">
        <v>32394</v>
      </c>
      <c r="F40" s="6">
        <v>38.532662999999999</v>
      </c>
      <c r="G40" s="7">
        <v>1.0032596E-2</v>
      </c>
      <c r="H40" s="69"/>
    </row>
    <row r="41" spans="1:8" ht="25.5" x14ac:dyDescent="0.2">
      <c r="A41" s="3">
        <v>35</v>
      </c>
      <c r="B41" s="4" t="s">
        <v>628</v>
      </c>
      <c r="C41" s="4" t="s">
        <v>629</v>
      </c>
      <c r="D41" s="4" t="s">
        <v>974</v>
      </c>
      <c r="E41" s="5">
        <v>1684</v>
      </c>
      <c r="F41" s="6">
        <v>38.502975999999997</v>
      </c>
      <c r="G41" s="7">
        <v>1.0024867E-2</v>
      </c>
      <c r="H41" s="69"/>
    </row>
    <row r="42" spans="1:8" x14ac:dyDescent="0.2">
      <c r="A42" s="3">
        <v>36</v>
      </c>
      <c r="B42" s="4" t="s">
        <v>20</v>
      </c>
      <c r="C42" s="4" t="s">
        <v>21</v>
      </c>
      <c r="D42" s="4" t="s">
        <v>22</v>
      </c>
      <c r="E42" s="5">
        <v>5380</v>
      </c>
      <c r="F42" s="6">
        <v>38.432029999999997</v>
      </c>
      <c r="G42" s="7">
        <v>1.0006395E-2</v>
      </c>
      <c r="H42" s="69"/>
    </row>
    <row r="43" spans="1:8" x14ac:dyDescent="0.2">
      <c r="A43" s="3">
        <v>37</v>
      </c>
      <c r="B43" s="4" t="s">
        <v>422</v>
      </c>
      <c r="C43" s="4" t="s">
        <v>423</v>
      </c>
      <c r="D43" s="4" t="s">
        <v>155</v>
      </c>
      <c r="E43" s="5">
        <v>6029</v>
      </c>
      <c r="F43" s="6">
        <v>38.419802500000003</v>
      </c>
      <c r="G43" s="7">
        <v>1.0003211E-2</v>
      </c>
      <c r="H43" s="69"/>
    </row>
    <row r="44" spans="1:8" x14ac:dyDescent="0.2">
      <c r="A44" s="3">
        <v>38</v>
      </c>
      <c r="B44" s="4" t="s">
        <v>630</v>
      </c>
      <c r="C44" s="4" t="s">
        <v>631</v>
      </c>
      <c r="D44" s="4" t="s">
        <v>204</v>
      </c>
      <c r="E44" s="5">
        <v>818</v>
      </c>
      <c r="F44" s="6">
        <v>38.248452999999998</v>
      </c>
      <c r="G44" s="7">
        <v>9.9585980000000008E-3</v>
      </c>
      <c r="H44" s="69"/>
    </row>
    <row r="45" spans="1:8" ht="25.5" x14ac:dyDescent="0.2">
      <c r="A45" s="3">
        <v>39</v>
      </c>
      <c r="B45" s="4" t="s">
        <v>23</v>
      </c>
      <c r="C45" s="4" t="s">
        <v>24</v>
      </c>
      <c r="D45" s="4" t="s">
        <v>974</v>
      </c>
      <c r="E45" s="5">
        <v>513</v>
      </c>
      <c r="F45" s="6">
        <v>38.135137499999999</v>
      </c>
      <c r="G45" s="7">
        <v>9.9290939999999994E-3</v>
      </c>
      <c r="H45" s="69"/>
    </row>
    <row r="46" spans="1:8" x14ac:dyDescent="0.2">
      <c r="A46" s="3">
        <v>40</v>
      </c>
      <c r="B46" s="4" t="s">
        <v>632</v>
      </c>
      <c r="C46" s="4" t="s">
        <v>633</v>
      </c>
      <c r="D46" s="4" t="s">
        <v>22</v>
      </c>
      <c r="E46" s="5">
        <v>101723</v>
      </c>
      <c r="F46" s="6">
        <v>37.942678999999998</v>
      </c>
      <c r="G46" s="7">
        <v>9.8789849999999998E-3</v>
      </c>
      <c r="H46" s="69"/>
    </row>
    <row r="47" spans="1:8" ht="25.5" x14ac:dyDescent="0.2">
      <c r="A47" s="3">
        <v>41</v>
      </c>
      <c r="B47" s="4" t="s">
        <v>312</v>
      </c>
      <c r="C47" s="4" t="s">
        <v>313</v>
      </c>
      <c r="D47" s="4" t="s">
        <v>78</v>
      </c>
      <c r="E47" s="5">
        <v>6890</v>
      </c>
      <c r="F47" s="6">
        <v>37.929450000000003</v>
      </c>
      <c r="G47" s="7">
        <v>9.8755400000000004E-3</v>
      </c>
      <c r="H47" s="69"/>
    </row>
    <row r="48" spans="1:8" x14ac:dyDescent="0.2">
      <c r="A48" s="3">
        <v>42</v>
      </c>
      <c r="B48" s="4" t="s">
        <v>355</v>
      </c>
      <c r="C48" s="4" t="s">
        <v>356</v>
      </c>
      <c r="D48" s="4" t="s">
        <v>65</v>
      </c>
      <c r="E48" s="5">
        <v>11021</v>
      </c>
      <c r="F48" s="6">
        <v>37.862645499999999</v>
      </c>
      <c r="G48" s="7">
        <v>9.8581469999999994E-3</v>
      </c>
      <c r="H48" s="69"/>
    </row>
    <row r="49" spans="1:8" x14ac:dyDescent="0.2">
      <c r="A49" s="3">
        <v>43</v>
      </c>
      <c r="B49" s="4" t="s">
        <v>441</v>
      </c>
      <c r="C49" s="4" t="s">
        <v>442</v>
      </c>
      <c r="D49" s="4" t="s">
        <v>22</v>
      </c>
      <c r="E49" s="5">
        <v>1929</v>
      </c>
      <c r="F49" s="6">
        <v>37.845050999999998</v>
      </c>
      <c r="G49" s="7">
        <v>9.8535659999999994E-3</v>
      </c>
      <c r="H49" s="69"/>
    </row>
    <row r="50" spans="1:8" ht="25.5" x14ac:dyDescent="0.2">
      <c r="A50" s="3">
        <v>44</v>
      </c>
      <c r="B50" s="4" t="s">
        <v>568</v>
      </c>
      <c r="C50" s="4" t="s">
        <v>569</v>
      </c>
      <c r="D50" s="4" t="s">
        <v>207</v>
      </c>
      <c r="E50" s="5">
        <v>197</v>
      </c>
      <c r="F50" s="6">
        <v>37.730523499999997</v>
      </c>
      <c r="G50" s="7">
        <v>9.8237470000000007E-3</v>
      </c>
      <c r="H50" s="69"/>
    </row>
    <row r="51" spans="1:8" x14ac:dyDescent="0.2">
      <c r="A51" s="3">
        <v>45</v>
      </c>
      <c r="B51" s="4" t="s">
        <v>634</v>
      </c>
      <c r="C51" s="4" t="s">
        <v>635</v>
      </c>
      <c r="D51" s="4" t="s">
        <v>22</v>
      </c>
      <c r="E51" s="5">
        <v>303634</v>
      </c>
      <c r="F51" s="6">
        <v>37.650615999999999</v>
      </c>
      <c r="G51" s="7">
        <v>9.8029410000000008E-3</v>
      </c>
      <c r="H51" s="69"/>
    </row>
    <row r="52" spans="1:8" x14ac:dyDescent="0.2">
      <c r="A52" s="3">
        <v>46</v>
      </c>
      <c r="B52" s="4" t="s">
        <v>418</v>
      </c>
      <c r="C52" s="4" t="s">
        <v>419</v>
      </c>
      <c r="D52" s="4" t="s">
        <v>982</v>
      </c>
      <c r="E52" s="5">
        <v>3231</v>
      </c>
      <c r="F52" s="6">
        <v>37.497370500000002</v>
      </c>
      <c r="G52" s="7">
        <v>9.7630410000000001E-3</v>
      </c>
      <c r="H52" s="69"/>
    </row>
    <row r="53" spans="1:8" x14ac:dyDescent="0.2">
      <c r="A53" s="3">
        <v>47</v>
      </c>
      <c r="B53" s="4" t="s">
        <v>636</v>
      </c>
      <c r="C53" s="4" t="s">
        <v>637</v>
      </c>
      <c r="D53" s="4" t="s">
        <v>78</v>
      </c>
      <c r="E53" s="5">
        <v>2627</v>
      </c>
      <c r="F53" s="6">
        <v>37.466273999999999</v>
      </c>
      <c r="G53" s="7">
        <v>9.7549449999999992E-3</v>
      </c>
      <c r="H53" s="69"/>
    </row>
    <row r="54" spans="1:8" x14ac:dyDescent="0.2">
      <c r="A54" s="3">
        <v>48</v>
      </c>
      <c r="B54" s="4" t="s">
        <v>589</v>
      </c>
      <c r="C54" s="4" t="s">
        <v>590</v>
      </c>
      <c r="D54" s="4" t="s">
        <v>982</v>
      </c>
      <c r="E54" s="5">
        <v>5497</v>
      </c>
      <c r="F54" s="6">
        <v>37.423575999999997</v>
      </c>
      <c r="G54" s="7">
        <v>9.7438279999999995E-3</v>
      </c>
      <c r="H54" s="69"/>
    </row>
    <row r="55" spans="1:8" x14ac:dyDescent="0.2">
      <c r="A55" s="3">
        <v>49</v>
      </c>
      <c r="B55" s="4" t="s">
        <v>384</v>
      </c>
      <c r="C55" s="4" t="s">
        <v>385</v>
      </c>
      <c r="D55" s="4" t="s">
        <v>982</v>
      </c>
      <c r="E55" s="5">
        <v>217</v>
      </c>
      <c r="F55" s="6">
        <v>37.405049499999997</v>
      </c>
      <c r="G55" s="7">
        <v>9.7390040000000008E-3</v>
      </c>
      <c r="H55" s="69"/>
    </row>
    <row r="56" spans="1:8" x14ac:dyDescent="0.2">
      <c r="A56" s="3">
        <v>50</v>
      </c>
      <c r="B56" s="4" t="s">
        <v>562</v>
      </c>
      <c r="C56" s="4" t="s">
        <v>563</v>
      </c>
      <c r="D56" s="4" t="s">
        <v>83</v>
      </c>
      <c r="E56" s="5">
        <v>529</v>
      </c>
      <c r="F56" s="6">
        <v>37.388661999999997</v>
      </c>
      <c r="G56" s="7">
        <v>9.7347370000000003E-3</v>
      </c>
      <c r="H56" s="69"/>
    </row>
    <row r="57" spans="1:8" x14ac:dyDescent="0.2">
      <c r="A57" s="3">
        <v>51</v>
      </c>
      <c r="B57" s="4" t="s">
        <v>14</v>
      </c>
      <c r="C57" s="4" t="s">
        <v>15</v>
      </c>
      <c r="D57" s="4" t="s">
        <v>16</v>
      </c>
      <c r="E57" s="5">
        <v>1554</v>
      </c>
      <c r="F57" s="6">
        <v>37.379916000000001</v>
      </c>
      <c r="G57" s="7">
        <v>9.7324600000000001E-3</v>
      </c>
      <c r="H57" s="69"/>
    </row>
    <row r="58" spans="1:8" ht="25.5" x14ac:dyDescent="0.2">
      <c r="A58" s="3">
        <v>52</v>
      </c>
      <c r="B58" s="4" t="s">
        <v>496</v>
      </c>
      <c r="C58" s="4" t="s">
        <v>497</v>
      </c>
      <c r="D58" s="4" t="s">
        <v>207</v>
      </c>
      <c r="E58" s="5">
        <v>6277</v>
      </c>
      <c r="F58" s="6">
        <v>37.345011499999998</v>
      </c>
      <c r="G58" s="7">
        <v>9.7233719999999992E-3</v>
      </c>
      <c r="H58" s="69"/>
    </row>
    <row r="59" spans="1:8" x14ac:dyDescent="0.2">
      <c r="A59" s="3">
        <v>53</v>
      </c>
      <c r="B59" s="4" t="s">
        <v>638</v>
      </c>
      <c r="C59" s="4" t="s">
        <v>639</v>
      </c>
      <c r="D59" s="4" t="s">
        <v>22</v>
      </c>
      <c r="E59" s="5">
        <v>13686</v>
      </c>
      <c r="F59" s="6">
        <v>37.287506999999998</v>
      </c>
      <c r="G59" s="7">
        <v>9.7084000000000007E-3</v>
      </c>
      <c r="H59" s="69"/>
    </row>
    <row r="60" spans="1:8" ht="25.5" x14ac:dyDescent="0.2">
      <c r="A60" s="3">
        <v>54</v>
      </c>
      <c r="B60" s="4" t="s">
        <v>404</v>
      </c>
      <c r="C60" s="4" t="s">
        <v>405</v>
      </c>
      <c r="D60" s="4" t="s">
        <v>207</v>
      </c>
      <c r="E60" s="5">
        <v>4767</v>
      </c>
      <c r="F60" s="6">
        <v>37.115862</v>
      </c>
      <c r="G60" s="7">
        <v>9.6637100000000007E-3</v>
      </c>
      <c r="H60" s="69"/>
    </row>
    <row r="61" spans="1:8" ht="25.5" x14ac:dyDescent="0.2">
      <c r="A61" s="3">
        <v>55</v>
      </c>
      <c r="B61" s="4" t="s">
        <v>414</v>
      </c>
      <c r="C61" s="4" t="s">
        <v>415</v>
      </c>
      <c r="D61" s="4" t="s">
        <v>78</v>
      </c>
      <c r="E61" s="5">
        <v>1387</v>
      </c>
      <c r="F61" s="6">
        <v>37.075896999999998</v>
      </c>
      <c r="G61" s="7">
        <v>9.6533039999999997E-3</v>
      </c>
      <c r="H61" s="69"/>
    </row>
    <row r="62" spans="1:8" x14ac:dyDescent="0.2">
      <c r="A62" s="3">
        <v>56</v>
      </c>
      <c r="B62" s="4" t="s">
        <v>640</v>
      </c>
      <c r="C62" s="4" t="s">
        <v>641</v>
      </c>
      <c r="D62" s="4" t="s">
        <v>204</v>
      </c>
      <c r="E62" s="5">
        <v>4187</v>
      </c>
      <c r="F62" s="6">
        <v>37.029828000000002</v>
      </c>
      <c r="G62" s="7">
        <v>9.6413090000000007E-3</v>
      </c>
      <c r="H62" s="69"/>
    </row>
    <row r="63" spans="1:8" x14ac:dyDescent="0.2">
      <c r="A63" s="3">
        <v>57</v>
      </c>
      <c r="B63" s="4" t="s">
        <v>642</v>
      </c>
      <c r="C63" s="4" t="s">
        <v>643</v>
      </c>
      <c r="D63" s="4" t="s">
        <v>367</v>
      </c>
      <c r="E63" s="5">
        <v>5427</v>
      </c>
      <c r="F63" s="6">
        <v>36.995859000000003</v>
      </c>
      <c r="G63" s="7">
        <v>9.6324649999999998E-3</v>
      </c>
      <c r="H63" s="69"/>
    </row>
    <row r="64" spans="1:8" x14ac:dyDescent="0.2">
      <c r="A64" s="3">
        <v>58</v>
      </c>
      <c r="B64" s="4" t="s">
        <v>644</v>
      </c>
      <c r="C64" s="4" t="s">
        <v>645</v>
      </c>
      <c r="D64" s="4" t="s">
        <v>646</v>
      </c>
      <c r="E64" s="5">
        <v>27716</v>
      </c>
      <c r="F64" s="6">
        <v>36.820706000000001</v>
      </c>
      <c r="G64" s="7">
        <v>9.5868610000000003E-3</v>
      </c>
      <c r="H64" s="69"/>
    </row>
    <row r="65" spans="1:8" x14ac:dyDescent="0.2">
      <c r="A65" s="3">
        <v>59</v>
      </c>
      <c r="B65" s="4" t="s">
        <v>647</v>
      </c>
      <c r="C65" s="4" t="s">
        <v>648</v>
      </c>
      <c r="D65" s="4" t="s">
        <v>65</v>
      </c>
      <c r="E65" s="5">
        <v>6051</v>
      </c>
      <c r="F65" s="6">
        <v>36.814284000000001</v>
      </c>
      <c r="G65" s="7">
        <v>9.5851889999999992E-3</v>
      </c>
      <c r="H65" s="69"/>
    </row>
    <row r="66" spans="1:8" ht="25.5" x14ac:dyDescent="0.2">
      <c r="A66" s="3">
        <v>60</v>
      </c>
      <c r="B66" s="4" t="s">
        <v>458</v>
      </c>
      <c r="C66" s="4" t="s">
        <v>459</v>
      </c>
      <c r="D66" s="4" t="s">
        <v>982</v>
      </c>
      <c r="E66" s="5">
        <v>2553</v>
      </c>
      <c r="F66" s="6">
        <v>36.695545500000001</v>
      </c>
      <c r="G66" s="7">
        <v>9.5542730000000003E-3</v>
      </c>
      <c r="H66" s="69"/>
    </row>
    <row r="67" spans="1:8" x14ac:dyDescent="0.2">
      <c r="A67" s="3">
        <v>61</v>
      </c>
      <c r="B67" s="4" t="s">
        <v>347</v>
      </c>
      <c r="C67" s="4" t="s">
        <v>348</v>
      </c>
      <c r="D67" s="4" t="s">
        <v>204</v>
      </c>
      <c r="E67" s="5">
        <v>1020</v>
      </c>
      <c r="F67" s="6">
        <v>36.570569999999996</v>
      </c>
      <c r="G67" s="7">
        <v>9.5217340000000004E-3</v>
      </c>
      <c r="H67" s="69"/>
    </row>
    <row r="68" spans="1:8" x14ac:dyDescent="0.2">
      <c r="A68" s="3">
        <v>62</v>
      </c>
      <c r="B68" s="4" t="s">
        <v>420</v>
      </c>
      <c r="C68" s="4" t="s">
        <v>421</v>
      </c>
      <c r="D68" s="4" t="s">
        <v>155</v>
      </c>
      <c r="E68" s="5">
        <v>1036</v>
      </c>
      <c r="F68" s="6">
        <v>36.561993999999999</v>
      </c>
      <c r="G68" s="7">
        <v>9.5195009999999997E-3</v>
      </c>
      <c r="H68" s="69"/>
    </row>
    <row r="69" spans="1:8" ht="25.5" x14ac:dyDescent="0.2">
      <c r="A69" s="3">
        <v>63</v>
      </c>
      <c r="B69" s="4" t="s">
        <v>437</v>
      </c>
      <c r="C69" s="4" t="s">
        <v>438</v>
      </c>
      <c r="D69" s="4" t="s">
        <v>207</v>
      </c>
      <c r="E69" s="5">
        <v>16523</v>
      </c>
      <c r="F69" s="6">
        <v>36.540614499999997</v>
      </c>
      <c r="G69" s="7">
        <v>9.5139349999999994E-3</v>
      </c>
      <c r="H69" s="69"/>
    </row>
    <row r="70" spans="1:8" x14ac:dyDescent="0.2">
      <c r="A70" s="3">
        <v>64</v>
      </c>
      <c r="B70" s="4" t="s">
        <v>649</v>
      </c>
      <c r="C70" s="4" t="s">
        <v>650</v>
      </c>
      <c r="D70" s="4" t="s">
        <v>48</v>
      </c>
      <c r="E70" s="5">
        <v>1914</v>
      </c>
      <c r="F70" s="6">
        <v>36.462657</v>
      </c>
      <c r="G70" s="7">
        <v>9.4936369999999992E-3</v>
      </c>
      <c r="H70" s="69"/>
    </row>
    <row r="71" spans="1:8" x14ac:dyDescent="0.2">
      <c r="A71" s="3">
        <v>65</v>
      </c>
      <c r="B71" s="4" t="s">
        <v>84</v>
      </c>
      <c r="C71" s="4" t="s">
        <v>85</v>
      </c>
      <c r="D71" s="4" t="s">
        <v>70</v>
      </c>
      <c r="E71" s="5">
        <v>7516</v>
      </c>
      <c r="F71" s="6">
        <v>36.396230000000003</v>
      </c>
      <c r="G71" s="7">
        <v>9.4763420000000004E-3</v>
      </c>
      <c r="H71" s="69"/>
    </row>
    <row r="72" spans="1:8" x14ac:dyDescent="0.2">
      <c r="A72" s="3">
        <v>66</v>
      </c>
      <c r="B72" s="4" t="s">
        <v>410</v>
      </c>
      <c r="C72" s="4" t="s">
        <v>411</v>
      </c>
      <c r="D72" s="4" t="s">
        <v>22</v>
      </c>
      <c r="E72" s="5">
        <v>2429</v>
      </c>
      <c r="F72" s="6">
        <v>36.278329499999998</v>
      </c>
      <c r="G72" s="7">
        <v>9.4456450000000008E-3</v>
      </c>
      <c r="H72" s="69"/>
    </row>
    <row r="73" spans="1:8" x14ac:dyDescent="0.2">
      <c r="A73" s="3">
        <v>67</v>
      </c>
      <c r="B73" s="4" t="s">
        <v>651</v>
      </c>
      <c r="C73" s="4" t="s">
        <v>652</v>
      </c>
      <c r="D73" s="4" t="s">
        <v>19</v>
      </c>
      <c r="E73" s="5">
        <v>12714</v>
      </c>
      <c r="F73" s="6">
        <v>36.164973000000003</v>
      </c>
      <c r="G73" s="7">
        <v>9.41613E-3</v>
      </c>
      <c r="H73" s="69"/>
    </row>
    <row r="74" spans="1:8" x14ac:dyDescent="0.2">
      <c r="A74" s="3">
        <v>68</v>
      </c>
      <c r="B74" s="4" t="s">
        <v>63</v>
      </c>
      <c r="C74" s="4" t="s">
        <v>64</v>
      </c>
      <c r="D74" s="4" t="s">
        <v>65</v>
      </c>
      <c r="E74" s="5">
        <v>36108</v>
      </c>
      <c r="F74" s="6">
        <v>36.126054000000003</v>
      </c>
      <c r="G74" s="7">
        <v>9.4059969999999993E-3</v>
      </c>
      <c r="H74" s="69"/>
    </row>
    <row r="75" spans="1:8" ht="25.5" x14ac:dyDescent="0.2">
      <c r="A75" s="3">
        <v>69</v>
      </c>
      <c r="B75" s="4" t="s">
        <v>560</v>
      </c>
      <c r="C75" s="4" t="s">
        <v>561</v>
      </c>
      <c r="D75" s="4" t="s">
        <v>207</v>
      </c>
      <c r="E75" s="5">
        <v>1149</v>
      </c>
      <c r="F75" s="6">
        <v>36.120538500000002</v>
      </c>
      <c r="G75" s="7">
        <v>9.4045610000000005E-3</v>
      </c>
      <c r="H75" s="69"/>
    </row>
    <row r="76" spans="1:8" x14ac:dyDescent="0.2">
      <c r="A76" s="3">
        <v>70</v>
      </c>
      <c r="B76" s="4" t="s">
        <v>653</v>
      </c>
      <c r="C76" s="4" t="s">
        <v>654</v>
      </c>
      <c r="D76" s="4" t="s">
        <v>78</v>
      </c>
      <c r="E76" s="5">
        <v>3799</v>
      </c>
      <c r="F76" s="6">
        <v>36.109495000000003</v>
      </c>
      <c r="G76" s="7">
        <v>9.4016859999999994E-3</v>
      </c>
      <c r="H76" s="69"/>
    </row>
    <row r="77" spans="1:8" ht="25.5" x14ac:dyDescent="0.2">
      <c r="A77" s="3">
        <v>71</v>
      </c>
      <c r="B77" s="4" t="s">
        <v>66</v>
      </c>
      <c r="C77" s="4" t="s">
        <v>67</v>
      </c>
      <c r="D77" s="4" t="s">
        <v>48</v>
      </c>
      <c r="E77" s="5">
        <v>5272</v>
      </c>
      <c r="F77" s="6">
        <v>36.052571999999998</v>
      </c>
      <c r="G77" s="7">
        <v>9.3868649999999994E-3</v>
      </c>
      <c r="H77" s="69"/>
    </row>
    <row r="78" spans="1:8" x14ac:dyDescent="0.2">
      <c r="A78" s="3">
        <v>72</v>
      </c>
      <c r="B78" s="4" t="s">
        <v>655</v>
      </c>
      <c r="C78" s="4" t="s">
        <v>656</v>
      </c>
      <c r="D78" s="4" t="s">
        <v>144</v>
      </c>
      <c r="E78" s="5">
        <v>1632</v>
      </c>
      <c r="F78" s="6">
        <v>35.999471999999997</v>
      </c>
      <c r="G78" s="7">
        <v>9.3730399999999992E-3</v>
      </c>
      <c r="H78" s="69"/>
    </row>
    <row r="79" spans="1:8" x14ac:dyDescent="0.2">
      <c r="A79" s="3">
        <v>73</v>
      </c>
      <c r="B79" s="4" t="s">
        <v>657</v>
      </c>
      <c r="C79" s="4" t="s">
        <v>658</v>
      </c>
      <c r="D79" s="4" t="s">
        <v>204</v>
      </c>
      <c r="E79" s="5">
        <v>5438</v>
      </c>
      <c r="F79" s="6">
        <v>35.904395000000001</v>
      </c>
      <c r="G79" s="7">
        <v>9.3482849999999996E-3</v>
      </c>
      <c r="H79" s="69"/>
    </row>
    <row r="80" spans="1:8" x14ac:dyDescent="0.2">
      <c r="A80" s="3">
        <v>74</v>
      </c>
      <c r="B80" s="4" t="s">
        <v>365</v>
      </c>
      <c r="C80" s="4" t="s">
        <v>366</v>
      </c>
      <c r="D80" s="4" t="s">
        <v>367</v>
      </c>
      <c r="E80" s="5">
        <v>1249</v>
      </c>
      <c r="F80" s="6">
        <v>35.840055</v>
      </c>
      <c r="G80" s="7">
        <v>9.3315329999999995E-3</v>
      </c>
      <c r="H80" s="69"/>
    </row>
    <row r="81" spans="1:8" ht="25.5" x14ac:dyDescent="0.2">
      <c r="A81" s="3">
        <v>75</v>
      </c>
      <c r="B81" s="4" t="s">
        <v>659</v>
      </c>
      <c r="C81" s="4" t="s">
        <v>660</v>
      </c>
      <c r="D81" s="4" t="s">
        <v>207</v>
      </c>
      <c r="E81" s="5">
        <v>4748</v>
      </c>
      <c r="F81" s="6">
        <v>35.693089999999998</v>
      </c>
      <c r="G81" s="7">
        <v>9.2932680000000004E-3</v>
      </c>
      <c r="H81" s="69"/>
    </row>
    <row r="82" spans="1:8" ht="25.5" x14ac:dyDescent="0.2">
      <c r="A82" s="3">
        <v>76</v>
      </c>
      <c r="B82" s="4" t="s">
        <v>661</v>
      </c>
      <c r="C82" s="4" t="s">
        <v>662</v>
      </c>
      <c r="D82" s="4" t="s">
        <v>207</v>
      </c>
      <c r="E82" s="5">
        <v>3852</v>
      </c>
      <c r="F82" s="6">
        <v>35.557811999999998</v>
      </c>
      <c r="G82" s="7">
        <v>9.2580460000000007E-3</v>
      </c>
      <c r="H82" s="69"/>
    </row>
    <row r="83" spans="1:8" ht="25.5" x14ac:dyDescent="0.2">
      <c r="A83" s="3">
        <v>77</v>
      </c>
      <c r="B83" s="4" t="s">
        <v>663</v>
      </c>
      <c r="C83" s="4" t="s">
        <v>664</v>
      </c>
      <c r="D83" s="4" t="s">
        <v>982</v>
      </c>
      <c r="E83" s="5">
        <v>5992</v>
      </c>
      <c r="F83" s="6">
        <v>35.535556</v>
      </c>
      <c r="G83" s="7">
        <v>9.2522520000000007E-3</v>
      </c>
      <c r="H83" s="69"/>
    </row>
    <row r="84" spans="1:8" x14ac:dyDescent="0.2">
      <c r="A84" s="3">
        <v>78</v>
      </c>
      <c r="B84" s="4" t="s">
        <v>564</v>
      </c>
      <c r="C84" s="4" t="s">
        <v>565</v>
      </c>
      <c r="D84" s="4" t="s">
        <v>78</v>
      </c>
      <c r="E84" s="5">
        <v>503</v>
      </c>
      <c r="F84" s="6">
        <v>35.196167500000001</v>
      </c>
      <c r="G84" s="7">
        <v>9.1638859999999996E-3</v>
      </c>
      <c r="H84" s="69"/>
    </row>
    <row r="85" spans="1:8" ht="25.5" x14ac:dyDescent="0.2">
      <c r="A85" s="3">
        <v>79</v>
      </c>
      <c r="B85" s="4" t="s">
        <v>665</v>
      </c>
      <c r="C85" s="4" t="s">
        <v>666</v>
      </c>
      <c r="D85" s="4" t="s">
        <v>974</v>
      </c>
      <c r="E85" s="5">
        <v>9390</v>
      </c>
      <c r="F85" s="6">
        <v>35.174939999999999</v>
      </c>
      <c r="G85" s="7">
        <v>9.1583589999999996E-3</v>
      </c>
      <c r="H85" s="69"/>
    </row>
    <row r="86" spans="1:8" x14ac:dyDescent="0.2">
      <c r="A86" s="3">
        <v>80</v>
      </c>
      <c r="B86" s="4" t="s">
        <v>324</v>
      </c>
      <c r="C86" s="4" t="s">
        <v>325</v>
      </c>
      <c r="D86" s="4" t="s">
        <v>979</v>
      </c>
      <c r="E86" s="5">
        <v>961</v>
      </c>
      <c r="F86" s="6">
        <v>35.086109999999998</v>
      </c>
      <c r="G86" s="7">
        <v>9.1352310000000006E-3</v>
      </c>
      <c r="H86" s="69"/>
    </row>
    <row r="87" spans="1:8" x14ac:dyDescent="0.2">
      <c r="A87" s="3">
        <v>81</v>
      </c>
      <c r="B87" s="4" t="s">
        <v>667</v>
      </c>
      <c r="C87" s="4" t="s">
        <v>668</v>
      </c>
      <c r="D87" s="4" t="s">
        <v>646</v>
      </c>
      <c r="E87" s="5">
        <v>23041</v>
      </c>
      <c r="F87" s="6">
        <v>35.022320000000001</v>
      </c>
      <c r="G87" s="7">
        <v>9.1186219999999998E-3</v>
      </c>
      <c r="H87" s="69"/>
    </row>
    <row r="88" spans="1:8" ht="25.5" x14ac:dyDescent="0.2">
      <c r="A88" s="3">
        <v>82</v>
      </c>
      <c r="B88" s="4" t="s">
        <v>669</v>
      </c>
      <c r="C88" s="4" t="s">
        <v>670</v>
      </c>
      <c r="D88" s="4" t="s">
        <v>207</v>
      </c>
      <c r="E88" s="5">
        <v>984</v>
      </c>
      <c r="F88" s="6">
        <v>34.887720000000002</v>
      </c>
      <c r="G88" s="7">
        <v>9.0835770000000007E-3</v>
      </c>
      <c r="H88" s="69"/>
    </row>
    <row r="89" spans="1:8" x14ac:dyDescent="0.2">
      <c r="A89" s="3">
        <v>83</v>
      </c>
      <c r="B89" s="4" t="s">
        <v>380</v>
      </c>
      <c r="C89" s="4" t="s">
        <v>381</v>
      </c>
      <c r="D89" s="4" t="s">
        <v>155</v>
      </c>
      <c r="E89" s="5">
        <v>3060</v>
      </c>
      <c r="F89" s="6">
        <v>34.842689999999997</v>
      </c>
      <c r="G89" s="7">
        <v>9.0718529999999995E-3</v>
      </c>
      <c r="H89" s="69"/>
    </row>
    <row r="90" spans="1:8" x14ac:dyDescent="0.2">
      <c r="A90" s="3">
        <v>84</v>
      </c>
      <c r="B90" s="4" t="s">
        <v>671</v>
      </c>
      <c r="C90" s="4" t="s">
        <v>672</v>
      </c>
      <c r="D90" s="4" t="s">
        <v>53</v>
      </c>
      <c r="E90" s="5">
        <v>9293</v>
      </c>
      <c r="F90" s="6">
        <v>34.830164000000003</v>
      </c>
      <c r="G90" s="7">
        <v>9.0685920000000003E-3</v>
      </c>
      <c r="H90" s="69"/>
    </row>
    <row r="91" spans="1:8" x14ac:dyDescent="0.2">
      <c r="A91" s="3">
        <v>85</v>
      </c>
      <c r="B91" s="4" t="s">
        <v>39</v>
      </c>
      <c r="C91" s="4" t="s">
        <v>40</v>
      </c>
      <c r="D91" s="4" t="s">
        <v>16</v>
      </c>
      <c r="E91" s="5">
        <v>9313</v>
      </c>
      <c r="F91" s="6">
        <v>34.458100000000002</v>
      </c>
      <c r="G91" s="7">
        <v>8.9717189999999995E-3</v>
      </c>
      <c r="H91" s="69"/>
    </row>
    <row r="92" spans="1:8" x14ac:dyDescent="0.2">
      <c r="A92" s="3">
        <v>86</v>
      </c>
      <c r="B92" s="4" t="s">
        <v>673</v>
      </c>
      <c r="C92" s="4" t="s">
        <v>674</v>
      </c>
      <c r="D92" s="4" t="s">
        <v>78</v>
      </c>
      <c r="E92" s="5">
        <v>1424</v>
      </c>
      <c r="F92" s="6">
        <v>34.437303999999997</v>
      </c>
      <c r="G92" s="7">
        <v>8.9663039999999996E-3</v>
      </c>
      <c r="H92" s="69"/>
    </row>
    <row r="93" spans="1:8" x14ac:dyDescent="0.2">
      <c r="A93" s="3">
        <v>87</v>
      </c>
      <c r="B93" s="4" t="s">
        <v>587</v>
      </c>
      <c r="C93" s="4" t="s">
        <v>588</v>
      </c>
      <c r="D93" s="4" t="s">
        <v>334</v>
      </c>
      <c r="E93" s="5">
        <v>585</v>
      </c>
      <c r="F93" s="6">
        <v>33.959542499999998</v>
      </c>
      <c r="G93" s="7">
        <v>8.8419109999999992E-3</v>
      </c>
      <c r="H93" s="69"/>
    </row>
    <row r="94" spans="1:8" ht="25.5" x14ac:dyDescent="0.2">
      <c r="A94" s="3">
        <v>88</v>
      </c>
      <c r="B94" s="4" t="s">
        <v>675</v>
      </c>
      <c r="C94" s="4" t="s">
        <v>676</v>
      </c>
      <c r="D94" s="4" t="s">
        <v>974</v>
      </c>
      <c r="E94" s="5">
        <v>130</v>
      </c>
      <c r="F94" s="6">
        <v>33.932924999999997</v>
      </c>
      <c r="G94" s="7">
        <v>8.8349810000000004E-3</v>
      </c>
      <c r="H94" s="69"/>
    </row>
    <row r="95" spans="1:8" ht="25.5" x14ac:dyDescent="0.2">
      <c r="A95" s="3">
        <v>89</v>
      </c>
      <c r="B95" s="4" t="s">
        <v>426</v>
      </c>
      <c r="C95" s="4" t="s">
        <v>427</v>
      </c>
      <c r="D95" s="4" t="s">
        <v>207</v>
      </c>
      <c r="E95" s="5">
        <v>1461</v>
      </c>
      <c r="F95" s="6">
        <v>33.859405500000001</v>
      </c>
      <c r="G95" s="7">
        <v>8.8158390000000007E-3</v>
      </c>
      <c r="H95" s="69"/>
    </row>
    <row r="96" spans="1:8" ht="25.5" x14ac:dyDescent="0.2">
      <c r="A96" s="3">
        <v>90</v>
      </c>
      <c r="B96" s="4" t="s">
        <v>677</v>
      </c>
      <c r="C96" s="4" t="s">
        <v>678</v>
      </c>
      <c r="D96" s="4" t="s">
        <v>207</v>
      </c>
      <c r="E96" s="5">
        <v>2354</v>
      </c>
      <c r="F96" s="6">
        <v>33.764598999999997</v>
      </c>
      <c r="G96" s="7">
        <v>8.7911550000000001E-3</v>
      </c>
      <c r="H96" s="69"/>
    </row>
    <row r="97" spans="1:8" x14ac:dyDescent="0.2">
      <c r="A97" s="3">
        <v>91</v>
      </c>
      <c r="B97" s="4" t="s">
        <v>430</v>
      </c>
      <c r="C97" s="4" t="s">
        <v>431</v>
      </c>
      <c r="D97" s="4" t="s">
        <v>432</v>
      </c>
      <c r="E97" s="5">
        <v>8175</v>
      </c>
      <c r="F97" s="6">
        <v>33.742312499999997</v>
      </c>
      <c r="G97" s="7">
        <v>8.7853519999999997E-3</v>
      </c>
      <c r="H97" s="69"/>
    </row>
    <row r="98" spans="1:8" x14ac:dyDescent="0.2">
      <c r="A98" s="3">
        <v>92</v>
      </c>
      <c r="B98" s="4" t="s">
        <v>679</v>
      </c>
      <c r="C98" s="4" t="s">
        <v>680</v>
      </c>
      <c r="D98" s="4" t="s">
        <v>83</v>
      </c>
      <c r="E98" s="5">
        <v>1348</v>
      </c>
      <c r="F98" s="6">
        <v>33.016564000000002</v>
      </c>
      <c r="G98" s="7">
        <v>8.5963919999999996E-3</v>
      </c>
      <c r="H98" s="69"/>
    </row>
    <row r="99" spans="1:8" x14ac:dyDescent="0.2">
      <c r="A99" s="3">
        <v>93</v>
      </c>
      <c r="B99" s="4" t="s">
        <v>681</v>
      </c>
      <c r="C99" s="4" t="s">
        <v>682</v>
      </c>
      <c r="D99" s="4" t="s">
        <v>204</v>
      </c>
      <c r="E99" s="5">
        <v>7095</v>
      </c>
      <c r="F99" s="6">
        <v>33.009487499999999</v>
      </c>
      <c r="G99" s="7">
        <v>8.5945489999999999E-3</v>
      </c>
      <c r="H99" s="69"/>
    </row>
    <row r="100" spans="1:8" x14ac:dyDescent="0.2">
      <c r="A100" s="3">
        <v>94</v>
      </c>
      <c r="B100" s="4" t="s">
        <v>443</v>
      </c>
      <c r="C100" s="4" t="s">
        <v>444</v>
      </c>
      <c r="D100" s="4" t="s">
        <v>65</v>
      </c>
      <c r="E100" s="5">
        <v>3078</v>
      </c>
      <c r="F100" s="6">
        <v>32.971536</v>
      </c>
      <c r="G100" s="7">
        <v>8.5846680000000002E-3</v>
      </c>
      <c r="H100" s="69"/>
    </row>
    <row r="101" spans="1:8" x14ac:dyDescent="0.2">
      <c r="A101" s="3">
        <v>95</v>
      </c>
      <c r="B101" s="4" t="s">
        <v>683</v>
      </c>
      <c r="C101" s="4" t="s">
        <v>684</v>
      </c>
      <c r="D101" s="4" t="s">
        <v>83</v>
      </c>
      <c r="E101" s="5">
        <v>1370</v>
      </c>
      <c r="F101" s="6">
        <v>32.475164999999997</v>
      </c>
      <c r="G101" s="7">
        <v>8.4554299999999999E-3</v>
      </c>
      <c r="H101" s="69"/>
    </row>
    <row r="102" spans="1:8" x14ac:dyDescent="0.2">
      <c r="A102" s="3">
        <v>96</v>
      </c>
      <c r="B102" s="4" t="s">
        <v>574</v>
      </c>
      <c r="C102" s="4" t="s">
        <v>575</v>
      </c>
      <c r="D102" s="4" t="s">
        <v>83</v>
      </c>
      <c r="E102" s="5">
        <v>1001</v>
      </c>
      <c r="F102" s="6">
        <v>32.435403000000001</v>
      </c>
      <c r="G102" s="7">
        <v>8.4450770000000005E-3</v>
      </c>
      <c r="H102" s="69"/>
    </row>
    <row r="103" spans="1:8" x14ac:dyDescent="0.2">
      <c r="A103" s="3">
        <v>97</v>
      </c>
      <c r="B103" s="4" t="s">
        <v>326</v>
      </c>
      <c r="C103" s="4" t="s">
        <v>327</v>
      </c>
      <c r="D103" s="4" t="s">
        <v>22</v>
      </c>
      <c r="E103" s="5">
        <v>4912</v>
      </c>
      <c r="F103" s="6">
        <v>32.205528000000001</v>
      </c>
      <c r="G103" s="7">
        <v>8.3852249999999996E-3</v>
      </c>
      <c r="H103" s="69"/>
    </row>
    <row r="104" spans="1:8" x14ac:dyDescent="0.2">
      <c r="A104" s="3">
        <v>98</v>
      </c>
      <c r="B104" s="4" t="s">
        <v>68</v>
      </c>
      <c r="C104" s="4" t="s">
        <v>69</v>
      </c>
      <c r="D104" s="4" t="s">
        <v>70</v>
      </c>
      <c r="E104" s="5">
        <v>24548</v>
      </c>
      <c r="F104" s="6">
        <v>31.863303999999999</v>
      </c>
      <c r="G104" s="7">
        <v>8.2961219999999995E-3</v>
      </c>
      <c r="H104" s="69"/>
    </row>
    <row r="105" spans="1:8" x14ac:dyDescent="0.2">
      <c r="A105" s="3">
        <v>99</v>
      </c>
      <c r="B105" s="4" t="s">
        <v>685</v>
      </c>
      <c r="C105" s="4" t="s">
        <v>686</v>
      </c>
      <c r="D105" s="4" t="s">
        <v>976</v>
      </c>
      <c r="E105" s="5">
        <v>1238</v>
      </c>
      <c r="F105" s="6">
        <v>31.089894000000001</v>
      </c>
      <c r="G105" s="7">
        <v>8.0947520000000002E-3</v>
      </c>
      <c r="H105" s="69"/>
    </row>
    <row r="106" spans="1:8" x14ac:dyDescent="0.2">
      <c r="A106" s="3">
        <v>100</v>
      </c>
      <c r="B106" s="4" t="s">
        <v>687</v>
      </c>
      <c r="C106" s="4" t="s">
        <v>688</v>
      </c>
      <c r="D106" s="4" t="s">
        <v>22</v>
      </c>
      <c r="E106" s="5">
        <v>3396</v>
      </c>
      <c r="F106" s="6">
        <v>29.98668</v>
      </c>
      <c r="G106" s="7">
        <v>7.8075130000000003E-3</v>
      </c>
      <c r="H106" s="69"/>
    </row>
    <row r="107" spans="1:8" ht="25.5" x14ac:dyDescent="0.2">
      <c r="A107" s="3">
        <v>101</v>
      </c>
      <c r="B107" s="4" t="s">
        <v>445</v>
      </c>
      <c r="C107" s="4" t="s">
        <v>930</v>
      </c>
      <c r="D107" s="72" t="s">
        <v>19</v>
      </c>
      <c r="E107" s="5">
        <v>438</v>
      </c>
      <c r="F107" s="6">
        <v>1.7117039999999999</v>
      </c>
      <c r="G107" s="7">
        <v>4.4567000000000001E-4</v>
      </c>
      <c r="H107" s="69"/>
    </row>
    <row r="108" spans="1:8" x14ac:dyDescent="0.2">
      <c r="A108" s="1"/>
      <c r="B108" s="1"/>
      <c r="C108" s="2" t="s">
        <v>95</v>
      </c>
      <c r="D108" s="1"/>
      <c r="E108" s="1" t="s">
        <v>96</v>
      </c>
      <c r="F108" s="9">
        <v>3784.5985964999995</v>
      </c>
      <c r="G108" s="10">
        <v>0.98538090800000011</v>
      </c>
      <c r="H108" s="69"/>
    </row>
    <row r="109" spans="1:8" x14ac:dyDescent="0.2">
      <c r="A109" s="1"/>
      <c r="B109" s="1"/>
      <c r="C109" s="11"/>
      <c r="D109" s="1"/>
      <c r="E109" s="1"/>
      <c r="F109" s="12"/>
      <c r="G109" s="12"/>
      <c r="H109" s="69"/>
    </row>
    <row r="110" spans="1:8" x14ac:dyDescent="0.2">
      <c r="A110" s="1"/>
      <c r="B110" s="1"/>
      <c r="C110" s="2" t="s">
        <v>97</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98</v>
      </c>
      <c r="D113" s="1"/>
      <c r="E113" s="1"/>
      <c r="F113" s="1"/>
      <c r="G113" s="1"/>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2" t="s">
        <v>99</v>
      </c>
      <c r="D116" s="1"/>
      <c r="E116" s="1"/>
      <c r="F116" s="1"/>
      <c r="G116" s="1"/>
      <c r="H116" s="69"/>
    </row>
    <row r="117" spans="1:8" x14ac:dyDescent="0.2">
      <c r="A117" s="1"/>
      <c r="B117" s="1"/>
      <c r="C117" s="2" t="s">
        <v>95</v>
      </c>
      <c r="D117" s="1"/>
      <c r="E117" s="1" t="s">
        <v>96</v>
      </c>
      <c r="F117" s="9">
        <v>0</v>
      </c>
      <c r="G117" s="10">
        <v>0</v>
      </c>
      <c r="H117" s="69"/>
    </row>
    <row r="118" spans="1:8" x14ac:dyDescent="0.2">
      <c r="A118" s="1"/>
      <c r="B118" s="1"/>
      <c r="C118" s="11"/>
      <c r="D118" s="1"/>
      <c r="E118" s="1"/>
      <c r="F118" s="12"/>
      <c r="G118" s="12"/>
      <c r="H118" s="69"/>
    </row>
    <row r="119" spans="1:8" x14ac:dyDescent="0.2">
      <c r="A119" s="1"/>
      <c r="B119" s="1"/>
      <c r="C119" s="2" t="s">
        <v>100</v>
      </c>
      <c r="D119" s="1"/>
      <c r="E119" s="1"/>
      <c r="F119" s="12"/>
      <c r="G119" s="12"/>
      <c r="H119" s="69"/>
    </row>
    <row r="120" spans="1:8" x14ac:dyDescent="0.2">
      <c r="A120" s="1"/>
      <c r="B120" s="1"/>
      <c r="C120" s="2" t="s">
        <v>95</v>
      </c>
      <c r="D120" s="1"/>
      <c r="E120" s="1" t="s">
        <v>96</v>
      </c>
      <c r="F120" s="13">
        <v>0</v>
      </c>
      <c r="G120" s="14">
        <v>0</v>
      </c>
      <c r="H120" s="69"/>
    </row>
    <row r="121" spans="1:8" x14ac:dyDescent="0.2">
      <c r="A121" s="1"/>
      <c r="B121" s="1"/>
      <c r="C121" s="11"/>
      <c r="D121" s="1"/>
      <c r="E121" s="1"/>
      <c r="F121" s="12"/>
      <c r="G121" s="12"/>
      <c r="H121" s="69"/>
    </row>
    <row r="122" spans="1:8" x14ac:dyDescent="0.2">
      <c r="A122" s="1"/>
      <c r="B122" s="1"/>
      <c r="C122" s="2" t="s">
        <v>101</v>
      </c>
      <c r="D122" s="1"/>
      <c r="E122" s="1"/>
      <c r="F122" s="12"/>
      <c r="G122" s="12"/>
      <c r="H122" s="69"/>
    </row>
    <row r="123" spans="1:8" x14ac:dyDescent="0.2">
      <c r="A123" s="1"/>
      <c r="B123" s="1"/>
      <c r="C123" s="2" t="s">
        <v>95</v>
      </c>
      <c r="D123" s="1"/>
      <c r="E123" s="1" t="s">
        <v>96</v>
      </c>
      <c r="F123" s="13">
        <v>0</v>
      </c>
      <c r="G123" s="14">
        <v>0</v>
      </c>
      <c r="H123" s="69"/>
    </row>
    <row r="124" spans="1:8" x14ac:dyDescent="0.2">
      <c r="A124" s="1"/>
      <c r="B124" s="1"/>
      <c r="C124" s="11"/>
      <c r="D124" s="1"/>
      <c r="E124" s="1"/>
      <c r="F124" s="12"/>
      <c r="G124" s="12"/>
      <c r="H124" s="69"/>
    </row>
    <row r="125" spans="1:8" x14ac:dyDescent="0.2">
      <c r="A125" s="1"/>
      <c r="B125" s="1"/>
      <c r="C125" s="2" t="s">
        <v>102</v>
      </c>
      <c r="D125" s="1"/>
      <c r="E125" s="1"/>
      <c r="F125" s="9">
        <v>3784.5985965</v>
      </c>
      <c r="G125" s="10">
        <v>0.985380908</v>
      </c>
      <c r="H125" s="69"/>
    </row>
    <row r="126" spans="1:8" x14ac:dyDescent="0.2">
      <c r="A126" s="1"/>
      <c r="B126" s="1"/>
      <c r="C126" s="11"/>
      <c r="D126" s="1"/>
      <c r="E126" s="1"/>
      <c r="F126" s="12"/>
      <c r="G126" s="12"/>
      <c r="H126" s="69"/>
    </row>
    <row r="127" spans="1:8" x14ac:dyDescent="0.2">
      <c r="A127" s="1"/>
      <c r="B127" s="1"/>
      <c r="C127" s="2" t="s">
        <v>103</v>
      </c>
      <c r="D127" s="1"/>
      <c r="E127" s="1"/>
      <c r="F127" s="12"/>
      <c r="G127" s="12"/>
      <c r="H127" s="69"/>
    </row>
    <row r="128" spans="1:8" ht="25.5" x14ac:dyDescent="0.2">
      <c r="A128" s="1"/>
      <c r="B128" s="1"/>
      <c r="C128" s="2" t="s">
        <v>10</v>
      </c>
      <c r="D128" s="1"/>
      <c r="E128" s="1"/>
      <c r="F128" s="12"/>
      <c r="G128" s="12"/>
      <c r="H128" s="69"/>
    </row>
    <row r="129" spans="1:8" ht="25.5" x14ac:dyDescent="0.2">
      <c r="A129" s="3">
        <v>1</v>
      </c>
      <c r="B129" s="4" t="s">
        <v>689</v>
      </c>
      <c r="C129" s="4" t="s">
        <v>690</v>
      </c>
      <c r="D129" s="4" t="s">
        <v>691</v>
      </c>
      <c r="E129" s="5">
        <v>828</v>
      </c>
      <c r="F129" s="6">
        <v>0.23997675600000001</v>
      </c>
      <c r="G129" s="7">
        <v>6.2482000000000002E-5</v>
      </c>
      <c r="H129" s="6">
        <v>5.51</v>
      </c>
    </row>
    <row r="130" spans="1:8" x14ac:dyDescent="0.2">
      <c r="A130" s="1"/>
      <c r="B130" s="1"/>
      <c r="C130" s="2" t="s">
        <v>95</v>
      </c>
      <c r="D130" s="1"/>
      <c r="E130" s="1" t="s">
        <v>96</v>
      </c>
      <c r="F130" s="9">
        <v>0.23997675600000001</v>
      </c>
      <c r="G130" s="10">
        <v>6.2482000000000002E-5</v>
      </c>
      <c r="H130" s="69"/>
    </row>
    <row r="131" spans="1:8" x14ac:dyDescent="0.2">
      <c r="A131" s="1"/>
      <c r="B131" s="1"/>
      <c r="C131" s="11"/>
      <c r="D131" s="1"/>
      <c r="E131" s="1"/>
      <c r="F131" s="12"/>
      <c r="G131" s="12"/>
      <c r="H131" s="69"/>
    </row>
    <row r="132" spans="1:8" x14ac:dyDescent="0.2">
      <c r="A132" s="1"/>
      <c r="B132" s="1"/>
      <c r="C132" s="2" t="s">
        <v>104</v>
      </c>
      <c r="D132" s="1"/>
      <c r="E132" s="1"/>
      <c r="F132" s="1"/>
      <c r="G132" s="1"/>
      <c r="H132" s="69"/>
    </row>
    <row r="133" spans="1:8" x14ac:dyDescent="0.2">
      <c r="A133" s="1"/>
      <c r="B133" s="1"/>
      <c r="C133" s="2" t="s">
        <v>95</v>
      </c>
      <c r="D133" s="1"/>
      <c r="E133" s="1" t="s">
        <v>96</v>
      </c>
      <c r="F133" s="13">
        <v>0</v>
      </c>
      <c r="G133" s="14">
        <v>0</v>
      </c>
      <c r="H133" s="69"/>
    </row>
    <row r="134" spans="1:8" x14ac:dyDescent="0.2">
      <c r="A134" s="1"/>
      <c r="B134" s="1"/>
      <c r="C134" s="11"/>
      <c r="D134" s="1"/>
      <c r="E134" s="1"/>
      <c r="F134" s="12"/>
      <c r="G134" s="12"/>
      <c r="H134" s="69"/>
    </row>
    <row r="135" spans="1:8" x14ac:dyDescent="0.2">
      <c r="A135" s="1"/>
      <c r="B135" s="1"/>
      <c r="C135" s="2" t="s">
        <v>105</v>
      </c>
      <c r="D135" s="1"/>
      <c r="E135" s="1"/>
      <c r="F135" s="1"/>
      <c r="G135" s="1"/>
      <c r="H135" s="69"/>
    </row>
    <row r="136" spans="1:8" x14ac:dyDescent="0.2">
      <c r="A136" s="1"/>
      <c r="B136" s="1"/>
      <c r="C136" s="2" t="s">
        <v>95</v>
      </c>
      <c r="D136" s="1"/>
      <c r="E136" s="1" t="s">
        <v>96</v>
      </c>
      <c r="F136" s="13">
        <v>0</v>
      </c>
      <c r="G136" s="14">
        <v>0</v>
      </c>
      <c r="H136" s="69"/>
    </row>
    <row r="137" spans="1:8" x14ac:dyDescent="0.2">
      <c r="A137" s="1"/>
      <c r="B137" s="1"/>
      <c r="C137" s="11"/>
      <c r="D137" s="1"/>
      <c r="E137" s="1"/>
      <c r="F137" s="12"/>
      <c r="G137" s="12"/>
      <c r="H137" s="69"/>
    </row>
    <row r="138" spans="1:8" x14ac:dyDescent="0.2">
      <c r="A138" s="1"/>
      <c r="B138" s="1"/>
      <c r="C138" s="2" t="s">
        <v>106</v>
      </c>
      <c r="D138" s="1"/>
      <c r="E138" s="1"/>
      <c r="F138" s="12"/>
      <c r="G138" s="12"/>
      <c r="H138" s="69"/>
    </row>
    <row r="139" spans="1:8" x14ac:dyDescent="0.2">
      <c r="A139" s="1"/>
      <c r="B139" s="1"/>
      <c r="C139" s="2" t="s">
        <v>95</v>
      </c>
      <c r="D139" s="1"/>
      <c r="E139" s="1" t="s">
        <v>96</v>
      </c>
      <c r="F139" s="13">
        <v>0</v>
      </c>
      <c r="G139" s="14">
        <v>0</v>
      </c>
      <c r="H139" s="69"/>
    </row>
    <row r="140" spans="1:8" x14ac:dyDescent="0.2">
      <c r="A140" s="1"/>
      <c r="B140" s="1"/>
      <c r="C140" s="11"/>
      <c r="D140" s="1"/>
      <c r="E140" s="1"/>
      <c r="F140" s="12"/>
      <c r="G140" s="12"/>
      <c r="H140" s="69"/>
    </row>
    <row r="141" spans="1:8" x14ac:dyDescent="0.2">
      <c r="A141" s="1"/>
      <c r="B141" s="1"/>
      <c r="C141" s="2" t="s">
        <v>107</v>
      </c>
      <c r="D141" s="1"/>
      <c r="E141" s="1"/>
      <c r="F141" s="9">
        <v>0.23997675600000001</v>
      </c>
      <c r="G141" s="10">
        <v>6.2482000000000002E-5</v>
      </c>
      <c r="H141" s="69"/>
    </row>
    <row r="142" spans="1:8" x14ac:dyDescent="0.2">
      <c r="A142" s="1"/>
      <c r="B142" s="1"/>
      <c r="C142" s="11"/>
      <c r="D142" s="1"/>
      <c r="E142" s="1"/>
      <c r="F142" s="12"/>
      <c r="G142" s="12"/>
      <c r="H142" s="69"/>
    </row>
    <row r="143" spans="1:8" x14ac:dyDescent="0.2">
      <c r="A143" s="1"/>
      <c r="B143" s="1"/>
      <c r="C143" s="2" t="s">
        <v>108</v>
      </c>
      <c r="D143" s="1"/>
      <c r="E143" s="1"/>
      <c r="F143" s="12"/>
      <c r="G143" s="12"/>
      <c r="H143" s="69"/>
    </row>
    <row r="144" spans="1:8" x14ac:dyDescent="0.2">
      <c r="A144" s="1"/>
      <c r="B144" s="1"/>
      <c r="C144" s="2" t="s">
        <v>109</v>
      </c>
      <c r="D144" s="1"/>
      <c r="E144" s="1"/>
      <c r="F144" s="12"/>
      <c r="G144" s="12"/>
      <c r="H144" s="69"/>
    </row>
    <row r="145" spans="1:8" x14ac:dyDescent="0.2">
      <c r="A145" s="1"/>
      <c r="B145" s="1"/>
      <c r="C145" s="2" t="s">
        <v>95</v>
      </c>
      <c r="D145" s="1"/>
      <c r="E145" s="1" t="s">
        <v>96</v>
      </c>
      <c r="F145" s="13">
        <v>0</v>
      </c>
      <c r="G145" s="14">
        <v>0</v>
      </c>
      <c r="H145" s="69"/>
    </row>
    <row r="146" spans="1:8" x14ac:dyDescent="0.2">
      <c r="A146" s="1"/>
      <c r="B146" s="1"/>
      <c r="C146" s="11"/>
      <c r="D146" s="1"/>
      <c r="E146" s="1"/>
      <c r="F146" s="12"/>
      <c r="G146" s="12"/>
      <c r="H146" s="69"/>
    </row>
    <row r="147" spans="1:8" x14ac:dyDescent="0.2">
      <c r="A147" s="1"/>
      <c r="B147" s="1"/>
      <c r="C147" s="2" t="s">
        <v>110</v>
      </c>
      <c r="D147" s="1"/>
      <c r="E147" s="1"/>
      <c r="F147" s="12"/>
      <c r="G147" s="12"/>
      <c r="H147" s="69"/>
    </row>
    <row r="148" spans="1:8" x14ac:dyDescent="0.2">
      <c r="A148" s="1"/>
      <c r="B148" s="1"/>
      <c r="C148" s="2" t="s">
        <v>95</v>
      </c>
      <c r="D148" s="1"/>
      <c r="E148" s="1" t="s">
        <v>96</v>
      </c>
      <c r="F148" s="13">
        <v>0</v>
      </c>
      <c r="G148" s="14">
        <v>0</v>
      </c>
      <c r="H148" s="69"/>
    </row>
    <row r="149" spans="1:8" x14ac:dyDescent="0.2">
      <c r="A149" s="1"/>
      <c r="B149" s="1"/>
      <c r="C149" s="11"/>
      <c r="D149" s="1"/>
      <c r="E149" s="1"/>
      <c r="F149" s="12"/>
      <c r="G149" s="12"/>
      <c r="H149" s="69"/>
    </row>
    <row r="150" spans="1:8" x14ac:dyDescent="0.2">
      <c r="A150" s="1"/>
      <c r="B150" s="1"/>
      <c r="C150" s="2" t="s">
        <v>111</v>
      </c>
      <c r="D150" s="1"/>
      <c r="E150" s="1"/>
      <c r="F150" s="12"/>
      <c r="G150" s="12"/>
      <c r="H150" s="69"/>
    </row>
    <row r="151" spans="1:8" x14ac:dyDescent="0.2">
      <c r="A151" s="1"/>
      <c r="B151" s="1"/>
      <c r="C151" s="2" t="s">
        <v>95</v>
      </c>
      <c r="D151" s="1"/>
      <c r="E151" s="1" t="s">
        <v>96</v>
      </c>
      <c r="F151" s="13">
        <v>0</v>
      </c>
      <c r="G151" s="14">
        <v>0</v>
      </c>
      <c r="H151" s="69"/>
    </row>
    <row r="152" spans="1:8" x14ac:dyDescent="0.2">
      <c r="A152" s="1"/>
      <c r="B152" s="1"/>
      <c r="C152" s="11"/>
      <c r="D152" s="1"/>
      <c r="E152" s="1"/>
      <c r="F152" s="12"/>
      <c r="G152" s="12"/>
      <c r="H152" s="69"/>
    </row>
    <row r="153" spans="1:8" x14ac:dyDescent="0.2">
      <c r="A153" s="1"/>
      <c r="B153" s="1"/>
      <c r="C153" s="2" t="s">
        <v>112</v>
      </c>
      <c r="D153" s="1"/>
      <c r="E153" s="1"/>
      <c r="F153" s="12"/>
      <c r="G153" s="12"/>
      <c r="H153" s="69"/>
    </row>
    <row r="154" spans="1:8" x14ac:dyDescent="0.2">
      <c r="A154" s="3">
        <v>1</v>
      </c>
      <c r="B154" s="4"/>
      <c r="C154" s="4" t="s">
        <v>113</v>
      </c>
      <c r="D154" s="4"/>
      <c r="E154" s="8"/>
      <c r="F154" s="6">
        <v>65.820435900000007</v>
      </c>
      <c r="G154" s="7">
        <v>1.7137406000000001E-2</v>
      </c>
      <c r="H154" s="6">
        <v>3.3628721504199861</v>
      </c>
    </row>
    <row r="155" spans="1:8" x14ac:dyDescent="0.2">
      <c r="A155" s="3">
        <v>2</v>
      </c>
      <c r="B155" s="4"/>
      <c r="C155" s="4" t="s">
        <v>114</v>
      </c>
      <c r="D155" s="4"/>
      <c r="E155" s="8"/>
      <c r="F155" s="6">
        <v>25.419263999999998</v>
      </c>
      <c r="G155" s="7">
        <v>6.6183129999999998E-3</v>
      </c>
      <c r="H155" s="6">
        <v>3.4499999999999966</v>
      </c>
    </row>
    <row r="156" spans="1:8" x14ac:dyDescent="0.2">
      <c r="A156" s="1"/>
      <c r="B156" s="1"/>
      <c r="C156" s="2" t="s">
        <v>95</v>
      </c>
      <c r="D156" s="1"/>
      <c r="E156" s="1" t="s">
        <v>96</v>
      </c>
      <c r="F156" s="9">
        <v>91.239699900000005</v>
      </c>
      <c r="G156" s="10">
        <v>2.3755719000000002E-2</v>
      </c>
      <c r="H156" s="69"/>
    </row>
    <row r="157" spans="1:8" x14ac:dyDescent="0.2">
      <c r="A157" s="1"/>
      <c r="B157" s="1"/>
      <c r="C157" s="11"/>
      <c r="D157" s="1"/>
      <c r="E157" s="1"/>
      <c r="F157" s="12"/>
      <c r="G157" s="12"/>
      <c r="H157" s="69"/>
    </row>
    <row r="158" spans="1:8" x14ac:dyDescent="0.2">
      <c r="A158" s="1"/>
      <c r="B158" s="1"/>
      <c r="C158" s="2" t="s">
        <v>115</v>
      </c>
      <c r="D158" s="1"/>
      <c r="E158" s="1"/>
      <c r="F158" s="9">
        <v>91.239699900000005</v>
      </c>
      <c r="G158" s="10">
        <v>2.3755719000000002E-2</v>
      </c>
      <c r="H158" s="69"/>
    </row>
    <row r="159" spans="1:8" x14ac:dyDescent="0.2">
      <c r="A159" s="1"/>
      <c r="B159" s="1"/>
      <c r="C159" s="12"/>
      <c r="D159" s="1"/>
      <c r="E159" s="1"/>
      <c r="F159" s="1"/>
      <c r="G159" s="1"/>
      <c r="H159" s="69"/>
    </row>
    <row r="160" spans="1:8" x14ac:dyDescent="0.2">
      <c r="A160" s="1"/>
      <c r="B160" s="1"/>
      <c r="C160" s="2" t="s">
        <v>116</v>
      </c>
      <c r="D160" s="1"/>
      <c r="E160" s="1"/>
      <c r="F160" s="1"/>
      <c r="G160" s="1"/>
      <c r="H160" s="69"/>
    </row>
    <row r="161" spans="1:15" x14ac:dyDescent="0.2">
      <c r="A161" s="1"/>
      <c r="B161" s="1"/>
      <c r="C161" s="2" t="s">
        <v>117</v>
      </c>
      <c r="D161" s="1"/>
      <c r="E161" s="1"/>
      <c r="F161" s="1"/>
      <c r="G161" s="1"/>
      <c r="H161" s="69"/>
    </row>
    <row r="162" spans="1:15" x14ac:dyDescent="0.2">
      <c r="A162" s="1"/>
      <c r="B162" s="1"/>
      <c r="C162" s="2" t="s">
        <v>95</v>
      </c>
      <c r="D162" s="1"/>
      <c r="E162" s="1" t="s">
        <v>96</v>
      </c>
      <c r="F162" s="13">
        <v>0</v>
      </c>
      <c r="G162" s="14">
        <v>0</v>
      </c>
      <c r="H162" s="69"/>
    </row>
    <row r="163" spans="1:15" x14ac:dyDescent="0.2">
      <c r="A163" s="1"/>
      <c r="B163" s="1"/>
      <c r="C163" s="11"/>
      <c r="D163" s="1"/>
      <c r="E163" s="1"/>
      <c r="F163" s="12"/>
      <c r="G163" s="12"/>
      <c r="H163" s="69"/>
    </row>
    <row r="164" spans="1:15" x14ac:dyDescent="0.2">
      <c r="A164" s="1"/>
      <c r="B164" s="1"/>
      <c r="C164" s="2" t="s">
        <v>118</v>
      </c>
      <c r="D164" s="1"/>
      <c r="E164" s="1"/>
      <c r="F164" s="1"/>
      <c r="G164" s="1"/>
      <c r="H164" s="69"/>
    </row>
    <row r="165" spans="1:15" x14ac:dyDescent="0.2">
      <c r="A165" s="1"/>
      <c r="B165" s="1"/>
      <c r="C165" s="2" t="s">
        <v>119</v>
      </c>
      <c r="D165" s="1"/>
      <c r="E165" s="1"/>
      <c r="F165" s="1"/>
      <c r="G165" s="1"/>
      <c r="H165" s="69"/>
    </row>
    <row r="166" spans="1:15" x14ac:dyDescent="0.2">
      <c r="A166" s="1"/>
      <c r="B166" s="1"/>
      <c r="C166" s="2" t="s">
        <v>95</v>
      </c>
      <c r="D166" s="1"/>
      <c r="E166" s="1" t="s">
        <v>96</v>
      </c>
      <c r="F166" s="13">
        <v>0</v>
      </c>
      <c r="G166" s="14">
        <v>0</v>
      </c>
      <c r="H166" s="69"/>
    </row>
    <row r="167" spans="1:15" x14ac:dyDescent="0.2">
      <c r="A167" s="1"/>
      <c r="B167" s="1"/>
      <c r="C167" s="11"/>
      <c r="D167" s="1"/>
      <c r="E167" s="1"/>
      <c r="F167" s="12"/>
      <c r="G167" s="12"/>
      <c r="H167" s="69"/>
    </row>
    <row r="168" spans="1:15" x14ac:dyDescent="0.2">
      <c r="A168" s="1"/>
      <c r="B168" s="1"/>
      <c r="C168" s="11"/>
      <c r="D168" s="1"/>
      <c r="E168" s="1"/>
      <c r="F168" s="12"/>
      <c r="G168" s="12"/>
      <c r="H168" s="69"/>
    </row>
    <row r="169" spans="1:15" ht="25.5" x14ac:dyDescent="0.2">
      <c r="A169" s="1"/>
      <c r="B169" s="1"/>
      <c r="C169" s="2" t="s">
        <v>120</v>
      </c>
      <c r="D169" s="1"/>
      <c r="E169" s="1"/>
      <c r="F169" s="12"/>
      <c r="G169" s="12"/>
      <c r="H169" s="69"/>
    </row>
    <row r="170" spans="1:15" x14ac:dyDescent="0.2">
      <c r="A170" s="1"/>
      <c r="B170" s="1"/>
      <c r="C170" s="2" t="s">
        <v>95</v>
      </c>
      <c r="D170" s="1"/>
      <c r="E170" s="1" t="s">
        <v>96</v>
      </c>
      <c r="F170" s="13">
        <v>0</v>
      </c>
      <c r="G170" s="14">
        <v>0</v>
      </c>
      <c r="H170" s="69"/>
    </row>
    <row r="171" spans="1:15" x14ac:dyDescent="0.2">
      <c r="A171" s="1"/>
      <c r="B171" s="1"/>
      <c r="C171" s="11"/>
      <c r="D171" s="1"/>
      <c r="E171" s="1"/>
      <c r="F171" s="12"/>
      <c r="G171" s="12"/>
      <c r="H171" s="69"/>
    </row>
    <row r="172" spans="1:15" x14ac:dyDescent="0.2">
      <c r="A172" s="1"/>
      <c r="B172" s="4"/>
      <c r="C172" s="4"/>
      <c r="D172" s="2"/>
      <c r="E172" s="1"/>
      <c r="F172" s="4"/>
      <c r="G172" s="8"/>
      <c r="H172" s="69"/>
    </row>
    <row r="173" spans="1:15" x14ac:dyDescent="0.2">
      <c r="A173" s="8"/>
      <c r="B173" s="4"/>
      <c r="C173" s="4" t="s">
        <v>816</v>
      </c>
      <c r="D173" s="4"/>
      <c r="E173" s="8"/>
      <c r="F173" s="6">
        <v>-35.331452089999999</v>
      </c>
      <c r="G173" s="7">
        <v>-9.1991099999999999E-3</v>
      </c>
      <c r="H173" s="69"/>
    </row>
    <row r="174" spans="1:15" x14ac:dyDescent="0.2">
      <c r="A174" s="11"/>
      <c r="B174" s="11"/>
      <c r="C174" s="2" t="s">
        <v>122</v>
      </c>
      <c r="D174" s="15"/>
      <c r="E174" s="15"/>
      <c r="F174" s="9">
        <v>3840.7468210659999</v>
      </c>
      <c r="G174" s="10">
        <v>0.99999999900000003</v>
      </c>
      <c r="H174" s="69"/>
    </row>
    <row r="175" spans="1:15" ht="14.1" customHeight="1" x14ac:dyDescent="0.2">
      <c r="A175" s="16"/>
      <c r="B175" s="16"/>
      <c r="C175" s="16"/>
      <c r="D175" s="17"/>
      <c r="E175" s="17"/>
      <c r="F175" s="17"/>
      <c r="G175" s="17"/>
    </row>
    <row r="176" spans="1:15" ht="17.100000000000001" customHeight="1" x14ac:dyDescent="0.2">
      <c r="A176" s="18"/>
      <c r="B176" s="176" t="s">
        <v>692</v>
      </c>
      <c r="C176" s="176"/>
      <c r="D176" s="176"/>
      <c r="E176" s="176"/>
      <c r="F176" s="176"/>
      <c r="G176" s="20"/>
      <c r="I176" s="70"/>
      <c r="J176" s="70"/>
      <c r="K176" s="70"/>
      <c r="L176" s="70"/>
      <c r="M176" s="70"/>
      <c r="N176" s="70"/>
      <c r="O176" s="70"/>
    </row>
    <row r="177" spans="1:16" s="70" customFormat="1" ht="17.100000000000001" customHeight="1" x14ac:dyDescent="0.2">
      <c r="A177" s="90"/>
      <c r="B177" s="178" t="s">
        <v>818</v>
      </c>
      <c r="C177" s="178"/>
      <c r="D177" s="178"/>
      <c r="E177" s="178"/>
      <c r="F177" s="178"/>
      <c r="G177" s="91"/>
      <c r="H177"/>
      <c r="I177"/>
      <c r="J177"/>
      <c r="K177"/>
      <c r="L177"/>
      <c r="M177"/>
      <c r="N177"/>
      <c r="O177"/>
    </row>
    <row r="178" spans="1:16" ht="14.1" customHeight="1" x14ac:dyDescent="0.2">
      <c r="A178" s="18"/>
      <c r="B178" s="18"/>
      <c r="C178" s="18"/>
      <c r="D178" s="20"/>
      <c r="E178" s="20"/>
      <c r="F178" s="20"/>
      <c r="G178" s="20"/>
    </row>
    <row r="179" spans="1:16" ht="14.1" customHeight="1" x14ac:dyDescent="0.2">
      <c r="A179" s="18"/>
      <c r="B179" s="174" t="s">
        <v>124</v>
      </c>
      <c r="C179" s="175"/>
      <c r="D179" s="12" t="s">
        <v>96</v>
      </c>
      <c r="E179" s="21"/>
      <c r="F179" s="20"/>
      <c r="G179" s="20"/>
    </row>
    <row r="180" spans="1:16" ht="29.1" customHeight="1" x14ac:dyDescent="0.2">
      <c r="A180" s="18"/>
      <c r="B180" s="172" t="s">
        <v>125</v>
      </c>
      <c r="C180" s="173"/>
      <c r="D180" s="2" t="s">
        <v>126</v>
      </c>
      <c r="E180" s="21"/>
      <c r="F180" s="20"/>
      <c r="G180" s="20"/>
    </row>
    <row r="181" spans="1:16" ht="17.100000000000001" customHeight="1" x14ac:dyDescent="0.2">
      <c r="A181" s="18"/>
      <c r="B181" s="172" t="s">
        <v>127</v>
      </c>
      <c r="C181" s="173"/>
      <c r="D181" s="2" t="s">
        <v>126</v>
      </c>
      <c r="E181" s="21"/>
      <c r="F181" s="20"/>
      <c r="G181" s="20"/>
    </row>
    <row r="182" spans="1:16" ht="17.100000000000001" customHeight="1" x14ac:dyDescent="0.2">
      <c r="A182" s="18"/>
      <c r="B182" s="172" t="s">
        <v>128</v>
      </c>
      <c r="C182" s="173"/>
      <c r="D182" s="12" t="s">
        <v>96</v>
      </c>
      <c r="E182" s="21"/>
      <c r="F182" s="20"/>
      <c r="G182" s="20"/>
    </row>
    <row r="183" spans="1:16" ht="24" customHeight="1" x14ac:dyDescent="0.2">
      <c r="A183" s="22"/>
      <c r="B183" s="23" t="s">
        <v>96</v>
      </c>
      <c r="C183" s="23" t="s">
        <v>129</v>
      </c>
      <c r="D183" s="23" t="s">
        <v>130</v>
      </c>
      <c r="E183" s="22"/>
      <c r="F183" s="22"/>
      <c r="G183" s="22"/>
    </row>
    <row r="184" spans="1:16" ht="18" customHeight="1" x14ac:dyDescent="0.2">
      <c r="A184" s="22"/>
      <c r="B184" s="23" t="s">
        <v>131</v>
      </c>
      <c r="C184" s="23" t="s">
        <v>132</v>
      </c>
      <c r="D184" s="23" t="s">
        <v>133</v>
      </c>
      <c r="E184" s="22"/>
      <c r="F184" s="22"/>
      <c r="G184" s="22"/>
    </row>
    <row r="185" spans="1:16" ht="17.100000000000001" customHeight="1" x14ac:dyDescent="0.2">
      <c r="A185" s="22"/>
      <c r="B185" s="4" t="s">
        <v>134</v>
      </c>
      <c r="C185" s="24">
        <v>18.774699999999999</v>
      </c>
      <c r="D185" s="24">
        <v>18.203399999999998</v>
      </c>
      <c r="E185" s="22"/>
      <c r="F185" s="19"/>
      <c r="G185" s="25"/>
    </row>
    <row r="186" spans="1:16" ht="17.100000000000001" customHeight="1" x14ac:dyDescent="0.2">
      <c r="A186" s="22"/>
      <c r="B186" s="4" t="s">
        <v>983</v>
      </c>
      <c r="C186" s="24">
        <v>16.706700000000001</v>
      </c>
      <c r="D186" s="24">
        <v>16.198399999999999</v>
      </c>
      <c r="E186" s="22"/>
      <c r="F186" s="19"/>
      <c r="G186" s="25"/>
    </row>
    <row r="187" spans="1:16" ht="17.100000000000001" customHeight="1" x14ac:dyDescent="0.2">
      <c r="A187" s="22"/>
      <c r="B187" s="4" t="s">
        <v>135</v>
      </c>
      <c r="C187" s="24">
        <v>18.191400000000002</v>
      </c>
      <c r="D187" s="24">
        <v>17.631</v>
      </c>
      <c r="E187" s="22"/>
      <c r="F187" s="19"/>
      <c r="G187" s="25"/>
    </row>
    <row r="188" spans="1:16" ht="17.100000000000001" customHeight="1" x14ac:dyDescent="0.2">
      <c r="A188" s="22"/>
      <c r="B188" s="4" t="s">
        <v>984</v>
      </c>
      <c r="C188" s="24">
        <v>16.180399999999999</v>
      </c>
      <c r="D188" s="24">
        <v>15.682</v>
      </c>
      <c r="E188" s="22"/>
      <c r="F188" s="19"/>
      <c r="G188" s="25"/>
    </row>
    <row r="189" spans="1:16" ht="14.1" customHeight="1" x14ac:dyDescent="0.2">
      <c r="A189" s="22"/>
      <c r="B189" s="22"/>
      <c r="C189" s="22"/>
      <c r="D189" s="22"/>
      <c r="E189" s="22"/>
      <c r="F189" s="22"/>
      <c r="G189" s="22"/>
    </row>
    <row r="190" spans="1:16" ht="17.100000000000001" customHeight="1" x14ac:dyDescent="0.2">
      <c r="A190" s="22"/>
      <c r="B190" s="172" t="s">
        <v>985</v>
      </c>
      <c r="C190" s="173"/>
      <c r="D190" s="2" t="s">
        <v>126</v>
      </c>
      <c r="E190" s="22"/>
      <c r="F190" s="22"/>
      <c r="G190" s="22"/>
    </row>
    <row r="191" spans="1:16" ht="18" customHeight="1" x14ac:dyDescent="0.2">
      <c r="A191" s="22"/>
      <c r="B191" s="26" t="s">
        <v>136</v>
      </c>
      <c r="C191" s="26" t="s">
        <v>136</v>
      </c>
      <c r="D191" s="26"/>
      <c r="E191" s="22"/>
      <c r="F191" s="22"/>
      <c r="G191" s="22"/>
    </row>
    <row r="192" spans="1:16" s="82" customFormat="1" x14ac:dyDescent="0.2">
      <c r="B192" s="177" t="s">
        <v>936</v>
      </c>
      <c r="C192" s="177"/>
      <c r="D192" s="177"/>
      <c r="E192" s="177"/>
      <c r="F192" s="177"/>
      <c r="P192" s="70"/>
    </row>
    <row r="193" spans="1:7" ht="14.1" customHeight="1" x14ac:dyDescent="0.2">
      <c r="A193" s="22"/>
      <c r="B193" s="19"/>
      <c r="C193" s="19"/>
      <c r="D193" s="22"/>
      <c r="E193" s="22"/>
      <c r="F193" s="22"/>
      <c r="G193" s="22"/>
    </row>
    <row r="194" spans="1:7" ht="29.1" customHeight="1" x14ac:dyDescent="0.2">
      <c r="A194" s="22"/>
      <c r="B194" s="172" t="s">
        <v>137</v>
      </c>
      <c r="C194" s="173"/>
      <c r="D194" s="2" t="s">
        <v>126</v>
      </c>
      <c r="E194" s="22"/>
      <c r="F194" s="22"/>
      <c r="G194" s="22"/>
    </row>
    <row r="195" spans="1:7" ht="29.1" customHeight="1" x14ac:dyDescent="0.2">
      <c r="A195" s="22"/>
      <c r="B195" s="172" t="s">
        <v>138</v>
      </c>
      <c r="C195" s="173"/>
      <c r="D195" s="2" t="s">
        <v>126</v>
      </c>
      <c r="E195" s="22"/>
      <c r="F195" s="22"/>
      <c r="G195" s="22"/>
    </row>
    <row r="196" spans="1:7" s="70" customFormat="1" ht="17.100000000000001" customHeight="1" x14ac:dyDescent="0.2">
      <c r="A196" s="83"/>
      <c r="B196" s="179" t="s">
        <v>939</v>
      </c>
      <c r="C196" s="180"/>
      <c r="D196" s="84">
        <v>1.9346081607891656E-4</v>
      </c>
      <c r="E196" s="85"/>
      <c r="F196" s="83"/>
      <c r="G196" s="83"/>
    </row>
    <row r="197" spans="1:7" s="70" customFormat="1" ht="17.100000000000001" customHeight="1" x14ac:dyDescent="0.2">
      <c r="A197" s="83"/>
      <c r="B197" s="179" t="s">
        <v>940</v>
      </c>
      <c r="C197" s="180"/>
      <c r="D197" s="84">
        <v>0</v>
      </c>
      <c r="E197" s="85"/>
      <c r="F197" s="83"/>
      <c r="G197" s="83"/>
    </row>
    <row r="198" spans="1:7" ht="17.100000000000001" customHeight="1" x14ac:dyDescent="0.2">
      <c r="A198" s="22"/>
      <c r="B198" s="172" t="s">
        <v>941</v>
      </c>
      <c r="C198" s="173"/>
      <c r="D198" s="27">
        <v>0.5160173393160804</v>
      </c>
      <c r="E198" s="22"/>
      <c r="F198" s="19"/>
      <c r="G198" s="25"/>
    </row>
    <row r="199" spans="1:7" ht="17.100000000000001" customHeight="1" x14ac:dyDescent="0.2">
      <c r="A199" s="22"/>
      <c r="B199" s="172" t="s">
        <v>942</v>
      </c>
      <c r="C199" s="173"/>
      <c r="D199" s="2" t="s">
        <v>126</v>
      </c>
      <c r="E199" s="22"/>
      <c r="F199" s="22"/>
      <c r="G199" s="22"/>
    </row>
  </sheetData>
  <mergeCells count="18">
    <mergeCell ref="B199:C199"/>
    <mergeCell ref="B180:C180"/>
    <mergeCell ref="B181:C181"/>
    <mergeCell ref="B182:C182"/>
    <mergeCell ref="B190:C190"/>
    <mergeCell ref="B194:C194"/>
    <mergeCell ref="B195:C195"/>
    <mergeCell ref="B196:C196"/>
    <mergeCell ref="B197:C197"/>
    <mergeCell ref="B192:F192"/>
    <mergeCell ref="A1:H1"/>
    <mergeCell ref="A2:H2"/>
    <mergeCell ref="A3:H3"/>
    <mergeCell ref="J2:N2"/>
    <mergeCell ref="B198:C198"/>
    <mergeCell ref="B179:C179"/>
    <mergeCell ref="B176:F176"/>
    <mergeCell ref="B177:F177"/>
  </mergeCell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P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693</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v>
      </c>
      <c r="C7" s="4" t="s">
        <v>15</v>
      </c>
      <c r="D7" s="4" t="s">
        <v>16</v>
      </c>
      <c r="E7" s="5">
        <v>690000</v>
      </c>
      <c r="F7" s="6">
        <v>16597.259999999998</v>
      </c>
      <c r="G7" s="7">
        <v>7.9909387999999998E-2</v>
      </c>
      <c r="H7" s="69"/>
    </row>
    <row r="8" spans="1:14" x14ac:dyDescent="0.2">
      <c r="A8" s="3">
        <v>2</v>
      </c>
      <c r="B8" s="4" t="s">
        <v>412</v>
      </c>
      <c r="C8" s="4" t="s">
        <v>413</v>
      </c>
      <c r="D8" s="4" t="s">
        <v>155</v>
      </c>
      <c r="E8" s="5">
        <v>950000</v>
      </c>
      <c r="F8" s="6">
        <v>16270.174999999999</v>
      </c>
      <c r="G8" s="7">
        <v>7.8334600000000004E-2</v>
      </c>
      <c r="H8" s="69"/>
    </row>
    <row r="9" spans="1:14" x14ac:dyDescent="0.2">
      <c r="A9" s="3">
        <v>3</v>
      </c>
      <c r="B9" s="4" t="s">
        <v>20</v>
      </c>
      <c r="C9" s="4" t="s">
        <v>21</v>
      </c>
      <c r="D9" s="4" t="s">
        <v>22</v>
      </c>
      <c r="E9" s="5">
        <v>2200000</v>
      </c>
      <c r="F9" s="6">
        <v>15715.7</v>
      </c>
      <c r="G9" s="7">
        <v>7.5665017000000001E-2</v>
      </c>
      <c r="H9" s="69"/>
    </row>
    <row r="10" spans="1:14" x14ac:dyDescent="0.2">
      <c r="A10" s="3">
        <v>4</v>
      </c>
      <c r="B10" s="4" t="s">
        <v>410</v>
      </c>
      <c r="C10" s="4" t="s">
        <v>411</v>
      </c>
      <c r="D10" s="4" t="s">
        <v>22</v>
      </c>
      <c r="E10" s="5">
        <v>840000</v>
      </c>
      <c r="F10" s="6">
        <v>12545.82</v>
      </c>
      <c r="G10" s="7">
        <v>6.0403271000000001E-2</v>
      </c>
      <c r="H10" s="69"/>
    </row>
    <row r="11" spans="1:14" ht="25.5" x14ac:dyDescent="0.2">
      <c r="A11" s="3">
        <v>5</v>
      </c>
      <c r="B11" s="4" t="s">
        <v>414</v>
      </c>
      <c r="C11" s="4" t="s">
        <v>415</v>
      </c>
      <c r="D11" s="4" t="s">
        <v>78</v>
      </c>
      <c r="E11" s="5">
        <v>325000</v>
      </c>
      <c r="F11" s="6">
        <v>8687.5750000000007</v>
      </c>
      <c r="G11" s="7">
        <v>4.1827313999999997E-2</v>
      </c>
      <c r="H11" s="69"/>
    </row>
    <row r="12" spans="1:14" x14ac:dyDescent="0.2">
      <c r="A12" s="3">
        <v>6</v>
      </c>
      <c r="B12" s="4" t="s">
        <v>25</v>
      </c>
      <c r="C12" s="4" t="s">
        <v>26</v>
      </c>
      <c r="D12" s="4" t="s">
        <v>27</v>
      </c>
      <c r="E12" s="5">
        <v>490000</v>
      </c>
      <c r="F12" s="6">
        <v>7904.9250000000002</v>
      </c>
      <c r="G12" s="7">
        <v>3.8059157000000003E-2</v>
      </c>
      <c r="H12" s="69"/>
    </row>
    <row r="13" spans="1:14" x14ac:dyDescent="0.2">
      <c r="A13" s="3">
        <v>7</v>
      </c>
      <c r="B13" s="4" t="s">
        <v>416</v>
      </c>
      <c r="C13" s="4" t="s">
        <v>417</v>
      </c>
      <c r="D13" s="4" t="s">
        <v>22</v>
      </c>
      <c r="E13" s="5">
        <v>1670000</v>
      </c>
      <c r="F13" s="6">
        <v>7691.1850000000004</v>
      </c>
      <c r="G13" s="7">
        <v>3.7030080999999999E-2</v>
      </c>
      <c r="H13" s="69"/>
    </row>
    <row r="14" spans="1:14" x14ac:dyDescent="0.2">
      <c r="A14" s="3">
        <v>8</v>
      </c>
      <c r="B14" s="4" t="s">
        <v>326</v>
      </c>
      <c r="C14" s="4" t="s">
        <v>327</v>
      </c>
      <c r="D14" s="4" t="s">
        <v>22</v>
      </c>
      <c r="E14" s="5">
        <v>1170000</v>
      </c>
      <c r="F14" s="6">
        <v>7671.1049999999996</v>
      </c>
      <c r="G14" s="7">
        <v>3.6933404000000003E-2</v>
      </c>
      <c r="H14" s="69"/>
    </row>
    <row r="15" spans="1:14" ht="25.5" x14ac:dyDescent="0.2">
      <c r="A15" s="3">
        <v>9</v>
      </c>
      <c r="B15" s="4" t="s">
        <v>322</v>
      </c>
      <c r="C15" s="4" t="s">
        <v>323</v>
      </c>
      <c r="D15" s="4" t="s">
        <v>207</v>
      </c>
      <c r="E15" s="5">
        <v>725000</v>
      </c>
      <c r="F15" s="6">
        <v>6463.0124999999998</v>
      </c>
      <c r="G15" s="7">
        <v>3.1116906E-2</v>
      </c>
      <c r="H15" s="69"/>
      <c r="J15" s="160" t="s">
        <v>1019</v>
      </c>
    </row>
    <row r="16" spans="1:14" x14ac:dyDescent="0.2">
      <c r="A16" s="3">
        <v>10</v>
      </c>
      <c r="B16" s="4" t="s">
        <v>420</v>
      </c>
      <c r="C16" s="4" t="s">
        <v>421</v>
      </c>
      <c r="D16" s="4" t="s">
        <v>155</v>
      </c>
      <c r="E16" s="5">
        <v>180000</v>
      </c>
      <c r="F16" s="6">
        <v>6352.47</v>
      </c>
      <c r="G16" s="7">
        <v>3.0584686E-2</v>
      </c>
      <c r="H16" s="69"/>
    </row>
    <row r="17" spans="1:8" x14ac:dyDescent="0.2">
      <c r="A17" s="3">
        <v>11</v>
      </c>
      <c r="B17" s="4" t="s">
        <v>11</v>
      </c>
      <c r="C17" s="4" t="s">
        <v>12</v>
      </c>
      <c r="D17" s="4" t="s">
        <v>13</v>
      </c>
      <c r="E17" s="5">
        <v>338000</v>
      </c>
      <c r="F17" s="6">
        <v>5964.8549999999996</v>
      </c>
      <c r="G17" s="7">
        <v>2.8718469999999999E-2</v>
      </c>
      <c r="H17" s="69"/>
    </row>
    <row r="18" spans="1:8" x14ac:dyDescent="0.2">
      <c r="A18" s="3">
        <v>12</v>
      </c>
      <c r="B18" s="4" t="s">
        <v>380</v>
      </c>
      <c r="C18" s="4" t="s">
        <v>381</v>
      </c>
      <c r="D18" s="4" t="s">
        <v>155</v>
      </c>
      <c r="E18" s="5">
        <v>500000</v>
      </c>
      <c r="F18" s="6">
        <v>5693.25</v>
      </c>
      <c r="G18" s="7">
        <v>2.7410797000000001E-2</v>
      </c>
      <c r="H18" s="69"/>
    </row>
    <row r="19" spans="1:8" x14ac:dyDescent="0.2">
      <c r="A19" s="3">
        <v>13</v>
      </c>
      <c r="B19" s="4" t="s">
        <v>17</v>
      </c>
      <c r="C19" s="4" t="s">
        <v>18</v>
      </c>
      <c r="D19" s="4" t="s">
        <v>19</v>
      </c>
      <c r="E19" s="5">
        <v>755000</v>
      </c>
      <c r="F19" s="6">
        <v>5498.2875000000004</v>
      </c>
      <c r="G19" s="7">
        <v>2.6472128000000001E-2</v>
      </c>
      <c r="H19" s="69"/>
    </row>
    <row r="20" spans="1:8" x14ac:dyDescent="0.2">
      <c r="A20" s="3">
        <v>14</v>
      </c>
      <c r="B20" s="4" t="s">
        <v>187</v>
      </c>
      <c r="C20" s="4" t="s">
        <v>188</v>
      </c>
      <c r="D20" s="4" t="s">
        <v>978</v>
      </c>
      <c r="E20" s="5">
        <v>610000</v>
      </c>
      <c r="F20" s="6">
        <v>5451.2650000000003</v>
      </c>
      <c r="G20" s="7">
        <v>2.6245733E-2</v>
      </c>
      <c r="H20" s="69"/>
    </row>
    <row r="21" spans="1:8" x14ac:dyDescent="0.2">
      <c r="A21" s="3">
        <v>15</v>
      </c>
      <c r="B21" s="4" t="s">
        <v>142</v>
      </c>
      <c r="C21" s="4" t="s">
        <v>143</v>
      </c>
      <c r="D21" s="4" t="s">
        <v>144</v>
      </c>
      <c r="E21" s="5">
        <v>145000</v>
      </c>
      <c r="F21" s="6">
        <v>5424.45</v>
      </c>
      <c r="G21" s="7">
        <v>2.6116628999999999E-2</v>
      </c>
      <c r="H21" s="69"/>
    </row>
    <row r="22" spans="1:8" x14ac:dyDescent="0.2">
      <c r="A22" s="3">
        <v>16</v>
      </c>
      <c r="B22" s="4" t="s">
        <v>90</v>
      </c>
      <c r="C22" s="4" t="s">
        <v>91</v>
      </c>
      <c r="D22" s="4" t="s">
        <v>27</v>
      </c>
      <c r="E22" s="5">
        <v>59000</v>
      </c>
      <c r="F22" s="6">
        <v>4598.3419999999996</v>
      </c>
      <c r="G22" s="7">
        <v>2.2139237999999999E-2</v>
      </c>
      <c r="H22" s="69"/>
    </row>
    <row r="23" spans="1:8" x14ac:dyDescent="0.2">
      <c r="A23" s="3">
        <v>17</v>
      </c>
      <c r="B23" s="4" t="s">
        <v>324</v>
      </c>
      <c r="C23" s="4" t="s">
        <v>325</v>
      </c>
      <c r="D23" s="4" t="s">
        <v>979</v>
      </c>
      <c r="E23" s="5">
        <v>123000</v>
      </c>
      <c r="F23" s="6">
        <v>4490.7299999999996</v>
      </c>
      <c r="G23" s="7">
        <v>2.1621128E-2</v>
      </c>
      <c r="H23" s="69"/>
    </row>
    <row r="24" spans="1:8" x14ac:dyDescent="0.2">
      <c r="A24" s="3">
        <v>18</v>
      </c>
      <c r="B24" s="4" t="s">
        <v>433</v>
      </c>
      <c r="C24" s="4" t="s">
        <v>434</v>
      </c>
      <c r="D24" s="4" t="s">
        <v>160</v>
      </c>
      <c r="E24" s="5">
        <v>575000</v>
      </c>
      <c r="F24" s="6">
        <v>4302.7250000000004</v>
      </c>
      <c r="G24" s="7">
        <v>2.0715957E-2</v>
      </c>
      <c r="H24" s="69"/>
    </row>
    <row r="25" spans="1:8" x14ac:dyDescent="0.2">
      <c r="A25" s="3">
        <v>19</v>
      </c>
      <c r="B25" s="4" t="s">
        <v>418</v>
      </c>
      <c r="C25" s="4" t="s">
        <v>419</v>
      </c>
      <c r="D25" s="4" t="s">
        <v>982</v>
      </c>
      <c r="E25" s="5">
        <v>355000</v>
      </c>
      <c r="F25" s="6">
        <v>4119.9525000000003</v>
      </c>
      <c r="G25" s="7">
        <v>1.9835978000000001E-2</v>
      </c>
      <c r="H25" s="69"/>
    </row>
    <row r="26" spans="1:8" ht="25.5" x14ac:dyDescent="0.2">
      <c r="A26" s="3">
        <v>20</v>
      </c>
      <c r="B26" s="4" t="s">
        <v>28</v>
      </c>
      <c r="C26" s="4" t="s">
        <v>29</v>
      </c>
      <c r="D26" s="4" t="s">
        <v>974</v>
      </c>
      <c r="E26" s="5">
        <v>400000</v>
      </c>
      <c r="F26" s="6">
        <v>3764.2</v>
      </c>
      <c r="G26" s="7">
        <v>1.8123166999999999E-2</v>
      </c>
      <c r="H26" s="69"/>
    </row>
    <row r="27" spans="1:8" x14ac:dyDescent="0.2">
      <c r="A27" s="3">
        <v>21</v>
      </c>
      <c r="B27" s="4" t="s">
        <v>384</v>
      </c>
      <c r="C27" s="4" t="s">
        <v>385</v>
      </c>
      <c r="D27" s="4" t="s">
        <v>982</v>
      </c>
      <c r="E27" s="5">
        <v>21000</v>
      </c>
      <c r="F27" s="6">
        <v>3619.8434999999999</v>
      </c>
      <c r="G27" s="7">
        <v>1.7428145999999999E-2</v>
      </c>
      <c r="H27" s="69"/>
    </row>
    <row r="28" spans="1:8" ht="25.5" x14ac:dyDescent="0.2">
      <c r="A28" s="3">
        <v>22</v>
      </c>
      <c r="B28" s="4" t="s">
        <v>339</v>
      </c>
      <c r="C28" s="4" t="s">
        <v>340</v>
      </c>
      <c r="D28" s="4" t="s">
        <v>75</v>
      </c>
      <c r="E28" s="5">
        <v>800000</v>
      </c>
      <c r="F28" s="6">
        <v>3586</v>
      </c>
      <c r="G28" s="7">
        <v>1.7265203E-2</v>
      </c>
      <c r="H28" s="69"/>
    </row>
    <row r="29" spans="1:8" ht="25.5" x14ac:dyDescent="0.2">
      <c r="A29" s="3">
        <v>23</v>
      </c>
      <c r="B29" s="4" t="s">
        <v>426</v>
      </c>
      <c r="C29" s="4" t="s">
        <v>427</v>
      </c>
      <c r="D29" s="4" t="s">
        <v>207</v>
      </c>
      <c r="E29" s="5">
        <v>134000</v>
      </c>
      <c r="F29" s="6">
        <v>3105.5169999999998</v>
      </c>
      <c r="G29" s="7">
        <v>1.4951862999999999E-2</v>
      </c>
      <c r="H29" s="69"/>
    </row>
    <row r="30" spans="1:8" ht="25.5" x14ac:dyDescent="0.2">
      <c r="A30" s="3">
        <v>24</v>
      </c>
      <c r="B30" s="4" t="s">
        <v>23</v>
      </c>
      <c r="C30" s="4" t="s">
        <v>24</v>
      </c>
      <c r="D30" s="4" t="s">
        <v>974</v>
      </c>
      <c r="E30" s="5">
        <v>38000</v>
      </c>
      <c r="F30" s="6">
        <v>2824.8249999999998</v>
      </c>
      <c r="G30" s="7">
        <v>1.360044E-2</v>
      </c>
      <c r="H30" s="69"/>
    </row>
    <row r="31" spans="1:8" x14ac:dyDescent="0.2">
      <c r="A31" s="3">
        <v>25</v>
      </c>
      <c r="B31" s="4" t="s">
        <v>430</v>
      </c>
      <c r="C31" s="4" t="s">
        <v>431</v>
      </c>
      <c r="D31" s="4" t="s">
        <v>432</v>
      </c>
      <c r="E31" s="5">
        <v>650000</v>
      </c>
      <c r="F31" s="6">
        <v>2682.875</v>
      </c>
      <c r="G31" s="7">
        <v>1.2917005000000001E-2</v>
      </c>
      <c r="H31" s="69"/>
    </row>
    <row r="32" spans="1:8" x14ac:dyDescent="0.2">
      <c r="A32" s="3">
        <v>26</v>
      </c>
      <c r="B32" s="4" t="s">
        <v>149</v>
      </c>
      <c r="C32" s="4" t="s">
        <v>150</v>
      </c>
      <c r="D32" s="4" t="s">
        <v>75</v>
      </c>
      <c r="E32" s="5">
        <v>438318</v>
      </c>
      <c r="F32" s="6">
        <v>2636.9210880000001</v>
      </c>
      <c r="G32" s="7">
        <v>1.2695755E-2</v>
      </c>
      <c r="H32" s="69"/>
    </row>
    <row r="33" spans="1:8" x14ac:dyDescent="0.2">
      <c r="A33" s="3">
        <v>27</v>
      </c>
      <c r="B33" s="4" t="s">
        <v>355</v>
      </c>
      <c r="C33" s="4" t="s">
        <v>356</v>
      </c>
      <c r="D33" s="4" t="s">
        <v>65</v>
      </c>
      <c r="E33" s="5">
        <v>740000</v>
      </c>
      <c r="F33" s="6">
        <v>2542.27</v>
      </c>
      <c r="G33" s="7">
        <v>1.2240047E-2</v>
      </c>
      <c r="H33" s="69"/>
    </row>
    <row r="34" spans="1:8" x14ac:dyDescent="0.2">
      <c r="A34" s="3">
        <v>28</v>
      </c>
      <c r="B34" s="4" t="s">
        <v>347</v>
      </c>
      <c r="C34" s="4" t="s">
        <v>348</v>
      </c>
      <c r="D34" s="4" t="s">
        <v>204</v>
      </c>
      <c r="E34" s="5">
        <v>69000</v>
      </c>
      <c r="F34" s="6">
        <v>2473.8915000000002</v>
      </c>
      <c r="G34" s="7">
        <v>1.1910831E-2</v>
      </c>
      <c r="H34" s="69"/>
    </row>
    <row r="35" spans="1:8" x14ac:dyDescent="0.2">
      <c r="A35" s="3">
        <v>29</v>
      </c>
      <c r="B35" s="4" t="s">
        <v>39</v>
      </c>
      <c r="C35" s="4" t="s">
        <v>40</v>
      </c>
      <c r="D35" s="4" t="s">
        <v>16</v>
      </c>
      <c r="E35" s="5">
        <v>600000</v>
      </c>
      <c r="F35" s="6">
        <v>2220</v>
      </c>
      <c r="G35" s="7">
        <v>1.0688441E-2</v>
      </c>
      <c r="H35" s="69"/>
    </row>
    <row r="36" spans="1:8" x14ac:dyDescent="0.2">
      <c r="A36" s="3">
        <v>30</v>
      </c>
      <c r="B36" s="4" t="s">
        <v>424</v>
      </c>
      <c r="C36" s="4" t="s">
        <v>425</v>
      </c>
      <c r="D36" s="4" t="s">
        <v>204</v>
      </c>
      <c r="E36" s="5">
        <v>270000</v>
      </c>
      <c r="F36" s="6">
        <v>2034.72</v>
      </c>
      <c r="G36" s="7">
        <v>9.7963900000000003E-3</v>
      </c>
      <c r="H36" s="69"/>
    </row>
    <row r="37" spans="1:8" x14ac:dyDescent="0.2">
      <c r="A37" s="3">
        <v>31</v>
      </c>
      <c r="B37" s="4" t="s">
        <v>428</v>
      </c>
      <c r="C37" s="4" t="s">
        <v>429</v>
      </c>
      <c r="D37" s="4" t="s">
        <v>155</v>
      </c>
      <c r="E37" s="5">
        <v>130000</v>
      </c>
      <c r="F37" s="6">
        <v>2003.885</v>
      </c>
      <c r="G37" s="7">
        <v>9.6479310000000002E-3</v>
      </c>
      <c r="H37" s="69"/>
    </row>
    <row r="38" spans="1:8" ht="25.5" x14ac:dyDescent="0.2">
      <c r="A38" s="3">
        <v>32</v>
      </c>
      <c r="B38" s="4" t="s">
        <v>361</v>
      </c>
      <c r="C38" s="4" t="s">
        <v>362</v>
      </c>
      <c r="D38" s="4" t="s">
        <v>207</v>
      </c>
      <c r="E38" s="5">
        <v>360000</v>
      </c>
      <c r="F38" s="6">
        <v>1897.38</v>
      </c>
      <c r="G38" s="7">
        <v>9.1351509999999993E-3</v>
      </c>
      <c r="H38" s="69"/>
    </row>
    <row r="39" spans="1:8" x14ac:dyDescent="0.2">
      <c r="A39" s="3">
        <v>33</v>
      </c>
      <c r="B39" s="4" t="s">
        <v>435</v>
      </c>
      <c r="C39" s="4" t="s">
        <v>436</v>
      </c>
      <c r="D39" s="4" t="s">
        <v>83</v>
      </c>
      <c r="E39" s="5">
        <v>222500</v>
      </c>
      <c r="F39" s="6">
        <v>1858.9875</v>
      </c>
      <c r="G39" s="7">
        <v>8.9503059999999999E-3</v>
      </c>
      <c r="H39" s="69"/>
    </row>
    <row r="40" spans="1:8" ht="25.5" x14ac:dyDescent="0.2">
      <c r="A40" s="3">
        <v>34</v>
      </c>
      <c r="B40" s="4" t="s">
        <v>437</v>
      </c>
      <c r="C40" s="4" t="s">
        <v>438</v>
      </c>
      <c r="D40" s="4" t="s">
        <v>207</v>
      </c>
      <c r="E40" s="5">
        <v>775000</v>
      </c>
      <c r="F40" s="6">
        <v>1713.9124999999999</v>
      </c>
      <c r="G40" s="7">
        <v>8.2518260000000003E-3</v>
      </c>
      <c r="H40" s="69"/>
    </row>
    <row r="41" spans="1:8" x14ac:dyDescent="0.2">
      <c r="A41" s="3">
        <v>35</v>
      </c>
      <c r="B41" s="4" t="s">
        <v>441</v>
      </c>
      <c r="C41" s="4" t="s">
        <v>442</v>
      </c>
      <c r="D41" s="4" t="s">
        <v>22</v>
      </c>
      <c r="E41" s="5">
        <v>86000</v>
      </c>
      <c r="F41" s="6">
        <v>1687.2339999999999</v>
      </c>
      <c r="G41" s="7">
        <v>8.123379E-3</v>
      </c>
      <c r="H41" s="69"/>
    </row>
    <row r="42" spans="1:8" x14ac:dyDescent="0.2">
      <c r="A42" s="3">
        <v>36</v>
      </c>
      <c r="B42" s="4" t="s">
        <v>270</v>
      </c>
      <c r="C42" s="4" t="s">
        <v>271</v>
      </c>
      <c r="D42" s="4" t="s">
        <v>144</v>
      </c>
      <c r="E42" s="5">
        <v>290000</v>
      </c>
      <c r="F42" s="6">
        <v>1660.54</v>
      </c>
      <c r="G42" s="7">
        <v>7.9948580000000005E-3</v>
      </c>
      <c r="H42" s="69"/>
    </row>
    <row r="43" spans="1:8" x14ac:dyDescent="0.2">
      <c r="A43" s="3">
        <v>37</v>
      </c>
      <c r="B43" s="4" t="s">
        <v>337</v>
      </c>
      <c r="C43" s="4" t="s">
        <v>338</v>
      </c>
      <c r="D43" s="4" t="s">
        <v>78</v>
      </c>
      <c r="E43" s="5">
        <v>110000</v>
      </c>
      <c r="F43" s="6">
        <v>1547.37</v>
      </c>
      <c r="G43" s="7">
        <v>7.4499880000000003E-3</v>
      </c>
      <c r="H43" s="69"/>
    </row>
    <row r="44" spans="1:8" x14ac:dyDescent="0.2">
      <c r="A44" s="3">
        <v>38</v>
      </c>
      <c r="B44" s="4" t="s">
        <v>439</v>
      </c>
      <c r="C44" s="4" t="s">
        <v>440</v>
      </c>
      <c r="D44" s="4" t="s">
        <v>204</v>
      </c>
      <c r="E44" s="5">
        <v>31000</v>
      </c>
      <c r="F44" s="6">
        <v>1512.4280000000001</v>
      </c>
      <c r="G44" s="7">
        <v>7.2817560000000003E-3</v>
      </c>
      <c r="H44" s="69"/>
    </row>
    <row r="45" spans="1:8" x14ac:dyDescent="0.2">
      <c r="A45" s="3">
        <v>39</v>
      </c>
      <c r="B45" s="4" t="s">
        <v>363</v>
      </c>
      <c r="C45" s="4" t="s">
        <v>364</v>
      </c>
      <c r="D45" s="4" t="s">
        <v>48</v>
      </c>
      <c r="E45" s="5">
        <v>240000</v>
      </c>
      <c r="F45" s="6">
        <v>1488</v>
      </c>
      <c r="G45" s="7">
        <v>7.1641439999999999E-3</v>
      </c>
      <c r="H45" s="69"/>
    </row>
    <row r="46" spans="1:8" x14ac:dyDescent="0.2">
      <c r="A46" s="3">
        <v>40</v>
      </c>
      <c r="B46" s="4" t="s">
        <v>316</v>
      </c>
      <c r="C46" s="4" t="s">
        <v>317</v>
      </c>
      <c r="D46" s="4" t="s">
        <v>221</v>
      </c>
      <c r="E46" s="5">
        <v>3750</v>
      </c>
      <c r="F46" s="6">
        <v>1439.6587500000001</v>
      </c>
      <c r="G46" s="7">
        <v>6.9313999999999999E-3</v>
      </c>
      <c r="H46" s="69"/>
    </row>
    <row r="47" spans="1:8" x14ac:dyDescent="0.2">
      <c r="A47" s="3">
        <v>41</v>
      </c>
      <c r="B47" s="4" t="s">
        <v>185</v>
      </c>
      <c r="C47" s="4" t="s">
        <v>186</v>
      </c>
      <c r="D47" s="4" t="s">
        <v>16</v>
      </c>
      <c r="E47" s="5">
        <v>425000</v>
      </c>
      <c r="F47" s="6">
        <v>1254.175</v>
      </c>
      <c r="G47" s="7">
        <v>6.0383679999999997E-3</v>
      </c>
      <c r="H47" s="69"/>
    </row>
    <row r="48" spans="1:8" x14ac:dyDescent="0.2">
      <c r="A48" s="3">
        <v>42</v>
      </c>
      <c r="B48" s="4" t="s">
        <v>454</v>
      </c>
      <c r="C48" s="4" t="s">
        <v>455</v>
      </c>
      <c r="D48" s="4" t="s">
        <v>204</v>
      </c>
      <c r="E48" s="5">
        <v>95000</v>
      </c>
      <c r="F48" s="6">
        <v>922.73500000000001</v>
      </c>
      <c r="G48" s="7">
        <v>4.4426120000000003E-3</v>
      </c>
      <c r="H48" s="69"/>
    </row>
    <row r="49" spans="1:8" x14ac:dyDescent="0.2">
      <c r="A49" s="3">
        <v>43</v>
      </c>
      <c r="B49" s="4" t="s">
        <v>374</v>
      </c>
      <c r="C49" s="4" t="s">
        <v>375</v>
      </c>
      <c r="D49" s="4" t="s">
        <v>75</v>
      </c>
      <c r="E49" s="5">
        <v>1332873</v>
      </c>
      <c r="F49" s="6">
        <v>893.69134650000001</v>
      </c>
      <c r="G49" s="7">
        <v>4.3027780000000002E-3</v>
      </c>
      <c r="H49" s="69"/>
    </row>
    <row r="50" spans="1:8" x14ac:dyDescent="0.2">
      <c r="A50" s="3">
        <v>44</v>
      </c>
      <c r="B50" s="4" t="s">
        <v>158</v>
      </c>
      <c r="C50" s="4" t="s">
        <v>159</v>
      </c>
      <c r="D50" s="4" t="s">
        <v>160</v>
      </c>
      <c r="E50" s="5">
        <v>55000</v>
      </c>
      <c r="F50" s="6">
        <v>892.40250000000003</v>
      </c>
      <c r="G50" s="7">
        <v>4.2965729999999997E-3</v>
      </c>
      <c r="H50" s="69"/>
    </row>
    <row r="51" spans="1:8" x14ac:dyDescent="0.2">
      <c r="A51" s="3">
        <v>45</v>
      </c>
      <c r="B51" s="4" t="s">
        <v>351</v>
      </c>
      <c r="C51" s="4" t="s">
        <v>352</v>
      </c>
      <c r="D51" s="4" t="s">
        <v>22</v>
      </c>
      <c r="E51" s="5">
        <v>1000000</v>
      </c>
      <c r="F51" s="6">
        <v>857.5</v>
      </c>
      <c r="G51" s="7">
        <v>4.1285310000000004E-3</v>
      </c>
      <c r="H51" s="69"/>
    </row>
    <row r="52" spans="1:8" x14ac:dyDescent="0.2">
      <c r="A52" s="3">
        <v>46</v>
      </c>
      <c r="B52" s="4" t="s">
        <v>308</v>
      </c>
      <c r="C52" s="4" t="s">
        <v>309</v>
      </c>
      <c r="D52" s="4" t="s">
        <v>175</v>
      </c>
      <c r="E52" s="5">
        <v>14000</v>
      </c>
      <c r="F52" s="6">
        <v>796.28499999999997</v>
      </c>
      <c r="G52" s="7">
        <v>3.8338040000000001E-3</v>
      </c>
      <c r="H52" s="69"/>
    </row>
    <row r="53" spans="1:8" x14ac:dyDescent="0.2">
      <c r="A53" s="3">
        <v>47</v>
      </c>
      <c r="B53" s="4" t="s">
        <v>330</v>
      </c>
      <c r="C53" s="4" t="s">
        <v>331</v>
      </c>
      <c r="D53" s="4" t="s">
        <v>22</v>
      </c>
      <c r="E53" s="5">
        <v>699500</v>
      </c>
      <c r="F53" s="6">
        <v>607.16600000000005</v>
      </c>
      <c r="G53" s="7">
        <v>2.923269E-3</v>
      </c>
      <c r="H53" s="69"/>
    </row>
    <row r="54" spans="1:8" x14ac:dyDescent="0.2">
      <c r="A54" s="3">
        <v>48</v>
      </c>
      <c r="B54" s="4" t="s">
        <v>400</v>
      </c>
      <c r="C54" s="4" t="s">
        <v>401</v>
      </c>
      <c r="D54" s="4" t="s">
        <v>334</v>
      </c>
      <c r="E54" s="5">
        <v>260000</v>
      </c>
      <c r="F54" s="6">
        <v>396.63</v>
      </c>
      <c r="G54" s="7">
        <v>1.9096199999999999E-3</v>
      </c>
      <c r="H54" s="69"/>
    </row>
    <row r="55" spans="1:8" ht="25.5" x14ac:dyDescent="0.2">
      <c r="A55" s="3">
        <v>49</v>
      </c>
      <c r="B55" s="4" t="s">
        <v>445</v>
      </c>
      <c r="C55" s="4" t="s">
        <v>930</v>
      </c>
      <c r="D55" s="72" t="s">
        <v>19</v>
      </c>
      <c r="E55" s="5">
        <v>55357</v>
      </c>
      <c r="F55" s="6">
        <v>216.33515600000001</v>
      </c>
      <c r="G55" s="7">
        <v>1.0415699999999999E-3</v>
      </c>
      <c r="H55" s="69"/>
    </row>
    <row r="56" spans="1:8" ht="25.5" x14ac:dyDescent="0.2">
      <c r="A56" s="3">
        <v>50</v>
      </c>
      <c r="B56" s="4" t="s">
        <v>266</v>
      </c>
      <c r="C56" s="4" t="s">
        <v>267</v>
      </c>
      <c r="D56" s="4" t="s">
        <v>981</v>
      </c>
      <c r="E56" s="5">
        <v>11730</v>
      </c>
      <c r="F56" s="6">
        <v>142.58987999999999</v>
      </c>
      <c r="G56" s="7">
        <v>6.8651499999999996E-4</v>
      </c>
      <c r="H56" s="69"/>
    </row>
    <row r="57" spans="1:8" x14ac:dyDescent="0.2">
      <c r="A57" s="1"/>
      <c r="B57" s="1"/>
      <c r="C57" s="2" t="s">
        <v>95</v>
      </c>
      <c r="D57" s="1"/>
      <c r="E57" s="1" t="s">
        <v>96</v>
      </c>
      <c r="F57" s="9">
        <v>206723.05322050003</v>
      </c>
      <c r="G57" s="10">
        <v>0.99529154900000005</v>
      </c>
      <c r="H57" s="69"/>
    </row>
    <row r="58" spans="1:8" x14ac:dyDescent="0.2">
      <c r="A58" s="1"/>
      <c r="B58" s="1"/>
      <c r="C58" s="11"/>
      <c r="D58" s="1"/>
      <c r="E58" s="1"/>
      <c r="F58" s="12"/>
      <c r="G58" s="12"/>
      <c r="H58" s="69"/>
    </row>
    <row r="59" spans="1:8" x14ac:dyDescent="0.2">
      <c r="A59" s="1"/>
      <c r="B59" s="1"/>
      <c r="C59" s="2" t="s">
        <v>97</v>
      </c>
      <c r="D59" s="1"/>
      <c r="E59" s="1"/>
      <c r="F59" s="1"/>
      <c r="G59" s="1"/>
      <c r="H59" s="69"/>
    </row>
    <row r="60" spans="1:8" x14ac:dyDescent="0.2">
      <c r="A60" s="1"/>
      <c r="B60" s="1"/>
      <c r="C60" s="2" t="s">
        <v>95</v>
      </c>
      <c r="D60" s="1"/>
      <c r="E60" s="1" t="s">
        <v>96</v>
      </c>
      <c r="F60" s="13">
        <v>0</v>
      </c>
      <c r="G60" s="14">
        <v>0</v>
      </c>
      <c r="H60" s="69"/>
    </row>
    <row r="61" spans="1:8" x14ac:dyDescent="0.2">
      <c r="A61" s="1"/>
      <c r="B61" s="1"/>
      <c r="C61" s="11"/>
      <c r="D61" s="1"/>
      <c r="E61" s="1"/>
      <c r="F61" s="12"/>
      <c r="G61" s="12"/>
      <c r="H61" s="69"/>
    </row>
    <row r="62" spans="1:8" x14ac:dyDescent="0.2">
      <c r="A62" s="1"/>
      <c r="B62" s="1"/>
      <c r="C62" s="2" t="s">
        <v>98</v>
      </c>
      <c r="D62" s="1"/>
      <c r="E62" s="1"/>
      <c r="F62" s="1"/>
      <c r="G62" s="1"/>
      <c r="H62" s="69"/>
    </row>
    <row r="63" spans="1:8" x14ac:dyDescent="0.2">
      <c r="A63" s="1"/>
      <c r="B63" s="1"/>
      <c r="C63" s="2" t="s">
        <v>95</v>
      </c>
      <c r="D63" s="1"/>
      <c r="E63" s="1" t="s">
        <v>96</v>
      </c>
      <c r="F63" s="13">
        <v>0</v>
      </c>
      <c r="G63" s="14">
        <v>0</v>
      </c>
      <c r="H63" s="69"/>
    </row>
    <row r="64" spans="1:8" x14ac:dyDescent="0.2">
      <c r="A64" s="1"/>
      <c r="B64" s="1"/>
      <c r="C64" s="11"/>
      <c r="D64" s="1"/>
      <c r="E64" s="1"/>
      <c r="F64" s="12"/>
      <c r="G64" s="12"/>
      <c r="H64" s="69"/>
    </row>
    <row r="65" spans="1:8" x14ac:dyDescent="0.2">
      <c r="A65" s="1"/>
      <c r="B65" s="1"/>
      <c r="C65" s="2" t="s">
        <v>99</v>
      </c>
      <c r="D65" s="1"/>
      <c r="E65" s="1"/>
      <c r="F65" s="1"/>
      <c r="G65" s="1"/>
      <c r="H65" s="69"/>
    </row>
    <row r="66" spans="1:8" x14ac:dyDescent="0.2">
      <c r="A66" s="1"/>
      <c r="B66" s="1"/>
      <c r="C66" s="2" t="s">
        <v>95</v>
      </c>
      <c r="D66" s="1"/>
      <c r="E66" s="1" t="s">
        <v>96</v>
      </c>
      <c r="F66" s="9">
        <v>0</v>
      </c>
      <c r="G66" s="10">
        <v>0</v>
      </c>
      <c r="H66" s="69"/>
    </row>
    <row r="67" spans="1:8" x14ac:dyDescent="0.2">
      <c r="A67" s="1"/>
      <c r="B67" s="1"/>
      <c r="C67" s="11"/>
      <c r="D67" s="1"/>
      <c r="E67" s="1"/>
      <c r="F67" s="12"/>
      <c r="G67" s="12"/>
      <c r="H67" s="69"/>
    </row>
    <row r="68" spans="1:8" x14ac:dyDescent="0.2">
      <c r="A68" s="1"/>
      <c r="B68" s="1"/>
      <c r="C68" s="2" t="s">
        <v>100</v>
      </c>
      <c r="D68" s="1"/>
      <c r="E68" s="1"/>
      <c r="F68" s="12"/>
      <c r="G68" s="12"/>
      <c r="H68" s="69"/>
    </row>
    <row r="69" spans="1:8" s="70" customFormat="1" ht="25.5" x14ac:dyDescent="0.2">
      <c r="A69" s="73">
        <v>1</v>
      </c>
      <c r="B69" s="74" t="s">
        <v>931</v>
      </c>
      <c r="C69" s="74" t="s">
        <v>932</v>
      </c>
      <c r="D69" s="74" t="s">
        <v>78</v>
      </c>
      <c r="E69" s="75">
        <v>36000</v>
      </c>
      <c r="F69" s="76">
        <v>280.24200000000002</v>
      </c>
      <c r="G69" s="77">
        <v>1.3492599999999999E-3</v>
      </c>
      <c r="H69" s="69"/>
    </row>
    <row r="70" spans="1:8" x14ac:dyDescent="0.2">
      <c r="A70" s="1"/>
      <c r="B70" s="1"/>
      <c r="C70" s="2" t="s">
        <v>95</v>
      </c>
      <c r="D70" s="1"/>
      <c r="E70" s="1" t="s">
        <v>96</v>
      </c>
      <c r="F70" s="13">
        <v>280.24200000000002</v>
      </c>
      <c r="G70" s="14">
        <v>1.3492599999999999E-3</v>
      </c>
      <c r="H70" s="69"/>
    </row>
    <row r="71" spans="1:8" x14ac:dyDescent="0.2">
      <c r="A71" s="1"/>
      <c r="B71" s="1"/>
      <c r="C71" s="11"/>
      <c r="D71" s="1"/>
      <c r="E71" s="1"/>
      <c r="F71" s="12"/>
      <c r="G71" s="12"/>
      <c r="H71" s="69"/>
    </row>
    <row r="72" spans="1:8" x14ac:dyDescent="0.2">
      <c r="A72" s="1"/>
      <c r="B72" s="1"/>
      <c r="C72" s="2" t="s">
        <v>101</v>
      </c>
      <c r="D72" s="1"/>
      <c r="E72" s="1"/>
      <c r="F72" s="12"/>
      <c r="G72" s="12"/>
      <c r="H72" s="69"/>
    </row>
    <row r="73" spans="1:8" x14ac:dyDescent="0.2">
      <c r="A73" s="1"/>
      <c r="B73" s="1"/>
      <c r="C73" s="2" t="s">
        <v>95</v>
      </c>
      <c r="D73" s="1"/>
      <c r="E73" s="1" t="s">
        <v>96</v>
      </c>
      <c r="F73" s="13">
        <v>0</v>
      </c>
      <c r="G73" s="14">
        <v>0</v>
      </c>
      <c r="H73" s="69"/>
    </row>
    <row r="74" spans="1:8" x14ac:dyDescent="0.2">
      <c r="A74" s="1"/>
      <c r="B74" s="1"/>
      <c r="C74" s="11"/>
      <c r="D74" s="1"/>
      <c r="E74" s="1"/>
      <c r="F74" s="12"/>
      <c r="G74" s="12"/>
      <c r="H74" s="69"/>
    </row>
    <row r="75" spans="1:8" x14ac:dyDescent="0.2">
      <c r="A75" s="1"/>
      <c r="B75" s="1"/>
      <c r="C75" s="2" t="s">
        <v>102</v>
      </c>
      <c r="D75" s="1"/>
      <c r="E75" s="1"/>
      <c r="F75" s="9">
        <v>207003.2952205</v>
      </c>
      <c r="G75" s="10">
        <v>0.99664080899999996</v>
      </c>
      <c r="H75" s="69"/>
    </row>
    <row r="76" spans="1:8" x14ac:dyDescent="0.2">
      <c r="A76" s="1"/>
      <c r="B76" s="1"/>
      <c r="C76" s="11"/>
      <c r="D76" s="1"/>
      <c r="E76" s="1"/>
      <c r="F76" s="12"/>
      <c r="G76" s="12"/>
      <c r="H76" s="69"/>
    </row>
    <row r="77" spans="1:8" x14ac:dyDescent="0.2">
      <c r="A77" s="1"/>
      <c r="B77" s="1"/>
      <c r="C77" s="2" t="s">
        <v>103</v>
      </c>
      <c r="D77" s="1"/>
      <c r="E77" s="1"/>
      <c r="F77" s="12"/>
      <c r="G77" s="12"/>
      <c r="H77" s="69"/>
    </row>
    <row r="78" spans="1:8" ht="25.5" x14ac:dyDescent="0.2">
      <c r="A78" s="1"/>
      <c r="B78" s="1"/>
      <c r="C78" s="2" t="s">
        <v>10</v>
      </c>
      <c r="D78" s="1"/>
      <c r="E78" s="1"/>
      <c r="F78" s="12"/>
      <c r="G78" s="12"/>
      <c r="H78" s="69"/>
    </row>
    <row r="79" spans="1:8" x14ac:dyDescent="0.2">
      <c r="A79" s="1"/>
      <c r="B79" s="1"/>
      <c r="C79" s="2" t="s">
        <v>95</v>
      </c>
      <c r="D79" s="1"/>
      <c r="E79" s="1" t="s">
        <v>96</v>
      </c>
      <c r="F79" s="13">
        <v>0</v>
      </c>
      <c r="G79" s="14">
        <v>0</v>
      </c>
      <c r="H79" s="69"/>
    </row>
    <row r="80" spans="1:8" x14ac:dyDescent="0.2">
      <c r="A80" s="1"/>
      <c r="B80" s="1"/>
      <c r="C80" s="11"/>
      <c r="D80" s="1"/>
      <c r="E80" s="1"/>
      <c r="F80" s="12"/>
      <c r="G80" s="12"/>
      <c r="H80" s="69"/>
    </row>
    <row r="81" spans="1:8" x14ac:dyDescent="0.2">
      <c r="A81" s="1"/>
      <c r="B81" s="1"/>
      <c r="C81" s="2" t="s">
        <v>104</v>
      </c>
      <c r="D81" s="1"/>
      <c r="E81" s="1"/>
      <c r="F81" s="1"/>
      <c r="G81" s="1"/>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105</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106</v>
      </c>
      <c r="D87" s="1"/>
      <c r="E87" s="1"/>
      <c r="F87" s="12"/>
      <c r="G87" s="12"/>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107</v>
      </c>
      <c r="D90" s="1"/>
      <c r="E90" s="1"/>
      <c r="F90" s="9">
        <v>0</v>
      </c>
      <c r="G90" s="10">
        <v>0</v>
      </c>
      <c r="H90" s="69"/>
    </row>
    <row r="91" spans="1:8" x14ac:dyDescent="0.2">
      <c r="A91" s="1"/>
      <c r="B91" s="1"/>
      <c r="C91" s="11"/>
      <c r="D91" s="1"/>
      <c r="E91" s="1"/>
      <c r="F91" s="12"/>
      <c r="G91" s="12"/>
      <c r="H91" s="69"/>
    </row>
    <row r="92" spans="1:8" x14ac:dyDescent="0.2">
      <c r="A92" s="1"/>
      <c r="B92" s="1"/>
      <c r="C92" s="2" t="s">
        <v>108</v>
      </c>
      <c r="D92" s="1"/>
      <c r="E92" s="1"/>
      <c r="F92" s="12"/>
      <c r="G92" s="12"/>
      <c r="H92" s="69"/>
    </row>
    <row r="93" spans="1:8" x14ac:dyDescent="0.2">
      <c r="A93" s="1"/>
      <c r="B93" s="1"/>
      <c r="C93" s="2" t="s">
        <v>109</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1"/>
      <c r="C96" s="2" t="s">
        <v>110</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111</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112</v>
      </c>
      <c r="D102" s="1"/>
      <c r="E102" s="1"/>
      <c r="F102" s="12"/>
      <c r="G102" s="12"/>
      <c r="H102" s="69"/>
    </row>
    <row r="103" spans="1:8" x14ac:dyDescent="0.2">
      <c r="A103" s="3">
        <v>1</v>
      </c>
      <c r="B103" s="4"/>
      <c r="C103" s="4" t="s">
        <v>113</v>
      </c>
      <c r="D103" s="4"/>
      <c r="E103" s="8"/>
      <c r="F103" s="6">
        <v>754.61577499999999</v>
      </c>
      <c r="G103" s="7">
        <v>3.6331829999999999E-3</v>
      </c>
      <c r="H103" s="6">
        <v>3.3628721504199861</v>
      </c>
    </row>
    <row r="104" spans="1:8" x14ac:dyDescent="0.2">
      <c r="A104" s="3">
        <v>2</v>
      </c>
      <c r="B104" s="4"/>
      <c r="C104" s="4" t="s">
        <v>114</v>
      </c>
      <c r="D104" s="4"/>
      <c r="E104" s="8"/>
      <c r="F104" s="6">
        <v>291.42568670000003</v>
      </c>
      <c r="G104" s="7">
        <v>1.403102E-3</v>
      </c>
      <c r="H104" s="6">
        <v>3.4499999999999966</v>
      </c>
    </row>
    <row r="105" spans="1:8" x14ac:dyDescent="0.2">
      <c r="A105" s="1"/>
      <c r="B105" s="1"/>
      <c r="C105" s="2" t="s">
        <v>95</v>
      </c>
      <c r="D105" s="1"/>
      <c r="E105" s="1" t="s">
        <v>96</v>
      </c>
      <c r="F105" s="9">
        <v>1046.0414616999999</v>
      </c>
      <c r="G105" s="10">
        <v>5.0362849999999997E-3</v>
      </c>
      <c r="H105" s="69"/>
    </row>
    <row r="106" spans="1:8" x14ac:dyDescent="0.2">
      <c r="A106" s="1"/>
      <c r="B106" s="1"/>
      <c r="C106" s="11"/>
      <c r="D106" s="1"/>
      <c r="E106" s="1"/>
      <c r="F106" s="12"/>
      <c r="G106" s="12"/>
      <c r="H106" s="69"/>
    </row>
    <row r="107" spans="1:8" x14ac:dyDescent="0.2">
      <c r="A107" s="1"/>
      <c r="B107" s="1"/>
      <c r="C107" s="2" t="s">
        <v>115</v>
      </c>
      <c r="D107" s="1"/>
      <c r="E107" s="1"/>
      <c r="F107" s="9">
        <v>1046.0414616999999</v>
      </c>
      <c r="G107" s="10">
        <v>5.0362849999999997E-3</v>
      </c>
      <c r="H107" s="69"/>
    </row>
    <row r="108" spans="1:8" x14ac:dyDescent="0.2">
      <c r="A108" s="1"/>
      <c r="B108" s="1"/>
      <c r="C108" s="12"/>
      <c r="D108" s="1"/>
      <c r="E108" s="1"/>
      <c r="F108" s="1"/>
      <c r="G108" s="1"/>
      <c r="H108" s="69"/>
    </row>
    <row r="109" spans="1:8" x14ac:dyDescent="0.2">
      <c r="A109" s="1"/>
      <c r="B109" s="1"/>
      <c r="C109" s="2" t="s">
        <v>116</v>
      </c>
      <c r="D109" s="1"/>
      <c r="E109" s="1"/>
      <c r="F109" s="1"/>
      <c r="G109" s="1"/>
      <c r="H109" s="69"/>
    </row>
    <row r="110" spans="1:8" x14ac:dyDescent="0.2">
      <c r="A110" s="1"/>
      <c r="B110" s="1"/>
      <c r="C110" s="2" t="s">
        <v>117</v>
      </c>
      <c r="D110" s="1"/>
      <c r="E110" s="1"/>
      <c r="F110" s="1"/>
      <c r="G110" s="1"/>
      <c r="H110" s="69"/>
    </row>
    <row r="111" spans="1:8" x14ac:dyDescent="0.2">
      <c r="A111" s="1"/>
      <c r="B111" s="1"/>
      <c r="C111" s="2" t="s">
        <v>95</v>
      </c>
      <c r="D111" s="1"/>
      <c r="E111" s="1" t="s">
        <v>96</v>
      </c>
      <c r="F111" s="13">
        <v>0</v>
      </c>
      <c r="G111" s="14">
        <v>0</v>
      </c>
      <c r="H111" s="69"/>
    </row>
    <row r="112" spans="1:8" x14ac:dyDescent="0.2">
      <c r="A112" s="1"/>
      <c r="B112" s="1"/>
      <c r="C112" s="11"/>
      <c r="D112" s="1"/>
      <c r="E112" s="1"/>
      <c r="F112" s="12"/>
      <c r="G112" s="12"/>
      <c r="H112" s="69"/>
    </row>
    <row r="113" spans="1:8" x14ac:dyDescent="0.2">
      <c r="A113" s="1"/>
      <c r="B113" s="1"/>
      <c r="C113" s="2" t="s">
        <v>118</v>
      </c>
      <c r="D113" s="1"/>
      <c r="E113" s="1"/>
      <c r="F113" s="1"/>
      <c r="G113" s="1"/>
      <c r="H113" s="69"/>
    </row>
    <row r="114" spans="1:8" x14ac:dyDescent="0.2">
      <c r="A114" s="1"/>
      <c r="B114" s="1"/>
      <c r="C114" s="2" t="s">
        <v>119</v>
      </c>
      <c r="D114" s="1"/>
      <c r="E114" s="1"/>
      <c r="F114" s="1"/>
      <c r="G114" s="1"/>
      <c r="H114" s="69"/>
    </row>
    <row r="115" spans="1:8" x14ac:dyDescent="0.2">
      <c r="A115" s="1"/>
      <c r="B115" s="1"/>
      <c r="C115" s="2" t="s">
        <v>95</v>
      </c>
      <c r="D115" s="1"/>
      <c r="E115" s="1" t="s">
        <v>96</v>
      </c>
      <c r="F115" s="13">
        <v>0</v>
      </c>
      <c r="G115" s="14">
        <v>0</v>
      </c>
      <c r="H115" s="69"/>
    </row>
    <row r="116" spans="1:8" x14ac:dyDescent="0.2">
      <c r="A116" s="1"/>
      <c r="B116" s="1"/>
      <c r="C116" s="11"/>
      <c r="D116" s="1"/>
      <c r="E116" s="1"/>
      <c r="F116" s="12"/>
      <c r="G116" s="12"/>
      <c r="H116" s="69"/>
    </row>
    <row r="117" spans="1:8" x14ac:dyDescent="0.2">
      <c r="A117" s="1"/>
      <c r="B117" s="1"/>
      <c r="C117" s="11"/>
      <c r="D117" s="1"/>
      <c r="E117" s="1"/>
      <c r="F117" s="12"/>
      <c r="G117" s="12"/>
      <c r="H117" s="69"/>
    </row>
    <row r="118" spans="1:8" ht="25.5" x14ac:dyDescent="0.2">
      <c r="A118" s="1"/>
      <c r="B118" s="1"/>
      <c r="C118" s="2" t="s">
        <v>120</v>
      </c>
      <c r="D118" s="1"/>
      <c r="E118" s="1"/>
      <c r="F118" s="12"/>
      <c r="G118" s="12"/>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4"/>
      <c r="C121" s="4"/>
      <c r="D121" s="2"/>
      <c r="E121" s="1"/>
      <c r="F121" s="4"/>
      <c r="G121" s="8"/>
      <c r="H121" s="69"/>
    </row>
    <row r="122" spans="1:8" x14ac:dyDescent="0.2">
      <c r="A122" s="8"/>
      <c r="B122" s="4"/>
      <c r="C122" s="4" t="s">
        <v>121</v>
      </c>
      <c r="D122" s="4"/>
      <c r="E122" s="8"/>
      <c r="F122" s="6">
        <v>-348.33338990999999</v>
      </c>
      <c r="G122" s="7">
        <v>-1.6770909999999999E-3</v>
      </c>
      <c r="H122" s="69"/>
    </row>
    <row r="123" spans="1:8" x14ac:dyDescent="0.2">
      <c r="A123" s="11"/>
      <c r="B123" s="11"/>
      <c r="C123" s="2" t="s">
        <v>122</v>
      </c>
      <c r="D123" s="15"/>
      <c r="E123" s="15"/>
      <c r="F123" s="9">
        <v>207701.00329229</v>
      </c>
      <c r="G123" s="10">
        <v>1.000000003</v>
      </c>
      <c r="H123" s="69"/>
    </row>
    <row r="124" spans="1:8" ht="14.1" customHeight="1" x14ac:dyDescent="0.2">
      <c r="A124" s="16"/>
      <c r="B124" s="16"/>
      <c r="C124" s="16"/>
      <c r="D124" s="17"/>
      <c r="E124" s="17"/>
      <c r="F124" s="17"/>
      <c r="G124" s="17"/>
    </row>
    <row r="125" spans="1:8" ht="14.1" customHeight="1" x14ac:dyDescent="0.2">
      <c r="A125" s="18"/>
      <c r="B125" s="176" t="s">
        <v>96</v>
      </c>
      <c r="C125" s="176"/>
      <c r="D125" s="176"/>
      <c r="E125" s="176"/>
      <c r="F125" s="176"/>
      <c r="G125" s="20"/>
    </row>
    <row r="126" spans="1:8" ht="14.1" customHeight="1" x14ac:dyDescent="0.2">
      <c r="A126" s="18"/>
      <c r="B126" s="176" t="s">
        <v>96</v>
      </c>
      <c r="C126" s="176"/>
      <c r="D126" s="176"/>
      <c r="E126" s="176"/>
      <c r="F126" s="176"/>
      <c r="G126" s="20"/>
    </row>
    <row r="127" spans="1:8" ht="14.1" customHeight="1" x14ac:dyDescent="0.2">
      <c r="A127" s="18"/>
      <c r="B127" s="18"/>
      <c r="C127" s="18"/>
      <c r="D127" s="20"/>
      <c r="E127" s="20"/>
      <c r="F127" s="20"/>
      <c r="G127" s="20"/>
    </row>
    <row r="128" spans="1:8" ht="14.1" customHeight="1" x14ac:dyDescent="0.2">
      <c r="A128" s="18"/>
      <c r="B128" s="174" t="s">
        <v>124</v>
      </c>
      <c r="C128" s="175"/>
      <c r="D128" s="12" t="s">
        <v>96</v>
      </c>
      <c r="E128" s="21"/>
      <c r="F128" s="20"/>
      <c r="G128" s="20"/>
    </row>
    <row r="129" spans="1:16" ht="29.1" customHeight="1" x14ac:dyDescent="0.2">
      <c r="A129" s="18"/>
      <c r="B129" s="172" t="s">
        <v>125</v>
      </c>
      <c r="C129" s="173"/>
      <c r="D129" s="2" t="s">
        <v>126</v>
      </c>
      <c r="E129" s="21"/>
      <c r="F129" s="20"/>
      <c r="G129" s="20"/>
    </row>
    <row r="130" spans="1:16" ht="17.100000000000001" customHeight="1" x14ac:dyDescent="0.2">
      <c r="A130" s="18"/>
      <c r="B130" s="172" t="s">
        <v>127</v>
      </c>
      <c r="C130" s="173"/>
      <c r="D130" s="2" t="s">
        <v>126</v>
      </c>
      <c r="E130" s="21"/>
      <c r="F130" s="20"/>
      <c r="G130" s="20"/>
    </row>
    <row r="131" spans="1:16" ht="17.100000000000001" customHeight="1" x14ac:dyDescent="0.2">
      <c r="A131" s="18"/>
      <c r="B131" s="172" t="s">
        <v>128</v>
      </c>
      <c r="C131" s="173"/>
      <c r="D131" s="12" t="s">
        <v>96</v>
      </c>
      <c r="E131" s="21"/>
      <c r="F131" s="20"/>
      <c r="G131" s="20"/>
    </row>
    <row r="132" spans="1:16" ht="24" customHeight="1" x14ac:dyDescent="0.2">
      <c r="A132" s="22"/>
      <c r="B132" s="23" t="s">
        <v>96</v>
      </c>
      <c r="C132" s="23" t="s">
        <v>129</v>
      </c>
      <c r="D132" s="23" t="s">
        <v>130</v>
      </c>
      <c r="E132" s="22"/>
      <c r="F132" s="22"/>
      <c r="G132" s="22"/>
    </row>
    <row r="133" spans="1:16" ht="18" customHeight="1" x14ac:dyDescent="0.2">
      <c r="A133" s="22"/>
      <c r="B133" s="23" t="s">
        <v>131</v>
      </c>
      <c r="C133" s="23" t="s">
        <v>132</v>
      </c>
      <c r="D133" s="23" t="s">
        <v>133</v>
      </c>
      <c r="E133" s="22"/>
      <c r="F133" s="22"/>
      <c r="G133" s="22"/>
    </row>
    <row r="134" spans="1:16" ht="17.100000000000001" customHeight="1" x14ac:dyDescent="0.2">
      <c r="A134" s="22"/>
      <c r="B134" s="4" t="s">
        <v>134</v>
      </c>
      <c r="C134" s="24">
        <v>153.36539999999999</v>
      </c>
      <c r="D134" s="24">
        <v>149.21799999999999</v>
      </c>
      <c r="E134" s="22"/>
      <c r="F134" s="19"/>
      <c r="G134" s="25"/>
    </row>
    <row r="135" spans="1:16" ht="17.100000000000001" customHeight="1" x14ac:dyDescent="0.2">
      <c r="A135" s="22"/>
      <c r="B135" s="4" t="s">
        <v>983</v>
      </c>
      <c r="C135" s="24">
        <v>17.047499999999999</v>
      </c>
      <c r="D135" s="24">
        <v>16.586500000000001</v>
      </c>
      <c r="E135" s="22"/>
      <c r="F135" s="19"/>
      <c r="G135" s="25"/>
    </row>
    <row r="136" spans="1:16" ht="17.100000000000001" customHeight="1" x14ac:dyDescent="0.2">
      <c r="A136" s="22"/>
      <c r="B136" s="4" t="s">
        <v>135</v>
      </c>
      <c r="C136" s="24">
        <v>147.87719999999999</v>
      </c>
      <c r="D136" s="24">
        <v>143.83619999999999</v>
      </c>
      <c r="E136" s="22"/>
      <c r="F136" s="19"/>
      <c r="G136" s="25"/>
    </row>
    <row r="137" spans="1:16" ht="17.100000000000001" customHeight="1" x14ac:dyDescent="0.2">
      <c r="A137" s="22"/>
      <c r="B137" s="4" t="s">
        <v>984</v>
      </c>
      <c r="C137" s="24">
        <v>14.331899999999999</v>
      </c>
      <c r="D137" s="24">
        <v>13.940300000000001</v>
      </c>
      <c r="E137" s="22"/>
      <c r="F137" s="19"/>
      <c r="G137" s="25"/>
    </row>
    <row r="138" spans="1:16" ht="14.1" customHeight="1" x14ac:dyDescent="0.2">
      <c r="A138" s="22"/>
      <c r="B138" s="22"/>
      <c r="C138" s="22"/>
      <c r="D138" s="22"/>
      <c r="E138" s="22"/>
      <c r="F138" s="22"/>
      <c r="G138" s="22"/>
    </row>
    <row r="139" spans="1:16" ht="17.100000000000001" customHeight="1" x14ac:dyDescent="0.2">
      <c r="A139" s="22"/>
      <c r="B139" s="172" t="s">
        <v>985</v>
      </c>
      <c r="C139" s="173"/>
      <c r="D139" s="2" t="s">
        <v>126</v>
      </c>
      <c r="E139" s="22"/>
      <c r="F139" s="22"/>
      <c r="G139" s="22"/>
      <c r="I139" s="70"/>
      <c r="J139" s="70"/>
      <c r="K139" s="70"/>
      <c r="L139" s="70"/>
      <c r="M139" s="70"/>
      <c r="N139" s="70"/>
      <c r="O139" s="70"/>
    </row>
    <row r="140" spans="1:16" ht="18" customHeight="1" x14ac:dyDescent="0.2">
      <c r="A140" s="22"/>
      <c r="B140" s="26" t="s">
        <v>136</v>
      </c>
      <c r="C140" s="26" t="s">
        <v>136</v>
      </c>
      <c r="D140" s="26"/>
      <c r="E140" s="22"/>
      <c r="F140" s="22"/>
      <c r="G140" s="22"/>
    </row>
    <row r="141" spans="1:16" s="82" customFormat="1" x14ac:dyDescent="0.2">
      <c r="B141" s="177" t="s">
        <v>936</v>
      </c>
      <c r="C141" s="177"/>
      <c r="D141" s="177"/>
      <c r="E141" s="177"/>
      <c r="F141" s="177"/>
      <c r="I141"/>
      <c r="J141"/>
      <c r="K141"/>
      <c r="L141"/>
      <c r="M141"/>
      <c r="N141"/>
      <c r="O141"/>
      <c r="P141" s="70"/>
    </row>
    <row r="142" spans="1:16" ht="14.1" customHeight="1" x14ac:dyDescent="0.2">
      <c r="A142" s="22"/>
      <c r="B142" s="19"/>
      <c r="C142" s="19"/>
      <c r="D142" s="22"/>
      <c r="E142" s="22"/>
      <c r="F142" s="22"/>
      <c r="G142" s="22"/>
    </row>
    <row r="143" spans="1:16" ht="29.1" customHeight="1" x14ac:dyDescent="0.2">
      <c r="A143" s="22"/>
      <c r="B143" s="172" t="s">
        <v>137</v>
      </c>
      <c r="C143" s="173"/>
      <c r="D143" s="2" t="s">
        <v>126</v>
      </c>
      <c r="E143" s="22"/>
      <c r="F143" s="22"/>
      <c r="G143" s="22"/>
      <c r="I143" s="82"/>
      <c r="J143" s="82"/>
      <c r="K143" s="82"/>
      <c r="L143" s="82"/>
      <c r="M143" s="82"/>
      <c r="N143" s="82"/>
      <c r="O143" s="82"/>
    </row>
    <row r="144" spans="1:16" ht="29.1" customHeight="1" x14ac:dyDescent="0.2">
      <c r="A144" s="22"/>
      <c r="B144" s="172" t="s">
        <v>138</v>
      </c>
      <c r="C144" s="173"/>
      <c r="D144" s="2" t="s">
        <v>126</v>
      </c>
      <c r="E144" s="22"/>
      <c r="F144" s="22"/>
      <c r="G144" s="22"/>
    </row>
    <row r="145" spans="1:7" ht="17.100000000000001" customHeight="1" x14ac:dyDescent="0.2">
      <c r="A145" s="22"/>
      <c r="B145" s="172" t="s">
        <v>139</v>
      </c>
      <c r="C145" s="173"/>
      <c r="D145" s="27">
        <v>0.51973173281982943</v>
      </c>
      <c r="E145" s="22"/>
      <c r="F145" s="19"/>
      <c r="G145" s="25"/>
    </row>
    <row r="146" spans="1:7" ht="17.100000000000001" customHeight="1" x14ac:dyDescent="0.2">
      <c r="A146" s="22"/>
      <c r="B146" s="172" t="s">
        <v>140</v>
      </c>
      <c r="C146" s="173"/>
      <c r="D146" s="2" t="s">
        <v>126</v>
      </c>
      <c r="E146" s="22"/>
      <c r="F146" s="22"/>
      <c r="G146" s="22"/>
    </row>
  </sheetData>
  <mergeCells count="16">
    <mergeCell ref="B146:C146"/>
    <mergeCell ref="B129:C129"/>
    <mergeCell ref="B130:C130"/>
    <mergeCell ref="B131:C131"/>
    <mergeCell ref="B139:C139"/>
    <mergeCell ref="B143:C143"/>
    <mergeCell ref="B144:C144"/>
    <mergeCell ref="B141:F141"/>
    <mergeCell ref="A1:H1"/>
    <mergeCell ref="A2:H2"/>
    <mergeCell ref="A3:H3"/>
    <mergeCell ref="J2:N2"/>
    <mergeCell ref="B145:C145"/>
    <mergeCell ref="B128:C128"/>
    <mergeCell ref="B125:F125"/>
    <mergeCell ref="B126:F126"/>
  </mergeCells>
  <pageMargins left="5.000000074505806E-2" right="5.000000074505806E-2" top="0.30000001192092896" bottom="0.20000000298023224" header="0" footer="0"/>
  <pageSetup paperSize="9"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P15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140625" customWidth="1"/>
  </cols>
  <sheetData>
    <row r="1" spans="1:14" ht="18" customHeight="1" x14ac:dyDescent="0.2">
      <c r="A1" s="167" t="s">
        <v>0</v>
      </c>
      <c r="B1" s="167"/>
      <c r="C1" s="167"/>
      <c r="D1" s="167"/>
      <c r="E1" s="167"/>
      <c r="F1" s="167"/>
      <c r="G1" s="167"/>
      <c r="H1" s="167"/>
    </row>
    <row r="2" spans="1:14" ht="17.100000000000001" customHeight="1" x14ac:dyDescent="0.2">
      <c r="A2" s="168" t="s">
        <v>694</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326</v>
      </c>
      <c r="C7" s="4" t="s">
        <v>327</v>
      </c>
      <c r="D7" s="4" t="s">
        <v>22</v>
      </c>
      <c r="E7" s="5">
        <v>92400</v>
      </c>
      <c r="F7" s="6">
        <v>605.82060000000001</v>
      </c>
      <c r="G7" s="7">
        <v>7.2690365000000007E-2</v>
      </c>
      <c r="H7" s="69"/>
    </row>
    <row r="8" spans="1:14" x14ac:dyDescent="0.2">
      <c r="A8" s="3">
        <v>2</v>
      </c>
      <c r="B8" s="4" t="s">
        <v>14</v>
      </c>
      <c r="C8" s="4" t="s">
        <v>15</v>
      </c>
      <c r="D8" s="4" t="s">
        <v>16</v>
      </c>
      <c r="E8" s="5">
        <v>21250</v>
      </c>
      <c r="F8" s="6">
        <v>511.14749999999998</v>
      </c>
      <c r="G8" s="7">
        <v>6.1330860000000001E-2</v>
      </c>
      <c r="H8" s="69"/>
    </row>
    <row r="9" spans="1:14" x14ac:dyDescent="0.2">
      <c r="A9" s="3">
        <v>3</v>
      </c>
      <c r="B9" s="4" t="s">
        <v>416</v>
      </c>
      <c r="C9" s="4" t="s">
        <v>417</v>
      </c>
      <c r="D9" s="4" t="s">
        <v>22</v>
      </c>
      <c r="E9" s="5">
        <v>67500</v>
      </c>
      <c r="F9" s="6">
        <v>310.87124999999997</v>
      </c>
      <c r="G9" s="7">
        <v>3.7300390000000003E-2</v>
      </c>
      <c r="H9" s="69"/>
    </row>
    <row r="10" spans="1:14" x14ac:dyDescent="0.2">
      <c r="A10" s="3">
        <v>4</v>
      </c>
      <c r="B10" s="4" t="s">
        <v>355</v>
      </c>
      <c r="C10" s="4" t="s">
        <v>356</v>
      </c>
      <c r="D10" s="4" t="s">
        <v>65</v>
      </c>
      <c r="E10" s="5">
        <v>90000</v>
      </c>
      <c r="F10" s="6">
        <v>309.19499999999999</v>
      </c>
      <c r="G10" s="7">
        <v>3.7099263E-2</v>
      </c>
      <c r="H10" s="69"/>
    </row>
    <row r="11" spans="1:14" x14ac:dyDescent="0.2">
      <c r="A11" s="3">
        <v>5</v>
      </c>
      <c r="B11" s="4" t="s">
        <v>308</v>
      </c>
      <c r="C11" s="4" t="s">
        <v>309</v>
      </c>
      <c r="D11" s="4" t="s">
        <v>175</v>
      </c>
      <c r="E11" s="5">
        <v>5250</v>
      </c>
      <c r="F11" s="6">
        <v>298.606875</v>
      </c>
      <c r="G11" s="7">
        <v>3.5828829E-2</v>
      </c>
      <c r="H11" s="69"/>
    </row>
    <row r="12" spans="1:14" ht="25.5" x14ac:dyDescent="0.2">
      <c r="A12" s="3">
        <v>6</v>
      </c>
      <c r="B12" s="4" t="s">
        <v>437</v>
      </c>
      <c r="C12" s="4" t="s">
        <v>438</v>
      </c>
      <c r="D12" s="4" t="s">
        <v>207</v>
      </c>
      <c r="E12" s="5">
        <v>131200</v>
      </c>
      <c r="F12" s="6">
        <v>290.14879999999999</v>
      </c>
      <c r="G12" s="7">
        <v>3.4813972999999998E-2</v>
      </c>
      <c r="H12" s="69"/>
    </row>
    <row r="13" spans="1:14" ht="25.5" x14ac:dyDescent="0.2">
      <c r="A13" s="3">
        <v>7</v>
      </c>
      <c r="B13" s="4" t="s">
        <v>426</v>
      </c>
      <c r="C13" s="4" t="s">
        <v>427</v>
      </c>
      <c r="D13" s="4" t="s">
        <v>207</v>
      </c>
      <c r="E13" s="5">
        <v>12300</v>
      </c>
      <c r="F13" s="6">
        <v>285.05865</v>
      </c>
      <c r="G13" s="7">
        <v>3.4203223999999997E-2</v>
      </c>
      <c r="H13" s="69"/>
    </row>
    <row r="14" spans="1:14" x14ac:dyDescent="0.2">
      <c r="A14" s="3">
        <v>8</v>
      </c>
      <c r="B14" s="4" t="s">
        <v>84</v>
      </c>
      <c r="C14" s="4" t="s">
        <v>85</v>
      </c>
      <c r="D14" s="4" t="s">
        <v>70</v>
      </c>
      <c r="E14" s="5">
        <v>55000</v>
      </c>
      <c r="F14" s="6">
        <v>266.33749999999998</v>
      </c>
      <c r="G14" s="7">
        <v>3.1956935999999998E-2</v>
      </c>
      <c r="H14" s="69"/>
    </row>
    <row r="15" spans="1:14" ht="15" x14ac:dyDescent="0.2">
      <c r="A15" s="3">
        <v>9</v>
      </c>
      <c r="B15" s="4" t="s">
        <v>430</v>
      </c>
      <c r="C15" s="4" t="s">
        <v>431</v>
      </c>
      <c r="D15" s="4" t="s">
        <v>432</v>
      </c>
      <c r="E15" s="5">
        <v>63425</v>
      </c>
      <c r="F15" s="6">
        <v>261.78668750000003</v>
      </c>
      <c r="G15" s="7">
        <v>3.1410898999999999E-2</v>
      </c>
      <c r="H15" s="69"/>
      <c r="J15" s="160" t="s">
        <v>1021</v>
      </c>
    </row>
    <row r="16" spans="1:14" x14ac:dyDescent="0.2">
      <c r="A16" s="3">
        <v>10</v>
      </c>
      <c r="B16" s="4" t="s">
        <v>653</v>
      </c>
      <c r="C16" s="4" t="s">
        <v>654</v>
      </c>
      <c r="D16" s="4" t="s">
        <v>78</v>
      </c>
      <c r="E16" s="5">
        <v>25000</v>
      </c>
      <c r="F16" s="6">
        <v>237.625</v>
      </c>
      <c r="G16" s="7">
        <v>2.851182E-2</v>
      </c>
      <c r="H16" s="69"/>
    </row>
    <row r="17" spans="1:8" x14ac:dyDescent="0.2">
      <c r="A17" s="3">
        <v>11</v>
      </c>
      <c r="B17" s="4" t="s">
        <v>384</v>
      </c>
      <c r="C17" s="4" t="s">
        <v>385</v>
      </c>
      <c r="D17" s="4" t="s">
        <v>982</v>
      </c>
      <c r="E17" s="5">
        <v>1350</v>
      </c>
      <c r="F17" s="6">
        <v>232.70422500000001</v>
      </c>
      <c r="G17" s="7">
        <v>2.7921392999999999E-2</v>
      </c>
      <c r="H17" s="69"/>
    </row>
    <row r="18" spans="1:8" x14ac:dyDescent="0.2">
      <c r="A18" s="3">
        <v>12</v>
      </c>
      <c r="B18" s="4" t="s">
        <v>589</v>
      </c>
      <c r="C18" s="4" t="s">
        <v>590</v>
      </c>
      <c r="D18" s="4" t="s">
        <v>982</v>
      </c>
      <c r="E18" s="5">
        <v>33000</v>
      </c>
      <c r="F18" s="6">
        <v>224.66399999999999</v>
      </c>
      <c r="G18" s="7">
        <v>2.6956674E-2</v>
      </c>
      <c r="H18" s="69"/>
    </row>
    <row r="19" spans="1:8" ht="25.5" x14ac:dyDescent="0.2">
      <c r="A19" s="3">
        <v>13</v>
      </c>
      <c r="B19" s="4" t="s">
        <v>66</v>
      </c>
      <c r="C19" s="4" t="s">
        <v>67</v>
      </c>
      <c r="D19" s="4" t="s">
        <v>48</v>
      </c>
      <c r="E19" s="5">
        <v>30000</v>
      </c>
      <c r="F19" s="6">
        <v>205.155</v>
      </c>
      <c r="G19" s="7">
        <v>2.4615854999999999E-2</v>
      </c>
      <c r="H19" s="69"/>
    </row>
    <row r="20" spans="1:8" x14ac:dyDescent="0.2">
      <c r="A20" s="3">
        <v>14</v>
      </c>
      <c r="B20" s="4" t="s">
        <v>382</v>
      </c>
      <c r="C20" s="4" t="s">
        <v>383</v>
      </c>
      <c r="D20" s="4" t="s">
        <v>78</v>
      </c>
      <c r="E20" s="5">
        <v>52000</v>
      </c>
      <c r="F20" s="6">
        <v>193.49199999999999</v>
      </c>
      <c r="G20" s="7">
        <v>2.3216450999999999E-2</v>
      </c>
      <c r="H20" s="69"/>
    </row>
    <row r="21" spans="1:8" x14ac:dyDescent="0.2">
      <c r="A21" s="3">
        <v>15</v>
      </c>
      <c r="B21" s="4" t="s">
        <v>380</v>
      </c>
      <c r="C21" s="4" t="s">
        <v>381</v>
      </c>
      <c r="D21" s="4" t="s">
        <v>155</v>
      </c>
      <c r="E21" s="5">
        <v>15400</v>
      </c>
      <c r="F21" s="6">
        <v>175.35210000000001</v>
      </c>
      <c r="G21" s="7">
        <v>2.1039906000000001E-2</v>
      </c>
      <c r="H21" s="69"/>
    </row>
    <row r="22" spans="1:8" x14ac:dyDescent="0.2">
      <c r="A22" s="3">
        <v>16</v>
      </c>
      <c r="B22" s="4" t="s">
        <v>685</v>
      </c>
      <c r="C22" s="4" t="s">
        <v>686</v>
      </c>
      <c r="D22" s="4" t="s">
        <v>976</v>
      </c>
      <c r="E22" s="5">
        <v>6800</v>
      </c>
      <c r="F22" s="6">
        <v>170.76840000000001</v>
      </c>
      <c r="G22" s="7">
        <v>2.0489923E-2</v>
      </c>
      <c r="H22" s="69"/>
    </row>
    <row r="23" spans="1:8" x14ac:dyDescent="0.2">
      <c r="A23" s="3">
        <v>17</v>
      </c>
      <c r="B23" s="4" t="s">
        <v>20</v>
      </c>
      <c r="C23" s="4" t="s">
        <v>21</v>
      </c>
      <c r="D23" s="4" t="s">
        <v>22</v>
      </c>
      <c r="E23" s="5">
        <v>23375</v>
      </c>
      <c r="F23" s="6">
        <v>166.97931249999999</v>
      </c>
      <c r="G23" s="7">
        <v>2.0035283000000001E-2</v>
      </c>
      <c r="H23" s="69"/>
    </row>
    <row r="24" spans="1:8" x14ac:dyDescent="0.2">
      <c r="A24" s="3">
        <v>18</v>
      </c>
      <c r="B24" s="4" t="s">
        <v>353</v>
      </c>
      <c r="C24" s="4" t="s">
        <v>354</v>
      </c>
      <c r="D24" s="4" t="s">
        <v>27</v>
      </c>
      <c r="E24" s="5">
        <v>24000</v>
      </c>
      <c r="F24" s="6">
        <v>166.476</v>
      </c>
      <c r="G24" s="7">
        <v>1.9974892000000001E-2</v>
      </c>
      <c r="H24" s="69"/>
    </row>
    <row r="25" spans="1:8" x14ac:dyDescent="0.2">
      <c r="A25" s="3">
        <v>19</v>
      </c>
      <c r="B25" s="4" t="s">
        <v>81</v>
      </c>
      <c r="C25" s="4" t="s">
        <v>82</v>
      </c>
      <c r="D25" s="4" t="s">
        <v>83</v>
      </c>
      <c r="E25" s="5">
        <v>135000</v>
      </c>
      <c r="F25" s="6">
        <v>161.595</v>
      </c>
      <c r="G25" s="7">
        <v>1.9389238E-2</v>
      </c>
      <c r="H25" s="69"/>
    </row>
    <row r="26" spans="1:8" x14ac:dyDescent="0.2">
      <c r="A26" s="3">
        <v>20</v>
      </c>
      <c r="B26" s="4" t="s">
        <v>695</v>
      </c>
      <c r="C26" s="4" t="s">
        <v>696</v>
      </c>
      <c r="D26" s="4" t="s">
        <v>22</v>
      </c>
      <c r="E26" s="5">
        <v>64800</v>
      </c>
      <c r="F26" s="6">
        <v>129.04920000000001</v>
      </c>
      <c r="G26" s="7">
        <v>1.5484177E-2</v>
      </c>
      <c r="H26" s="69"/>
    </row>
    <row r="27" spans="1:8" ht="25.5" x14ac:dyDescent="0.2">
      <c r="A27" s="3">
        <v>21</v>
      </c>
      <c r="B27" s="4" t="s">
        <v>496</v>
      </c>
      <c r="C27" s="4" t="s">
        <v>497</v>
      </c>
      <c r="D27" s="4" t="s">
        <v>207</v>
      </c>
      <c r="E27" s="5">
        <v>20000</v>
      </c>
      <c r="F27" s="6">
        <v>118.99</v>
      </c>
      <c r="G27" s="7">
        <v>1.4277208E-2</v>
      </c>
      <c r="H27" s="69"/>
    </row>
    <row r="28" spans="1:8" x14ac:dyDescent="0.2">
      <c r="A28" s="3">
        <v>22</v>
      </c>
      <c r="B28" s="4" t="s">
        <v>316</v>
      </c>
      <c r="C28" s="4" t="s">
        <v>317</v>
      </c>
      <c r="D28" s="4" t="s">
        <v>221</v>
      </c>
      <c r="E28" s="5">
        <v>300</v>
      </c>
      <c r="F28" s="6">
        <v>115.17270000000001</v>
      </c>
      <c r="G28" s="7">
        <v>1.3819183000000001E-2</v>
      </c>
      <c r="H28" s="69"/>
    </row>
    <row r="29" spans="1:8" x14ac:dyDescent="0.2">
      <c r="A29" s="3">
        <v>23</v>
      </c>
      <c r="B29" s="4" t="s">
        <v>655</v>
      </c>
      <c r="C29" s="4" t="s">
        <v>656</v>
      </c>
      <c r="D29" s="4" t="s">
        <v>144</v>
      </c>
      <c r="E29" s="5">
        <v>5000</v>
      </c>
      <c r="F29" s="6">
        <v>110.2925</v>
      </c>
      <c r="G29" s="7">
        <v>1.3233623999999999E-2</v>
      </c>
      <c r="H29" s="69"/>
    </row>
    <row r="30" spans="1:8" x14ac:dyDescent="0.2">
      <c r="A30" s="3">
        <v>24</v>
      </c>
      <c r="B30" s="4" t="s">
        <v>443</v>
      </c>
      <c r="C30" s="4" t="s">
        <v>444</v>
      </c>
      <c r="D30" s="4" t="s">
        <v>65</v>
      </c>
      <c r="E30" s="5">
        <v>10200</v>
      </c>
      <c r="F30" s="6">
        <v>109.2624</v>
      </c>
      <c r="G30" s="7">
        <v>1.3110026E-2</v>
      </c>
      <c r="H30" s="69"/>
    </row>
    <row r="31" spans="1:8" x14ac:dyDescent="0.2">
      <c r="A31" s="3">
        <v>25</v>
      </c>
      <c r="B31" s="4" t="s">
        <v>420</v>
      </c>
      <c r="C31" s="4" t="s">
        <v>421</v>
      </c>
      <c r="D31" s="4" t="s">
        <v>155</v>
      </c>
      <c r="E31" s="5">
        <v>1650</v>
      </c>
      <c r="F31" s="6">
        <v>58.230975000000001</v>
      </c>
      <c r="G31" s="7">
        <v>6.9869379999999998E-3</v>
      </c>
      <c r="H31" s="69"/>
    </row>
    <row r="32" spans="1:8" x14ac:dyDescent="0.2">
      <c r="A32" s="3">
        <v>26</v>
      </c>
      <c r="B32" s="4" t="s">
        <v>11</v>
      </c>
      <c r="C32" s="4" t="s">
        <v>12</v>
      </c>
      <c r="D32" s="4" t="s">
        <v>13</v>
      </c>
      <c r="E32" s="5">
        <v>575</v>
      </c>
      <c r="F32" s="6">
        <v>10.1473125</v>
      </c>
      <c r="G32" s="7">
        <v>1.2175420000000001E-3</v>
      </c>
      <c r="H32" s="69"/>
    </row>
    <row r="33" spans="1:8" x14ac:dyDescent="0.2">
      <c r="A33" s="3">
        <v>27</v>
      </c>
      <c r="B33" s="4" t="s">
        <v>418</v>
      </c>
      <c r="C33" s="4" t="s">
        <v>419</v>
      </c>
      <c r="D33" s="4" t="s">
        <v>982</v>
      </c>
      <c r="E33" s="5">
        <v>750</v>
      </c>
      <c r="F33" s="6">
        <v>8.7041249999999994</v>
      </c>
      <c r="G33" s="7">
        <v>1.044379E-3</v>
      </c>
      <c r="H33" s="69"/>
    </row>
    <row r="34" spans="1:8" x14ac:dyDescent="0.2">
      <c r="A34" s="1"/>
      <c r="B34" s="1"/>
      <c r="C34" s="2" t="s">
        <v>95</v>
      </c>
      <c r="D34" s="1"/>
      <c r="E34" s="1" t="s">
        <v>96</v>
      </c>
      <c r="F34" s="9">
        <v>5733.6331124999997</v>
      </c>
      <c r="G34" s="10">
        <v>0.68795925099999999</v>
      </c>
      <c r="H34" s="69"/>
    </row>
    <row r="35" spans="1:8" x14ac:dyDescent="0.2">
      <c r="A35" s="1"/>
      <c r="B35" s="1"/>
      <c r="C35" s="11"/>
      <c r="D35" s="1"/>
      <c r="E35" s="1"/>
      <c r="F35" s="12"/>
      <c r="G35" s="12"/>
      <c r="H35" s="69"/>
    </row>
    <row r="36" spans="1:8" x14ac:dyDescent="0.2">
      <c r="A36" s="1"/>
      <c r="B36" s="1"/>
      <c r="C36" s="2" t="s">
        <v>97</v>
      </c>
      <c r="D36" s="1"/>
      <c r="E36" s="1"/>
      <c r="F36" s="1"/>
      <c r="G36" s="1"/>
      <c r="H36" s="69"/>
    </row>
    <row r="37" spans="1:8" x14ac:dyDescent="0.2">
      <c r="A37" s="1"/>
      <c r="B37" s="1"/>
      <c r="C37" s="2" t="s">
        <v>95</v>
      </c>
      <c r="D37" s="1"/>
      <c r="E37" s="1" t="s">
        <v>96</v>
      </c>
      <c r="F37" s="13">
        <v>0</v>
      </c>
      <c r="G37" s="14">
        <v>0</v>
      </c>
      <c r="H37" s="69"/>
    </row>
    <row r="38" spans="1:8" x14ac:dyDescent="0.2">
      <c r="A38" s="1"/>
      <c r="B38" s="1"/>
      <c r="C38" s="11"/>
      <c r="D38" s="1"/>
      <c r="E38" s="1"/>
      <c r="F38" s="12"/>
      <c r="G38" s="12"/>
      <c r="H38" s="69"/>
    </row>
    <row r="39" spans="1:8" x14ac:dyDescent="0.2">
      <c r="A39" s="1"/>
      <c r="B39" s="1"/>
      <c r="C39" s="2" t="s">
        <v>98</v>
      </c>
      <c r="D39" s="1"/>
      <c r="E39" s="1"/>
      <c r="F39" s="1"/>
      <c r="G39" s="1"/>
      <c r="H39" s="69"/>
    </row>
    <row r="40" spans="1:8" x14ac:dyDescent="0.2">
      <c r="A40" s="1"/>
      <c r="B40" s="1"/>
      <c r="C40" s="2" t="s">
        <v>95</v>
      </c>
      <c r="D40" s="1"/>
      <c r="E40" s="1" t="s">
        <v>96</v>
      </c>
      <c r="F40" s="13">
        <v>0</v>
      </c>
      <c r="G40" s="14">
        <v>0</v>
      </c>
      <c r="H40" s="69"/>
    </row>
    <row r="41" spans="1:8" x14ac:dyDescent="0.2">
      <c r="A41" s="1"/>
      <c r="B41" s="1"/>
      <c r="C41" s="11"/>
      <c r="D41" s="1"/>
      <c r="E41" s="1"/>
      <c r="F41" s="12"/>
      <c r="G41" s="12"/>
      <c r="H41" s="69"/>
    </row>
    <row r="42" spans="1:8" x14ac:dyDescent="0.2">
      <c r="A42" s="1"/>
      <c r="B42" s="1"/>
      <c r="C42" s="2" t="s">
        <v>99</v>
      </c>
      <c r="D42" s="1"/>
      <c r="E42" s="1"/>
      <c r="F42" s="1"/>
      <c r="G42" s="1"/>
      <c r="H42" s="69"/>
    </row>
    <row r="43" spans="1:8" x14ac:dyDescent="0.2">
      <c r="A43" s="1"/>
      <c r="B43" s="1"/>
      <c r="C43" s="2" t="s">
        <v>95</v>
      </c>
      <c r="D43" s="1"/>
      <c r="E43" s="1" t="s">
        <v>96</v>
      </c>
      <c r="F43" s="13">
        <v>0</v>
      </c>
      <c r="G43" s="14">
        <v>0</v>
      </c>
      <c r="H43" s="69"/>
    </row>
    <row r="44" spans="1:8" x14ac:dyDescent="0.2">
      <c r="A44" s="1"/>
      <c r="B44" s="1"/>
      <c r="C44" s="11"/>
      <c r="D44" s="1"/>
      <c r="E44" s="1"/>
      <c r="F44" s="12"/>
      <c r="G44" s="12"/>
      <c r="H44" s="69"/>
    </row>
    <row r="45" spans="1:8" x14ac:dyDescent="0.2">
      <c r="A45" s="1"/>
      <c r="B45" s="1"/>
      <c r="C45" s="2" t="s">
        <v>100</v>
      </c>
      <c r="D45" s="1"/>
      <c r="E45" s="1"/>
      <c r="F45" s="12"/>
      <c r="G45" s="12"/>
      <c r="H45" s="69"/>
    </row>
    <row r="46" spans="1:8" x14ac:dyDescent="0.2">
      <c r="A46" s="1"/>
      <c r="B46" s="1"/>
      <c r="C46" s="2" t="s">
        <v>95</v>
      </c>
      <c r="D46" s="1"/>
      <c r="E46" s="1" t="s">
        <v>96</v>
      </c>
      <c r="F46" s="13">
        <v>0</v>
      </c>
      <c r="G46" s="14">
        <v>0</v>
      </c>
      <c r="H46" s="69"/>
    </row>
    <row r="47" spans="1:8" x14ac:dyDescent="0.2">
      <c r="A47" s="1"/>
      <c r="B47" s="1"/>
      <c r="C47" s="11"/>
      <c r="D47" s="1"/>
      <c r="E47" s="1"/>
      <c r="F47" s="12"/>
      <c r="G47" s="12"/>
      <c r="H47" s="69"/>
    </row>
    <row r="48" spans="1:8" x14ac:dyDescent="0.2">
      <c r="A48" s="1"/>
      <c r="B48" s="1"/>
      <c r="C48" s="2" t="s">
        <v>101</v>
      </c>
      <c r="D48" s="1"/>
      <c r="E48" s="1"/>
      <c r="F48" s="12"/>
      <c r="G48" s="12"/>
      <c r="H48" s="69"/>
    </row>
    <row r="49" spans="1:8" x14ac:dyDescent="0.2">
      <c r="A49" s="3">
        <v>1</v>
      </c>
      <c r="B49" s="4"/>
      <c r="C49" s="4" t="s">
        <v>875</v>
      </c>
      <c r="D49" s="4" t="s">
        <v>697</v>
      </c>
      <c r="E49" s="5">
        <v>-750</v>
      </c>
      <c r="F49" s="6">
        <v>-8.7157499999999999</v>
      </c>
      <c r="G49" s="41">
        <v>-1.0457700000000001E-3</v>
      </c>
      <c r="H49" s="69"/>
    </row>
    <row r="50" spans="1:8" x14ac:dyDescent="0.2">
      <c r="A50" s="3">
        <v>2</v>
      </c>
      <c r="B50" s="4"/>
      <c r="C50" s="4" t="s">
        <v>876</v>
      </c>
      <c r="D50" s="4" t="s">
        <v>697</v>
      </c>
      <c r="E50" s="5">
        <v>-575</v>
      </c>
      <c r="F50" s="6">
        <v>-10.176925000000001</v>
      </c>
      <c r="G50" s="41">
        <v>-1.22109E-3</v>
      </c>
      <c r="H50" s="69"/>
    </row>
    <row r="51" spans="1:8" x14ac:dyDescent="0.2">
      <c r="A51" s="3">
        <v>3</v>
      </c>
      <c r="B51" s="4"/>
      <c r="C51" s="4" t="s">
        <v>877</v>
      </c>
      <c r="D51" s="4" t="s">
        <v>697</v>
      </c>
      <c r="E51" s="5">
        <v>-1650</v>
      </c>
      <c r="F51" s="6">
        <v>-58.435575</v>
      </c>
      <c r="G51" s="41">
        <v>-7.0114900000000004E-3</v>
      </c>
      <c r="H51" s="69"/>
    </row>
    <row r="52" spans="1:8" x14ac:dyDescent="0.2">
      <c r="A52" s="3">
        <v>4</v>
      </c>
      <c r="B52" s="4"/>
      <c r="C52" s="4" t="s">
        <v>878</v>
      </c>
      <c r="D52" s="4" t="s">
        <v>697</v>
      </c>
      <c r="E52" s="5">
        <v>-10200</v>
      </c>
      <c r="F52" s="6">
        <v>-109.6602</v>
      </c>
      <c r="G52" s="41">
        <v>-1.3157760000000001E-2</v>
      </c>
      <c r="H52" s="69"/>
    </row>
    <row r="53" spans="1:8" x14ac:dyDescent="0.2">
      <c r="A53" s="3">
        <v>5</v>
      </c>
      <c r="B53" s="4"/>
      <c r="C53" s="4" t="s">
        <v>879</v>
      </c>
      <c r="D53" s="4" t="s">
        <v>697</v>
      </c>
      <c r="E53" s="5">
        <v>-5000</v>
      </c>
      <c r="F53" s="6">
        <v>-110.77500000000001</v>
      </c>
      <c r="G53" s="41">
        <v>-1.3291519999999999E-2</v>
      </c>
      <c r="H53" s="69"/>
    </row>
    <row r="54" spans="1:8" x14ac:dyDescent="0.2">
      <c r="A54" s="3">
        <v>6</v>
      </c>
      <c r="B54" s="4"/>
      <c r="C54" s="4" t="s">
        <v>880</v>
      </c>
      <c r="D54" s="4" t="s">
        <v>697</v>
      </c>
      <c r="E54" s="5">
        <v>-300</v>
      </c>
      <c r="F54" s="6">
        <v>-115.63185</v>
      </c>
      <c r="G54" s="41">
        <v>-1.3874269999999999E-2</v>
      </c>
      <c r="H54" s="69"/>
    </row>
    <row r="55" spans="1:8" x14ac:dyDescent="0.2">
      <c r="A55" s="3">
        <v>7</v>
      </c>
      <c r="B55" s="4"/>
      <c r="C55" s="4" t="s">
        <v>881</v>
      </c>
      <c r="D55" s="4" t="s">
        <v>697</v>
      </c>
      <c r="E55" s="5">
        <v>-20000</v>
      </c>
      <c r="F55" s="6">
        <v>-119.38</v>
      </c>
      <c r="G55" s="41">
        <v>-1.4323999999999998E-2</v>
      </c>
      <c r="H55" s="69"/>
    </row>
    <row r="56" spans="1:8" x14ac:dyDescent="0.2">
      <c r="A56" s="3">
        <v>8</v>
      </c>
      <c r="B56" s="4"/>
      <c r="C56" s="4" t="s">
        <v>882</v>
      </c>
      <c r="D56" s="4" t="s">
        <v>697</v>
      </c>
      <c r="E56" s="5">
        <v>-64800</v>
      </c>
      <c r="F56" s="6">
        <v>-129.1788</v>
      </c>
      <c r="G56" s="41">
        <v>-1.549973E-2</v>
      </c>
      <c r="H56" s="69"/>
    </row>
    <row r="57" spans="1:8" x14ac:dyDescent="0.2">
      <c r="A57" s="3">
        <v>9</v>
      </c>
      <c r="B57" s="4"/>
      <c r="C57" s="4" t="s">
        <v>883</v>
      </c>
      <c r="D57" s="4" t="s">
        <v>697</v>
      </c>
      <c r="E57" s="5">
        <v>-135000</v>
      </c>
      <c r="F57" s="6">
        <v>-161.72999999999999</v>
      </c>
      <c r="G57" s="41">
        <v>-1.9405439999999999E-2</v>
      </c>
      <c r="H57" s="69"/>
    </row>
    <row r="58" spans="1:8" x14ac:dyDescent="0.2">
      <c r="A58" s="3">
        <v>10</v>
      </c>
      <c r="B58" s="4"/>
      <c r="C58" s="4" t="s">
        <v>884</v>
      </c>
      <c r="D58" s="4" t="s">
        <v>697</v>
      </c>
      <c r="E58" s="5">
        <v>-24000</v>
      </c>
      <c r="F58" s="6">
        <v>-167.05199999999999</v>
      </c>
      <c r="G58" s="41">
        <v>-2.0043999999999999E-2</v>
      </c>
      <c r="H58" s="69"/>
    </row>
    <row r="59" spans="1:8" x14ac:dyDescent="0.2">
      <c r="A59" s="3">
        <v>11</v>
      </c>
      <c r="B59" s="4"/>
      <c r="C59" s="4" t="s">
        <v>885</v>
      </c>
      <c r="D59" s="4" t="s">
        <v>697</v>
      </c>
      <c r="E59" s="5">
        <v>-23375</v>
      </c>
      <c r="F59" s="6">
        <v>-167.3299375</v>
      </c>
      <c r="G59" s="41">
        <v>-2.0077349999999997E-2</v>
      </c>
      <c r="H59" s="69"/>
    </row>
    <row r="60" spans="1:8" ht="25.5" x14ac:dyDescent="0.2">
      <c r="A60" s="3">
        <v>12</v>
      </c>
      <c r="B60" s="4"/>
      <c r="C60" s="4" t="s">
        <v>886</v>
      </c>
      <c r="D60" s="4" t="s">
        <v>697</v>
      </c>
      <c r="E60" s="5">
        <v>-6800</v>
      </c>
      <c r="F60" s="6">
        <v>-171.39400000000001</v>
      </c>
      <c r="G60" s="41">
        <v>-2.0564990000000002E-2</v>
      </c>
      <c r="H60" s="69"/>
    </row>
    <row r="61" spans="1:8" x14ac:dyDescent="0.2">
      <c r="A61" s="3">
        <v>13</v>
      </c>
      <c r="B61" s="4"/>
      <c r="C61" s="4" t="s">
        <v>887</v>
      </c>
      <c r="D61" s="4" t="s">
        <v>697</v>
      </c>
      <c r="E61" s="5">
        <v>-15400</v>
      </c>
      <c r="F61" s="6">
        <v>-175.99889999999999</v>
      </c>
      <c r="G61" s="41">
        <v>-2.1117509999999999E-2</v>
      </c>
      <c r="H61" s="69"/>
    </row>
    <row r="62" spans="1:8" x14ac:dyDescent="0.2">
      <c r="A62" s="3">
        <v>14</v>
      </c>
      <c r="B62" s="4"/>
      <c r="C62" s="4" t="s">
        <v>888</v>
      </c>
      <c r="D62" s="4" t="s">
        <v>697</v>
      </c>
      <c r="E62" s="5">
        <v>-52000</v>
      </c>
      <c r="F62" s="6">
        <v>-193.648</v>
      </c>
      <c r="G62" s="41">
        <v>-2.3235169999999999E-2</v>
      </c>
      <c r="H62" s="69"/>
    </row>
    <row r="63" spans="1:8" x14ac:dyDescent="0.2">
      <c r="A63" s="3">
        <v>15</v>
      </c>
      <c r="B63" s="4"/>
      <c r="C63" s="4" t="s">
        <v>889</v>
      </c>
      <c r="D63" s="4" t="s">
        <v>697</v>
      </c>
      <c r="E63" s="5">
        <v>-30000</v>
      </c>
      <c r="F63" s="6">
        <v>-205.95</v>
      </c>
      <c r="G63" s="41">
        <v>-2.4711240000000002E-2</v>
      </c>
      <c r="H63" s="69"/>
    </row>
    <row r="64" spans="1:8" ht="25.5" x14ac:dyDescent="0.2">
      <c r="A64" s="3">
        <v>16</v>
      </c>
      <c r="B64" s="4"/>
      <c r="C64" s="4" t="s">
        <v>890</v>
      </c>
      <c r="D64" s="4" t="s">
        <v>697</v>
      </c>
      <c r="E64" s="5">
        <v>-33000</v>
      </c>
      <c r="F64" s="6">
        <v>-224.91149999999999</v>
      </c>
      <c r="G64" s="41">
        <v>-2.6986370000000003E-2</v>
      </c>
      <c r="H64" s="69"/>
    </row>
    <row r="65" spans="1:8" x14ac:dyDescent="0.2">
      <c r="A65" s="3">
        <v>17</v>
      </c>
      <c r="B65" s="4"/>
      <c r="C65" s="4" t="s">
        <v>891</v>
      </c>
      <c r="D65" s="4" t="s">
        <v>697</v>
      </c>
      <c r="E65" s="5">
        <v>-1350</v>
      </c>
      <c r="F65" s="6">
        <v>-233.37719999999999</v>
      </c>
      <c r="G65" s="41">
        <v>-2.8002139999999998E-2</v>
      </c>
      <c r="H65" s="69"/>
    </row>
    <row r="66" spans="1:8" ht="25.5" x14ac:dyDescent="0.2">
      <c r="A66" s="3">
        <v>18</v>
      </c>
      <c r="B66" s="4"/>
      <c r="C66" s="4" t="s">
        <v>892</v>
      </c>
      <c r="D66" s="4" t="s">
        <v>697</v>
      </c>
      <c r="E66" s="5">
        <v>-25000</v>
      </c>
      <c r="F66" s="6">
        <v>-238.0625</v>
      </c>
      <c r="G66" s="41">
        <v>-2.8564310000000002E-2</v>
      </c>
      <c r="H66" s="69"/>
    </row>
    <row r="67" spans="1:8" x14ac:dyDescent="0.2">
      <c r="A67" s="3">
        <v>19</v>
      </c>
      <c r="B67" s="4"/>
      <c r="C67" s="4" t="s">
        <v>893</v>
      </c>
      <c r="D67" s="4" t="s">
        <v>697</v>
      </c>
      <c r="E67" s="5">
        <v>-63425</v>
      </c>
      <c r="F67" s="6">
        <v>-262.38922500000001</v>
      </c>
      <c r="G67" s="41">
        <v>-3.1483200000000003E-2</v>
      </c>
      <c r="H67" s="69"/>
    </row>
    <row r="68" spans="1:8" x14ac:dyDescent="0.2">
      <c r="A68" s="3">
        <v>20</v>
      </c>
      <c r="B68" s="4"/>
      <c r="C68" s="4" t="s">
        <v>894</v>
      </c>
      <c r="D68" s="4" t="s">
        <v>697</v>
      </c>
      <c r="E68" s="5">
        <v>-55000</v>
      </c>
      <c r="F68" s="6">
        <v>-266.58499999999998</v>
      </c>
      <c r="G68" s="41">
        <v>-3.1986629999999995E-2</v>
      </c>
      <c r="H68" s="69"/>
    </row>
    <row r="69" spans="1:8" x14ac:dyDescent="0.2">
      <c r="A69" s="3">
        <v>21</v>
      </c>
      <c r="B69" s="4"/>
      <c r="C69" s="4" t="s">
        <v>895</v>
      </c>
      <c r="D69" s="4" t="s">
        <v>697</v>
      </c>
      <c r="E69" s="5">
        <v>-12300</v>
      </c>
      <c r="F69" s="6">
        <v>-286.10415</v>
      </c>
      <c r="G69" s="41">
        <v>-3.4328669999999999E-2</v>
      </c>
      <c r="H69" s="69"/>
    </row>
    <row r="70" spans="1:8" x14ac:dyDescent="0.2">
      <c r="A70" s="3">
        <v>22</v>
      </c>
      <c r="B70" s="4"/>
      <c r="C70" s="4" t="s">
        <v>896</v>
      </c>
      <c r="D70" s="4" t="s">
        <v>697</v>
      </c>
      <c r="E70" s="5">
        <v>-131200</v>
      </c>
      <c r="F70" s="6">
        <v>-291.26400000000001</v>
      </c>
      <c r="G70" s="41">
        <v>-3.4947780000000005E-2</v>
      </c>
      <c r="H70" s="69"/>
    </row>
    <row r="71" spans="1:8" ht="25.5" x14ac:dyDescent="0.2">
      <c r="A71" s="3">
        <v>23</v>
      </c>
      <c r="B71" s="4"/>
      <c r="C71" s="4" t="s">
        <v>897</v>
      </c>
      <c r="D71" s="4" t="s">
        <v>697</v>
      </c>
      <c r="E71" s="5">
        <v>-5250</v>
      </c>
      <c r="F71" s="6">
        <v>-299.52562499999999</v>
      </c>
      <c r="G71" s="41">
        <v>-3.5939070000000004E-2</v>
      </c>
      <c r="H71" s="69"/>
    </row>
    <row r="72" spans="1:8" x14ac:dyDescent="0.2">
      <c r="A72" s="3">
        <v>24</v>
      </c>
      <c r="B72" s="4"/>
      <c r="C72" s="4" t="s">
        <v>898</v>
      </c>
      <c r="D72" s="4" t="s">
        <v>697</v>
      </c>
      <c r="E72" s="5">
        <v>-90000</v>
      </c>
      <c r="F72" s="6">
        <v>-310.27499999999998</v>
      </c>
      <c r="G72" s="41">
        <v>-3.7228850000000001E-2</v>
      </c>
      <c r="H72" s="69"/>
    </row>
    <row r="73" spans="1:8" x14ac:dyDescent="0.2">
      <c r="A73" s="3">
        <v>25</v>
      </c>
      <c r="B73" s="4"/>
      <c r="C73" s="4" t="s">
        <v>899</v>
      </c>
      <c r="D73" s="4" t="s">
        <v>697</v>
      </c>
      <c r="E73" s="5">
        <v>-67500</v>
      </c>
      <c r="F73" s="6">
        <v>-311.64749999999998</v>
      </c>
      <c r="G73" s="41">
        <v>-3.7393530000000001E-2</v>
      </c>
      <c r="H73" s="69"/>
    </row>
    <row r="74" spans="1:8" x14ac:dyDescent="0.2">
      <c r="A74" s="3">
        <v>26</v>
      </c>
      <c r="B74" s="4"/>
      <c r="C74" s="4" t="s">
        <v>900</v>
      </c>
      <c r="D74" s="4" t="s">
        <v>697</v>
      </c>
      <c r="E74" s="5">
        <v>-21250</v>
      </c>
      <c r="F74" s="6">
        <v>-512.666875</v>
      </c>
      <c r="G74" s="41">
        <v>-6.1513159999999997E-2</v>
      </c>
      <c r="H74" s="69"/>
    </row>
    <row r="75" spans="1:8" x14ac:dyDescent="0.2">
      <c r="A75" s="3">
        <v>27</v>
      </c>
      <c r="B75" s="4"/>
      <c r="C75" s="4" t="s">
        <v>901</v>
      </c>
      <c r="D75" s="4" t="s">
        <v>697</v>
      </c>
      <c r="E75" s="5">
        <v>-92400</v>
      </c>
      <c r="F75" s="6">
        <v>-606.5598</v>
      </c>
      <c r="G75" s="41">
        <v>-7.2779059999999993E-2</v>
      </c>
      <c r="H75" s="69"/>
    </row>
    <row r="76" spans="1:8" x14ac:dyDescent="0.2">
      <c r="A76" s="1"/>
      <c r="B76" s="1"/>
      <c r="C76" s="2" t="s">
        <v>95</v>
      </c>
      <c r="D76" s="1"/>
      <c r="E76" s="1" t="s">
        <v>96</v>
      </c>
      <c r="F76" s="9">
        <v>-5748.4253124999996</v>
      </c>
      <c r="G76" s="10">
        <v>-0.68973411900000003</v>
      </c>
      <c r="H76" s="69"/>
    </row>
    <row r="77" spans="1:8" x14ac:dyDescent="0.2">
      <c r="A77" s="1"/>
      <c r="B77" s="1"/>
      <c r="C77" s="11"/>
      <c r="D77" s="1"/>
      <c r="E77" s="1"/>
      <c r="F77" s="12"/>
      <c r="G77" s="12"/>
      <c r="H77" s="69"/>
    </row>
    <row r="78" spans="1:8" x14ac:dyDescent="0.2">
      <c r="A78" s="1"/>
      <c r="B78" s="1"/>
      <c r="C78" s="2" t="s">
        <v>102</v>
      </c>
      <c r="D78" s="1"/>
      <c r="E78" s="1"/>
      <c r="F78" s="9">
        <v>5733.6331124999997</v>
      </c>
      <c r="G78" s="10">
        <v>0.68795925099999999</v>
      </c>
      <c r="H78" s="69"/>
    </row>
    <row r="79" spans="1:8" x14ac:dyDescent="0.2">
      <c r="A79" s="1"/>
      <c r="B79" s="1"/>
      <c r="C79" s="11"/>
      <c r="D79" s="1"/>
      <c r="E79" s="1"/>
      <c r="F79" s="12"/>
      <c r="G79" s="12"/>
      <c r="H79" s="69"/>
    </row>
    <row r="80" spans="1:8" x14ac:dyDescent="0.2">
      <c r="A80" s="1"/>
      <c r="B80" s="1"/>
      <c r="C80" s="2" t="s">
        <v>103</v>
      </c>
      <c r="D80" s="1"/>
      <c r="E80" s="1"/>
      <c r="F80" s="12"/>
      <c r="G80" s="12"/>
      <c r="H80" s="69"/>
    </row>
    <row r="81" spans="1:8" ht="25.5" x14ac:dyDescent="0.2">
      <c r="A81" s="1"/>
      <c r="B81" s="1"/>
      <c r="C81" s="2" t="s">
        <v>10</v>
      </c>
      <c r="D81" s="1"/>
      <c r="E81" s="1"/>
      <c r="F81" s="12"/>
      <c r="G81" s="12"/>
      <c r="H81" s="69"/>
    </row>
    <row r="82" spans="1:8" x14ac:dyDescent="0.2">
      <c r="A82" s="1"/>
      <c r="B82" s="1"/>
      <c r="C82" s="2" t="s">
        <v>95</v>
      </c>
      <c r="D82" s="1"/>
      <c r="E82" s="1" t="s">
        <v>96</v>
      </c>
      <c r="F82" s="13">
        <v>0</v>
      </c>
      <c r="G82" s="14">
        <v>0</v>
      </c>
      <c r="H82" s="69"/>
    </row>
    <row r="83" spans="1:8" x14ac:dyDescent="0.2">
      <c r="A83" s="1"/>
      <c r="B83" s="1"/>
      <c r="C83" s="11"/>
      <c r="D83" s="1"/>
      <c r="E83" s="1"/>
      <c r="F83" s="12"/>
      <c r="G83" s="12"/>
      <c r="H83" s="69"/>
    </row>
    <row r="84" spans="1:8" x14ac:dyDescent="0.2">
      <c r="A84" s="1"/>
      <c r="B84" s="1"/>
      <c r="C84" s="2" t="s">
        <v>104</v>
      </c>
      <c r="D84" s="1"/>
      <c r="E84" s="1"/>
      <c r="F84" s="1"/>
      <c r="G84" s="1"/>
      <c r="H84" s="69"/>
    </row>
    <row r="85" spans="1:8" x14ac:dyDescent="0.2">
      <c r="A85" s="1"/>
      <c r="B85" s="1"/>
      <c r="C85" s="2" t="s">
        <v>95</v>
      </c>
      <c r="D85" s="1"/>
      <c r="E85" s="1" t="s">
        <v>96</v>
      </c>
      <c r="F85" s="13">
        <v>0</v>
      </c>
      <c r="G85" s="14">
        <v>0</v>
      </c>
      <c r="H85" s="69"/>
    </row>
    <row r="86" spans="1:8" x14ac:dyDescent="0.2">
      <c r="A86" s="1"/>
      <c r="B86" s="1"/>
      <c r="C86" s="11"/>
      <c r="D86" s="1"/>
      <c r="E86" s="1"/>
      <c r="F86" s="12"/>
      <c r="G86" s="12"/>
      <c r="H86" s="69"/>
    </row>
    <row r="87" spans="1:8" x14ac:dyDescent="0.2">
      <c r="A87" s="1"/>
      <c r="B87" s="1"/>
      <c r="C87" s="2" t="s">
        <v>105</v>
      </c>
      <c r="D87" s="1"/>
      <c r="E87" s="1"/>
      <c r="F87" s="1"/>
      <c r="G87" s="1"/>
      <c r="H87" s="69"/>
    </row>
    <row r="88" spans="1:8" x14ac:dyDescent="0.2">
      <c r="A88" s="1"/>
      <c r="B88" s="1"/>
      <c r="C88" s="2" t="s">
        <v>95</v>
      </c>
      <c r="D88" s="1"/>
      <c r="E88" s="1" t="s">
        <v>96</v>
      </c>
      <c r="F88" s="13">
        <v>0</v>
      </c>
      <c r="G88" s="14">
        <v>0</v>
      </c>
      <c r="H88" s="69"/>
    </row>
    <row r="89" spans="1:8" x14ac:dyDescent="0.2">
      <c r="A89" s="1"/>
      <c r="B89" s="1"/>
      <c r="C89" s="11"/>
      <c r="D89" s="1"/>
      <c r="E89" s="1"/>
      <c r="F89" s="12"/>
      <c r="G89" s="12"/>
      <c r="H89" s="69"/>
    </row>
    <row r="90" spans="1:8" x14ac:dyDescent="0.2">
      <c r="A90" s="1"/>
      <c r="B90" s="1"/>
      <c r="C90" s="2" t="s">
        <v>106</v>
      </c>
      <c r="D90" s="1"/>
      <c r="E90" s="1"/>
      <c r="F90" s="12"/>
      <c r="G90" s="12"/>
      <c r="H90" s="69"/>
    </row>
    <row r="91" spans="1:8" x14ac:dyDescent="0.2">
      <c r="A91" s="1"/>
      <c r="B91" s="1"/>
      <c r="C91" s="2" t="s">
        <v>95</v>
      </c>
      <c r="D91" s="1"/>
      <c r="E91" s="1" t="s">
        <v>96</v>
      </c>
      <c r="F91" s="13">
        <v>0</v>
      </c>
      <c r="G91" s="14">
        <v>0</v>
      </c>
      <c r="H91" s="69"/>
    </row>
    <row r="92" spans="1:8" x14ac:dyDescent="0.2">
      <c r="A92" s="1"/>
      <c r="B92" s="1"/>
      <c r="C92" s="11"/>
      <c r="D92" s="1"/>
      <c r="E92" s="1"/>
      <c r="F92" s="12"/>
      <c r="G92" s="12"/>
      <c r="H92" s="69"/>
    </row>
    <row r="93" spans="1:8" x14ac:dyDescent="0.2">
      <c r="A93" s="1"/>
      <c r="B93" s="1"/>
      <c r="C93" s="2" t="s">
        <v>107</v>
      </c>
      <c r="D93" s="1"/>
      <c r="E93" s="1"/>
      <c r="F93" s="9">
        <v>0</v>
      </c>
      <c r="G93" s="10">
        <v>0</v>
      </c>
      <c r="H93" s="69"/>
    </row>
    <row r="94" spans="1:8" x14ac:dyDescent="0.2">
      <c r="A94" s="1"/>
      <c r="B94" s="1"/>
      <c r="C94" s="11"/>
      <c r="D94" s="1"/>
      <c r="E94" s="1"/>
      <c r="F94" s="12"/>
      <c r="G94" s="12"/>
      <c r="H94" s="69"/>
    </row>
    <row r="95" spans="1:8" x14ac:dyDescent="0.2">
      <c r="A95" s="1"/>
      <c r="B95" s="1"/>
      <c r="C95" s="2" t="s">
        <v>108</v>
      </c>
      <c r="D95" s="1"/>
      <c r="E95" s="1"/>
      <c r="F95" s="12"/>
      <c r="G95" s="12"/>
      <c r="H95" s="69"/>
    </row>
    <row r="96" spans="1:8" x14ac:dyDescent="0.2">
      <c r="A96" s="1"/>
      <c r="B96" s="1"/>
      <c r="C96" s="2" t="s">
        <v>109</v>
      </c>
      <c r="D96" s="1"/>
      <c r="E96" s="1"/>
      <c r="F96" s="12"/>
      <c r="G96" s="12"/>
      <c r="H96" s="69"/>
    </row>
    <row r="97" spans="1:8" x14ac:dyDescent="0.2">
      <c r="A97" s="1"/>
      <c r="B97" s="1"/>
      <c r="C97" s="2" t="s">
        <v>95</v>
      </c>
      <c r="D97" s="1"/>
      <c r="E97" s="1" t="s">
        <v>96</v>
      </c>
      <c r="F97" s="13">
        <v>0</v>
      </c>
      <c r="G97" s="14">
        <v>0</v>
      </c>
      <c r="H97" s="69"/>
    </row>
    <row r="98" spans="1:8" x14ac:dyDescent="0.2">
      <c r="A98" s="1"/>
      <c r="B98" s="1"/>
      <c r="C98" s="11"/>
      <c r="D98" s="1"/>
      <c r="E98" s="1"/>
      <c r="F98" s="12"/>
      <c r="G98" s="12"/>
      <c r="H98" s="69"/>
    </row>
    <row r="99" spans="1:8" x14ac:dyDescent="0.2">
      <c r="A99" s="1"/>
      <c r="B99" s="1"/>
      <c r="C99" s="2" t="s">
        <v>110</v>
      </c>
      <c r="D99" s="1"/>
      <c r="E99" s="1"/>
      <c r="F99" s="12"/>
      <c r="G99" s="12"/>
      <c r="H99" s="69"/>
    </row>
    <row r="100" spans="1:8" x14ac:dyDescent="0.2">
      <c r="A100" s="1"/>
      <c r="B100" s="1"/>
      <c r="C100" s="2" t="s">
        <v>95</v>
      </c>
      <c r="D100" s="1"/>
      <c r="E100" s="1" t="s">
        <v>96</v>
      </c>
      <c r="F100" s="13">
        <v>0</v>
      </c>
      <c r="G100" s="14">
        <v>0</v>
      </c>
      <c r="H100" s="69"/>
    </row>
    <row r="101" spans="1:8" x14ac:dyDescent="0.2">
      <c r="A101" s="1"/>
      <c r="B101" s="1"/>
      <c r="C101" s="11"/>
      <c r="D101" s="1"/>
      <c r="E101" s="1"/>
      <c r="F101" s="12"/>
      <c r="G101" s="12"/>
      <c r="H101" s="69"/>
    </row>
    <row r="102" spans="1:8" x14ac:dyDescent="0.2">
      <c r="A102" s="1"/>
      <c r="B102" s="1"/>
      <c r="C102" s="2" t="s">
        <v>111</v>
      </c>
      <c r="D102" s="1"/>
      <c r="E102" s="1"/>
      <c r="F102" s="12"/>
      <c r="G102" s="12"/>
      <c r="H102" s="69"/>
    </row>
    <row r="103" spans="1:8" x14ac:dyDescent="0.2">
      <c r="A103" s="1"/>
      <c r="B103" s="1"/>
      <c r="C103" s="2" t="s">
        <v>95</v>
      </c>
      <c r="D103" s="1"/>
      <c r="E103" s="1" t="s">
        <v>96</v>
      </c>
      <c r="F103" s="13">
        <v>0</v>
      </c>
      <c r="G103" s="14">
        <v>0</v>
      </c>
      <c r="H103" s="69"/>
    </row>
    <row r="104" spans="1:8" x14ac:dyDescent="0.2">
      <c r="A104" s="1"/>
      <c r="B104" s="1"/>
      <c r="C104" s="11"/>
      <c r="D104" s="1"/>
      <c r="E104" s="1"/>
      <c r="F104" s="12"/>
      <c r="G104" s="12"/>
      <c r="H104" s="69"/>
    </row>
    <row r="105" spans="1:8" x14ac:dyDescent="0.2">
      <c r="A105" s="1"/>
      <c r="B105" s="1"/>
      <c r="C105" s="2" t="s">
        <v>112</v>
      </c>
      <c r="D105" s="1"/>
      <c r="E105" s="1"/>
      <c r="F105" s="12"/>
      <c r="G105" s="12"/>
      <c r="H105" s="69"/>
    </row>
    <row r="106" spans="1:8" x14ac:dyDescent="0.2">
      <c r="A106" s="3">
        <v>1</v>
      </c>
      <c r="B106" s="4"/>
      <c r="C106" s="4" t="s">
        <v>113</v>
      </c>
      <c r="D106" s="4"/>
      <c r="E106" s="8"/>
      <c r="F106" s="6">
        <v>299.96276339999997</v>
      </c>
      <c r="G106" s="7">
        <v>3.5991518E-2</v>
      </c>
      <c r="H106" s="6">
        <v>3.3628721504199861</v>
      </c>
    </row>
    <row r="107" spans="1:8" x14ac:dyDescent="0.2">
      <c r="A107" s="3">
        <v>2</v>
      </c>
      <c r="B107" s="4"/>
      <c r="C107" s="4" t="s">
        <v>114</v>
      </c>
      <c r="D107" s="4"/>
      <c r="E107" s="8"/>
      <c r="F107" s="6">
        <v>115.8428299</v>
      </c>
      <c r="G107" s="7">
        <v>1.3899589E-2</v>
      </c>
      <c r="H107" s="6">
        <v>3.4499999999999966</v>
      </c>
    </row>
    <row r="108" spans="1:8" x14ac:dyDescent="0.2">
      <c r="A108" s="1"/>
      <c r="B108" s="1"/>
      <c r="C108" s="2" t="s">
        <v>95</v>
      </c>
      <c r="D108" s="1"/>
      <c r="E108" s="1" t="s">
        <v>96</v>
      </c>
      <c r="F108" s="9">
        <v>415.8055933</v>
      </c>
      <c r="G108" s="10">
        <v>4.9891106999999997E-2</v>
      </c>
      <c r="H108" s="69"/>
    </row>
    <row r="109" spans="1:8" x14ac:dyDescent="0.2">
      <c r="A109" s="1"/>
      <c r="B109" s="1"/>
      <c r="C109" s="11"/>
      <c r="D109" s="1"/>
      <c r="E109" s="1"/>
      <c r="F109" s="12"/>
      <c r="G109" s="12"/>
      <c r="H109" s="69"/>
    </row>
    <row r="110" spans="1:8" x14ac:dyDescent="0.2">
      <c r="A110" s="1"/>
      <c r="B110" s="1"/>
      <c r="C110" s="2" t="s">
        <v>115</v>
      </c>
      <c r="D110" s="1"/>
      <c r="E110" s="1"/>
      <c r="F110" s="9">
        <v>415.8055933</v>
      </c>
      <c r="G110" s="10">
        <v>4.9891106999999997E-2</v>
      </c>
      <c r="H110" s="69"/>
    </row>
    <row r="111" spans="1:8" x14ac:dyDescent="0.2">
      <c r="A111" s="1"/>
      <c r="B111" s="1"/>
      <c r="C111" s="12"/>
      <c r="D111" s="1"/>
      <c r="E111" s="1"/>
      <c r="F111" s="1"/>
      <c r="G111" s="1"/>
      <c r="H111" s="69"/>
    </row>
    <row r="112" spans="1:8" x14ac:dyDescent="0.2">
      <c r="A112" s="1"/>
      <c r="B112" s="1"/>
      <c r="C112" s="2" t="s">
        <v>116</v>
      </c>
      <c r="D112" s="1"/>
      <c r="E112" s="1"/>
      <c r="F112" s="1"/>
      <c r="G112" s="1"/>
      <c r="H112" s="69"/>
    </row>
    <row r="113" spans="1:8" x14ac:dyDescent="0.2">
      <c r="A113" s="1"/>
      <c r="B113" s="1"/>
      <c r="C113" s="2" t="s">
        <v>117</v>
      </c>
      <c r="D113" s="1"/>
      <c r="E113" s="1"/>
      <c r="F113" s="1"/>
      <c r="G113" s="1"/>
      <c r="H113" s="69"/>
    </row>
    <row r="114" spans="1:8" ht="25.5" x14ac:dyDescent="0.2">
      <c r="A114" s="3">
        <v>1</v>
      </c>
      <c r="B114" s="4" t="s">
        <v>698</v>
      </c>
      <c r="C114" s="4" t="s">
        <v>944</v>
      </c>
      <c r="D114" s="4"/>
      <c r="E114" s="5">
        <v>464328.50199999998</v>
      </c>
      <c r="F114" s="6">
        <v>206.05180903300001</v>
      </c>
      <c r="G114" s="7">
        <v>2.4723459999999999E-2</v>
      </c>
      <c r="H114" s="69"/>
    </row>
    <row r="115" spans="1:8" x14ac:dyDescent="0.2">
      <c r="A115" s="1"/>
      <c r="B115" s="1"/>
      <c r="C115" s="2" t="s">
        <v>95</v>
      </c>
      <c r="D115" s="1"/>
      <c r="E115" s="1" t="s">
        <v>96</v>
      </c>
      <c r="F115" s="9">
        <v>206.05180903300001</v>
      </c>
      <c r="G115" s="10">
        <v>2.4723459999999999E-2</v>
      </c>
      <c r="H115" s="69"/>
    </row>
    <row r="116" spans="1:8" x14ac:dyDescent="0.2">
      <c r="A116" s="1"/>
      <c r="B116" s="1"/>
      <c r="C116" s="11"/>
      <c r="D116" s="1"/>
      <c r="E116" s="1"/>
      <c r="F116" s="12"/>
      <c r="G116" s="12"/>
      <c r="H116" s="69"/>
    </row>
    <row r="117" spans="1:8" x14ac:dyDescent="0.2">
      <c r="A117" s="1"/>
      <c r="B117" s="1"/>
      <c r="C117" s="2" t="s">
        <v>118</v>
      </c>
      <c r="D117" s="1"/>
      <c r="E117" s="1"/>
      <c r="F117" s="1"/>
      <c r="G117" s="1"/>
      <c r="H117" s="69"/>
    </row>
    <row r="118" spans="1:8" x14ac:dyDescent="0.2">
      <c r="A118" s="1"/>
      <c r="B118" s="1"/>
      <c r="C118" s="2" t="s">
        <v>119</v>
      </c>
      <c r="D118" s="1"/>
      <c r="E118" s="1"/>
      <c r="F118" s="1"/>
      <c r="G118" s="1"/>
      <c r="H118" s="69"/>
    </row>
    <row r="119" spans="1:8" x14ac:dyDescent="0.2">
      <c r="A119" s="1"/>
      <c r="B119" s="1"/>
      <c r="C119" s="2" t="s">
        <v>95</v>
      </c>
      <c r="D119" s="1"/>
      <c r="E119" s="1" t="s">
        <v>96</v>
      </c>
      <c r="F119" s="13">
        <v>0</v>
      </c>
      <c r="G119" s="14">
        <v>0</v>
      </c>
      <c r="H119" s="69"/>
    </row>
    <row r="120" spans="1:8" x14ac:dyDescent="0.2">
      <c r="A120" s="1"/>
      <c r="B120" s="1"/>
      <c r="C120" s="11"/>
      <c r="D120" s="1"/>
      <c r="E120" s="1"/>
      <c r="F120" s="12"/>
      <c r="G120" s="12"/>
      <c r="H120" s="69"/>
    </row>
    <row r="121" spans="1:8" x14ac:dyDescent="0.2">
      <c r="A121" s="1"/>
      <c r="B121" s="1"/>
      <c r="C121" s="11"/>
      <c r="D121" s="1"/>
      <c r="E121" s="1"/>
      <c r="F121" s="12"/>
      <c r="G121" s="12"/>
      <c r="H121" s="69"/>
    </row>
    <row r="122" spans="1:8" ht="25.5" x14ac:dyDescent="0.2">
      <c r="A122" s="1"/>
      <c r="B122" s="1"/>
      <c r="C122" s="2" t="s">
        <v>120</v>
      </c>
      <c r="D122" s="1"/>
      <c r="E122" s="1"/>
      <c r="F122" s="12"/>
      <c r="G122" s="12"/>
      <c r="H122" s="69"/>
    </row>
    <row r="123" spans="1:8" x14ac:dyDescent="0.2">
      <c r="A123" s="1"/>
      <c r="B123" s="1"/>
      <c r="C123" s="2" t="s">
        <v>95</v>
      </c>
      <c r="D123" s="1"/>
      <c r="E123" s="1" t="s">
        <v>96</v>
      </c>
      <c r="F123" s="13">
        <v>0</v>
      </c>
      <c r="G123" s="14">
        <v>0</v>
      </c>
      <c r="H123" s="69"/>
    </row>
    <row r="124" spans="1:8" x14ac:dyDescent="0.2">
      <c r="A124" s="1"/>
      <c r="B124" s="1"/>
      <c r="C124" s="11"/>
      <c r="D124" s="1"/>
      <c r="E124" s="1"/>
      <c r="F124" s="12"/>
      <c r="G124" s="12"/>
      <c r="H124" s="69"/>
    </row>
    <row r="125" spans="1:8" x14ac:dyDescent="0.2">
      <c r="A125" s="8"/>
      <c r="B125" s="4"/>
      <c r="C125" s="4" t="s">
        <v>699</v>
      </c>
      <c r="D125" s="4"/>
      <c r="E125" s="8"/>
      <c r="F125" s="6">
        <v>2047.5220925000001</v>
      </c>
      <c r="G125" s="7">
        <v>0.24567525300000001</v>
      </c>
      <c r="H125" s="69"/>
    </row>
    <row r="126" spans="1:8" x14ac:dyDescent="0.2">
      <c r="A126" s="8"/>
      <c r="B126" s="4"/>
      <c r="C126" s="4" t="s">
        <v>121</v>
      </c>
      <c r="D126" s="4"/>
      <c r="E126" s="8"/>
      <c r="F126" s="6">
        <v>-68.749920832999123</v>
      </c>
      <c r="G126" s="7">
        <v>-8.2490705439800423E-3</v>
      </c>
      <c r="H126" s="69"/>
    </row>
    <row r="127" spans="1:8" x14ac:dyDescent="0.2">
      <c r="A127" s="11"/>
      <c r="B127" s="11"/>
      <c r="C127" s="2" t="s">
        <v>122</v>
      </c>
      <c r="D127" s="15"/>
      <c r="E127" s="15"/>
      <c r="F127" s="9">
        <v>8334.2626865000002</v>
      </c>
      <c r="G127" s="10">
        <v>1.0000000004560199</v>
      </c>
      <c r="H127" s="69"/>
    </row>
    <row r="128" spans="1:8" ht="14.1" customHeight="1" x14ac:dyDescent="0.2">
      <c r="A128" s="16"/>
      <c r="B128" s="16"/>
      <c r="C128" s="16"/>
      <c r="D128" s="17"/>
      <c r="E128" s="17"/>
      <c r="F128" s="17"/>
      <c r="G128" s="17"/>
    </row>
    <row r="129" spans="1:15" ht="14.1" customHeight="1" x14ac:dyDescent="0.2">
      <c r="A129" s="18"/>
      <c r="B129" s="176" t="s">
        <v>96</v>
      </c>
      <c r="C129" s="176"/>
      <c r="D129" s="176"/>
      <c r="E129" s="176"/>
      <c r="F129" s="176"/>
      <c r="G129" s="20"/>
    </row>
    <row r="130" spans="1:15" ht="17.100000000000001" customHeight="1" x14ac:dyDescent="0.2">
      <c r="A130" s="18"/>
      <c r="B130" s="181" t="s">
        <v>945</v>
      </c>
      <c r="C130" s="181"/>
      <c r="D130" s="181"/>
      <c r="E130" s="181"/>
      <c r="F130" s="181"/>
      <c r="G130" s="20"/>
    </row>
    <row r="131" spans="1:15" ht="14.1" customHeight="1" x14ac:dyDescent="0.2">
      <c r="A131" s="18"/>
      <c r="B131" s="18"/>
      <c r="C131" s="18"/>
      <c r="D131" s="20"/>
      <c r="E131" s="20"/>
      <c r="F131" s="20"/>
      <c r="G131" s="20"/>
    </row>
    <row r="132" spans="1:15" ht="14.1" customHeight="1" x14ac:dyDescent="0.2">
      <c r="A132" s="18"/>
      <c r="B132" s="174" t="s">
        <v>124</v>
      </c>
      <c r="C132" s="175"/>
      <c r="D132" s="12" t="s">
        <v>96</v>
      </c>
      <c r="E132" s="21"/>
      <c r="F132" s="20"/>
      <c r="G132" s="20"/>
    </row>
    <row r="133" spans="1:15" ht="29.1" customHeight="1" x14ac:dyDescent="0.2">
      <c r="A133" s="18"/>
      <c r="B133" s="172" t="s">
        <v>125</v>
      </c>
      <c r="C133" s="173"/>
      <c r="D133" s="2" t="s">
        <v>126</v>
      </c>
      <c r="E133" s="21"/>
      <c r="F133" s="20"/>
      <c r="G133" s="20"/>
    </row>
    <row r="134" spans="1:15" ht="17.100000000000001" customHeight="1" x14ac:dyDescent="0.2">
      <c r="A134" s="18"/>
      <c r="B134" s="172" t="s">
        <v>127</v>
      </c>
      <c r="C134" s="173"/>
      <c r="D134" s="2" t="s">
        <v>126</v>
      </c>
      <c r="E134" s="21"/>
      <c r="F134" s="20"/>
      <c r="G134" s="20"/>
    </row>
    <row r="135" spans="1:15" ht="17.100000000000001" customHeight="1" x14ac:dyDescent="0.2">
      <c r="A135" s="18"/>
      <c r="B135" s="172" t="s">
        <v>128</v>
      </c>
      <c r="C135" s="173"/>
      <c r="D135" s="12" t="s">
        <v>96</v>
      </c>
      <c r="E135" s="21"/>
      <c r="F135" s="20"/>
      <c r="G135" s="20"/>
    </row>
    <row r="136" spans="1:15" ht="24" customHeight="1" x14ac:dyDescent="0.2">
      <c r="A136" s="22"/>
      <c r="B136" s="23" t="s">
        <v>96</v>
      </c>
      <c r="C136" s="23" t="s">
        <v>129</v>
      </c>
      <c r="D136" s="23" t="s">
        <v>130</v>
      </c>
      <c r="E136" s="22"/>
      <c r="F136" s="22"/>
      <c r="G136" s="22"/>
    </row>
    <row r="137" spans="1:15" ht="18" customHeight="1" x14ac:dyDescent="0.2">
      <c r="A137" s="22"/>
      <c r="B137" s="23" t="s">
        <v>131</v>
      </c>
      <c r="C137" s="23" t="s">
        <v>132</v>
      </c>
      <c r="D137" s="23" t="s">
        <v>133</v>
      </c>
      <c r="E137" s="22"/>
      <c r="F137" s="22"/>
      <c r="G137" s="22"/>
      <c r="I137" s="82"/>
      <c r="J137" s="82"/>
      <c r="K137" s="82"/>
      <c r="L137" s="82"/>
      <c r="M137" s="82"/>
      <c r="N137" s="82"/>
      <c r="O137" s="82"/>
    </row>
    <row r="138" spans="1:15" ht="17.100000000000001" customHeight="1" x14ac:dyDescent="0.2">
      <c r="A138" s="22"/>
      <c r="B138" s="4" t="s">
        <v>134</v>
      </c>
      <c r="C138" s="24">
        <v>10.763500000000001</v>
      </c>
      <c r="D138" s="24">
        <v>10.7974</v>
      </c>
      <c r="E138" s="22"/>
      <c r="F138" s="19"/>
      <c r="G138" s="25"/>
    </row>
    <row r="139" spans="1:15" ht="17.100000000000001" customHeight="1" x14ac:dyDescent="0.2">
      <c r="A139" s="22"/>
      <c r="B139" s="4" t="s">
        <v>983</v>
      </c>
      <c r="C139" s="24">
        <v>10.7592</v>
      </c>
      <c r="D139" s="24">
        <v>10.792899999999999</v>
      </c>
      <c r="E139" s="22"/>
      <c r="F139" s="19"/>
      <c r="G139" s="25"/>
    </row>
    <row r="140" spans="1:15" ht="17.100000000000001" customHeight="1" x14ac:dyDescent="0.2">
      <c r="A140" s="22"/>
      <c r="B140" s="4" t="s">
        <v>135</v>
      </c>
      <c r="C140" s="24">
        <v>10.632</v>
      </c>
      <c r="D140" s="24">
        <v>10.6586</v>
      </c>
      <c r="E140" s="22"/>
      <c r="F140" s="19"/>
      <c r="G140" s="25"/>
    </row>
    <row r="141" spans="1:15" ht="17.100000000000001" customHeight="1" x14ac:dyDescent="0.2">
      <c r="A141" s="22"/>
      <c r="B141" s="4" t="s">
        <v>984</v>
      </c>
      <c r="C141" s="24">
        <v>10.632099999999999</v>
      </c>
      <c r="D141" s="24">
        <v>10.6587</v>
      </c>
      <c r="E141" s="22"/>
      <c r="F141" s="19"/>
      <c r="G141" s="25"/>
    </row>
    <row r="142" spans="1:15" ht="14.1" customHeight="1" x14ac:dyDescent="0.2">
      <c r="A142" s="22"/>
      <c r="B142" s="22"/>
      <c r="C142" s="22"/>
      <c r="D142" s="22"/>
      <c r="E142" s="22"/>
      <c r="F142" s="22"/>
      <c r="G142" s="22"/>
    </row>
    <row r="143" spans="1:15" ht="17.100000000000001" customHeight="1" x14ac:dyDescent="0.2">
      <c r="A143" s="22"/>
      <c r="B143" s="172" t="s">
        <v>985</v>
      </c>
      <c r="C143" s="173"/>
      <c r="D143" s="2" t="s">
        <v>126</v>
      </c>
      <c r="E143" s="22"/>
      <c r="F143" s="22"/>
      <c r="G143" s="22"/>
    </row>
    <row r="144" spans="1:15" ht="18" customHeight="1" x14ac:dyDescent="0.2">
      <c r="A144" s="22"/>
      <c r="B144" s="26" t="s">
        <v>136</v>
      </c>
      <c r="C144" s="26" t="s">
        <v>136</v>
      </c>
      <c r="D144" s="26"/>
      <c r="E144" s="22"/>
      <c r="F144" s="22"/>
      <c r="G144" s="22"/>
    </row>
    <row r="145" spans="1:16" s="82" customFormat="1" x14ac:dyDescent="0.2">
      <c r="B145" s="177" t="s">
        <v>936</v>
      </c>
      <c r="C145" s="177"/>
      <c r="D145" s="177"/>
      <c r="E145" s="177"/>
      <c r="F145" s="177"/>
      <c r="I145"/>
      <c r="J145"/>
      <c r="K145"/>
      <c r="L145"/>
      <c r="M145"/>
      <c r="N145"/>
      <c r="O145"/>
      <c r="P145" s="70"/>
    </row>
    <row r="146" spans="1:16" ht="14.1" customHeight="1" x14ac:dyDescent="0.2">
      <c r="A146" s="22"/>
      <c r="B146" s="19"/>
      <c r="C146" s="19"/>
      <c r="D146" s="22"/>
      <c r="E146" s="22"/>
      <c r="F146" s="22"/>
      <c r="G146" s="22"/>
    </row>
    <row r="147" spans="1:16" ht="29.1" customHeight="1" x14ac:dyDescent="0.2">
      <c r="A147" s="22"/>
      <c r="B147" s="172" t="s">
        <v>137</v>
      </c>
      <c r="C147" s="173"/>
      <c r="D147" s="2" t="s">
        <v>937</v>
      </c>
      <c r="E147" s="22"/>
      <c r="F147" s="22"/>
      <c r="G147" s="22"/>
    </row>
    <row r="148" spans="1:16" ht="29.1" customHeight="1" x14ac:dyDescent="0.2">
      <c r="A148" s="22"/>
      <c r="B148" s="172" t="s">
        <v>138</v>
      </c>
      <c r="C148" s="173"/>
      <c r="D148" s="2" t="s">
        <v>126</v>
      </c>
      <c r="E148" s="22"/>
      <c r="F148" s="22"/>
      <c r="G148" s="22"/>
    </row>
    <row r="149" spans="1:16" ht="17.100000000000001" customHeight="1" x14ac:dyDescent="0.2">
      <c r="A149" s="22"/>
      <c r="B149" s="172" t="s">
        <v>139</v>
      </c>
      <c r="C149" s="173"/>
      <c r="D149" s="27">
        <v>11.353463867251664</v>
      </c>
      <c r="E149" s="22"/>
      <c r="F149" s="19"/>
      <c r="G149" s="25"/>
    </row>
    <row r="150" spans="1:16" ht="17.100000000000001" customHeight="1" x14ac:dyDescent="0.2">
      <c r="A150" s="22"/>
      <c r="B150" s="172" t="s">
        <v>140</v>
      </c>
      <c r="C150" s="173"/>
      <c r="D150" s="2" t="s">
        <v>126</v>
      </c>
      <c r="E150" s="22"/>
      <c r="F150" s="22"/>
      <c r="G150" s="22"/>
    </row>
  </sheetData>
  <mergeCells count="16">
    <mergeCell ref="B150:C150"/>
    <mergeCell ref="B133:C133"/>
    <mergeCell ref="B134:C134"/>
    <mergeCell ref="B135:C135"/>
    <mergeCell ref="B143:C143"/>
    <mergeCell ref="B147:C147"/>
    <mergeCell ref="B148:C148"/>
    <mergeCell ref="B145:F145"/>
    <mergeCell ref="A1:H1"/>
    <mergeCell ref="A2:H2"/>
    <mergeCell ref="A3:H3"/>
    <mergeCell ref="J2:N2"/>
    <mergeCell ref="B149:C149"/>
    <mergeCell ref="B132:C132"/>
    <mergeCell ref="B129:F129"/>
    <mergeCell ref="B130:F130"/>
  </mergeCells>
  <pageMargins left="5.000000074505806E-2" right="5.000000074505806E-2" top="0.30000001192092896" bottom="0.20000000298023224" header="0" footer="0"/>
  <pageSetup paperSize="9"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590C-D922-4131-858B-7402723C2F64}">
  <sheetPr>
    <outlinePr summaryBelow="0" summaryRight="0"/>
  </sheetPr>
  <dimension ref="A1:P2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70"/>
    <col min="255" max="255" width="6.85546875" customWidth="1"/>
    <col min="256" max="256" width="20.5703125" customWidth="1"/>
    <col min="257" max="257" width="34.28515625" customWidth="1"/>
    <col min="258" max="258" width="17.85546875" customWidth="1"/>
    <col min="259" max="260" width="19.140625" customWidth="1"/>
    <col min="261" max="261" width="16.42578125" customWidth="1"/>
    <col min="511" max="511" width="6.85546875" customWidth="1"/>
    <col min="512" max="512" width="20.5703125" customWidth="1"/>
    <col min="513" max="513" width="34.28515625" customWidth="1"/>
    <col min="514" max="514" width="17.85546875" customWidth="1"/>
    <col min="515" max="516" width="19.140625" customWidth="1"/>
    <col min="517" max="517" width="16.42578125" customWidth="1"/>
    <col min="767" max="767" width="6.85546875" customWidth="1"/>
    <col min="768" max="768" width="20.5703125" customWidth="1"/>
    <col min="769" max="769" width="34.28515625" customWidth="1"/>
    <col min="770" max="770" width="17.85546875" customWidth="1"/>
    <col min="771" max="772" width="19.140625" customWidth="1"/>
    <col min="773" max="773" width="16.42578125" customWidth="1"/>
    <col min="1023" max="1023" width="6.85546875" customWidth="1"/>
    <col min="1024" max="1024" width="20.5703125" customWidth="1"/>
    <col min="1025" max="1025" width="34.28515625" customWidth="1"/>
    <col min="1026" max="1026" width="17.85546875" customWidth="1"/>
    <col min="1027" max="1028" width="19.140625" customWidth="1"/>
    <col min="1029" max="1029" width="16.42578125" customWidth="1"/>
    <col min="1279" max="1279" width="6.85546875" customWidth="1"/>
    <col min="1280" max="1280" width="20.5703125" customWidth="1"/>
    <col min="1281" max="1281" width="34.28515625" customWidth="1"/>
    <col min="1282" max="1282" width="17.85546875" customWidth="1"/>
    <col min="1283" max="1284" width="19.140625" customWidth="1"/>
    <col min="1285" max="1285" width="16.42578125" customWidth="1"/>
    <col min="1535" max="1535" width="6.85546875" customWidth="1"/>
    <col min="1536" max="1536" width="20.5703125" customWidth="1"/>
    <col min="1537" max="1537" width="34.28515625" customWidth="1"/>
    <col min="1538" max="1538" width="17.85546875" customWidth="1"/>
    <col min="1539" max="1540" width="19.140625" customWidth="1"/>
    <col min="1541" max="1541" width="16.42578125" customWidth="1"/>
    <col min="1791" max="1791" width="6.85546875" customWidth="1"/>
    <col min="1792" max="1792" width="20.5703125" customWidth="1"/>
    <col min="1793" max="1793" width="34.28515625" customWidth="1"/>
    <col min="1794" max="1794" width="17.85546875" customWidth="1"/>
    <col min="1795" max="1796" width="19.140625" customWidth="1"/>
    <col min="1797" max="1797" width="16.42578125" customWidth="1"/>
    <col min="2047" max="2047" width="6.85546875" customWidth="1"/>
    <col min="2048" max="2048" width="20.5703125" customWidth="1"/>
    <col min="2049" max="2049" width="34.28515625" customWidth="1"/>
    <col min="2050" max="2050" width="17.85546875" customWidth="1"/>
    <col min="2051" max="2052" width="19.140625" customWidth="1"/>
    <col min="2053" max="2053" width="16.42578125" customWidth="1"/>
    <col min="2303" max="2303" width="6.85546875" customWidth="1"/>
    <col min="2304" max="2304" width="20.5703125" customWidth="1"/>
    <col min="2305" max="2305" width="34.28515625" customWidth="1"/>
    <col min="2306" max="2306" width="17.85546875" customWidth="1"/>
    <col min="2307" max="2308" width="19.140625" customWidth="1"/>
    <col min="2309" max="2309" width="16.42578125" customWidth="1"/>
    <col min="2559" max="2559" width="6.85546875" customWidth="1"/>
    <col min="2560" max="2560" width="20.5703125" customWidth="1"/>
    <col min="2561" max="2561" width="34.28515625" customWidth="1"/>
    <col min="2562" max="2562" width="17.85546875" customWidth="1"/>
    <col min="2563" max="2564" width="19.140625" customWidth="1"/>
    <col min="2565" max="2565" width="16.42578125" customWidth="1"/>
    <col min="2815" max="2815" width="6.85546875" customWidth="1"/>
    <col min="2816" max="2816" width="20.5703125" customWidth="1"/>
    <col min="2817" max="2817" width="34.28515625" customWidth="1"/>
    <col min="2818" max="2818" width="17.85546875" customWidth="1"/>
    <col min="2819" max="2820" width="19.140625" customWidth="1"/>
    <col min="2821" max="2821" width="16.42578125" customWidth="1"/>
    <col min="3071" max="3071" width="6.85546875" customWidth="1"/>
    <col min="3072" max="3072" width="20.5703125" customWidth="1"/>
    <col min="3073" max="3073" width="34.28515625" customWidth="1"/>
    <col min="3074" max="3074" width="17.85546875" customWidth="1"/>
    <col min="3075" max="3076" width="19.140625" customWidth="1"/>
    <col min="3077" max="3077" width="16.42578125" customWidth="1"/>
    <col min="3327" max="3327" width="6.85546875" customWidth="1"/>
    <col min="3328" max="3328" width="20.5703125" customWidth="1"/>
    <col min="3329" max="3329" width="34.28515625" customWidth="1"/>
    <col min="3330" max="3330" width="17.85546875" customWidth="1"/>
    <col min="3331" max="3332" width="19.140625" customWidth="1"/>
    <col min="3333" max="3333" width="16.42578125" customWidth="1"/>
    <col min="3583" max="3583" width="6.85546875" customWidth="1"/>
    <col min="3584" max="3584" width="20.5703125" customWidth="1"/>
    <col min="3585" max="3585" width="34.28515625" customWidth="1"/>
    <col min="3586" max="3586" width="17.85546875" customWidth="1"/>
    <col min="3587" max="3588" width="19.140625" customWidth="1"/>
    <col min="3589" max="3589" width="16.42578125" customWidth="1"/>
    <col min="3839" max="3839" width="6.85546875" customWidth="1"/>
    <col min="3840" max="3840" width="20.5703125" customWidth="1"/>
    <col min="3841" max="3841" width="34.28515625" customWidth="1"/>
    <col min="3842" max="3842" width="17.85546875" customWidth="1"/>
    <col min="3843" max="3844" width="19.140625" customWidth="1"/>
    <col min="3845" max="3845" width="16.42578125" customWidth="1"/>
    <col min="4095" max="4095" width="6.85546875" customWidth="1"/>
    <col min="4096" max="4096" width="20.5703125" customWidth="1"/>
    <col min="4097" max="4097" width="34.28515625" customWidth="1"/>
    <col min="4098" max="4098" width="17.85546875" customWidth="1"/>
    <col min="4099" max="4100" width="19.140625" customWidth="1"/>
    <col min="4101" max="4101" width="16.42578125" customWidth="1"/>
    <col min="4351" max="4351" width="6.85546875" customWidth="1"/>
    <col min="4352" max="4352" width="20.5703125" customWidth="1"/>
    <col min="4353" max="4353" width="34.28515625" customWidth="1"/>
    <col min="4354" max="4354" width="17.85546875" customWidth="1"/>
    <col min="4355" max="4356" width="19.140625" customWidth="1"/>
    <col min="4357" max="4357" width="16.42578125" customWidth="1"/>
    <col min="4607" max="4607" width="6.85546875" customWidth="1"/>
    <col min="4608" max="4608" width="20.5703125" customWidth="1"/>
    <col min="4609" max="4609" width="34.28515625" customWidth="1"/>
    <col min="4610" max="4610" width="17.85546875" customWidth="1"/>
    <col min="4611" max="4612" width="19.140625" customWidth="1"/>
    <col min="4613" max="4613" width="16.42578125" customWidth="1"/>
    <col min="4863" max="4863" width="6.85546875" customWidth="1"/>
    <col min="4864" max="4864" width="20.5703125" customWidth="1"/>
    <col min="4865" max="4865" width="34.28515625" customWidth="1"/>
    <col min="4866" max="4866" width="17.85546875" customWidth="1"/>
    <col min="4867" max="4868" width="19.140625" customWidth="1"/>
    <col min="4869" max="4869" width="16.42578125" customWidth="1"/>
    <col min="5119" max="5119" width="6.85546875" customWidth="1"/>
    <col min="5120" max="5120" width="20.5703125" customWidth="1"/>
    <col min="5121" max="5121" width="34.28515625" customWidth="1"/>
    <col min="5122" max="5122" width="17.85546875" customWidth="1"/>
    <col min="5123" max="5124" width="19.140625" customWidth="1"/>
    <col min="5125" max="5125" width="16.42578125" customWidth="1"/>
    <col min="5375" max="5375" width="6.85546875" customWidth="1"/>
    <col min="5376" max="5376" width="20.5703125" customWidth="1"/>
    <col min="5377" max="5377" width="34.28515625" customWidth="1"/>
    <col min="5378" max="5378" width="17.85546875" customWidth="1"/>
    <col min="5379" max="5380" width="19.140625" customWidth="1"/>
    <col min="5381" max="5381" width="16.42578125" customWidth="1"/>
    <col min="5631" max="5631" width="6.85546875" customWidth="1"/>
    <col min="5632" max="5632" width="20.5703125" customWidth="1"/>
    <col min="5633" max="5633" width="34.28515625" customWidth="1"/>
    <col min="5634" max="5634" width="17.85546875" customWidth="1"/>
    <col min="5635" max="5636" width="19.140625" customWidth="1"/>
    <col min="5637" max="5637" width="16.42578125" customWidth="1"/>
    <col min="5887" max="5887" width="6.85546875" customWidth="1"/>
    <col min="5888" max="5888" width="20.5703125" customWidth="1"/>
    <col min="5889" max="5889" width="34.28515625" customWidth="1"/>
    <col min="5890" max="5890" width="17.85546875" customWidth="1"/>
    <col min="5891" max="5892" width="19.140625" customWidth="1"/>
    <col min="5893" max="5893" width="16.42578125" customWidth="1"/>
    <col min="6143" max="6143" width="6.85546875" customWidth="1"/>
    <col min="6144" max="6144" width="20.5703125" customWidth="1"/>
    <col min="6145" max="6145" width="34.28515625" customWidth="1"/>
    <col min="6146" max="6146" width="17.85546875" customWidth="1"/>
    <col min="6147" max="6148" width="19.140625" customWidth="1"/>
    <col min="6149" max="6149" width="16.42578125" customWidth="1"/>
    <col min="6399" max="6399" width="6.85546875" customWidth="1"/>
    <col min="6400" max="6400" width="20.5703125" customWidth="1"/>
    <col min="6401" max="6401" width="34.28515625" customWidth="1"/>
    <col min="6402" max="6402" width="17.85546875" customWidth="1"/>
    <col min="6403" max="6404" width="19.140625" customWidth="1"/>
    <col min="6405" max="6405" width="16.42578125" customWidth="1"/>
    <col min="6655" max="6655" width="6.85546875" customWidth="1"/>
    <col min="6656" max="6656" width="20.5703125" customWidth="1"/>
    <col min="6657" max="6657" width="34.28515625" customWidth="1"/>
    <col min="6658" max="6658" width="17.85546875" customWidth="1"/>
    <col min="6659" max="6660" width="19.140625" customWidth="1"/>
    <col min="6661" max="6661" width="16.42578125" customWidth="1"/>
    <col min="6911" max="6911" width="6.85546875" customWidth="1"/>
    <col min="6912" max="6912" width="20.5703125" customWidth="1"/>
    <col min="6913" max="6913" width="34.28515625" customWidth="1"/>
    <col min="6914" max="6914" width="17.85546875" customWidth="1"/>
    <col min="6915" max="6916" width="19.140625" customWidth="1"/>
    <col min="6917" max="6917" width="16.42578125" customWidth="1"/>
    <col min="7167" max="7167" width="6.85546875" customWidth="1"/>
    <col min="7168" max="7168" width="20.5703125" customWidth="1"/>
    <col min="7169" max="7169" width="34.28515625" customWidth="1"/>
    <col min="7170" max="7170" width="17.85546875" customWidth="1"/>
    <col min="7171" max="7172" width="19.140625" customWidth="1"/>
    <col min="7173" max="7173" width="16.42578125" customWidth="1"/>
    <col min="7423" max="7423" width="6.85546875" customWidth="1"/>
    <col min="7424" max="7424" width="20.5703125" customWidth="1"/>
    <col min="7425" max="7425" width="34.28515625" customWidth="1"/>
    <col min="7426" max="7426" width="17.85546875" customWidth="1"/>
    <col min="7427" max="7428" width="19.140625" customWidth="1"/>
    <col min="7429" max="7429" width="16.42578125" customWidth="1"/>
    <col min="7679" max="7679" width="6.85546875" customWidth="1"/>
    <col min="7680" max="7680" width="20.5703125" customWidth="1"/>
    <col min="7681" max="7681" width="34.28515625" customWidth="1"/>
    <col min="7682" max="7682" width="17.85546875" customWidth="1"/>
    <col min="7683" max="7684" width="19.140625" customWidth="1"/>
    <col min="7685" max="7685" width="16.42578125" customWidth="1"/>
    <col min="7935" max="7935" width="6.85546875" customWidth="1"/>
    <col min="7936" max="7936" width="20.5703125" customWidth="1"/>
    <col min="7937" max="7937" width="34.28515625" customWidth="1"/>
    <col min="7938" max="7938" width="17.85546875" customWidth="1"/>
    <col min="7939" max="7940" width="19.140625" customWidth="1"/>
    <col min="7941" max="7941" width="16.42578125" customWidth="1"/>
    <col min="8191" max="8191" width="6.85546875" customWidth="1"/>
    <col min="8192" max="8192" width="20.5703125" customWidth="1"/>
    <col min="8193" max="8193" width="34.28515625" customWidth="1"/>
    <col min="8194" max="8194" width="17.85546875" customWidth="1"/>
    <col min="8195" max="8196" width="19.140625" customWidth="1"/>
    <col min="8197" max="8197" width="16.42578125" customWidth="1"/>
    <col min="8447" max="8447" width="6.85546875" customWidth="1"/>
    <col min="8448" max="8448" width="20.5703125" customWidth="1"/>
    <col min="8449" max="8449" width="34.28515625" customWidth="1"/>
    <col min="8450" max="8450" width="17.85546875" customWidth="1"/>
    <col min="8451" max="8452" width="19.140625" customWidth="1"/>
    <col min="8453" max="8453" width="16.42578125" customWidth="1"/>
    <col min="8703" max="8703" width="6.85546875" customWidth="1"/>
    <col min="8704" max="8704" width="20.5703125" customWidth="1"/>
    <col min="8705" max="8705" width="34.28515625" customWidth="1"/>
    <col min="8706" max="8706" width="17.85546875" customWidth="1"/>
    <col min="8707" max="8708" width="19.140625" customWidth="1"/>
    <col min="8709" max="8709" width="16.42578125" customWidth="1"/>
    <col min="8959" max="8959" width="6.85546875" customWidth="1"/>
    <col min="8960" max="8960" width="20.5703125" customWidth="1"/>
    <col min="8961" max="8961" width="34.28515625" customWidth="1"/>
    <col min="8962" max="8962" width="17.85546875" customWidth="1"/>
    <col min="8963" max="8964" width="19.140625" customWidth="1"/>
    <col min="8965" max="8965" width="16.42578125" customWidth="1"/>
    <col min="9215" max="9215" width="6.85546875" customWidth="1"/>
    <col min="9216" max="9216" width="20.5703125" customWidth="1"/>
    <col min="9217" max="9217" width="34.28515625" customWidth="1"/>
    <col min="9218" max="9218" width="17.85546875" customWidth="1"/>
    <col min="9219" max="9220" width="19.140625" customWidth="1"/>
    <col min="9221" max="9221" width="16.42578125" customWidth="1"/>
    <col min="9471" max="9471" width="6.85546875" customWidth="1"/>
    <col min="9472" max="9472" width="20.5703125" customWidth="1"/>
    <col min="9473" max="9473" width="34.28515625" customWidth="1"/>
    <col min="9474" max="9474" width="17.85546875" customWidth="1"/>
    <col min="9475" max="9476" width="19.140625" customWidth="1"/>
    <col min="9477" max="9477" width="16.42578125" customWidth="1"/>
    <col min="9727" max="9727" width="6.85546875" customWidth="1"/>
    <col min="9728" max="9728" width="20.5703125" customWidth="1"/>
    <col min="9729" max="9729" width="34.28515625" customWidth="1"/>
    <col min="9730" max="9730" width="17.85546875" customWidth="1"/>
    <col min="9731" max="9732" width="19.140625" customWidth="1"/>
    <col min="9733" max="9733" width="16.42578125" customWidth="1"/>
    <col min="9983" max="9983" width="6.85546875" customWidth="1"/>
    <col min="9984" max="9984" width="20.5703125" customWidth="1"/>
    <col min="9985" max="9985" width="34.28515625" customWidth="1"/>
    <col min="9986" max="9986" width="17.85546875" customWidth="1"/>
    <col min="9987" max="9988" width="19.140625" customWidth="1"/>
    <col min="9989" max="9989" width="16.42578125" customWidth="1"/>
    <col min="10239" max="10239" width="6.85546875" customWidth="1"/>
    <col min="10240" max="10240" width="20.5703125" customWidth="1"/>
    <col min="10241" max="10241" width="34.28515625" customWidth="1"/>
    <col min="10242" max="10242" width="17.85546875" customWidth="1"/>
    <col min="10243" max="10244" width="19.140625" customWidth="1"/>
    <col min="10245" max="10245" width="16.42578125" customWidth="1"/>
    <col min="10495" max="10495" width="6.85546875" customWidth="1"/>
    <col min="10496" max="10496" width="20.5703125" customWidth="1"/>
    <col min="10497" max="10497" width="34.28515625" customWidth="1"/>
    <col min="10498" max="10498" width="17.85546875" customWidth="1"/>
    <col min="10499" max="10500" width="19.140625" customWidth="1"/>
    <col min="10501" max="10501" width="16.42578125" customWidth="1"/>
    <col min="10751" max="10751" width="6.85546875" customWidth="1"/>
    <col min="10752" max="10752" width="20.5703125" customWidth="1"/>
    <col min="10753" max="10753" width="34.28515625" customWidth="1"/>
    <col min="10754" max="10754" width="17.85546875" customWidth="1"/>
    <col min="10755" max="10756" width="19.140625" customWidth="1"/>
    <col min="10757" max="10757" width="16.42578125" customWidth="1"/>
    <col min="11007" max="11007" width="6.85546875" customWidth="1"/>
    <col min="11008" max="11008" width="20.5703125" customWidth="1"/>
    <col min="11009" max="11009" width="34.28515625" customWidth="1"/>
    <col min="11010" max="11010" width="17.85546875" customWidth="1"/>
    <col min="11011" max="11012" width="19.140625" customWidth="1"/>
    <col min="11013" max="11013" width="16.42578125" customWidth="1"/>
    <col min="11263" max="11263" width="6.85546875" customWidth="1"/>
    <col min="11264" max="11264" width="20.5703125" customWidth="1"/>
    <col min="11265" max="11265" width="34.28515625" customWidth="1"/>
    <col min="11266" max="11266" width="17.85546875" customWidth="1"/>
    <col min="11267" max="11268" width="19.140625" customWidth="1"/>
    <col min="11269" max="11269" width="16.42578125" customWidth="1"/>
    <col min="11519" max="11519" width="6.85546875" customWidth="1"/>
    <col min="11520" max="11520" width="20.5703125" customWidth="1"/>
    <col min="11521" max="11521" width="34.28515625" customWidth="1"/>
    <col min="11522" max="11522" width="17.85546875" customWidth="1"/>
    <col min="11523" max="11524" width="19.140625" customWidth="1"/>
    <col min="11525" max="11525" width="16.42578125" customWidth="1"/>
    <col min="11775" max="11775" width="6.85546875" customWidth="1"/>
    <col min="11776" max="11776" width="20.5703125" customWidth="1"/>
    <col min="11777" max="11777" width="34.28515625" customWidth="1"/>
    <col min="11778" max="11778" width="17.85546875" customWidth="1"/>
    <col min="11779" max="11780" width="19.140625" customWidth="1"/>
    <col min="11781" max="11781" width="16.42578125" customWidth="1"/>
    <col min="12031" max="12031" width="6.85546875" customWidth="1"/>
    <col min="12032" max="12032" width="20.5703125" customWidth="1"/>
    <col min="12033" max="12033" width="34.28515625" customWidth="1"/>
    <col min="12034" max="12034" width="17.85546875" customWidth="1"/>
    <col min="12035" max="12036" width="19.140625" customWidth="1"/>
    <col min="12037" max="12037" width="16.42578125" customWidth="1"/>
    <col min="12287" max="12287" width="6.85546875" customWidth="1"/>
    <col min="12288" max="12288" width="20.5703125" customWidth="1"/>
    <col min="12289" max="12289" width="34.28515625" customWidth="1"/>
    <col min="12290" max="12290" width="17.85546875" customWidth="1"/>
    <col min="12291" max="12292" width="19.140625" customWidth="1"/>
    <col min="12293" max="12293" width="16.42578125" customWidth="1"/>
    <col min="12543" max="12543" width="6.85546875" customWidth="1"/>
    <col min="12544" max="12544" width="20.5703125" customWidth="1"/>
    <col min="12545" max="12545" width="34.28515625" customWidth="1"/>
    <col min="12546" max="12546" width="17.85546875" customWidth="1"/>
    <col min="12547" max="12548" width="19.140625" customWidth="1"/>
    <col min="12549" max="12549" width="16.42578125" customWidth="1"/>
    <col min="12799" max="12799" width="6.85546875" customWidth="1"/>
    <col min="12800" max="12800" width="20.5703125" customWidth="1"/>
    <col min="12801" max="12801" width="34.28515625" customWidth="1"/>
    <col min="12802" max="12802" width="17.85546875" customWidth="1"/>
    <col min="12803" max="12804" width="19.140625" customWidth="1"/>
    <col min="12805" max="12805" width="16.42578125" customWidth="1"/>
    <col min="13055" max="13055" width="6.85546875" customWidth="1"/>
    <col min="13056" max="13056" width="20.5703125" customWidth="1"/>
    <col min="13057" max="13057" width="34.28515625" customWidth="1"/>
    <col min="13058" max="13058" width="17.85546875" customWidth="1"/>
    <col min="13059" max="13060" width="19.140625" customWidth="1"/>
    <col min="13061" max="13061" width="16.42578125" customWidth="1"/>
    <col min="13311" max="13311" width="6.85546875" customWidth="1"/>
    <col min="13312" max="13312" width="20.5703125" customWidth="1"/>
    <col min="13313" max="13313" width="34.28515625" customWidth="1"/>
    <col min="13314" max="13314" width="17.85546875" customWidth="1"/>
    <col min="13315" max="13316" width="19.140625" customWidth="1"/>
    <col min="13317" max="13317" width="16.42578125" customWidth="1"/>
    <col min="13567" max="13567" width="6.85546875" customWidth="1"/>
    <col min="13568" max="13568" width="20.5703125" customWidth="1"/>
    <col min="13569" max="13569" width="34.28515625" customWidth="1"/>
    <col min="13570" max="13570" width="17.85546875" customWidth="1"/>
    <col min="13571" max="13572" width="19.140625" customWidth="1"/>
    <col min="13573" max="13573" width="16.42578125" customWidth="1"/>
    <col min="13823" max="13823" width="6.85546875" customWidth="1"/>
    <col min="13824" max="13824" width="20.5703125" customWidth="1"/>
    <col min="13825" max="13825" width="34.28515625" customWidth="1"/>
    <col min="13826" max="13826" width="17.85546875" customWidth="1"/>
    <col min="13827" max="13828" width="19.140625" customWidth="1"/>
    <col min="13829" max="13829" width="16.42578125" customWidth="1"/>
    <col min="14079" max="14079" width="6.85546875" customWidth="1"/>
    <col min="14080" max="14080" width="20.5703125" customWidth="1"/>
    <col min="14081" max="14081" width="34.28515625" customWidth="1"/>
    <col min="14082" max="14082" width="17.85546875" customWidth="1"/>
    <col min="14083" max="14084" width="19.140625" customWidth="1"/>
    <col min="14085" max="14085" width="16.42578125" customWidth="1"/>
    <col min="14335" max="14335" width="6.85546875" customWidth="1"/>
    <col min="14336" max="14336" width="20.5703125" customWidth="1"/>
    <col min="14337" max="14337" width="34.28515625" customWidth="1"/>
    <col min="14338" max="14338" width="17.85546875" customWidth="1"/>
    <col min="14339" max="14340" width="19.140625" customWidth="1"/>
    <col min="14341" max="14341" width="16.42578125" customWidth="1"/>
    <col min="14591" max="14591" width="6.85546875" customWidth="1"/>
    <col min="14592" max="14592" width="20.5703125" customWidth="1"/>
    <col min="14593" max="14593" width="34.28515625" customWidth="1"/>
    <col min="14594" max="14594" width="17.85546875" customWidth="1"/>
    <col min="14595" max="14596" width="19.140625" customWidth="1"/>
    <col min="14597" max="14597" width="16.42578125" customWidth="1"/>
    <col min="14847" max="14847" width="6.85546875" customWidth="1"/>
    <col min="14848" max="14848" width="20.5703125" customWidth="1"/>
    <col min="14849" max="14849" width="34.28515625" customWidth="1"/>
    <col min="14850" max="14850" width="17.85546875" customWidth="1"/>
    <col min="14851" max="14852" width="19.140625" customWidth="1"/>
    <col min="14853" max="14853" width="16.42578125" customWidth="1"/>
    <col min="15103" max="15103" width="6.85546875" customWidth="1"/>
    <col min="15104" max="15104" width="20.5703125" customWidth="1"/>
    <col min="15105" max="15105" width="34.28515625" customWidth="1"/>
    <col min="15106" max="15106" width="17.85546875" customWidth="1"/>
    <col min="15107" max="15108" width="19.140625" customWidth="1"/>
    <col min="15109" max="15109" width="16.42578125" customWidth="1"/>
    <col min="15359" max="15359" width="6.85546875" customWidth="1"/>
    <col min="15360" max="15360" width="20.5703125" customWidth="1"/>
    <col min="15361" max="15361" width="34.28515625" customWidth="1"/>
    <col min="15362" max="15362" width="17.85546875" customWidth="1"/>
    <col min="15363" max="15364" width="19.140625" customWidth="1"/>
    <col min="15365" max="15365" width="16.42578125" customWidth="1"/>
    <col min="15615" max="15615" width="6.85546875" customWidth="1"/>
    <col min="15616" max="15616" width="20.5703125" customWidth="1"/>
    <col min="15617" max="15617" width="34.28515625" customWidth="1"/>
    <col min="15618" max="15618" width="17.85546875" customWidth="1"/>
    <col min="15619" max="15620" width="19.140625" customWidth="1"/>
    <col min="15621" max="15621" width="16.42578125" customWidth="1"/>
    <col min="15871" max="15871" width="6.85546875" customWidth="1"/>
    <col min="15872" max="15872" width="20.5703125" customWidth="1"/>
    <col min="15873" max="15873" width="34.28515625" customWidth="1"/>
    <col min="15874" max="15874" width="17.85546875" customWidth="1"/>
    <col min="15875" max="15876" width="19.140625" customWidth="1"/>
    <col min="15877" max="15877" width="16.42578125" customWidth="1"/>
    <col min="16127" max="16127" width="6.85546875" customWidth="1"/>
    <col min="16128" max="16128" width="20.5703125" customWidth="1"/>
    <col min="16129" max="16129" width="34.28515625" customWidth="1"/>
    <col min="16130" max="16130" width="17.85546875" customWidth="1"/>
    <col min="16131" max="16132" width="19.140625" customWidth="1"/>
    <col min="16133" max="16133" width="16.42578125" customWidth="1"/>
  </cols>
  <sheetData>
    <row r="1" spans="1:15" ht="18" customHeight="1" x14ac:dyDescent="0.2">
      <c r="A1" s="167" t="s">
        <v>0</v>
      </c>
      <c r="B1" s="167"/>
      <c r="C1" s="167"/>
      <c r="D1" s="167"/>
      <c r="E1" s="167"/>
      <c r="F1" s="167"/>
      <c r="G1" s="167"/>
      <c r="H1" s="167"/>
    </row>
    <row r="2" spans="1:15" ht="17.100000000000001" customHeight="1" x14ac:dyDescent="0.2">
      <c r="A2" s="168" t="s">
        <v>775</v>
      </c>
      <c r="B2" s="169"/>
      <c r="C2" s="169"/>
      <c r="D2" s="169"/>
      <c r="E2" s="169"/>
      <c r="F2" s="169"/>
      <c r="G2" s="169"/>
      <c r="H2" s="170"/>
      <c r="J2" s="171" t="s">
        <v>1009</v>
      </c>
      <c r="K2" s="171"/>
      <c r="L2" s="171"/>
      <c r="M2" s="171"/>
      <c r="N2" s="171"/>
    </row>
    <row r="3" spans="1:15" ht="21" customHeight="1" x14ac:dyDescent="0.2">
      <c r="A3" s="167" t="s">
        <v>950</v>
      </c>
      <c r="B3" s="167"/>
      <c r="C3" s="167"/>
      <c r="D3" s="167"/>
      <c r="E3" s="167"/>
      <c r="F3" s="167"/>
      <c r="G3" s="167"/>
      <c r="H3" s="167"/>
    </row>
    <row r="4" spans="1:15" s="103" customFormat="1" ht="26.1" customHeight="1" x14ac:dyDescent="0.2">
      <c r="A4" s="104" t="s">
        <v>2</v>
      </c>
      <c r="B4" s="104" t="s">
        <v>3</v>
      </c>
      <c r="C4" s="104" t="s">
        <v>4</v>
      </c>
      <c r="D4" s="104" t="s">
        <v>5</v>
      </c>
      <c r="E4" s="104" t="s">
        <v>6</v>
      </c>
      <c r="F4" s="104" t="s">
        <v>7</v>
      </c>
      <c r="G4" s="104" t="s">
        <v>8</v>
      </c>
      <c r="H4" s="93" t="s">
        <v>949</v>
      </c>
      <c r="I4" s="161"/>
      <c r="J4" s="161"/>
      <c r="K4" s="161"/>
      <c r="L4" s="161"/>
      <c r="M4" s="161"/>
      <c r="N4" s="161"/>
      <c r="O4" s="161"/>
    </row>
    <row r="5" spans="1:15" x14ac:dyDescent="0.2">
      <c r="A5" s="35"/>
      <c r="B5" s="35"/>
      <c r="C5" s="36" t="s">
        <v>9</v>
      </c>
      <c r="D5" s="35"/>
      <c r="E5" s="35"/>
      <c r="F5" s="35"/>
      <c r="G5" s="35"/>
      <c r="H5" s="40"/>
    </row>
    <row r="6" spans="1:15" ht="25.5" x14ac:dyDescent="0.2">
      <c r="A6" s="35"/>
      <c r="B6" s="35"/>
      <c r="C6" s="36" t="s">
        <v>10</v>
      </c>
      <c r="D6" s="35"/>
      <c r="E6" s="35"/>
      <c r="F6" s="35"/>
      <c r="G6" s="35"/>
      <c r="H6" s="40"/>
    </row>
    <row r="7" spans="1:15" x14ac:dyDescent="0.2">
      <c r="A7" s="37">
        <v>1</v>
      </c>
      <c r="B7" s="38" t="s">
        <v>20</v>
      </c>
      <c r="C7" s="38" t="s">
        <v>21</v>
      </c>
      <c r="D7" s="38" t="s">
        <v>22</v>
      </c>
      <c r="E7" s="39">
        <v>984000</v>
      </c>
      <c r="F7" s="40">
        <v>7029.2039999999997</v>
      </c>
      <c r="G7" s="41">
        <v>5.6329630999999998E-2</v>
      </c>
      <c r="H7" s="40"/>
    </row>
    <row r="8" spans="1:15" x14ac:dyDescent="0.2">
      <c r="A8" s="37">
        <v>2</v>
      </c>
      <c r="B8" s="38" t="s">
        <v>14</v>
      </c>
      <c r="C8" s="38" t="s">
        <v>15</v>
      </c>
      <c r="D8" s="38" t="s">
        <v>16</v>
      </c>
      <c r="E8" s="39">
        <v>262500</v>
      </c>
      <c r="F8" s="40">
        <v>6314.1750000000002</v>
      </c>
      <c r="G8" s="41">
        <v>5.0599633999999998E-2</v>
      </c>
      <c r="H8" s="40"/>
    </row>
    <row r="9" spans="1:15" x14ac:dyDescent="0.2">
      <c r="A9" s="37">
        <v>3</v>
      </c>
      <c r="B9" s="38" t="s">
        <v>416</v>
      </c>
      <c r="C9" s="38" t="s">
        <v>417</v>
      </c>
      <c r="D9" s="38" t="s">
        <v>22</v>
      </c>
      <c r="E9" s="39">
        <v>1100000</v>
      </c>
      <c r="F9" s="40">
        <v>5066.05</v>
      </c>
      <c r="G9" s="41">
        <v>4.0597587999999997E-2</v>
      </c>
      <c r="H9" s="40"/>
    </row>
    <row r="10" spans="1:15" ht="25.5" x14ac:dyDescent="0.2">
      <c r="A10" s="37">
        <v>4</v>
      </c>
      <c r="B10" s="38" t="s">
        <v>414</v>
      </c>
      <c r="C10" s="38" t="s">
        <v>415</v>
      </c>
      <c r="D10" s="38" t="s">
        <v>78</v>
      </c>
      <c r="E10" s="39">
        <v>146300</v>
      </c>
      <c r="F10" s="40">
        <v>3910.7453</v>
      </c>
      <c r="G10" s="41">
        <v>3.1339371999999997E-2</v>
      </c>
      <c r="H10" s="40"/>
    </row>
    <row r="11" spans="1:15" x14ac:dyDescent="0.2">
      <c r="A11" s="37">
        <v>5</v>
      </c>
      <c r="B11" s="38" t="s">
        <v>410</v>
      </c>
      <c r="C11" s="38" t="s">
        <v>411</v>
      </c>
      <c r="D11" s="38" t="s">
        <v>22</v>
      </c>
      <c r="E11" s="39">
        <v>259350</v>
      </c>
      <c r="F11" s="40">
        <v>3873.521925</v>
      </c>
      <c r="G11" s="41">
        <v>3.1041077E-2</v>
      </c>
      <c r="H11" s="40"/>
      <c r="I11" s="71"/>
      <c r="J11" s="71"/>
      <c r="K11" s="71"/>
      <c r="L11" s="71"/>
      <c r="M11" s="71"/>
      <c r="N11" s="71"/>
      <c r="O11" s="71"/>
    </row>
    <row r="12" spans="1:15" x14ac:dyDescent="0.2">
      <c r="A12" s="37">
        <v>6</v>
      </c>
      <c r="B12" s="38" t="s">
        <v>412</v>
      </c>
      <c r="C12" s="38" t="s">
        <v>413</v>
      </c>
      <c r="D12" s="38" t="s">
        <v>155</v>
      </c>
      <c r="E12" s="39">
        <v>226000</v>
      </c>
      <c r="F12" s="40">
        <v>3870.5889999999999</v>
      </c>
      <c r="G12" s="41">
        <v>3.1017573E-2</v>
      </c>
      <c r="H12" s="40"/>
    </row>
    <row r="13" spans="1:15" s="71" customFormat="1" x14ac:dyDescent="0.2">
      <c r="A13" s="37">
        <v>7</v>
      </c>
      <c r="B13" s="4" t="s">
        <v>926</v>
      </c>
      <c r="C13" s="4" t="s">
        <v>927</v>
      </c>
      <c r="D13" s="4" t="s">
        <v>53</v>
      </c>
      <c r="E13" s="5">
        <v>1050000</v>
      </c>
      <c r="F13" s="6">
        <v>3782.1</v>
      </c>
      <c r="G13" s="68">
        <v>3.0308450000000001E-2</v>
      </c>
      <c r="H13" s="40"/>
      <c r="I13" s="70"/>
      <c r="J13" s="70"/>
      <c r="K13" s="70"/>
      <c r="L13" s="70"/>
      <c r="M13" s="70"/>
      <c r="N13" s="70"/>
      <c r="O13" s="70"/>
    </row>
    <row r="14" spans="1:15" x14ac:dyDescent="0.2">
      <c r="A14" s="37">
        <v>8</v>
      </c>
      <c r="B14" s="38" t="s">
        <v>17</v>
      </c>
      <c r="C14" s="38" t="s">
        <v>18</v>
      </c>
      <c r="D14" s="38" t="s">
        <v>19</v>
      </c>
      <c r="E14" s="39">
        <v>499913</v>
      </c>
      <c r="F14" s="40">
        <v>3640.6164225000002</v>
      </c>
      <c r="G14" s="41">
        <v>2.9174651999999999E-2</v>
      </c>
      <c r="H14" s="40"/>
    </row>
    <row r="15" spans="1:15" ht="15" x14ac:dyDescent="0.2">
      <c r="A15" s="37">
        <v>9</v>
      </c>
      <c r="B15" s="38" t="s">
        <v>428</v>
      </c>
      <c r="C15" s="38" t="s">
        <v>429</v>
      </c>
      <c r="D15" s="38" t="s">
        <v>155</v>
      </c>
      <c r="E15" s="39">
        <v>207400</v>
      </c>
      <c r="F15" s="40">
        <v>3196.9672999999998</v>
      </c>
      <c r="G15" s="41">
        <v>2.5619400000000001E-2</v>
      </c>
      <c r="H15" s="40"/>
      <c r="J15" s="160" t="s">
        <v>1022</v>
      </c>
    </row>
    <row r="16" spans="1:15" x14ac:dyDescent="0.2">
      <c r="A16" s="37">
        <v>10</v>
      </c>
      <c r="B16" s="38" t="s">
        <v>420</v>
      </c>
      <c r="C16" s="38" t="s">
        <v>421</v>
      </c>
      <c r="D16" s="38" t="s">
        <v>155</v>
      </c>
      <c r="E16" s="39">
        <v>84000</v>
      </c>
      <c r="F16" s="40">
        <v>2964.4859999999999</v>
      </c>
      <c r="G16" s="41">
        <v>2.3756375E-2</v>
      </c>
      <c r="H16" s="40"/>
    </row>
    <row r="17" spans="1:15" ht="25.5" x14ac:dyDescent="0.2">
      <c r="A17" s="37">
        <v>11</v>
      </c>
      <c r="B17" s="38" t="s">
        <v>485</v>
      </c>
      <c r="C17" s="38" t="s">
        <v>486</v>
      </c>
      <c r="D17" s="38" t="s">
        <v>207</v>
      </c>
      <c r="E17" s="39">
        <v>329000</v>
      </c>
      <c r="F17" s="40">
        <v>2904.9054999999998</v>
      </c>
      <c r="G17" s="41">
        <v>2.3278917E-2</v>
      </c>
      <c r="H17" s="40"/>
    </row>
    <row r="18" spans="1:15" x14ac:dyDescent="0.2">
      <c r="A18" s="37">
        <v>12</v>
      </c>
      <c r="B18" s="38" t="s">
        <v>433</v>
      </c>
      <c r="C18" s="38" t="s">
        <v>434</v>
      </c>
      <c r="D18" s="38" t="s">
        <v>160</v>
      </c>
      <c r="E18" s="39">
        <v>330000</v>
      </c>
      <c r="F18" s="40">
        <v>2469.39</v>
      </c>
      <c r="G18" s="41">
        <v>1.9788844999999999E-2</v>
      </c>
      <c r="H18" s="40"/>
    </row>
    <row r="19" spans="1:15" x14ac:dyDescent="0.2">
      <c r="A19" s="37">
        <v>13</v>
      </c>
      <c r="B19" s="38" t="s">
        <v>11</v>
      </c>
      <c r="C19" s="38" t="s">
        <v>12</v>
      </c>
      <c r="D19" s="38" t="s">
        <v>13</v>
      </c>
      <c r="E19" s="39">
        <v>135450</v>
      </c>
      <c r="F19" s="40">
        <v>2390.3538749999998</v>
      </c>
      <c r="G19" s="41">
        <v>1.9155477000000001E-2</v>
      </c>
      <c r="H19" s="40"/>
    </row>
    <row r="20" spans="1:15" x14ac:dyDescent="0.2">
      <c r="A20" s="37">
        <v>14</v>
      </c>
      <c r="B20" s="38" t="s">
        <v>326</v>
      </c>
      <c r="C20" s="38" t="s">
        <v>327</v>
      </c>
      <c r="D20" s="38" t="s">
        <v>22</v>
      </c>
      <c r="E20" s="39">
        <v>350000</v>
      </c>
      <c r="F20" s="40">
        <v>2294.7750000000001</v>
      </c>
      <c r="G20" s="41">
        <v>1.8389539999999999E-2</v>
      </c>
      <c r="H20" s="40"/>
      <c r="I20" s="71"/>
      <c r="J20" s="71"/>
      <c r="K20" s="71"/>
      <c r="L20" s="71"/>
      <c r="M20" s="71"/>
      <c r="N20" s="71"/>
      <c r="O20" s="71"/>
    </row>
    <row r="21" spans="1:15" x14ac:dyDescent="0.2">
      <c r="A21" s="37">
        <v>15</v>
      </c>
      <c r="B21" s="38" t="s">
        <v>25</v>
      </c>
      <c r="C21" s="38" t="s">
        <v>26</v>
      </c>
      <c r="D21" s="38" t="s">
        <v>27</v>
      </c>
      <c r="E21" s="39">
        <v>138000</v>
      </c>
      <c r="F21" s="40">
        <v>2226.2849999999999</v>
      </c>
      <c r="G21" s="41">
        <v>1.7840684999999998E-2</v>
      </c>
      <c r="H21" s="40"/>
    </row>
    <row r="22" spans="1:15" s="71" customFormat="1" ht="25.5" x14ac:dyDescent="0.2">
      <c r="A22" s="37">
        <v>16</v>
      </c>
      <c r="B22" s="4" t="s">
        <v>928</v>
      </c>
      <c r="C22" s="4" t="s">
        <v>929</v>
      </c>
      <c r="D22" s="4" t="s">
        <v>32</v>
      </c>
      <c r="E22" s="5">
        <v>1560000</v>
      </c>
      <c r="F22" s="6">
        <v>1874.4959999999999</v>
      </c>
      <c r="G22" s="68">
        <v>1.502157E-2</v>
      </c>
      <c r="H22" s="40"/>
      <c r="I22" s="70"/>
      <c r="J22" s="70"/>
      <c r="K22" s="70"/>
      <c r="L22" s="70"/>
      <c r="M22" s="70"/>
      <c r="N22" s="70"/>
      <c r="O22" s="70"/>
    </row>
    <row r="23" spans="1:15" x14ac:dyDescent="0.2">
      <c r="A23" s="37">
        <v>17</v>
      </c>
      <c r="B23" s="38" t="s">
        <v>430</v>
      </c>
      <c r="C23" s="38" t="s">
        <v>431</v>
      </c>
      <c r="D23" s="38" t="s">
        <v>432</v>
      </c>
      <c r="E23" s="39">
        <v>434350</v>
      </c>
      <c r="F23" s="40">
        <v>1792.7796249999999</v>
      </c>
      <c r="G23" s="41">
        <v>1.4366721000000001E-2</v>
      </c>
      <c r="H23" s="40"/>
    </row>
    <row r="24" spans="1:15" x14ac:dyDescent="0.2">
      <c r="A24" s="37">
        <v>18</v>
      </c>
      <c r="B24" s="38" t="s">
        <v>443</v>
      </c>
      <c r="C24" s="38" t="s">
        <v>444</v>
      </c>
      <c r="D24" s="38" t="s">
        <v>65</v>
      </c>
      <c r="E24" s="39">
        <v>131750</v>
      </c>
      <c r="F24" s="40">
        <v>1411.306</v>
      </c>
      <c r="G24" s="41">
        <v>1.1309721999999999E-2</v>
      </c>
      <c r="H24" s="40"/>
    </row>
    <row r="25" spans="1:15" x14ac:dyDescent="0.2">
      <c r="A25" s="37">
        <v>19</v>
      </c>
      <c r="B25" s="38" t="s">
        <v>90</v>
      </c>
      <c r="C25" s="38" t="s">
        <v>91</v>
      </c>
      <c r="D25" s="38" t="s">
        <v>27</v>
      </c>
      <c r="E25" s="39">
        <v>17000</v>
      </c>
      <c r="F25" s="40">
        <v>1324.9459999999999</v>
      </c>
      <c r="G25" s="41">
        <v>1.0617662999999999E-2</v>
      </c>
      <c r="H25" s="40"/>
    </row>
    <row r="26" spans="1:15" x14ac:dyDescent="0.2">
      <c r="A26" s="37">
        <v>20</v>
      </c>
      <c r="B26" s="38" t="s">
        <v>270</v>
      </c>
      <c r="C26" s="38" t="s">
        <v>271</v>
      </c>
      <c r="D26" s="38" t="s">
        <v>144</v>
      </c>
      <c r="E26" s="39">
        <v>230000</v>
      </c>
      <c r="F26" s="40">
        <v>1316.98</v>
      </c>
      <c r="G26" s="41">
        <v>1.0553826000000001E-2</v>
      </c>
      <c r="H26" s="40"/>
    </row>
    <row r="27" spans="1:15" x14ac:dyDescent="0.2">
      <c r="A27" s="37">
        <v>21</v>
      </c>
      <c r="B27" s="38" t="s">
        <v>418</v>
      </c>
      <c r="C27" s="38" t="s">
        <v>419</v>
      </c>
      <c r="D27" s="38" t="s">
        <v>982</v>
      </c>
      <c r="E27" s="39">
        <v>110500</v>
      </c>
      <c r="F27" s="40">
        <v>1282.4077500000001</v>
      </c>
      <c r="G27" s="41">
        <v>1.0276776E-2</v>
      </c>
      <c r="H27" s="40"/>
    </row>
    <row r="28" spans="1:15" x14ac:dyDescent="0.2">
      <c r="A28" s="37">
        <v>22</v>
      </c>
      <c r="B28" s="38" t="s">
        <v>655</v>
      </c>
      <c r="C28" s="38" t="s">
        <v>656</v>
      </c>
      <c r="D28" s="38" t="s">
        <v>144</v>
      </c>
      <c r="E28" s="39">
        <v>53500</v>
      </c>
      <c r="F28" s="40">
        <v>1180.1297500000001</v>
      </c>
      <c r="G28" s="41">
        <v>9.4571550000000001E-3</v>
      </c>
      <c r="H28" s="40"/>
    </row>
    <row r="29" spans="1:15" x14ac:dyDescent="0.2">
      <c r="A29" s="37">
        <v>23</v>
      </c>
      <c r="B29" s="38" t="s">
        <v>316</v>
      </c>
      <c r="C29" s="38" t="s">
        <v>317</v>
      </c>
      <c r="D29" s="38" t="s">
        <v>221</v>
      </c>
      <c r="E29" s="39">
        <v>3000</v>
      </c>
      <c r="F29" s="40">
        <v>1151.7270000000001</v>
      </c>
      <c r="G29" s="41">
        <v>9.2295450000000005E-3</v>
      </c>
      <c r="H29" s="40"/>
    </row>
    <row r="30" spans="1:15" ht="25.5" x14ac:dyDescent="0.2">
      <c r="A30" s="37">
        <v>24</v>
      </c>
      <c r="B30" s="38" t="s">
        <v>426</v>
      </c>
      <c r="C30" s="38" t="s">
        <v>427</v>
      </c>
      <c r="D30" s="38" t="s">
        <v>207</v>
      </c>
      <c r="E30" s="39">
        <v>49000</v>
      </c>
      <c r="F30" s="40">
        <v>1135.5995</v>
      </c>
      <c r="G30" s="41">
        <v>9.1003049999999995E-3</v>
      </c>
      <c r="H30" s="40"/>
    </row>
    <row r="31" spans="1:15" x14ac:dyDescent="0.2">
      <c r="A31" s="37">
        <v>25</v>
      </c>
      <c r="B31" s="38" t="s">
        <v>142</v>
      </c>
      <c r="C31" s="38" t="s">
        <v>143</v>
      </c>
      <c r="D31" s="38" t="s">
        <v>144</v>
      </c>
      <c r="E31" s="39">
        <v>30000</v>
      </c>
      <c r="F31" s="40">
        <v>1122.3</v>
      </c>
      <c r="G31" s="41">
        <v>8.993727E-3</v>
      </c>
      <c r="H31" s="40"/>
    </row>
    <row r="32" spans="1:15" ht="25.5" x14ac:dyDescent="0.2">
      <c r="A32" s="37">
        <v>26</v>
      </c>
      <c r="B32" s="38" t="s">
        <v>23</v>
      </c>
      <c r="C32" s="38" t="s">
        <v>24</v>
      </c>
      <c r="D32" s="38" t="s">
        <v>974</v>
      </c>
      <c r="E32" s="39">
        <v>15000</v>
      </c>
      <c r="F32" s="40">
        <v>1115.0625</v>
      </c>
      <c r="G32" s="41">
        <v>8.9357289999999999E-3</v>
      </c>
      <c r="H32" s="40"/>
    </row>
    <row r="33" spans="1:8" x14ac:dyDescent="0.2">
      <c r="A33" s="37">
        <v>27</v>
      </c>
      <c r="B33" s="38" t="s">
        <v>589</v>
      </c>
      <c r="C33" s="38" t="s">
        <v>590</v>
      </c>
      <c r="D33" s="38" t="s">
        <v>982</v>
      </c>
      <c r="E33" s="39">
        <v>143000</v>
      </c>
      <c r="F33" s="40">
        <v>973.54399999999998</v>
      </c>
      <c r="G33" s="41">
        <v>7.8016479999999996E-3</v>
      </c>
      <c r="H33" s="40"/>
    </row>
    <row r="34" spans="1:8" ht="25.5" x14ac:dyDescent="0.2">
      <c r="A34" s="37">
        <v>28</v>
      </c>
      <c r="B34" s="38" t="s">
        <v>322</v>
      </c>
      <c r="C34" s="38" t="s">
        <v>323</v>
      </c>
      <c r="D34" s="38" t="s">
        <v>207</v>
      </c>
      <c r="E34" s="39">
        <v>105000</v>
      </c>
      <c r="F34" s="40">
        <v>936.02250000000004</v>
      </c>
      <c r="G34" s="41">
        <v>7.5009630000000002E-3</v>
      </c>
      <c r="H34" s="40"/>
    </row>
    <row r="35" spans="1:8" x14ac:dyDescent="0.2">
      <c r="A35" s="37">
        <v>29</v>
      </c>
      <c r="B35" s="38" t="s">
        <v>158</v>
      </c>
      <c r="C35" s="38" t="s">
        <v>159</v>
      </c>
      <c r="D35" s="38" t="s">
        <v>160</v>
      </c>
      <c r="E35" s="39">
        <v>55500</v>
      </c>
      <c r="F35" s="40">
        <v>900.51525000000004</v>
      </c>
      <c r="G35" s="41">
        <v>7.2164209999999998E-3</v>
      </c>
      <c r="H35" s="40"/>
    </row>
    <row r="36" spans="1:8" x14ac:dyDescent="0.2">
      <c r="A36" s="37">
        <v>30</v>
      </c>
      <c r="B36" s="38" t="s">
        <v>441</v>
      </c>
      <c r="C36" s="38" t="s">
        <v>442</v>
      </c>
      <c r="D36" s="38" t="s">
        <v>22</v>
      </c>
      <c r="E36" s="39">
        <v>45000</v>
      </c>
      <c r="F36" s="40">
        <v>882.85500000000002</v>
      </c>
      <c r="G36" s="41">
        <v>7.0748970000000001E-3</v>
      </c>
      <c r="H36" s="40"/>
    </row>
    <row r="37" spans="1:8" x14ac:dyDescent="0.2">
      <c r="A37" s="37">
        <v>31</v>
      </c>
      <c r="B37" s="38" t="s">
        <v>384</v>
      </c>
      <c r="C37" s="38" t="s">
        <v>385</v>
      </c>
      <c r="D37" s="38" t="s">
        <v>982</v>
      </c>
      <c r="E37" s="39">
        <v>5000</v>
      </c>
      <c r="F37" s="40">
        <v>861.86749999999995</v>
      </c>
      <c r="G37" s="41">
        <v>6.9067110000000003E-3</v>
      </c>
      <c r="H37" s="40"/>
    </row>
    <row r="38" spans="1:8" x14ac:dyDescent="0.2">
      <c r="A38" s="37">
        <v>32</v>
      </c>
      <c r="B38" s="38" t="s">
        <v>424</v>
      </c>
      <c r="C38" s="38" t="s">
        <v>425</v>
      </c>
      <c r="D38" s="38" t="s">
        <v>204</v>
      </c>
      <c r="E38" s="39">
        <v>114000</v>
      </c>
      <c r="F38" s="40">
        <v>859.10400000000004</v>
      </c>
      <c r="G38" s="41">
        <v>6.8845649999999996E-3</v>
      </c>
      <c r="H38" s="40"/>
    </row>
    <row r="39" spans="1:8" ht="25.5" x14ac:dyDescent="0.2">
      <c r="A39" s="37">
        <v>33</v>
      </c>
      <c r="B39" s="38" t="s">
        <v>437</v>
      </c>
      <c r="C39" s="38" t="s">
        <v>438</v>
      </c>
      <c r="D39" s="38" t="s">
        <v>207</v>
      </c>
      <c r="E39" s="39">
        <v>357000</v>
      </c>
      <c r="F39" s="40">
        <v>789.50549999999998</v>
      </c>
      <c r="G39" s="41">
        <v>6.3268259999999998E-3</v>
      </c>
      <c r="H39" s="40"/>
    </row>
    <row r="40" spans="1:8" x14ac:dyDescent="0.2">
      <c r="A40" s="37">
        <v>34</v>
      </c>
      <c r="B40" s="38" t="s">
        <v>187</v>
      </c>
      <c r="C40" s="38" t="s">
        <v>188</v>
      </c>
      <c r="D40" s="38" t="s">
        <v>978</v>
      </c>
      <c r="E40" s="39">
        <v>86000</v>
      </c>
      <c r="F40" s="40">
        <v>768.53899999999999</v>
      </c>
      <c r="G40" s="41">
        <v>6.158808E-3</v>
      </c>
      <c r="H40" s="40"/>
    </row>
    <row r="41" spans="1:8" x14ac:dyDescent="0.2">
      <c r="A41" s="37">
        <v>35</v>
      </c>
      <c r="B41" s="38" t="s">
        <v>380</v>
      </c>
      <c r="C41" s="38" t="s">
        <v>381</v>
      </c>
      <c r="D41" s="38" t="s">
        <v>155</v>
      </c>
      <c r="E41" s="39">
        <v>66000</v>
      </c>
      <c r="F41" s="40">
        <v>751.50900000000001</v>
      </c>
      <c r="G41" s="41">
        <v>6.0223359999999997E-3</v>
      </c>
      <c r="H41" s="40"/>
    </row>
    <row r="42" spans="1:8" x14ac:dyDescent="0.2">
      <c r="A42" s="37">
        <v>36</v>
      </c>
      <c r="B42" s="38" t="s">
        <v>30</v>
      </c>
      <c r="C42" s="38" t="s">
        <v>31</v>
      </c>
      <c r="D42" s="38" t="s">
        <v>32</v>
      </c>
      <c r="E42" s="39">
        <v>337500</v>
      </c>
      <c r="F42" s="40">
        <v>731.7</v>
      </c>
      <c r="G42" s="41">
        <v>5.8635930000000003E-3</v>
      </c>
      <c r="H42" s="40"/>
    </row>
    <row r="43" spans="1:8" x14ac:dyDescent="0.2">
      <c r="A43" s="37">
        <v>37</v>
      </c>
      <c r="B43" s="38" t="s">
        <v>374</v>
      </c>
      <c r="C43" s="38" t="s">
        <v>375</v>
      </c>
      <c r="D43" s="38" t="s">
        <v>75</v>
      </c>
      <c r="E43" s="39">
        <v>1070000</v>
      </c>
      <c r="F43" s="40">
        <v>717.43499999999995</v>
      </c>
      <c r="G43" s="41">
        <v>5.749278E-3</v>
      </c>
      <c r="H43" s="40"/>
    </row>
    <row r="44" spans="1:8" x14ac:dyDescent="0.2">
      <c r="A44" s="37">
        <v>38</v>
      </c>
      <c r="B44" s="38" t="s">
        <v>310</v>
      </c>
      <c r="C44" s="38" t="s">
        <v>311</v>
      </c>
      <c r="D44" s="38" t="s">
        <v>982</v>
      </c>
      <c r="E44" s="39">
        <v>75000</v>
      </c>
      <c r="F44" s="40">
        <v>705.1875</v>
      </c>
      <c r="G44" s="41">
        <v>5.6511310000000002E-3</v>
      </c>
      <c r="H44" s="40"/>
    </row>
    <row r="45" spans="1:8" x14ac:dyDescent="0.2">
      <c r="A45" s="37">
        <v>39</v>
      </c>
      <c r="B45" s="38" t="s">
        <v>461</v>
      </c>
      <c r="C45" s="38" t="s">
        <v>462</v>
      </c>
      <c r="D45" s="38" t="s">
        <v>75</v>
      </c>
      <c r="E45" s="39">
        <v>175000</v>
      </c>
      <c r="F45" s="40">
        <v>680.48749999999995</v>
      </c>
      <c r="G45" s="41">
        <v>5.4531939999999997E-3</v>
      </c>
      <c r="H45" s="40"/>
    </row>
    <row r="46" spans="1:8" ht="25.5" x14ac:dyDescent="0.2">
      <c r="A46" s="37">
        <v>40</v>
      </c>
      <c r="B46" s="38" t="s">
        <v>404</v>
      </c>
      <c r="C46" s="38" t="s">
        <v>405</v>
      </c>
      <c r="D46" s="38" t="s">
        <v>207</v>
      </c>
      <c r="E46" s="39">
        <v>87275</v>
      </c>
      <c r="F46" s="40">
        <v>679.52314999999999</v>
      </c>
      <c r="G46" s="41">
        <v>5.4454660000000004E-3</v>
      </c>
      <c r="H46" s="40"/>
    </row>
    <row r="47" spans="1:8" x14ac:dyDescent="0.2">
      <c r="A47" s="37">
        <v>41</v>
      </c>
      <c r="B47" s="38" t="s">
        <v>185</v>
      </c>
      <c r="C47" s="38" t="s">
        <v>186</v>
      </c>
      <c r="D47" s="38" t="s">
        <v>16</v>
      </c>
      <c r="E47" s="39">
        <v>228000</v>
      </c>
      <c r="F47" s="40">
        <v>672.82799999999997</v>
      </c>
      <c r="G47" s="41">
        <v>5.3918129999999996E-3</v>
      </c>
      <c r="H47" s="40"/>
    </row>
    <row r="48" spans="1:8" x14ac:dyDescent="0.2">
      <c r="A48" s="37">
        <v>42</v>
      </c>
      <c r="B48" s="38" t="s">
        <v>39</v>
      </c>
      <c r="C48" s="38" t="s">
        <v>40</v>
      </c>
      <c r="D48" s="38" t="s">
        <v>16</v>
      </c>
      <c r="E48" s="39">
        <v>180000</v>
      </c>
      <c r="F48" s="40">
        <v>666</v>
      </c>
      <c r="G48" s="41">
        <v>5.3370960000000004E-3</v>
      </c>
      <c r="H48" s="40"/>
    </row>
    <row r="49" spans="1:8" x14ac:dyDescent="0.2">
      <c r="A49" s="37">
        <v>43</v>
      </c>
      <c r="B49" s="38" t="s">
        <v>337</v>
      </c>
      <c r="C49" s="38" t="s">
        <v>338</v>
      </c>
      <c r="D49" s="38" t="s">
        <v>78</v>
      </c>
      <c r="E49" s="39">
        <v>42000</v>
      </c>
      <c r="F49" s="40">
        <v>590.81399999999996</v>
      </c>
      <c r="G49" s="41">
        <v>4.7345809999999999E-3</v>
      </c>
      <c r="H49" s="40"/>
    </row>
    <row r="50" spans="1:8" ht="25.5" x14ac:dyDescent="0.2">
      <c r="A50" s="37">
        <v>44</v>
      </c>
      <c r="B50" s="38" t="s">
        <v>339</v>
      </c>
      <c r="C50" s="38" t="s">
        <v>340</v>
      </c>
      <c r="D50" s="38" t="s">
        <v>75</v>
      </c>
      <c r="E50" s="39">
        <v>130000</v>
      </c>
      <c r="F50" s="40">
        <v>582.72500000000002</v>
      </c>
      <c r="G50" s="41">
        <v>4.6697580000000004E-3</v>
      </c>
      <c r="H50" s="40"/>
    </row>
    <row r="51" spans="1:8" x14ac:dyDescent="0.2">
      <c r="A51" s="37">
        <v>45</v>
      </c>
      <c r="B51" s="38" t="s">
        <v>173</v>
      </c>
      <c r="C51" s="38" t="s">
        <v>174</v>
      </c>
      <c r="D51" s="38" t="s">
        <v>175</v>
      </c>
      <c r="E51" s="39">
        <v>225000</v>
      </c>
      <c r="F51" s="40">
        <v>569.36249999999995</v>
      </c>
      <c r="G51" s="41">
        <v>4.5626759999999999E-3</v>
      </c>
      <c r="H51" s="40"/>
    </row>
    <row r="52" spans="1:8" x14ac:dyDescent="0.2">
      <c r="A52" s="37">
        <v>46</v>
      </c>
      <c r="B52" s="38" t="s">
        <v>351</v>
      </c>
      <c r="C52" s="38" t="s">
        <v>352</v>
      </c>
      <c r="D52" s="38" t="s">
        <v>22</v>
      </c>
      <c r="E52" s="39">
        <v>640000</v>
      </c>
      <c r="F52" s="40">
        <v>548.79999999999995</v>
      </c>
      <c r="G52" s="41">
        <v>4.3978949999999998E-3</v>
      </c>
      <c r="H52" s="40"/>
    </row>
    <row r="53" spans="1:8" x14ac:dyDescent="0.2">
      <c r="A53" s="37">
        <v>47</v>
      </c>
      <c r="B53" s="38" t="s">
        <v>314</v>
      </c>
      <c r="C53" s="38" t="s">
        <v>315</v>
      </c>
      <c r="D53" s="38" t="s">
        <v>75</v>
      </c>
      <c r="E53" s="39">
        <v>45000</v>
      </c>
      <c r="F53" s="40">
        <v>540.45000000000005</v>
      </c>
      <c r="G53" s="41">
        <v>4.3309810000000002E-3</v>
      </c>
      <c r="H53" s="40"/>
    </row>
    <row r="54" spans="1:8" x14ac:dyDescent="0.2">
      <c r="A54" s="37">
        <v>48</v>
      </c>
      <c r="B54" s="38" t="s">
        <v>318</v>
      </c>
      <c r="C54" s="38" t="s">
        <v>319</v>
      </c>
      <c r="D54" s="38" t="s">
        <v>155</v>
      </c>
      <c r="E54" s="39">
        <v>10000</v>
      </c>
      <c r="F54" s="40">
        <v>527.94000000000005</v>
      </c>
      <c r="G54" s="41">
        <v>4.2307300000000003E-3</v>
      </c>
      <c r="H54" s="40"/>
    </row>
    <row r="55" spans="1:8" x14ac:dyDescent="0.2">
      <c r="A55" s="37">
        <v>49</v>
      </c>
      <c r="B55" s="38" t="s">
        <v>347</v>
      </c>
      <c r="C55" s="38" t="s">
        <v>348</v>
      </c>
      <c r="D55" s="38" t="s">
        <v>204</v>
      </c>
      <c r="E55" s="39">
        <v>14000</v>
      </c>
      <c r="F55" s="40">
        <v>501.94900000000001</v>
      </c>
      <c r="G55" s="41">
        <v>4.0224470000000002E-3</v>
      </c>
      <c r="H55" s="40"/>
    </row>
    <row r="56" spans="1:8" x14ac:dyDescent="0.2">
      <c r="A56" s="37">
        <v>50</v>
      </c>
      <c r="B56" s="38" t="s">
        <v>435</v>
      </c>
      <c r="C56" s="38" t="s">
        <v>436</v>
      </c>
      <c r="D56" s="38" t="s">
        <v>83</v>
      </c>
      <c r="E56" s="39">
        <v>55000</v>
      </c>
      <c r="F56" s="40">
        <v>459.52499999999998</v>
      </c>
      <c r="G56" s="41">
        <v>3.6824760000000001E-3</v>
      </c>
      <c r="H56" s="40"/>
    </row>
    <row r="57" spans="1:8" x14ac:dyDescent="0.2">
      <c r="A57" s="37">
        <v>51</v>
      </c>
      <c r="B57" s="38" t="s">
        <v>363</v>
      </c>
      <c r="C57" s="38" t="s">
        <v>364</v>
      </c>
      <c r="D57" s="38" t="s">
        <v>48</v>
      </c>
      <c r="E57" s="39">
        <v>70000</v>
      </c>
      <c r="F57" s="40">
        <v>434</v>
      </c>
      <c r="G57" s="41">
        <v>3.477927E-3</v>
      </c>
      <c r="H57" s="40"/>
    </row>
    <row r="58" spans="1:8" x14ac:dyDescent="0.2">
      <c r="A58" s="37">
        <v>52</v>
      </c>
      <c r="B58" s="38" t="s">
        <v>685</v>
      </c>
      <c r="C58" s="38" t="s">
        <v>686</v>
      </c>
      <c r="D58" s="38" t="s">
        <v>976</v>
      </c>
      <c r="E58" s="39">
        <v>17200</v>
      </c>
      <c r="F58" s="40">
        <v>431.9436</v>
      </c>
      <c r="G58" s="41">
        <v>3.4614480000000002E-3</v>
      </c>
      <c r="H58" s="40"/>
    </row>
    <row r="59" spans="1:8" x14ac:dyDescent="0.2">
      <c r="A59" s="37">
        <v>53</v>
      </c>
      <c r="B59" s="38" t="s">
        <v>501</v>
      </c>
      <c r="C59" s="38" t="s">
        <v>502</v>
      </c>
      <c r="D59" s="38" t="s">
        <v>83</v>
      </c>
      <c r="E59" s="39">
        <v>88350</v>
      </c>
      <c r="F59" s="40">
        <v>405.17309999999998</v>
      </c>
      <c r="G59" s="41">
        <v>3.2469180000000001E-3</v>
      </c>
      <c r="H59" s="40"/>
    </row>
    <row r="60" spans="1:8" x14ac:dyDescent="0.2">
      <c r="A60" s="37">
        <v>54</v>
      </c>
      <c r="B60" s="38" t="s">
        <v>574</v>
      </c>
      <c r="C60" s="38" t="s">
        <v>575</v>
      </c>
      <c r="D60" s="38" t="s">
        <v>83</v>
      </c>
      <c r="E60" s="39">
        <v>12500</v>
      </c>
      <c r="F60" s="40">
        <v>405.03750000000002</v>
      </c>
      <c r="G60" s="41">
        <v>3.2458320000000001E-3</v>
      </c>
      <c r="H60" s="40"/>
    </row>
    <row r="61" spans="1:8" x14ac:dyDescent="0.2">
      <c r="A61" s="37">
        <v>55</v>
      </c>
      <c r="B61" s="38" t="s">
        <v>400</v>
      </c>
      <c r="C61" s="38" t="s">
        <v>401</v>
      </c>
      <c r="D61" s="38" t="s">
        <v>334</v>
      </c>
      <c r="E61" s="39">
        <v>250000</v>
      </c>
      <c r="F61" s="40">
        <v>381.375</v>
      </c>
      <c r="G61" s="41">
        <v>3.0562089999999998E-3</v>
      </c>
      <c r="H61" s="40"/>
    </row>
    <row r="62" spans="1:8" x14ac:dyDescent="0.2">
      <c r="A62" s="37">
        <v>56</v>
      </c>
      <c r="B62" s="38" t="s">
        <v>355</v>
      </c>
      <c r="C62" s="38" t="s">
        <v>356</v>
      </c>
      <c r="D62" s="38" t="s">
        <v>65</v>
      </c>
      <c r="E62" s="39">
        <v>110000</v>
      </c>
      <c r="F62" s="40">
        <v>377.90499999999997</v>
      </c>
      <c r="G62" s="41">
        <v>3.028401E-3</v>
      </c>
      <c r="H62" s="40"/>
    </row>
    <row r="63" spans="1:8" ht="25.5" x14ac:dyDescent="0.2">
      <c r="A63" s="37">
        <v>57</v>
      </c>
      <c r="B63" s="38" t="s">
        <v>28</v>
      </c>
      <c r="C63" s="38" t="s">
        <v>29</v>
      </c>
      <c r="D63" s="38" t="s">
        <v>974</v>
      </c>
      <c r="E63" s="39">
        <v>40000</v>
      </c>
      <c r="F63" s="40">
        <v>376.42</v>
      </c>
      <c r="G63" s="41">
        <v>3.016501E-3</v>
      </c>
      <c r="H63" s="40"/>
    </row>
    <row r="64" spans="1:8" x14ac:dyDescent="0.2">
      <c r="A64" s="37">
        <v>58</v>
      </c>
      <c r="B64" s="38" t="s">
        <v>632</v>
      </c>
      <c r="C64" s="38" t="s">
        <v>633</v>
      </c>
      <c r="D64" s="38" t="s">
        <v>22</v>
      </c>
      <c r="E64" s="39">
        <v>992000</v>
      </c>
      <c r="F64" s="40">
        <v>370.01600000000002</v>
      </c>
      <c r="G64" s="41">
        <v>2.9651809999999999E-3</v>
      </c>
      <c r="H64" s="40"/>
    </row>
    <row r="65" spans="1:8" x14ac:dyDescent="0.2">
      <c r="A65" s="37">
        <v>59</v>
      </c>
      <c r="B65" s="38" t="s">
        <v>640</v>
      </c>
      <c r="C65" s="38" t="s">
        <v>641</v>
      </c>
      <c r="D65" s="38" t="s">
        <v>204</v>
      </c>
      <c r="E65" s="39">
        <v>39950</v>
      </c>
      <c r="F65" s="40">
        <v>353.31779999999998</v>
      </c>
      <c r="G65" s="41">
        <v>2.8313679999999999E-3</v>
      </c>
      <c r="H65" s="40"/>
    </row>
    <row r="66" spans="1:8" x14ac:dyDescent="0.2">
      <c r="A66" s="37">
        <v>60</v>
      </c>
      <c r="B66" s="38" t="s">
        <v>439</v>
      </c>
      <c r="C66" s="38" t="s">
        <v>440</v>
      </c>
      <c r="D66" s="38" t="s">
        <v>204</v>
      </c>
      <c r="E66" s="39">
        <v>7000</v>
      </c>
      <c r="F66" s="40">
        <v>341.51600000000002</v>
      </c>
      <c r="G66" s="41">
        <v>2.736792E-3</v>
      </c>
      <c r="H66" s="40"/>
    </row>
    <row r="67" spans="1:8" ht="25.5" x14ac:dyDescent="0.2">
      <c r="A67" s="37">
        <v>61</v>
      </c>
      <c r="B67" s="38" t="s">
        <v>218</v>
      </c>
      <c r="C67" s="38" t="s">
        <v>869</v>
      </c>
      <c r="D67" s="38" t="s">
        <v>45</v>
      </c>
      <c r="E67" s="39">
        <v>151829</v>
      </c>
      <c r="F67" s="40">
        <v>315.652491</v>
      </c>
      <c r="G67" s="41">
        <v>2.5295309999999998E-3</v>
      </c>
      <c r="H67" s="40"/>
    </row>
    <row r="68" spans="1:8" ht="25.5" x14ac:dyDescent="0.2">
      <c r="A68" s="37">
        <v>62</v>
      </c>
      <c r="B68" s="38" t="s">
        <v>618</v>
      </c>
      <c r="C68" s="38" t="s">
        <v>619</v>
      </c>
      <c r="D68" s="38" t="s">
        <v>974</v>
      </c>
      <c r="E68" s="39">
        <v>18525</v>
      </c>
      <c r="F68" s="40">
        <v>307.9688625</v>
      </c>
      <c r="G68" s="41">
        <v>2.4679569999999998E-3</v>
      </c>
      <c r="H68" s="40"/>
    </row>
    <row r="69" spans="1:8" x14ac:dyDescent="0.2">
      <c r="A69" s="37">
        <v>63</v>
      </c>
      <c r="B69" s="38" t="s">
        <v>68</v>
      </c>
      <c r="C69" s="38" t="s">
        <v>69</v>
      </c>
      <c r="D69" s="38" t="s">
        <v>70</v>
      </c>
      <c r="E69" s="39">
        <v>200000</v>
      </c>
      <c r="F69" s="40">
        <v>259.60000000000002</v>
      </c>
      <c r="G69" s="41">
        <v>2.0803449999999999E-3</v>
      </c>
      <c r="H69" s="40"/>
    </row>
    <row r="70" spans="1:8" x14ac:dyDescent="0.2">
      <c r="A70" s="37">
        <v>64</v>
      </c>
      <c r="B70" s="38" t="s">
        <v>785</v>
      </c>
      <c r="C70" s="38" t="s">
        <v>786</v>
      </c>
      <c r="D70" s="38" t="s">
        <v>144</v>
      </c>
      <c r="E70" s="39">
        <v>28000</v>
      </c>
      <c r="F70" s="40">
        <v>244.23</v>
      </c>
      <c r="G70" s="41">
        <v>1.9571749999999998E-3</v>
      </c>
      <c r="H70" s="40"/>
    </row>
    <row r="71" spans="1:8" x14ac:dyDescent="0.2">
      <c r="A71" s="37">
        <v>65</v>
      </c>
      <c r="B71" s="38" t="s">
        <v>454</v>
      </c>
      <c r="C71" s="38" t="s">
        <v>455</v>
      </c>
      <c r="D71" s="38" t="s">
        <v>204</v>
      </c>
      <c r="E71" s="39">
        <v>25000</v>
      </c>
      <c r="F71" s="40">
        <v>242.82499999999999</v>
      </c>
      <c r="G71" s="41">
        <v>1.945916E-3</v>
      </c>
      <c r="H71" s="40"/>
    </row>
    <row r="72" spans="1:8" ht="25.5" x14ac:dyDescent="0.2">
      <c r="A72" s="37">
        <v>66</v>
      </c>
      <c r="B72" s="38" t="s">
        <v>66</v>
      </c>
      <c r="C72" s="38" t="s">
        <v>67</v>
      </c>
      <c r="D72" s="38" t="s">
        <v>48</v>
      </c>
      <c r="E72" s="39">
        <v>33750</v>
      </c>
      <c r="F72" s="40">
        <v>230.799375</v>
      </c>
      <c r="G72" s="41">
        <v>1.849547E-3</v>
      </c>
      <c r="H72" s="40"/>
    </row>
    <row r="73" spans="1:8" x14ac:dyDescent="0.2">
      <c r="A73" s="37">
        <v>67</v>
      </c>
      <c r="B73" s="38" t="s">
        <v>562</v>
      </c>
      <c r="C73" s="38" t="s">
        <v>563</v>
      </c>
      <c r="D73" s="38" t="s">
        <v>83</v>
      </c>
      <c r="E73" s="39">
        <v>1900</v>
      </c>
      <c r="F73" s="40">
        <v>134.28819999999999</v>
      </c>
      <c r="G73" s="41">
        <v>1.07614E-3</v>
      </c>
      <c r="H73" s="40"/>
    </row>
    <row r="74" spans="1:8" x14ac:dyDescent="0.2">
      <c r="A74" s="37">
        <v>68</v>
      </c>
      <c r="B74" s="38" t="s">
        <v>564</v>
      </c>
      <c r="C74" s="38" t="s">
        <v>565</v>
      </c>
      <c r="D74" s="38" t="s">
        <v>78</v>
      </c>
      <c r="E74" s="39">
        <v>1750</v>
      </c>
      <c r="F74" s="40">
        <v>122.451875</v>
      </c>
      <c r="G74" s="41">
        <v>9.8128699999999996E-4</v>
      </c>
      <c r="H74" s="40"/>
    </row>
    <row r="75" spans="1:8" ht="25.5" x14ac:dyDescent="0.2">
      <c r="A75" s="37">
        <v>69</v>
      </c>
      <c r="B75" s="38" t="s">
        <v>445</v>
      </c>
      <c r="C75" s="38" t="s">
        <v>930</v>
      </c>
      <c r="D75" s="72" t="s">
        <v>19</v>
      </c>
      <c r="E75" s="39">
        <v>28298</v>
      </c>
      <c r="F75" s="40">
        <v>110.588584</v>
      </c>
      <c r="G75" s="41">
        <v>8.8621900000000005E-4</v>
      </c>
      <c r="H75" s="40"/>
    </row>
    <row r="76" spans="1:8" x14ac:dyDescent="0.2">
      <c r="A76" s="37">
        <v>70</v>
      </c>
      <c r="B76" s="38" t="s">
        <v>81</v>
      </c>
      <c r="C76" s="38" t="s">
        <v>82</v>
      </c>
      <c r="D76" s="38" t="s">
        <v>83</v>
      </c>
      <c r="E76" s="39">
        <v>76500</v>
      </c>
      <c r="F76" s="40">
        <v>91.570499999999996</v>
      </c>
      <c r="G76" s="41">
        <v>7.3381499999999997E-4</v>
      </c>
      <c r="H76" s="40"/>
    </row>
    <row r="77" spans="1:8" x14ac:dyDescent="0.2">
      <c r="A77" s="37">
        <v>71</v>
      </c>
      <c r="B77" s="38" t="s">
        <v>644</v>
      </c>
      <c r="C77" s="38" t="s">
        <v>645</v>
      </c>
      <c r="D77" s="38" t="s">
        <v>646</v>
      </c>
      <c r="E77" s="39">
        <v>67000</v>
      </c>
      <c r="F77" s="40">
        <v>89.009500000000003</v>
      </c>
      <c r="G77" s="41">
        <v>7.1329200000000003E-4</v>
      </c>
      <c r="H77" s="40"/>
    </row>
    <row r="78" spans="1:8" x14ac:dyDescent="0.2">
      <c r="A78" s="37">
        <v>72</v>
      </c>
      <c r="B78" s="38" t="s">
        <v>376</v>
      </c>
      <c r="C78" s="38" t="s">
        <v>377</v>
      </c>
      <c r="D78" s="38" t="s">
        <v>155</v>
      </c>
      <c r="E78" s="39">
        <v>650</v>
      </c>
      <c r="F78" s="40">
        <v>18.818474999999999</v>
      </c>
      <c r="G78" s="41">
        <v>1.50805E-4</v>
      </c>
      <c r="H78" s="40"/>
    </row>
    <row r="79" spans="1:8" x14ac:dyDescent="0.2">
      <c r="A79" s="35"/>
      <c r="B79" s="35"/>
      <c r="C79" s="36" t="s">
        <v>95</v>
      </c>
      <c r="D79" s="35"/>
      <c r="E79" s="35" t="s">
        <v>96</v>
      </c>
      <c r="F79" s="42">
        <v>93584.593709999986</v>
      </c>
      <c r="G79" s="43">
        <v>0.74995485100000003</v>
      </c>
      <c r="H79" s="40"/>
    </row>
    <row r="80" spans="1:8" x14ac:dyDescent="0.2">
      <c r="A80" s="35"/>
      <c r="B80" s="35"/>
      <c r="C80" s="44"/>
      <c r="D80" s="35"/>
      <c r="E80" s="35"/>
      <c r="F80" s="45"/>
      <c r="G80" s="45"/>
      <c r="H80" s="40"/>
    </row>
    <row r="81" spans="1:8" x14ac:dyDescent="0.2">
      <c r="A81" s="35"/>
      <c r="B81" s="35"/>
      <c r="C81" s="36" t="s">
        <v>97</v>
      </c>
      <c r="D81" s="35"/>
      <c r="E81" s="35"/>
      <c r="F81" s="35"/>
      <c r="G81" s="35"/>
      <c r="H81" s="40"/>
    </row>
    <row r="82" spans="1:8" x14ac:dyDescent="0.2">
      <c r="A82" s="35"/>
      <c r="B82" s="35"/>
      <c r="C82" s="36" t="s">
        <v>95</v>
      </c>
      <c r="D82" s="35"/>
      <c r="E82" s="35" t="s">
        <v>96</v>
      </c>
      <c r="F82" s="46">
        <v>0</v>
      </c>
      <c r="G82" s="47">
        <v>0</v>
      </c>
      <c r="H82" s="40"/>
    </row>
    <row r="83" spans="1:8" x14ac:dyDescent="0.2">
      <c r="A83" s="35"/>
      <c r="B83" s="35"/>
      <c r="C83" s="44"/>
      <c r="D83" s="35"/>
      <c r="E83" s="35"/>
      <c r="F83" s="45"/>
      <c r="G83" s="45"/>
      <c r="H83" s="40"/>
    </row>
    <row r="84" spans="1:8" x14ac:dyDescent="0.2">
      <c r="A84" s="35"/>
      <c r="B84" s="35"/>
      <c r="C84" s="36" t="s">
        <v>98</v>
      </c>
      <c r="D84" s="35"/>
      <c r="E84" s="35"/>
      <c r="F84" s="35"/>
      <c r="G84" s="35"/>
      <c r="H84" s="40"/>
    </row>
    <row r="85" spans="1:8" x14ac:dyDescent="0.2">
      <c r="A85" s="35"/>
      <c r="B85" s="35"/>
      <c r="C85" s="36" t="s">
        <v>95</v>
      </c>
      <c r="D85" s="35"/>
      <c r="E85" s="35" t="s">
        <v>96</v>
      </c>
      <c r="F85" s="46">
        <v>0</v>
      </c>
      <c r="G85" s="47">
        <v>0</v>
      </c>
      <c r="H85" s="40"/>
    </row>
    <row r="86" spans="1:8" x14ac:dyDescent="0.2">
      <c r="A86" s="35"/>
      <c r="B86" s="35"/>
      <c r="C86" s="44"/>
      <c r="D86" s="35"/>
      <c r="E86" s="35"/>
      <c r="F86" s="45"/>
      <c r="G86" s="45"/>
      <c r="H86" s="40"/>
    </row>
    <row r="87" spans="1:8" x14ac:dyDescent="0.2">
      <c r="A87" s="35"/>
      <c r="B87" s="35"/>
      <c r="C87" s="36" t="s">
        <v>99</v>
      </c>
      <c r="D87" s="35"/>
      <c r="E87" s="35"/>
      <c r="F87" s="35"/>
      <c r="G87" s="35"/>
      <c r="H87" s="40"/>
    </row>
    <row r="88" spans="1:8" x14ac:dyDescent="0.2">
      <c r="A88" s="35"/>
      <c r="B88" s="35"/>
      <c r="C88" s="36" t="s">
        <v>95</v>
      </c>
      <c r="D88" s="35"/>
      <c r="E88" s="35" t="s">
        <v>96</v>
      </c>
      <c r="F88" s="42">
        <v>0</v>
      </c>
      <c r="G88" s="43">
        <v>0</v>
      </c>
      <c r="H88" s="40"/>
    </row>
    <row r="89" spans="1:8" x14ac:dyDescent="0.2">
      <c r="A89" s="35"/>
      <c r="B89" s="35"/>
      <c r="C89" s="44"/>
      <c r="D89" s="35"/>
      <c r="E89" s="35"/>
      <c r="F89" s="45"/>
      <c r="G89" s="45"/>
      <c r="H89" s="40"/>
    </row>
    <row r="90" spans="1:8" x14ac:dyDescent="0.2">
      <c r="A90" s="35"/>
      <c r="B90" s="35"/>
      <c r="C90" s="36" t="s">
        <v>100</v>
      </c>
      <c r="D90" s="35"/>
      <c r="E90" s="35"/>
      <c r="F90" s="45"/>
      <c r="G90" s="45"/>
      <c r="H90" s="40"/>
    </row>
    <row r="91" spans="1:8" s="70" customFormat="1" ht="25.5" x14ac:dyDescent="0.2">
      <c r="A91" s="73">
        <v>1</v>
      </c>
      <c r="B91" s="74" t="s">
        <v>931</v>
      </c>
      <c r="C91" s="74" t="s">
        <v>932</v>
      </c>
      <c r="D91" s="74" t="s">
        <v>78</v>
      </c>
      <c r="E91" s="75">
        <v>14400</v>
      </c>
      <c r="F91" s="76">
        <v>112.0968</v>
      </c>
      <c r="G91" s="77">
        <v>8.9831000000000004E-4</v>
      </c>
      <c r="H91" s="40"/>
    </row>
    <row r="92" spans="1:8" x14ac:dyDescent="0.2">
      <c r="A92" s="35"/>
      <c r="B92" s="35"/>
      <c r="C92" s="36" t="s">
        <v>95</v>
      </c>
      <c r="D92" s="35"/>
      <c r="E92" s="35" t="s">
        <v>96</v>
      </c>
      <c r="F92" s="46">
        <v>112.0968</v>
      </c>
      <c r="G92" s="47">
        <v>8.9831000000000004E-4</v>
      </c>
      <c r="H92" s="40"/>
    </row>
    <row r="93" spans="1:8" x14ac:dyDescent="0.2">
      <c r="A93" s="35"/>
      <c r="B93" s="35"/>
      <c r="C93" s="44"/>
      <c r="D93" s="35"/>
      <c r="E93" s="35"/>
      <c r="F93" s="45"/>
      <c r="G93" s="45"/>
      <c r="H93" s="40"/>
    </row>
    <row r="94" spans="1:8" x14ac:dyDescent="0.2">
      <c r="A94" s="35"/>
      <c r="B94" s="35"/>
      <c r="C94" s="36" t="s">
        <v>101</v>
      </c>
      <c r="D94" s="35"/>
      <c r="E94" s="35"/>
      <c r="F94" s="45"/>
      <c r="G94" s="45"/>
      <c r="H94" s="40"/>
    </row>
    <row r="95" spans="1:8" x14ac:dyDescent="0.2">
      <c r="A95" s="37">
        <v>1</v>
      </c>
      <c r="B95" s="38"/>
      <c r="C95" s="38" t="s">
        <v>902</v>
      </c>
      <c r="D95" s="38" t="s">
        <v>697</v>
      </c>
      <c r="E95" s="39">
        <v>-650</v>
      </c>
      <c r="F95" s="40">
        <v>-18.880224999999999</v>
      </c>
      <c r="G95" s="41">
        <v>-1.5129999999999999E-4</v>
      </c>
      <c r="H95" s="40"/>
    </row>
    <row r="96" spans="1:8" x14ac:dyDescent="0.2">
      <c r="A96" s="37">
        <v>2</v>
      </c>
      <c r="B96" s="38"/>
      <c r="C96" s="38" t="s">
        <v>895</v>
      </c>
      <c r="D96" s="38" t="s">
        <v>697</v>
      </c>
      <c r="E96" s="39">
        <v>-1500</v>
      </c>
      <c r="F96" s="40">
        <v>-34.890749999999997</v>
      </c>
      <c r="G96" s="41">
        <v>-2.7960300000000001E-4</v>
      </c>
      <c r="H96" s="40"/>
    </row>
    <row r="97" spans="1:8" x14ac:dyDescent="0.2">
      <c r="A97" s="37">
        <v>3</v>
      </c>
      <c r="B97" s="38"/>
      <c r="C97" s="38" t="s">
        <v>896</v>
      </c>
      <c r="D97" s="38" t="s">
        <v>697</v>
      </c>
      <c r="E97" s="39">
        <v>-32000</v>
      </c>
      <c r="F97" s="40">
        <v>-71.040000000000006</v>
      </c>
      <c r="G97" s="41">
        <v>-5.6928999999999997E-4</v>
      </c>
      <c r="H97" s="40"/>
    </row>
    <row r="98" spans="1:8" x14ac:dyDescent="0.2">
      <c r="A98" s="37">
        <v>4</v>
      </c>
      <c r="B98" s="38"/>
      <c r="C98" s="38" t="s">
        <v>903</v>
      </c>
      <c r="D98" s="38" t="s">
        <v>697</v>
      </c>
      <c r="E98" s="39">
        <v>-67000</v>
      </c>
      <c r="F98" s="40">
        <v>-88.808499999999995</v>
      </c>
      <c r="G98" s="41">
        <v>-7.1168100000000003E-4</v>
      </c>
      <c r="H98" s="40"/>
    </row>
    <row r="99" spans="1:8" x14ac:dyDescent="0.2">
      <c r="A99" s="37">
        <v>5</v>
      </c>
      <c r="B99" s="38"/>
      <c r="C99" s="38" t="s">
        <v>883</v>
      </c>
      <c r="D99" s="38" t="s">
        <v>697</v>
      </c>
      <c r="E99" s="39">
        <v>-76500</v>
      </c>
      <c r="F99" s="40">
        <v>-91.647000000000006</v>
      </c>
      <c r="G99" s="41">
        <v>-7.3442799999999997E-4</v>
      </c>
      <c r="H99" s="40"/>
    </row>
    <row r="100" spans="1:8" ht="25.5" x14ac:dyDescent="0.2">
      <c r="A100" s="37">
        <v>6</v>
      </c>
      <c r="B100" s="38"/>
      <c r="C100" s="38" t="s">
        <v>904</v>
      </c>
      <c r="D100" s="38" t="s">
        <v>697</v>
      </c>
      <c r="E100" s="39">
        <v>-14000</v>
      </c>
      <c r="F100" s="40">
        <v>-105.861</v>
      </c>
      <c r="G100" s="41">
        <v>-8.4833399999999996E-4</v>
      </c>
      <c r="H100" s="40"/>
    </row>
    <row r="101" spans="1:8" x14ac:dyDescent="0.2">
      <c r="A101" s="37">
        <v>7</v>
      </c>
      <c r="B101" s="38"/>
      <c r="C101" s="38" t="s">
        <v>905</v>
      </c>
      <c r="D101" s="38" t="s">
        <v>697</v>
      </c>
      <c r="E101" s="39">
        <v>-1750</v>
      </c>
      <c r="F101" s="40">
        <v>-122.92</v>
      </c>
      <c r="G101" s="41">
        <v>-9.8503900000000005E-4</v>
      </c>
      <c r="H101" s="40"/>
    </row>
    <row r="102" spans="1:8" x14ac:dyDescent="0.2">
      <c r="A102" s="37">
        <v>8</v>
      </c>
      <c r="B102" s="38"/>
      <c r="C102" s="38" t="s">
        <v>906</v>
      </c>
      <c r="D102" s="38" t="s">
        <v>697</v>
      </c>
      <c r="E102" s="39">
        <v>-1900</v>
      </c>
      <c r="F102" s="40">
        <v>-134.7157</v>
      </c>
      <c r="G102" s="41">
        <v>-1.079565E-3</v>
      </c>
      <c r="H102" s="40"/>
    </row>
    <row r="103" spans="1:8" x14ac:dyDescent="0.2">
      <c r="A103" s="37">
        <v>9</v>
      </c>
      <c r="B103" s="38"/>
      <c r="C103" s="38" t="s">
        <v>907</v>
      </c>
      <c r="D103" s="38" t="s">
        <v>697</v>
      </c>
      <c r="E103" s="39">
        <v>-22275</v>
      </c>
      <c r="F103" s="40">
        <v>-174.0234375</v>
      </c>
      <c r="G103" s="41">
        <v>-1.394564E-3</v>
      </c>
      <c r="H103" s="40"/>
    </row>
    <row r="104" spans="1:8" x14ac:dyDescent="0.2">
      <c r="A104" s="37">
        <v>10</v>
      </c>
      <c r="B104" s="38"/>
      <c r="C104" s="38" t="s">
        <v>889</v>
      </c>
      <c r="D104" s="38" t="s">
        <v>697</v>
      </c>
      <c r="E104" s="39">
        <v>-33750</v>
      </c>
      <c r="F104" s="40">
        <v>-231.69374999999999</v>
      </c>
      <c r="G104" s="41">
        <v>-1.856714E-3</v>
      </c>
      <c r="H104" s="40"/>
    </row>
    <row r="105" spans="1:8" x14ac:dyDescent="0.2">
      <c r="A105" s="37">
        <v>11</v>
      </c>
      <c r="B105" s="38"/>
      <c r="C105" s="38" t="s">
        <v>908</v>
      </c>
      <c r="D105" s="38" t="s">
        <v>697</v>
      </c>
      <c r="E105" s="39">
        <v>-28000</v>
      </c>
      <c r="F105" s="40">
        <v>-244.53800000000001</v>
      </c>
      <c r="G105" s="41">
        <v>-1.959644E-3</v>
      </c>
      <c r="H105" s="40"/>
    </row>
    <row r="106" spans="1:8" x14ac:dyDescent="0.2">
      <c r="A106" s="37">
        <v>12</v>
      </c>
      <c r="B106" s="38"/>
      <c r="C106" s="38" t="s">
        <v>909</v>
      </c>
      <c r="D106" s="38" t="s">
        <v>697</v>
      </c>
      <c r="E106" s="39">
        <v>-5000</v>
      </c>
      <c r="F106" s="40">
        <v>-244.73750000000001</v>
      </c>
      <c r="G106" s="41">
        <v>-1.9612420000000002E-3</v>
      </c>
      <c r="H106" s="40"/>
    </row>
    <row r="107" spans="1:8" x14ac:dyDescent="0.2">
      <c r="A107" s="37">
        <v>13</v>
      </c>
      <c r="B107" s="38"/>
      <c r="C107" s="38" t="s">
        <v>875</v>
      </c>
      <c r="D107" s="38" t="s">
        <v>697</v>
      </c>
      <c r="E107" s="39">
        <v>-25500</v>
      </c>
      <c r="F107" s="40">
        <v>-296.33550000000002</v>
      </c>
      <c r="G107" s="41">
        <v>-2.3747310000000002E-3</v>
      </c>
      <c r="H107" s="40"/>
    </row>
    <row r="108" spans="1:8" x14ac:dyDescent="0.2">
      <c r="A108" s="37">
        <v>14</v>
      </c>
      <c r="B108" s="38"/>
      <c r="C108" s="38" t="s">
        <v>910</v>
      </c>
      <c r="D108" s="38" t="s">
        <v>697</v>
      </c>
      <c r="E108" s="39">
        <v>-18525</v>
      </c>
      <c r="F108" s="40">
        <v>-309.14519999999999</v>
      </c>
      <c r="G108" s="41">
        <v>-2.477384E-3</v>
      </c>
      <c r="H108" s="40"/>
    </row>
    <row r="109" spans="1:8" x14ac:dyDescent="0.2">
      <c r="A109" s="37">
        <v>15</v>
      </c>
      <c r="B109" s="38"/>
      <c r="C109" s="38" t="s">
        <v>911</v>
      </c>
      <c r="D109" s="38" t="s">
        <v>697</v>
      </c>
      <c r="E109" s="39">
        <v>-39950</v>
      </c>
      <c r="F109" s="40">
        <v>-354.05687499999999</v>
      </c>
      <c r="G109" s="41">
        <v>-2.8372900000000001E-3</v>
      </c>
      <c r="H109" s="40"/>
    </row>
    <row r="110" spans="1:8" x14ac:dyDescent="0.2">
      <c r="A110" s="37">
        <v>16</v>
      </c>
      <c r="B110" s="38"/>
      <c r="C110" s="38" t="s">
        <v>912</v>
      </c>
      <c r="D110" s="38" t="s">
        <v>697</v>
      </c>
      <c r="E110" s="39">
        <v>-992000</v>
      </c>
      <c r="F110" s="40">
        <v>-370.01600000000002</v>
      </c>
      <c r="G110" s="41">
        <v>-2.9651809999999999E-3</v>
      </c>
      <c r="H110" s="40"/>
    </row>
    <row r="111" spans="1:8" x14ac:dyDescent="0.2">
      <c r="A111" s="37">
        <v>17</v>
      </c>
      <c r="B111" s="38"/>
      <c r="C111" s="38" t="s">
        <v>913</v>
      </c>
      <c r="D111" s="38" t="s">
        <v>697</v>
      </c>
      <c r="E111" s="39">
        <v>-88350</v>
      </c>
      <c r="F111" s="40">
        <v>-406.67505</v>
      </c>
      <c r="G111" s="41">
        <v>-3.2589540000000001E-3</v>
      </c>
      <c r="H111" s="40"/>
    </row>
    <row r="112" spans="1:8" x14ac:dyDescent="0.2">
      <c r="A112" s="37">
        <v>18</v>
      </c>
      <c r="B112" s="38"/>
      <c r="C112" s="38" t="s">
        <v>914</v>
      </c>
      <c r="D112" s="38" t="s">
        <v>713</v>
      </c>
      <c r="E112" s="39">
        <v>-12500</v>
      </c>
      <c r="F112" s="40">
        <v>-406.79374999999999</v>
      </c>
      <c r="G112" s="41">
        <v>-3.2599059999999999E-3</v>
      </c>
      <c r="H112" s="40"/>
    </row>
    <row r="113" spans="1:8" ht="25.5" x14ac:dyDescent="0.2">
      <c r="A113" s="37">
        <v>19</v>
      </c>
      <c r="B113" s="38"/>
      <c r="C113" s="38" t="s">
        <v>886</v>
      </c>
      <c r="D113" s="38" t="s">
        <v>697</v>
      </c>
      <c r="E113" s="39">
        <v>-17200</v>
      </c>
      <c r="F113" s="40">
        <v>-433.52600000000001</v>
      </c>
      <c r="G113" s="41">
        <v>-3.4741289999999998E-3</v>
      </c>
      <c r="H113" s="40"/>
    </row>
    <row r="114" spans="1:8" x14ac:dyDescent="0.2">
      <c r="A114" s="37">
        <v>20</v>
      </c>
      <c r="B114" s="38"/>
      <c r="C114" s="38" t="s">
        <v>901</v>
      </c>
      <c r="D114" s="38" t="s">
        <v>697</v>
      </c>
      <c r="E114" s="39">
        <v>-68400</v>
      </c>
      <c r="F114" s="40">
        <v>-449.01179999999999</v>
      </c>
      <c r="G114" s="41">
        <v>-3.5982269999999998E-3</v>
      </c>
      <c r="H114" s="40"/>
    </row>
    <row r="115" spans="1:8" x14ac:dyDescent="0.2">
      <c r="A115" s="37">
        <v>21</v>
      </c>
      <c r="B115" s="38"/>
      <c r="C115" s="38" t="s">
        <v>915</v>
      </c>
      <c r="D115" s="38" t="s">
        <v>697</v>
      </c>
      <c r="E115" s="39">
        <v>-337500</v>
      </c>
      <c r="F115" s="40">
        <v>-733.89374999999995</v>
      </c>
      <c r="G115" s="41">
        <v>-5.881173E-3</v>
      </c>
      <c r="H115" s="40"/>
    </row>
    <row r="116" spans="1:8" x14ac:dyDescent="0.2">
      <c r="A116" s="37">
        <v>22</v>
      </c>
      <c r="B116" s="38"/>
      <c r="C116" s="38" t="s">
        <v>876</v>
      </c>
      <c r="D116" s="38" t="s">
        <v>697</v>
      </c>
      <c r="E116" s="39">
        <v>-49450</v>
      </c>
      <c r="F116" s="40">
        <v>-875.21555000000001</v>
      </c>
      <c r="G116" s="41">
        <v>-7.0136770000000003E-3</v>
      </c>
      <c r="H116" s="40"/>
    </row>
    <row r="117" spans="1:8" x14ac:dyDescent="0.2">
      <c r="A117" s="37">
        <v>23</v>
      </c>
      <c r="B117" s="38"/>
      <c r="C117" s="38" t="s">
        <v>893</v>
      </c>
      <c r="D117" s="38" t="s">
        <v>697</v>
      </c>
      <c r="E117" s="39">
        <v>-234350</v>
      </c>
      <c r="F117" s="40">
        <v>-969.50594999999998</v>
      </c>
      <c r="G117" s="41">
        <v>-7.7692880000000001E-3</v>
      </c>
      <c r="H117" s="40"/>
    </row>
    <row r="118" spans="1:8" ht="25.5" x14ac:dyDescent="0.2">
      <c r="A118" s="37">
        <v>24</v>
      </c>
      <c r="B118" s="38"/>
      <c r="C118" s="38" t="s">
        <v>890</v>
      </c>
      <c r="D118" s="38" t="s">
        <v>697</v>
      </c>
      <c r="E118" s="39">
        <v>-143000</v>
      </c>
      <c r="F118" s="40">
        <v>-974.61649999999997</v>
      </c>
      <c r="G118" s="41">
        <v>-7.8102429999999997E-3</v>
      </c>
      <c r="H118" s="40"/>
    </row>
    <row r="119" spans="1:8" x14ac:dyDescent="0.2">
      <c r="A119" s="37">
        <v>25</v>
      </c>
      <c r="B119" s="38"/>
      <c r="C119" s="38" t="s">
        <v>877</v>
      </c>
      <c r="D119" s="38" t="s">
        <v>697</v>
      </c>
      <c r="E119" s="39">
        <v>-31200</v>
      </c>
      <c r="F119" s="40">
        <v>-1104.9636</v>
      </c>
      <c r="G119" s="41">
        <v>-8.8547999999999995E-3</v>
      </c>
      <c r="H119" s="40"/>
    </row>
    <row r="120" spans="1:8" x14ac:dyDescent="0.2">
      <c r="A120" s="37">
        <v>26</v>
      </c>
      <c r="B120" s="38"/>
      <c r="C120" s="38" t="s">
        <v>916</v>
      </c>
      <c r="D120" s="38" t="s">
        <v>697</v>
      </c>
      <c r="E120" s="39">
        <v>-75350</v>
      </c>
      <c r="F120" s="40">
        <v>-1126.1811</v>
      </c>
      <c r="G120" s="41">
        <v>-9.0248289999999998E-3</v>
      </c>
      <c r="H120" s="40"/>
    </row>
    <row r="121" spans="1:8" x14ac:dyDescent="0.2">
      <c r="A121" s="37">
        <v>27</v>
      </c>
      <c r="B121" s="38"/>
      <c r="C121" s="38" t="s">
        <v>879</v>
      </c>
      <c r="D121" s="38" t="s">
        <v>697</v>
      </c>
      <c r="E121" s="39">
        <v>-53500</v>
      </c>
      <c r="F121" s="40">
        <v>-1185.2925</v>
      </c>
      <c r="G121" s="41">
        <v>-9.4985279999999991E-3</v>
      </c>
      <c r="H121" s="40"/>
    </row>
    <row r="122" spans="1:8" x14ac:dyDescent="0.2">
      <c r="A122" s="37">
        <v>28</v>
      </c>
      <c r="B122" s="38"/>
      <c r="C122" s="38" t="s">
        <v>878</v>
      </c>
      <c r="D122" s="38" t="s">
        <v>697</v>
      </c>
      <c r="E122" s="39">
        <v>-131750</v>
      </c>
      <c r="F122" s="40">
        <v>-1416.44425</v>
      </c>
      <c r="G122" s="41">
        <v>-1.1350898999999999E-2</v>
      </c>
      <c r="H122" s="40"/>
    </row>
    <row r="123" spans="1:8" ht="25.5" x14ac:dyDescent="0.2">
      <c r="A123" s="37">
        <v>29</v>
      </c>
      <c r="B123" s="38"/>
      <c r="C123" s="38" t="s">
        <v>917</v>
      </c>
      <c r="D123" s="38" t="s">
        <v>697</v>
      </c>
      <c r="E123" s="39">
        <v>-64800</v>
      </c>
      <c r="F123" s="40">
        <v>-1739.1995999999999</v>
      </c>
      <c r="G123" s="41">
        <v>-1.3937349E-2</v>
      </c>
      <c r="H123" s="40"/>
    </row>
    <row r="124" spans="1:8" x14ac:dyDescent="0.2">
      <c r="A124" s="37">
        <v>30</v>
      </c>
      <c r="B124" s="38"/>
      <c r="C124" s="38" t="s">
        <v>900</v>
      </c>
      <c r="D124" s="38" t="s">
        <v>697</v>
      </c>
      <c r="E124" s="39">
        <v>-77500</v>
      </c>
      <c r="F124" s="40">
        <v>-1869.7262499999999</v>
      </c>
      <c r="G124" s="41">
        <v>-1.4983345E-2</v>
      </c>
      <c r="H124" s="40"/>
    </row>
    <row r="125" spans="1:8" x14ac:dyDescent="0.2">
      <c r="A125" s="37">
        <v>31</v>
      </c>
      <c r="B125" s="38"/>
      <c r="C125" s="38" t="s">
        <v>918</v>
      </c>
      <c r="D125" s="38" t="s">
        <v>697</v>
      </c>
      <c r="E125" s="39">
        <v>-121800</v>
      </c>
      <c r="F125" s="40">
        <v>-1885.2203999999999</v>
      </c>
      <c r="G125" s="41">
        <v>-1.5107509999999999E-2</v>
      </c>
      <c r="H125" s="40"/>
    </row>
    <row r="126" spans="1:8" x14ac:dyDescent="0.2">
      <c r="A126" s="37">
        <v>32</v>
      </c>
      <c r="B126" s="38"/>
      <c r="C126" s="38" t="s">
        <v>919</v>
      </c>
      <c r="D126" s="38" t="s">
        <v>697</v>
      </c>
      <c r="E126" s="39">
        <v>-354568</v>
      </c>
      <c r="F126" s="40">
        <v>-2591.8920800000001</v>
      </c>
      <c r="G126" s="41">
        <v>-2.0770535E-2</v>
      </c>
      <c r="H126" s="40"/>
    </row>
    <row r="127" spans="1:8" x14ac:dyDescent="0.2">
      <c r="A127" s="37">
        <v>33</v>
      </c>
      <c r="B127" s="38"/>
      <c r="C127" s="38" t="s">
        <v>920</v>
      </c>
      <c r="D127" s="38" t="s">
        <v>697</v>
      </c>
      <c r="E127" s="39">
        <v>-300000</v>
      </c>
      <c r="F127" s="40">
        <v>-2659.8</v>
      </c>
      <c r="G127" s="41">
        <v>-2.1314725E-2</v>
      </c>
      <c r="H127" s="40"/>
    </row>
    <row r="128" spans="1:8" x14ac:dyDescent="0.2">
      <c r="A128" s="37">
        <v>34</v>
      </c>
      <c r="B128" s="38"/>
      <c r="C128" s="38" t="s">
        <v>899</v>
      </c>
      <c r="D128" s="38" t="s">
        <v>697</v>
      </c>
      <c r="E128" s="39">
        <v>-699000</v>
      </c>
      <c r="F128" s="40">
        <v>-3227.2829999999999</v>
      </c>
      <c r="G128" s="41">
        <v>-2.5862340000000001E-2</v>
      </c>
      <c r="H128" s="40"/>
    </row>
    <row r="129" spans="1:8" x14ac:dyDescent="0.2">
      <c r="A129" s="37">
        <v>35</v>
      </c>
      <c r="B129" s="38"/>
      <c r="C129" s="38" t="s">
        <v>885</v>
      </c>
      <c r="D129" s="38" t="s">
        <v>697</v>
      </c>
      <c r="E129" s="39">
        <v>-484000</v>
      </c>
      <c r="F129" s="40">
        <v>-3464.7139999999999</v>
      </c>
      <c r="G129" s="41">
        <v>-2.776503E-2</v>
      </c>
      <c r="H129" s="40"/>
    </row>
    <row r="130" spans="1:8" x14ac:dyDescent="0.2">
      <c r="A130" s="37">
        <v>36</v>
      </c>
      <c r="B130" s="38"/>
      <c r="C130" s="38" t="s">
        <v>921</v>
      </c>
      <c r="D130" s="38" t="s">
        <v>713</v>
      </c>
      <c r="E130" s="39">
        <v>-35000</v>
      </c>
      <c r="F130" s="40">
        <v>-5961.76</v>
      </c>
      <c r="G130" s="41">
        <v>-4.7775500999999998E-2</v>
      </c>
      <c r="H130" s="40"/>
    </row>
    <row r="131" spans="1:8" x14ac:dyDescent="0.2">
      <c r="A131" s="35"/>
      <c r="B131" s="35"/>
      <c r="C131" s="36" t="s">
        <v>95</v>
      </c>
      <c r="D131" s="35"/>
      <c r="E131" s="35" t="s">
        <v>96</v>
      </c>
      <c r="F131" s="42">
        <v>-36375.024567499997</v>
      </c>
      <c r="G131" s="43">
        <v>-0.29149697800000002</v>
      </c>
      <c r="H131" s="40"/>
    </row>
    <row r="132" spans="1:8" x14ac:dyDescent="0.2">
      <c r="A132" s="35"/>
      <c r="B132" s="35"/>
      <c r="C132" s="44"/>
      <c r="D132" s="35"/>
      <c r="E132" s="35"/>
      <c r="F132" s="45"/>
      <c r="G132" s="45"/>
      <c r="H132" s="40"/>
    </row>
    <row r="133" spans="1:8" x14ac:dyDescent="0.2">
      <c r="A133" s="35"/>
      <c r="B133" s="35"/>
      <c r="C133" s="36" t="s">
        <v>102</v>
      </c>
      <c r="D133" s="35"/>
      <c r="E133" s="35"/>
      <c r="F133" s="42">
        <v>93696.690509999986</v>
      </c>
      <c r="G133" s="43">
        <v>0.75085316099999999</v>
      </c>
      <c r="H133" s="40"/>
    </row>
    <row r="134" spans="1:8" x14ac:dyDescent="0.2">
      <c r="A134" s="35"/>
      <c r="B134" s="35"/>
      <c r="C134" s="44"/>
      <c r="D134" s="35"/>
      <c r="E134" s="35"/>
      <c r="F134" s="45"/>
      <c r="G134" s="45"/>
      <c r="H134" s="40"/>
    </row>
    <row r="135" spans="1:8" x14ac:dyDescent="0.2">
      <c r="A135" s="35"/>
      <c r="B135" s="35"/>
      <c r="C135" s="36" t="s">
        <v>103</v>
      </c>
      <c r="D135" s="35"/>
      <c r="E135" s="35"/>
      <c r="F135" s="45"/>
      <c r="G135" s="45"/>
      <c r="H135" s="40"/>
    </row>
    <row r="136" spans="1:8" ht="25.5" x14ac:dyDescent="0.2">
      <c r="A136" s="35"/>
      <c r="B136" s="35"/>
      <c r="C136" s="36" t="s">
        <v>10</v>
      </c>
      <c r="D136" s="35"/>
      <c r="E136" s="35"/>
      <c r="F136" s="45"/>
      <c r="G136" s="45"/>
      <c r="H136" s="40"/>
    </row>
    <row r="137" spans="1:8" ht="25.5" x14ac:dyDescent="0.2">
      <c r="A137" s="37">
        <v>1</v>
      </c>
      <c r="B137" s="38" t="s">
        <v>787</v>
      </c>
      <c r="C137" s="38" t="s">
        <v>788</v>
      </c>
      <c r="D137" s="38" t="s">
        <v>691</v>
      </c>
      <c r="E137" s="39">
        <v>250</v>
      </c>
      <c r="F137" s="40">
        <v>2549.0500000000002</v>
      </c>
      <c r="G137" s="41">
        <v>2.0427213E-2</v>
      </c>
      <c r="H137" s="40">
        <v>4.25</v>
      </c>
    </row>
    <row r="138" spans="1:8" ht="25.5" x14ac:dyDescent="0.2">
      <c r="A138" s="37">
        <v>2</v>
      </c>
      <c r="B138" s="38" t="s">
        <v>789</v>
      </c>
      <c r="C138" s="38" t="s">
        <v>790</v>
      </c>
      <c r="D138" s="38" t="s">
        <v>691</v>
      </c>
      <c r="E138" s="39">
        <v>250</v>
      </c>
      <c r="F138" s="40">
        <v>2497.9625000000001</v>
      </c>
      <c r="G138" s="41">
        <v>2.0017815000000001E-2</v>
      </c>
      <c r="H138" s="40">
        <v>4.83</v>
      </c>
    </row>
    <row r="139" spans="1:8" ht="25.5" x14ac:dyDescent="0.2">
      <c r="A139" s="37">
        <v>3</v>
      </c>
      <c r="B139" s="38" t="s">
        <v>791</v>
      </c>
      <c r="C139" s="38" t="s">
        <v>792</v>
      </c>
      <c r="D139" s="38" t="s">
        <v>946</v>
      </c>
      <c r="E139" s="39">
        <v>150</v>
      </c>
      <c r="F139" s="40">
        <v>1536.5219999999999</v>
      </c>
      <c r="G139" s="41">
        <v>1.2313161E-2</v>
      </c>
      <c r="H139" s="40">
        <v>4.82</v>
      </c>
    </row>
    <row r="140" spans="1:8" x14ac:dyDescent="0.2">
      <c r="A140" s="37">
        <v>4</v>
      </c>
      <c r="B140" s="38" t="s">
        <v>793</v>
      </c>
      <c r="C140" s="38" t="s">
        <v>794</v>
      </c>
      <c r="D140" s="38" t="s">
        <v>691</v>
      </c>
      <c r="E140" s="39">
        <v>100</v>
      </c>
      <c r="F140" s="40">
        <v>1028.3800000000001</v>
      </c>
      <c r="G140" s="41">
        <v>8.2410850000000004E-3</v>
      </c>
      <c r="H140" s="40">
        <v>4.8899999999999997</v>
      </c>
    </row>
    <row r="141" spans="1:8" ht="25.5" x14ac:dyDescent="0.2">
      <c r="A141" s="37">
        <v>5</v>
      </c>
      <c r="B141" s="38" t="s">
        <v>795</v>
      </c>
      <c r="C141" s="38" t="s">
        <v>796</v>
      </c>
      <c r="D141" s="38" t="s">
        <v>691</v>
      </c>
      <c r="E141" s="39">
        <v>100</v>
      </c>
      <c r="F141" s="40">
        <v>1025.7650000000001</v>
      </c>
      <c r="G141" s="41">
        <v>8.2201289999999996E-3</v>
      </c>
      <c r="H141" s="40">
        <v>4.8250000000000002</v>
      </c>
    </row>
    <row r="142" spans="1:8" ht="25.5" x14ac:dyDescent="0.2">
      <c r="A142" s="37">
        <v>6</v>
      </c>
      <c r="B142" s="38" t="s">
        <v>797</v>
      </c>
      <c r="C142" s="38" t="s">
        <v>798</v>
      </c>
      <c r="D142" s="38" t="s">
        <v>946</v>
      </c>
      <c r="E142" s="39">
        <v>100</v>
      </c>
      <c r="F142" s="40">
        <v>1025.2650000000001</v>
      </c>
      <c r="G142" s="41">
        <v>8.2161219999999993E-3</v>
      </c>
      <c r="H142" s="40">
        <v>4.74</v>
      </c>
    </row>
    <row r="143" spans="1:8" ht="25.5" x14ac:dyDescent="0.2">
      <c r="A143" s="37">
        <v>7</v>
      </c>
      <c r="B143" s="38" t="s">
        <v>799</v>
      </c>
      <c r="C143" s="38" t="s">
        <v>800</v>
      </c>
      <c r="D143" s="38" t="s">
        <v>691</v>
      </c>
      <c r="E143" s="39">
        <v>100</v>
      </c>
      <c r="F143" s="40">
        <v>1022.0170000000001</v>
      </c>
      <c r="G143" s="41">
        <v>8.1900940000000002E-3</v>
      </c>
      <c r="H143" s="40">
        <v>5.0334000000000003</v>
      </c>
    </row>
    <row r="144" spans="1:8" x14ac:dyDescent="0.2">
      <c r="A144" s="37">
        <v>8</v>
      </c>
      <c r="B144" s="38" t="s">
        <v>801</v>
      </c>
      <c r="C144" s="38" t="s">
        <v>802</v>
      </c>
      <c r="D144" s="38" t="s">
        <v>691</v>
      </c>
      <c r="E144" s="39">
        <v>100</v>
      </c>
      <c r="F144" s="40">
        <v>1011.5069999999999</v>
      </c>
      <c r="G144" s="41">
        <v>8.1058699999999994E-3</v>
      </c>
      <c r="H144" s="40">
        <v>5.0049999999999999</v>
      </c>
    </row>
    <row r="145" spans="1:8" ht="25.5" x14ac:dyDescent="0.2">
      <c r="A145" s="37">
        <v>9</v>
      </c>
      <c r="B145" s="38" t="s">
        <v>803</v>
      </c>
      <c r="C145" s="38" t="s">
        <v>804</v>
      </c>
      <c r="D145" s="38" t="s">
        <v>691</v>
      </c>
      <c r="E145" s="39">
        <v>100</v>
      </c>
      <c r="F145" s="40">
        <v>1001.545</v>
      </c>
      <c r="G145" s="41">
        <v>8.0260379999999992E-3</v>
      </c>
      <c r="H145" s="40">
        <v>4.6900000000000004</v>
      </c>
    </row>
    <row r="146" spans="1:8" ht="25.5" x14ac:dyDescent="0.2">
      <c r="A146" s="37">
        <v>10</v>
      </c>
      <c r="B146" s="38" t="s">
        <v>805</v>
      </c>
      <c r="C146" s="38" t="s">
        <v>806</v>
      </c>
      <c r="D146" s="38" t="s">
        <v>691</v>
      </c>
      <c r="E146" s="39">
        <v>50</v>
      </c>
      <c r="F146" s="40">
        <v>516.74699999999996</v>
      </c>
      <c r="G146" s="41">
        <v>4.1410329999999997E-3</v>
      </c>
      <c r="H146" s="40">
        <v>4.7850000000000001</v>
      </c>
    </row>
    <row r="147" spans="1:8" ht="25.5" x14ac:dyDescent="0.2">
      <c r="A147" s="37">
        <v>11</v>
      </c>
      <c r="B147" s="38" t="s">
        <v>807</v>
      </c>
      <c r="C147" s="38" t="s">
        <v>808</v>
      </c>
      <c r="D147" s="38" t="s">
        <v>691</v>
      </c>
      <c r="E147" s="39">
        <v>50</v>
      </c>
      <c r="F147" s="40">
        <v>514.29700000000003</v>
      </c>
      <c r="G147" s="41">
        <v>4.1213999999999999E-3</v>
      </c>
      <c r="H147" s="40">
        <v>4.84</v>
      </c>
    </row>
    <row r="148" spans="1:8" x14ac:dyDescent="0.2">
      <c r="A148" s="37">
        <v>12</v>
      </c>
      <c r="B148" s="38" t="s">
        <v>809</v>
      </c>
      <c r="C148" s="38" t="s">
        <v>810</v>
      </c>
      <c r="D148" s="38" t="s">
        <v>691</v>
      </c>
      <c r="E148" s="39">
        <v>50</v>
      </c>
      <c r="F148" s="40">
        <v>512.2595</v>
      </c>
      <c r="G148" s="41">
        <v>4.1050720000000004E-3</v>
      </c>
      <c r="H148" s="40">
        <v>4.5999999999999996</v>
      </c>
    </row>
    <row r="149" spans="1:8" ht="25.5" x14ac:dyDescent="0.2">
      <c r="A149" s="37">
        <v>13</v>
      </c>
      <c r="B149" s="38" t="s">
        <v>811</v>
      </c>
      <c r="C149" s="38" t="s">
        <v>812</v>
      </c>
      <c r="D149" s="38" t="s">
        <v>691</v>
      </c>
      <c r="E149" s="39">
        <v>50</v>
      </c>
      <c r="F149" s="40">
        <v>512.13199999999995</v>
      </c>
      <c r="G149" s="41">
        <v>4.1040499999999997E-3</v>
      </c>
      <c r="H149" s="40">
        <v>4.7300000000000004</v>
      </c>
    </row>
    <row r="150" spans="1:8" x14ac:dyDescent="0.2">
      <c r="A150" s="35"/>
      <c r="B150" s="35"/>
      <c r="C150" s="36" t="s">
        <v>95</v>
      </c>
      <c r="D150" s="35"/>
      <c r="E150" s="35" t="s">
        <v>96</v>
      </c>
      <c r="F150" s="42">
        <v>14753.449000000001</v>
      </c>
      <c r="G150" s="43">
        <v>0.118229082</v>
      </c>
      <c r="H150" s="40"/>
    </row>
    <row r="151" spans="1:8" x14ac:dyDescent="0.2">
      <c r="A151" s="35"/>
      <c r="B151" s="35"/>
      <c r="C151" s="44"/>
      <c r="D151" s="35"/>
      <c r="E151" s="35"/>
      <c r="F151" s="45"/>
      <c r="G151" s="45"/>
      <c r="H151" s="40"/>
    </row>
    <row r="152" spans="1:8" x14ac:dyDescent="0.2">
      <c r="A152" s="35"/>
      <c r="B152" s="35"/>
      <c r="C152" s="36" t="s">
        <v>104</v>
      </c>
      <c r="D152" s="35"/>
      <c r="E152" s="35"/>
      <c r="F152" s="35"/>
      <c r="G152" s="35"/>
      <c r="H152" s="40"/>
    </row>
    <row r="153" spans="1:8" x14ac:dyDescent="0.2">
      <c r="A153" s="35"/>
      <c r="B153" s="35"/>
      <c r="C153" s="36" t="s">
        <v>95</v>
      </c>
      <c r="D153" s="35"/>
      <c r="E153" s="35" t="s">
        <v>96</v>
      </c>
      <c r="F153" s="46">
        <v>0</v>
      </c>
      <c r="G153" s="47">
        <v>0</v>
      </c>
      <c r="H153" s="40"/>
    </row>
    <row r="154" spans="1:8" x14ac:dyDescent="0.2">
      <c r="A154" s="35"/>
      <c r="B154" s="35"/>
      <c r="C154" s="44"/>
      <c r="D154" s="35"/>
      <c r="E154" s="35"/>
      <c r="F154" s="45"/>
      <c r="G154" s="45"/>
      <c r="H154" s="40"/>
    </row>
    <row r="155" spans="1:8" x14ac:dyDescent="0.2">
      <c r="A155" s="35"/>
      <c r="B155" s="35"/>
      <c r="C155" s="36" t="s">
        <v>105</v>
      </c>
      <c r="D155" s="35"/>
      <c r="E155" s="35"/>
      <c r="F155" s="35"/>
      <c r="G155" s="35"/>
      <c r="H155" s="40"/>
    </row>
    <row r="156" spans="1:8" ht="25.5" x14ac:dyDescent="0.2">
      <c r="A156" s="37">
        <v>1</v>
      </c>
      <c r="B156" s="38" t="s">
        <v>722</v>
      </c>
      <c r="C156" s="38" t="s">
        <v>873</v>
      </c>
      <c r="D156" s="38" t="s">
        <v>721</v>
      </c>
      <c r="E156" s="39">
        <v>1000000</v>
      </c>
      <c r="F156" s="40">
        <v>1052.499</v>
      </c>
      <c r="G156" s="41">
        <v>8.4343660000000004E-3</v>
      </c>
      <c r="H156" s="40">
        <v>4.7282000000000002</v>
      </c>
    </row>
    <row r="157" spans="1:8" ht="25.5" x14ac:dyDescent="0.2">
      <c r="A157" s="37">
        <v>2</v>
      </c>
      <c r="B157" s="38" t="s">
        <v>720</v>
      </c>
      <c r="C157" s="38" t="s">
        <v>870</v>
      </c>
      <c r="D157" s="38" t="s">
        <v>721</v>
      </c>
      <c r="E157" s="39">
        <v>1000000</v>
      </c>
      <c r="F157" s="40">
        <v>996.95100000000002</v>
      </c>
      <c r="G157" s="41">
        <v>7.9892239999999996E-3</v>
      </c>
      <c r="H157" s="40">
        <v>5.3148999999999997</v>
      </c>
    </row>
    <row r="158" spans="1:8" x14ac:dyDescent="0.2">
      <c r="A158" s="35"/>
      <c r="B158" s="35"/>
      <c r="C158" s="36" t="s">
        <v>95</v>
      </c>
      <c r="D158" s="35"/>
      <c r="E158" s="35" t="s">
        <v>96</v>
      </c>
      <c r="F158" s="42">
        <v>2049.4499999999998</v>
      </c>
      <c r="G158" s="43">
        <v>1.6423589999999998E-2</v>
      </c>
      <c r="H158" s="40"/>
    </row>
    <row r="159" spans="1:8" x14ac:dyDescent="0.2">
      <c r="A159" s="35"/>
      <c r="B159" s="35"/>
      <c r="C159" s="44"/>
      <c r="D159" s="35"/>
      <c r="E159" s="35"/>
      <c r="F159" s="45"/>
      <c r="G159" s="45"/>
      <c r="H159" s="40"/>
    </row>
    <row r="160" spans="1:8" x14ac:dyDescent="0.2">
      <c r="A160" s="35"/>
      <c r="B160" s="35"/>
      <c r="C160" s="36" t="s">
        <v>106</v>
      </c>
      <c r="D160" s="35"/>
      <c r="E160" s="35"/>
      <c r="F160" s="45"/>
      <c r="G160" s="45"/>
      <c r="H160" s="40"/>
    </row>
    <row r="161" spans="1:8" x14ac:dyDescent="0.2">
      <c r="A161" s="35"/>
      <c r="B161" s="35"/>
      <c r="C161" s="36" t="s">
        <v>95</v>
      </c>
      <c r="D161" s="35"/>
      <c r="E161" s="35" t="s">
        <v>96</v>
      </c>
      <c r="F161" s="46">
        <v>0</v>
      </c>
      <c r="G161" s="47">
        <v>0</v>
      </c>
      <c r="H161" s="40"/>
    </row>
    <row r="162" spans="1:8" x14ac:dyDescent="0.2">
      <c r="A162" s="35"/>
      <c r="B162" s="35"/>
      <c r="C162" s="44"/>
      <c r="D162" s="35"/>
      <c r="E162" s="35"/>
      <c r="F162" s="45"/>
      <c r="G162" s="45"/>
      <c r="H162" s="40"/>
    </row>
    <row r="163" spans="1:8" x14ac:dyDescent="0.2">
      <c r="A163" s="35"/>
      <c r="B163" s="35"/>
      <c r="C163" s="36" t="s">
        <v>107</v>
      </c>
      <c r="D163" s="35"/>
      <c r="E163" s="35"/>
      <c r="F163" s="42">
        <v>16802.899000000001</v>
      </c>
      <c r="G163" s="43">
        <v>0.134652672</v>
      </c>
      <c r="H163" s="40"/>
    </row>
    <row r="164" spans="1:8" x14ac:dyDescent="0.2">
      <c r="A164" s="35"/>
      <c r="B164" s="35"/>
      <c r="C164" s="44"/>
      <c r="D164" s="35"/>
      <c r="E164" s="35"/>
      <c r="F164" s="45"/>
      <c r="G164" s="45"/>
      <c r="H164" s="40"/>
    </row>
    <row r="165" spans="1:8" x14ac:dyDescent="0.2">
      <c r="A165" s="35"/>
      <c r="B165" s="35"/>
      <c r="C165" s="36" t="s">
        <v>108</v>
      </c>
      <c r="D165" s="35"/>
      <c r="E165" s="35"/>
      <c r="F165" s="45"/>
      <c r="G165" s="45"/>
      <c r="H165" s="40"/>
    </row>
    <row r="166" spans="1:8" x14ac:dyDescent="0.2">
      <c r="A166" s="35"/>
      <c r="B166" s="35"/>
      <c r="C166" s="36" t="s">
        <v>109</v>
      </c>
      <c r="D166" s="35"/>
      <c r="E166" s="35"/>
      <c r="F166" s="45"/>
      <c r="G166" s="45"/>
      <c r="H166" s="40"/>
    </row>
    <row r="167" spans="1:8" x14ac:dyDescent="0.2">
      <c r="A167" s="35"/>
      <c r="B167" s="35"/>
      <c r="C167" s="36" t="s">
        <v>95</v>
      </c>
      <c r="D167" s="35"/>
      <c r="E167" s="35" t="s">
        <v>96</v>
      </c>
      <c r="F167" s="46">
        <v>0</v>
      </c>
      <c r="G167" s="47">
        <v>0</v>
      </c>
      <c r="H167" s="40"/>
    </row>
    <row r="168" spans="1:8" x14ac:dyDescent="0.2">
      <c r="A168" s="35"/>
      <c r="B168" s="35"/>
      <c r="C168" s="44"/>
      <c r="D168" s="35"/>
      <c r="E168" s="35"/>
      <c r="F168" s="45"/>
      <c r="G168" s="45"/>
      <c r="H168" s="40"/>
    </row>
    <row r="169" spans="1:8" x14ac:dyDescent="0.2">
      <c r="A169" s="35"/>
      <c r="B169" s="35"/>
      <c r="C169" s="36" t="s">
        <v>110</v>
      </c>
      <c r="D169" s="35"/>
      <c r="E169" s="35"/>
      <c r="F169" s="45"/>
      <c r="G169" s="45"/>
      <c r="H169" s="40"/>
    </row>
    <row r="170" spans="1:8" x14ac:dyDescent="0.2">
      <c r="A170" s="37">
        <v>1</v>
      </c>
      <c r="B170" s="38" t="s">
        <v>813</v>
      </c>
      <c r="C170" s="38" t="s">
        <v>814</v>
      </c>
      <c r="D170" s="38" t="s">
        <v>815</v>
      </c>
      <c r="E170" s="39">
        <v>300</v>
      </c>
      <c r="F170" s="40">
        <v>1488.606</v>
      </c>
      <c r="G170" s="41">
        <v>1.1929178E-2</v>
      </c>
      <c r="H170" s="40">
        <v>3.7250000000000001</v>
      </c>
    </row>
    <row r="171" spans="1:8" x14ac:dyDescent="0.2">
      <c r="A171" s="35"/>
      <c r="B171" s="35"/>
      <c r="C171" s="36" t="s">
        <v>95</v>
      </c>
      <c r="D171" s="35"/>
      <c r="E171" s="35" t="s">
        <v>96</v>
      </c>
      <c r="F171" s="42">
        <v>1488.606</v>
      </c>
      <c r="G171" s="43">
        <v>1.1929178E-2</v>
      </c>
      <c r="H171" s="40"/>
    </row>
    <row r="172" spans="1:8" x14ac:dyDescent="0.2">
      <c r="A172" s="35"/>
      <c r="B172" s="35"/>
      <c r="C172" s="44"/>
      <c r="D172" s="35"/>
      <c r="E172" s="35"/>
      <c r="F172" s="45"/>
      <c r="G172" s="45"/>
      <c r="H172" s="40"/>
    </row>
    <row r="173" spans="1:8" x14ac:dyDescent="0.2">
      <c r="A173" s="35"/>
      <c r="B173" s="35"/>
      <c r="C173" s="36" t="s">
        <v>111</v>
      </c>
      <c r="D173" s="35"/>
      <c r="E173" s="35"/>
      <c r="F173" s="45"/>
      <c r="G173" s="45"/>
      <c r="H173" s="40"/>
    </row>
    <row r="174" spans="1:8" x14ac:dyDescent="0.2">
      <c r="A174" s="35"/>
      <c r="B174" s="35"/>
      <c r="C174" s="36" t="s">
        <v>95</v>
      </c>
      <c r="D174" s="35"/>
      <c r="E174" s="35" t="s">
        <v>96</v>
      </c>
      <c r="F174" s="46">
        <v>0</v>
      </c>
      <c r="G174" s="47">
        <v>0</v>
      </c>
      <c r="H174" s="40"/>
    </row>
    <row r="175" spans="1:8" x14ac:dyDescent="0.2">
      <c r="A175" s="35"/>
      <c r="B175" s="35"/>
      <c r="C175" s="44"/>
      <c r="D175" s="35"/>
      <c r="E175" s="35"/>
      <c r="F175" s="45"/>
      <c r="G175" s="45"/>
      <c r="H175" s="40"/>
    </row>
    <row r="176" spans="1:8" x14ac:dyDescent="0.2">
      <c r="A176" s="35"/>
      <c r="B176" s="35"/>
      <c r="C176" s="36" t="s">
        <v>112</v>
      </c>
      <c r="D176" s="35"/>
      <c r="E176" s="35"/>
      <c r="F176" s="45"/>
      <c r="G176" s="45"/>
      <c r="H176" s="40"/>
    </row>
    <row r="177" spans="1:8" x14ac:dyDescent="0.2">
      <c r="A177" s="37">
        <v>1</v>
      </c>
      <c r="B177" s="38"/>
      <c r="C177" s="38" t="s">
        <v>113</v>
      </c>
      <c r="D177" s="38"/>
      <c r="E177" s="48"/>
      <c r="F177" s="40">
        <v>2783.2253722999999</v>
      </c>
      <c r="G177" s="41">
        <v>2.2303814000000002E-2</v>
      </c>
      <c r="H177" s="6">
        <v>3.3628721504199861</v>
      </c>
    </row>
    <row r="178" spans="1:8" x14ac:dyDescent="0.2">
      <c r="A178" s="37">
        <v>2</v>
      </c>
      <c r="B178" s="38"/>
      <c r="C178" s="38" t="s">
        <v>114</v>
      </c>
      <c r="D178" s="38"/>
      <c r="E178" s="48"/>
      <c r="F178" s="40">
        <v>1074.8561769</v>
      </c>
      <c r="G178" s="41">
        <v>8.613529E-3</v>
      </c>
      <c r="H178" s="6">
        <v>3.4499999999999966</v>
      </c>
    </row>
    <row r="179" spans="1:8" x14ac:dyDescent="0.2">
      <c r="A179" s="35"/>
      <c r="B179" s="35"/>
      <c r="C179" s="36" t="s">
        <v>95</v>
      </c>
      <c r="D179" s="35"/>
      <c r="E179" s="35" t="s">
        <v>96</v>
      </c>
      <c r="F179" s="42">
        <v>3858.0815492000002</v>
      </c>
      <c r="G179" s="43">
        <v>3.0917343E-2</v>
      </c>
      <c r="H179" s="40"/>
    </row>
    <row r="180" spans="1:8" x14ac:dyDescent="0.2">
      <c r="A180" s="35"/>
      <c r="B180" s="35"/>
      <c r="C180" s="44"/>
      <c r="D180" s="35"/>
      <c r="E180" s="35"/>
      <c r="F180" s="45"/>
      <c r="G180" s="45"/>
      <c r="H180" s="40"/>
    </row>
    <row r="181" spans="1:8" x14ac:dyDescent="0.2">
      <c r="A181" s="35"/>
      <c r="B181" s="35"/>
      <c r="C181" s="36" t="s">
        <v>115</v>
      </c>
      <c r="D181" s="35"/>
      <c r="E181" s="35"/>
      <c r="F181" s="42">
        <v>5346.6875491999999</v>
      </c>
      <c r="G181" s="43">
        <v>4.2846520999999999E-2</v>
      </c>
      <c r="H181" s="40"/>
    </row>
    <row r="182" spans="1:8" x14ac:dyDescent="0.2">
      <c r="A182" s="35"/>
      <c r="B182" s="35"/>
      <c r="C182" s="45"/>
      <c r="D182" s="35"/>
      <c r="E182" s="35"/>
      <c r="F182" s="35"/>
      <c r="G182" s="35"/>
      <c r="H182" s="40"/>
    </row>
    <row r="183" spans="1:8" x14ac:dyDescent="0.2">
      <c r="A183" s="35"/>
      <c r="B183" s="35"/>
      <c r="C183" s="36" t="s">
        <v>116</v>
      </c>
      <c r="D183" s="35"/>
      <c r="E183" s="35"/>
      <c r="F183" s="35"/>
      <c r="G183" s="35"/>
      <c r="H183" s="40"/>
    </row>
    <row r="184" spans="1:8" x14ac:dyDescent="0.2">
      <c r="A184" s="35"/>
      <c r="B184" s="35"/>
      <c r="C184" s="36" t="s">
        <v>117</v>
      </c>
      <c r="D184" s="35"/>
      <c r="E184" s="35"/>
      <c r="F184" s="35"/>
      <c r="G184" s="35"/>
      <c r="H184" s="40"/>
    </row>
    <row r="185" spans="1:8" x14ac:dyDescent="0.2">
      <c r="A185" s="35"/>
      <c r="B185" s="35"/>
      <c r="C185" s="36" t="s">
        <v>95</v>
      </c>
      <c r="D185" s="35"/>
      <c r="E185" s="35" t="s">
        <v>96</v>
      </c>
      <c r="F185" s="46">
        <v>0</v>
      </c>
      <c r="G185" s="47">
        <v>0</v>
      </c>
      <c r="H185" s="40"/>
    </row>
    <row r="186" spans="1:8" x14ac:dyDescent="0.2">
      <c r="A186" s="35"/>
      <c r="B186" s="35"/>
      <c r="C186" s="44"/>
      <c r="D186" s="35"/>
      <c r="E186" s="35"/>
      <c r="F186" s="45"/>
      <c r="G186" s="45"/>
      <c r="H186" s="40"/>
    </row>
    <row r="187" spans="1:8" x14ac:dyDescent="0.2">
      <c r="A187" s="35"/>
      <c r="B187" s="35"/>
      <c r="C187" s="36" t="s">
        <v>118</v>
      </c>
      <c r="D187" s="35"/>
      <c r="E187" s="35"/>
      <c r="F187" s="35"/>
      <c r="G187" s="35"/>
      <c r="H187" s="40"/>
    </row>
    <row r="188" spans="1:8" x14ac:dyDescent="0.2">
      <c r="A188" s="35"/>
      <c r="B188" s="35"/>
      <c r="C188" s="36" t="s">
        <v>119</v>
      </c>
      <c r="D188" s="35"/>
      <c r="E188" s="35"/>
      <c r="F188" s="35"/>
      <c r="G188" s="35"/>
      <c r="H188" s="40"/>
    </row>
    <row r="189" spans="1:8" x14ac:dyDescent="0.2">
      <c r="A189" s="35"/>
      <c r="B189" s="35"/>
      <c r="C189" s="36" t="s">
        <v>95</v>
      </c>
      <c r="D189" s="35"/>
      <c r="E189" s="35" t="s">
        <v>96</v>
      </c>
      <c r="F189" s="46">
        <v>0</v>
      </c>
      <c r="G189" s="47">
        <v>0</v>
      </c>
      <c r="H189" s="40"/>
    </row>
    <row r="190" spans="1:8" x14ac:dyDescent="0.2">
      <c r="A190" s="35"/>
      <c r="B190" s="35"/>
      <c r="C190" s="44"/>
      <c r="D190" s="35"/>
      <c r="E190" s="35"/>
      <c r="F190" s="45"/>
      <c r="G190" s="45"/>
      <c r="H190" s="40"/>
    </row>
    <row r="191" spans="1:8" ht="25.5" x14ac:dyDescent="0.2">
      <c r="A191" s="35"/>
      <c r="B191" s="35"/>
      <c r="C191" s="36" t="s">
        <v>120</v>
      </c>
      <c r="D191" s="35"/>
      <c r="E191" s="35"/>
      <c r="F191" s="45"/>
      <c r="G191" s="45"/>
      <c r="H191" s="40"/>
    </row>
    <row r="192" spans="1:8" x14ac:dyDescent="0.2">
      <c r="A192" s="35"/>
      <c r="B192" s="35"/>
      <c r="C192" s="36" t="s">
        <v>95</v>
      </c>
      <c r="D192" s="35"/>
      <c r="E192" s="35" t="s">
        <v>96</v>
      </c>
      <c r="F192" s="46">
        <v>0</v>
      </c>
      <c r="G192" s="47">
        <v>0</v>
      </c>
      <c r="H192" s="40"/>
    </row>
    <row r="193" spans="1:15" x14ac:dyDescent="0.2">
      <c r="A193" s="35"/>
      <c r="B193" s="35"/>
      <c r="C193" s="44"/>
      <c r="D193" s="35"/>
      <c r="E193" s="35"/>
      <c r="F193" s="45"/>
      <c r="G193" s="45"/>
      <c r="H193" s="40"/>
    </row>
    <row r="194" spans="1:15" x14ac:dyDescent="0.2">
      <c r="A194" s="48"/>
      <c r="B194" s="38"/>
      <c r="C194" s="38" t="s">
        <v>699</v>
      </c>
      <c r="D194" s="38"/>
      <c r="E194" s="48"/>
      <c r="F194" s="40">
        <v>11236.21767</v>
      </c>
      <c r="G194" s="41">
        <v>9.0043197000000005E-2</v>
      </c>
      <c r="H194" s="40"/>
    </row>
    <row r="195" spans="1:15" x14ac:dyDescent="0.2">
      <c r="A195" s="48"/>
      <c r="B195" s="38"/>
      <c r="C195" s="38" t="s">
        <v>816</v>
      </c>
      <c r="D195" s="38"/>
      <c r="E195" s="48"/>
      <c r="F195" s="40">
        <v>-2295.524837319972</v>
      </c>
      <c r="G195" s="41">
        <v>-1.8395549145146312E-2</v>
      </c>
      <c r="H195" s="40"/>
    </row>
    <row r="196" spans="1:15" x14ac:dyDescent="0.2">
      <c r="A196" s="44"/>
      <c r="B196" s="44"/>
      <c r="C196" s="36" t="s">
        <v>122</v>
      </c>
      <c r="D196" s="45"/>
      <c r="E196" s="45"/>
      <c r="F196" s="42">
        <v>124786.96989188001</v>
      </c>
      <c r="G196" s="43">
        <v>1.0000000018548536</v>
      </c>
      <c r="H196" s="40"/>
    </row>
    <row r="197" spans="1:15" ht="14.1" customHeight="1" x14ac:dyDescent="0.2">
      <c r="A197" s="49"/>
      <c r="B197" s="49"/>
      <c r="C197" s="49"/>
      <c r="D197" s="50"/>
      <c r="E197" s="50"/>
      <c r="F197" s="50"/>
      <c r="G197" s="50"/>
    </row>
    <row r="198" spans="1:15" ht="17.100000000000001" customHeight="1" x14ac:dyDescent="0.2">
      <c r="A198" s="51"/>
      <c r="B198" s="186" t="s">
        <v>817</v>
      </c>
      <c r="C198" s="186"/>
      <c r="D198" s="186"/>
      <c r="E198" s="186"/>
      <c r="F198" s="186"/>
      <c r="G198" s="52"/>
    </row>
    <row r="199" spans="1:15" ht="17.100000000000001" customHeight="1" x14ac:dyDescent="0.2">
      <c r="A199" s="51"/>
      <c r="B199" s="186" t="s">
        <v>818</v>
      </c>
      <c r="C199" s="186"/>
      <c r="D199" s="186"/>
      <c r="E199" s="186"/>
      <c r="F199" s="186"/>
      <c r="G199" s="52"/>
    </row>
    <row r="200" spans="1:15" ht="14.1" customHeight="1" x14ac:dyDescent="0.2">
      <c r="A200" s="51"/>
      <c r="B200" s="186" t="s">
        <v>96</v>
      </c>
      <c r="C200" s="186"/>
      <c r="D200" s="186"/>
      <c r="E200" s="186"/>
      <c r="F200" s="186"/>
      <c r="G200" s="52"/>
    </row>
    <row r="201" spans="1:15" ht="14.1" customHeight="1" x14ac:dyDescent="0.2">
      <c r="A201" s="51"/>
      <c r="B201" s="51"/>
      <c r="C201" s="51"/>
      <c r="D201" s="52"/>
      <c r="E201" s="52"/>
      <c r="F201" s="52"/>
      <c r="G201" s="52"/>
    </row>
    <row r="202" spans="1:15" ht="14.1" customHeight="1" x14ac:dyDescent="0.2">
      <c r="A202" s="51"/>
      <c r="B202" s="187" t="s">
        <v>124</v>
      </c>
      <c r="C202" s="188"/>
      <c r="D202" s="189"/>
      <c r="E202" s="53"/>
      <c r="F202" s="52"/>
      <c r="G202" s="52"/>
    </row>
    <row r="203" spans="1:15" ht="29.1" customHeight="1" x14ac:dyDescent="0.2">
      <c r="A203" s="51"/>
      <c r="B203" s="182" t="s">
        <v>125</v>
      </c>
      <c r="C203" s="183"/>
      <c r="D203" s="2" t="s">
        <v>937</v>
      </c>
      <c r="E203" s="53"/>
      <c r="F203" s="52"/>
      <c r="G203" s="52"/>
      <c r="I203" s="82"/>
      <c r="J203" s="82"/>
      <c r="K203" s="82"/>
      <c r="L203" s="82"/>
      <c r="M203" s="82"/>
      <c r="N203" s="82"/>
      <c r="O203" s="82"/>
    </row>
    <row r="204" spans="1:15" ht="17.100000000000001" customHeight="1" x14ac:dyDescent="0.2">
      <c r="A204" s="51"/>
      <c r="B204" s="182" t="s">
        <v>127</v>
      </c>
      <c r="C204" s="183"/>
      <c r="D204" s="36" t="s">
        <v>126</v>
      </c>
      <c r="E204" s="53"/>
      <c r="F204" s="52"/>
      <c r="G204" s="52"/>
    </row>
    <row r="205" spans="1:15" ht="17.100000000000001" customHeight="1" x14ac:dyDescent="0.2">
      <c r="A205" s="51"/>
      <c r="B205" s="182" t="s">
        <v>128</v>
      </c>
      <c r="C205" s="183"/>
      <c r="D205" s="45" t="s">
        <v>96</v>
      </c>
      <c r="E205" s="53"/>
      <c r="F205" s="52"/>
      <c r="G205" s="52"/>
    </row>
    <row r="206" spans="1:15" ht="24" customHeight="1" x14ac:dyDescent="0.2">
      <c r="A206" s="54"/>
      <c r="B206" s="55" t="s">
        <v>96</v>
      </c>
      <c r="C206" s="55" t="s">
        <v>129</v>
      </c>
      <c r="D206" s="55" t="s">
        <v>130</v>
      </c>
      <c r="E206" s="54"/>
      <c r="F206" s="54"/>
      <c r="G206" s="54"/>
    </row>
    <row r="207" spans="1:15" ht="18" customHeight="1" x14ac:dyDescent="0.2">
      <c r="A207" s="54"/>
      <c r="B207" s="56" t="s">
        <v>131</v>
      </c>
      <c r="C207" s="55" t="s">
        <v>132</v>
      </c>
      <c r="D207" s="55" t="s">
        <v>133</v>
      </c>
      <c r="E207" s="54"/>
      <c r="F207" s="54"/>
      <c r="G207" s="54"/>
    </row>
    <row r="208" spans="1:15" ht="17.100000000000001" customHeight="1" x14ac:dyDescent="0.2">
      <c r="A208" s="54"/>
      <c r="B208" s="38" t="s">
        <v>134</v>
      </c>
      <c r="C208" s="57">
        <v>15.0525</v>
      </c>
      <c r="D208" s="57">
        <v>14.9842</v>
      </c>
      <c r="E208" s="54"/>
      <c r="F208" s="58"/>
      <c r="G208" s="59"/>
    </row>
    <row r="209" spans="1:16" ht="17.100000000000001" customHeight="1" x14ac:dyDescent="0.2">
      <c r="A209" s="54"/>
      <c r="B209" s="38" t="s">
        <v>983</v>
      </c>
      <c r="C209" s="57">
        <v>14.0092</v>
      </c>
      <c r="D209" s="57">
        <v>13.945600000000001</v>
      </c>
      <c r="E209" s="54"/>
      <c r="F209" s="58"/>
      <c r="G209" s="59"/>
    </row>
    <row r="210" spans="1:16" ht="17.100000000000001" customHeight="1" x14ac:dyDescent="0.2">
      <c r="A210" s="54"/>
      <c r="B210" s="38" t="s">
        <v>135</v>
      </c>
      <c r="C210" s="57">
        <v>14.5848</v>
      </c>
      <c r="D210" s="57">
        <v>14.4963</v>
      </c>
      <c r="E210" s="54"/>
      <c r="F210" s="58"/>
      <c r="G210" s="59"/>
    </row>
    <row r="211" spans="1:16" ht="17.100000000000001" customHeight="1" x14ac:dyDescent="0.2">
      <c r="A211" s="54"/>
      <c r="B211" s="38" t="s">
        <v>984</v>
      </c>
      <c r="C211" s="57">
        <v>13.5726</v>
      </c>
      <c r="D211" s="57">
        <v>13.490399999999999</v>
      </c>
      <c r="E211" s="54"/>
      <c r="F211" s="58"/>
      <c r="G211" s="59"/>
    </row>
    <row r="212" spans="1:16" ht="14.1" customHeight="1" x14ac:dyDescent="0.2">
      <c r="A212" s="54"/>
      <c r="B212" s="54"/>
      <c r="C212" s="54"/>
      <c r="D212" s="54"/>
      <c r="E212" s="54"/>
      <c r="F212" s="54"/>
      <c r="G212" s="54"/>
    </row>
    <row r="213" spans="1:16" ht="17.100000000000001" customHeight="1" x14ac:dyDescent="0.2">
      <c r="A213" s="54"/>
      <c r="B213" s="182" t="s">
        <v>985</v>
      </c>
      <c r="C213" s="183"/>
      <c r="D213" s="36" t="s">
        <v>126</v>
      </c>
      <c r="E213" s="54"/>
      <c r="F213" s="54"/>
      <c r="G213" s="54"/>
    </row>
    <row r="214" spans="1:16" ht="18" customHeight="1" x14ac:dyDescent="0.2">
      <c r="A214" s="54"/>
      <c r="B214" s="60"/>
      <c r="C214" s="60"/>
      <c r="D214" s="60"/>
      <c r="E214" s="54"/>
      <c r="F214" s="54"/>
      <c r="G214" s="54"/>
    </row>
    <row r="215" spans="1:16" s="82" customFormat="1" x14ac:dyDescent="0.2">
      <c r="B215" s="177" t="s">
        <v>936</v>
      </c>
      <c r="C215" s="177"/>
      <c r="D215" s="177"/>
      <c r="E215" s="177"/>
      <c r="F215" s="177"/>
      <c r="I215" s="70"/>
      <c r="J215" s="70"/>
      <c r="K215" s="70"/>
      <c r="L215" s="70"/>
      <c r="M215" s="70"/>
      <c r="N215" s="70"/>
      <c r="O215" s="70"/>
      <c r="P215" s="70"/>
    </row>
    <row r="216" spans="1:16" ht="14.1" customHeight="1" x14ac:dyDescent="0.2">
      <c r="A216" s="54"/>
      <c r="B216" s="58"/>
      <c r="C216" s="58"/>
      <c r="D216" s="54"/>
      <c r="E216" s="54"/>
      <c r="F216" s="54"/>
      <c r="G216" s="54"/>
    </row>
    <row r="217" spans="1:16" ht="29.1" customHeight="1" x14ac:dyDescent="0.2">
      <c r="A217" s="54"/>
      <c r="B217" s="182" t="s">
        <v>137</v>
      </c>
      <c r="C217" s="183"/>
      <c r="D217" s="2" t="s">
        <v>937</v>
      </c>
      <c r="E217" s="61"/>
      <c r="F217" s="54"/>
      <c r="G217" s="54"/>
    </row>
    <row r="218" spans="1:16" ht="29.1" customHeight="1" x14ac:dyDescent="0.2">
      <c r="A218" s="54"/>
      <c r="B218" s="182" t="s">
        <v>138</v>
      </c>
      <c r="C218" s="183"/>
      <c r="D218" s="36" t="s">
        <v>126</v>
      </c>
      <c r="E218" s="61"/>
      <c r="F218" s="54"/>
      <c r="G218" s="54"/>
    </row>
    <row r="219" spans="1:16" ht="17.100000000000001" customHeight="1" x14ac:dyDescent="0.2">
      <c r="A219" s="54"/>
      <c r="B219" s="179" t="s">
        <v>939</v>
      </c>
      <c r="C219" s="180"/>
      <c r="D219" s="62">
        <v>0.19900000000000001</v>
      </c>
      <c r="E219" s="61"/>
      <c r="F219" s="54"/>
      <c r="G219" s="54"/>
    </row>
    <row r="220" spans="1:16" ht="17.100000000000001" customHeight="1" x14ac:dyDescent="0.2">
      <c r="A220" s="54"/>
      <c r="B220" s="179" t="s">
        <v>940</v>
      </c>
      <c r="C220" s="180"/>
      <c r="D220" s="62">
        <v>0.19</v>
      </c>
      <c r="E220" s="61"/>
      <c r="F220" s="54"/>
      <c r="G220" s="54"/>
    </row>
    <row r="221" spans="1:16" ht="17.100000000000001" customHeight="1" x14ac:dyDescent="0.2">
      <c r="A221" s="54"/>
      <c r="B221" s="182" t="s">
        <v>819</v>
      </c>
      <c r="C221" s="183"/>
      <c r="D221" s="36" t="s">
        <v>126</v>
      </c>
      <c r="E221" s="61"/>
      <c r="F221" s="54"/>
      <c r="G221" s="54"/>
    </row>
    <row r="222" spans="1:16" ht="17.100000000000001" customHeight="1" x14ac:dyDescent="0.2">
      <c r="A222" s="54"/>
      <c r="B222" s="184" t="s">
        <v>943</v>
      </c>
      <c r="C222" s="185"/>
      <c r="D222" s="27">
        <v>4.0000656907923409</v>
      </c>
      <c r="E222" s="54"/>
      <c r="F222" s="58"/>
      <c r="G222" s="59"/>
    </row>
    <row r="223" spans="1:16" ht="11.1" customHeight="1" x14ac:dyDescent="0.2">
      <c r="A223" s="60"/>
      <c r="B223" s="60"/>
      <c r="C223" s="60"/>
      <c r="D223" s="60"/>
      <c r="E223" s="60"/>
      <c r="F223" s="60"/>
      <c r="G223" s="60"/>
    </row>
  </sheetData>
  <mergeCells count="19">
    <mergeCell ref="A1:H1"/>
    <mergeCell ref="A2:H2"/>
    <mergeCell ref="A3:H3"/>
    <mergeCell ref="B215:F215"/>
    <mergeCell ref="B218:C218"/>
    <mergeCell ref="B217:C217"/>
    <mergeCell ref="B198:F198"/>
    <mergeCell ref="B199:F199"/>
    <mergeCell ref="B200:F200"/>
    <mergeCell ref="B202:D202"/>
    <mergeCell ref="B203:C203"/>
    <mergeCell ref="B204:C204"/>
    <mergeCell ref="B205:C205"/>
    <mergeCell ref="B213:C213"/>
    <mergeCell ref="B219:C219"/>
    <mergeCell ref="B220:C220"/>
    <mergeCell ref="B221:C221"/>
    <mergeCell ref="J2:N2"/>
    <mergeCell ref="B222:C222"/>
  </mergeCells>
  <pageMargins left="5.000000074505806E-2" right="5.000000074505806E-2" top="0.30000001192092896" bottom="0.20000000298023224" header="0" footer="0"/>
  <pageSetup paperSize="9"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51B-22CD-4CA4-AC70-0C09B40B57FA}">
  <sheetPr>
    <outlinePr summaryBelow="0" summaryRight="0"/>
  </sheetPr>
  <dimension ref="A1:Q187"/>
  <sheetViews>
    <sheetView showGridLines="0" workbookViewId="0">
      <selection activeCell="A15" sqref="A1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140625" customWidth="1"/>
    <col min="9" max="9" width="12" bestFit="1" customWidth="1"/>
    <col min="10" max="17" width="9.140625" style="70"/>
    <col min="254" max="254" width="6.85546875" customWidth="1"/>
    <col min="255" max="255" width="20.5703125" customWidth="1"/>
    <col min="256" max="256" width="34.28515625" customWidth="1"/>
    <col min="257" max="257" width="17.85546875" customWidth="1"/>
    <col min="258" max="259" width="19.140625" customWidth="1"/>
    <col min="260" max="260" width="16.42578125" customWidth="1"/>
    <col min="510" max="510" width="6.85546875" customWidth="1"/>
    <col min="511" max="511" width="20.5703125" customWidth="1"/>
    <col min="512" max="512" width="34.28515625" customWidth="1"/>
    <col min="513" max="513" width="17.85546875" customWidth="1"/>
    <col min="514" max="515" width="19.140625" customWidth="1"/>
    <col min="516" max="516" width="16.42578125" customWidth="1"/>
    <col min="766" max="766" width="6.85546875" customWidth="1"/>
    <col min="767" max="767" width="20.5703125" customWidth="1"/>
    <col min="768" max="768" width="34.28515625" customWidth="1"/>
    <col min="769" max="769" width="17.85546875" customWidth="1"/>
    <col min="770" max="771" width="19.140625" customWidth="1"/>
    <col min="772" max="772" width="16.42578125" customWidth="1"/>
    <col min="1022" max="1022" width="6.85546875" customWidth="1"/>
    <col min="1023" max="1023" width="20.5703125" customWidth="1"/>
    <col min="1024" max="1024" width="34.28515625" customWidth="1"/>
    <col min="1025" max="1025" width="17.85546875" customWidth="1"/>
    <col min="1026" max="1027" width="19.140625" customWidth="1"/>
    <col min="1028" max="1028" width="16.42578125" customWidth="1"/>
    <col min="1278" max="1278" width="6.85546875" customWidth="1"/>
    <col min="1279" max="1279" width="20.5703125" customWidth="1"/>
    <col min="1280" max="1280" width="34.28515625" customWidth="1"/>
    <col min="1281" max="1281" width="17.85546875" customWidth="1"/>
    <col min="1282" max="1283" width="19.140625" customWidth="1"/>
    <col min="1284" max="1284" width="16.42578125" customWidth="1"/>
    <col min="1534" max="1534" width="6.85546875" customWidth="1"/>
    <col min="1535" max="1535" width="20.5703125" customWidth="1"/>
    <col min="1536" max="1536" width="34.28515625" customWidth="1"/>
    <col min="1537" max="1537" width="17.85546875" customWidth="1"/>
    <col min="1538" max="1539" width="19.140625" customWidth="1"/>
    <col min="1540" max="1540" width="16.42578125" customWidth="1"/>
    <col min="1790" max="1790" width="6.85546875" customWidth="1"/>
    <col min="1791" max="1791" width="20.5703125" customWidth="1"/>
    <col min="1792" max="1792" width="34.28515625" customWidth="1"/>
    <col min="1793" max="1793" width="17.85546875" customWidth="1"/>
    <col min="1794" max="1795" width="19.140625" customWidth="1"/>
    <col min="1796" max="1796" width="16.42578125" customWidth="1"/>
    <col min="2046" max="2046" width="6.85546875" customWidth="1"/>
    <col min="2047" max="2047" width="20.5703125" customWidth="1"/>
    <col min="2048" max="2048" width="34.28515625" customWidth="1"/>
    <col min="2049" max="2049" width="17.85546875" customWidth="1"/>
    <col min="2050" max="2051" width="19.140625" customWidth="1"/>
    <col min="2052" max="2052" width="16.42578125" customWidth="1"/>
    <col min="2302" max="2302" width="6.85546875" customWidth="1"/>
    <col min="2303" max="2303" width="20.5703125" customWidth="1"/>
    <col min="2304" max="2304" width="34.28515625" customWidth="1"/>
    <col min="2305" max="2305" width="17.85546875" customWidth="1"/>
    <col min="2306" max="2307" width="19.140625" customWidth="1"/>
    <col min="2308" max="2308" width="16.42578125" customWidth="1"/>
    <col min="2558" max="2558" width="6.85546875" customWidth="1"/>
    <col min="2559" max="2559" width="20.5703125" customWidth="1"/>
    <col min="2560" max="2560" width="34.28515625" customWidth="1"/>
    <col min="2561" max="2561" width="17.85546875" customWidth="1"/>
    <col min="2562" max="2563" width="19.140625" customWidth="1"/>
    <col min="2564" max="2564" width="16.42578125" customWidth="1"/>
    <col min="2814" max="2814" width="6.85546875" customWidth="1"/>
    <col min="2815" max="2815" width="20.5703125" customWidth="1"/>
    <col min="2816" max="2816" width="34.28515625" customWidth="1"/>
    <col min="2817" max="2817" width="17.85546875" customWidth="1"/>
    <col min="2818" max="2819" width="19.140625" customWidth="1"/>
    <col min="2820" max="2820" width="16.42578125" customWidth="1"/>
    <col min="3070" max="3070" width="6.85546875" customWidth="1"/>
    <col min="3071" max="3071" width="20.5703125" customWidth="1"/>
    <col min="3072" max="3072" width="34.28515625" customWidth="1"/>
    <col min="3073" max="3073" width="17.85546875" customWidth="1"/>
    <col min="3074" max="3075" width="19.140625" customWidth="1"/>
    <col min="3076" max="3076" width="16.42578125" customWidth="1"/>
    <col min="3326" max="3326" width="6.85546875" customWidth="1"/>
    <col min="3327" max="3327" width="20.5703125" customWidth="1"/>
    <col min="3328" max="3328" width="34.28515625" customWidth="1"/>
    <col min="3329" max="3329" width="17.85546875" customWidth="1"/>
    <col min="3330" max="3331" width="19.140625" customWidth="1"/>
    <col min="3332" max="3332" width="16.42578125" customWidth="1"/>
    <col min="3582" max="3582" width="6.85546875" customWidth="1"/>
    <col min="3583" max="3583" width="20.5703125" customWidth="1"/>
    <col min="3584" max="3584" width="34.28515625" customWidth="1"/>
    <col min="3585" max="3585" width="17.85546875" customWidth="1"/>
    <col min="3586" max="3587" width="19.140625" customWidth="1"/>
    <col min="3588" max="3588" width="16.42578125" customWidth="1"/>
    <col min="3838" max="3838" width="6.85546875" customWidth="1"/>
    <col min="3839" max="3839" width="20.5703125" customWidth="1"/>
    <col min="3840" max="3840" width="34.28515625" customWidth="1"/>
    <col min="3841" max="3841" width="17.85546875" customWidth="1"/>
    <col min="3842" max="3843" width="19.140625" customWidth="1"/>
    <col min="3844" max="3844" width="16.42578125" customWidth="1"/>
    <col min="4094" max="4094" width="6.85546875" customWidth="1"/>
    <col min="4095" max="4095" width="20.5703125" customWidth="1"/>
    <col min="4096" max="4096" width="34.28515625" customWidth="1"/>
    <col min="4097" max="4097" width="17.85546875" customWidth="1"/>
    <col min="4098" max="4099" width="19.140625" customWidth="1"/>
    <col min="4100" max="4100" width="16.42578125" customWidth="1"/>
    <col min="4350" max="4350" width="6.85546875" customWidth="1"/>
    <col min="4351" max="4351" width="20.5703125" customWidth="1"/>
    <col min="4352" max="4352" width="34.28515625" customWidth="1"/>
    <col min="4353" max="4353" width="17.85546875" customWidth="1"/>
    <col min="4354" max="4355" width="19.140625" customWidth="1"/>
    <col min="4356" max="4356" width="16.42578125" customWidth="1"/>
    <col min="4606" max="4606" width="6.85546875" customWidth="1"/>
    <col min="4607" max="4607" width="20.5703125" customWidth="1"/>
    <col min="4608" max="4608" width="34.28515625" customWidth="1"/>
    <col min="4609" max="4609" width="17.85546875" customWidth="1"/>
    <col min="4610" max="4611" width="19.140625" customWidth="1"/>
    <col min="4612" max="4612" width="16.42578125" customWidth="1"/>
    <col min="4862" max="4862" width="6.85546875" customWidth="1"/>
    <col min="4863" max="4863" width="20.5703125" customWidth="1"/>
    <col min="4864" max="4864" width="34.28515625" customWidth="1"/>
    <col min="4865" max="4865" width="17.85546875" customWidth="1"/>
    <col min="4866" max="4867" width="19.140625" customWidth="1"/>
    <col min="4868" max="4868" width="16.42578125" customWidth="1"/>
    <col min="5118" max="5118" width="6.85546875" customWidth="1"/>
    <col min="5119" max="5119" width="20.5703125" customWidth="1"/>
    <col min="5120" max="5120" width="34.28515625" customWidth="1"/>
    <col min="5121" max="5121" width="17.85546875" customWidth="1"/>
    <col min="5122" max="5123" width="19.140625" customWidth="1"/>
    <col min="5124" max="5124" width="16.42578125" customWidth="1"/>
    <col min="5374" max="5374" width="6.85546875" customWidth="1"/>
    <col min="5375" max="5375" width="20.5703125" customWidth="1"/>
    <col min="5376" max="5376" width="34.28515625" customWidth="1"/>
    <col min="5377" max="5377" width="17.85546875" customWidth="1"/>
    <col min="5378" max="5379" width="19.140625" customWidth="1"/>
    <col min="5380" max="5380" width="16.42578125" customWidth="1"/>
    <col min="5630" max="5630" width="6.85546875" customWidth="1"/>
    <col min="5631" max="5631" width="20.5703125" customWidth="1"/>
    <col min="5632" max="5632" width="34.28515625" customWidth="1"/>
    <col min="5633" max="5633" width="17.85546875" customWidth="1"/>
    <col min="5634" max="5635" width="19.140625" customWidth="1"/>
    <col min="5636" max="5636" width="16.42578125" customWidth="1"/>
    <col min="5886" max="5886" width="6.85546875" customWidth="1"/>
    <col min="5887" max="5887" width="20.5703125" customWidth="1"/>
    <col min="5888" max="5888" width="34.28515625" customWidth="1"/>
    <col min="5889" max="5889" width="17.85546875" customWidth="1"/>
    <col min="5890" max="5891" width="19.140625" customWidth="1"/>
    <col min="5892" max="5892" width="16.42578125" customWidth="1"/>
    <col min="6142" max="6142" width="6.85546875" customWidth="1"/>
    <col min="6143" max="6143" width="20.5703125" customWidth="1"/>
    <col min="6144" max="6144" width="34.28515625" customWidth="1"/>
    <col min="6145" max="6145" width="17.85546875" customWidth="1"/>
    <col min="6146" max="6147" width="19.140625" customWidth="1"/>
    <col min="6148" max="6148" width="16.42578125" customWidth="1"/>
    <col min="6398" max="6398" width="6.85546875" customWidth="1"/>
    <col min="6399" max="6399" width="20.5703125" customWidth="1"/>
    <col min="6400" max="6400" width="34.28515625" customWidth="1"/>
    <col min="6401" max="6401" width="17.85546875" customWidth="1"/>
    <col min="6402" max="6403" width="19.140625" customWidth="1"/>
    <col min="6404" max="6404" width="16.42578125" customWidth="1"/>
    <col min="6654" max="6654" width="6.85546875" customWidth="1"/>
    <col min="6655" max="6655" width="20.5703125" customWidth="1"/>
    <col min="6656" max="6656" width="34.28515625" customWidth="1"/>
    <col min="6657" max="6657" width="17.85546875" customWidth="1"/>
    <col min="6658" max="6659" width="19.140625" customWidth="1"/>
    <col min="6660" max="6660" width="16.42578125" customWidth="1"/>
    <col min="6910" max="6910" width="6.85546875" customWidth="1"/>
    <col min="6911" max="6911" width="20.5703125" customWidth="1"/>
    <col min="6912" max="6912" width="34.28515625" customWidth="1"/>
    <col min="6913" max="6913" width="17.85546875" customWidth="1"/>
    <col min="6914" max="6915" width="19.140625" customWidth="1"/>
    <col min="6916" max="6916" width="16.42578125" customWidth="1"/>
    <col min="7166" max="7166" width="6.85546875" customWidth="1"/>
    <col min="7167" max="7167" width="20.5703125" customWidth="1"/>
    <col min="7168" max="7168" width="34.28515625" customWidth="1"/>
    <col min="7169" max="7169" width="17.85546875" customWidth="1"/>
    <col min="7170" max="7171" width="19.140625" customWidth="1"/>
    <col min="7172" max="7172" width="16.42578125" customWidth="1"/>
    <col min="7422" max="7422" width="6.85546875" customWidth="1"/>
    <col min="7423" max="7423" width="20.5703125" customWidth="1"/>
    <col min="7424" max="7424" width="34.28515625" customWidth="1"/>
    <col min="7425" max="7425" width="17.85546875" customWidth="1"/>
    <col min="7426" max="7427" width="19.140625" customWidth="1"/>
    <col min="7428" max="7428" width="16.42578125" customWidth="1"/>
    <col min="7678" max="7678" width="6.85546875" customWidth="1"/>
    <col min="7679" max="7679" width="20.5703125" customWidth="1"/>
    <col min="7680" max="7680" width="34.28515625" customWidth="1"/>
    <col min="7681" max="7681" width="17.85546875" customWidth="1"/>
    <col min="7682" max="7683" width="19.140625" customWidth="1"/>
    <col min="7684" max="7684" width="16.42578125" customWidth="1"/>
    <col min="7934" max="7934" width="6.85546875" customWidth="1"/>
    <col min="7935" max="7935" width="20.5703125" customWidth="1"/>
    <col min="7936" max="7936" width="34.28515625" customWidth="1"/>
    <col min="7937" max="7937" width="17.85546875" customWidth="1"/>
    <col min="7938" max="7939" width="19.140625" customWidth="1"/>
    <col min="7940" max="7940" width="16.42578125" customWidth="1"/>
    <col min="8190" max="8190" width="6.85546875" customWidth="1"/>
    <col min="8191" max="8191" width="20.5703125" customWidth="1"/>
    <col min="8192" max="8192" width="34.28515625" customWidth="1"/>
    <col min="8193" max="8193" width="17.85546875" customWidth="1"/>
    <col min="8194" max="8195" width="19.140625" customWidth="1"/>
    <col min="8196" max="8196" width="16.42578125" customWidth="1"/>
    <col min="8446" max="8446" width="6.85546875" customWidth="1"/>
    <col min="8447" max="8447" width="20.5703125" customWidth="1"/>
    <col min="8448" max="8448" width="34.28515625" customWidth="1"/>
    <col min="8449" max="8449" width="17.85546875" customWidth="1"/>
    <col min="8450" max="8451" width="19.140625" customWidth="1"/>
    <col min="8452" max="8452" width="16.42578125" customWidth="1"/>
    <col min="8702" max="8702" width="6.85546875" customWidth="1"/>
    <col min="8703" max="8703" width="20.5703125" customWidth="1"/>
    <col min="8704" max="8704" width="34.28515625" customWidth="1"/>
    <col min="8705" max="8705" width="17.85546875" customWidth="1"/>
    <col min="8706" max="8707" width="19.140625" customWidth="1"/>
    <col min="8708" max="8708" width="16.42578125" customWidth="1"/>
    <col min="8958" max="8958" width="6.85546875" customWidth="1"/>
    <col min="8959" max="8959" width="20.5703125" customWidth="1"/>
    <col min="8960" max="8960" width="34.28515625" customWidth="1"/>
    <col min="8961" max="8961" width="17.85546875" customWidth="1"/>
    <col min="8962" max="8963" width="19.140625" customWidth="1"/>
    <col min="8964" max="8964" width="16.42578125" customWidth="1"/>
    <col min="9214" max="9214" width="6.85546875" customWidth="1"/>
    <col min="9215" max="9215" width="20.5703125" customWidth="1"/>
    <col min="9216" max="9216" width="34.28515625" customWidth="1"/>
    <col min="9217" max="9217" width="17.85546875" customWidth="1"/>
    <col min="9218" max="9219" width="19.140625" customWidth="1"/>
    <col min="9220" max="9220" width="16.42578125" customWidth="1"/>
    <col min="9470" max="9470" width="6.85546875" customWidth="1"/>
    <col min="9471" max="9471" width="20.5703125" customWidth="1"/>
    <col min="9472" max="9472" width="34.28515625" customWidth="1"/>
    <col min="9473" max="9473" width="17.85546875" customWidth="1"/>
    <col min="9474" max="9475" width="19.140625" customWidth="1"/>
    <col min="9476" max="9476" width="16.42578125" customWidth="1"/>
    <col min="9726" max="9726" width="6.85546875" customWidth="1"/>
    <col min="9727" max="9727" width="20.5703125" customWidth="1"/>
    <col min="9728" max="9728" width="34.28515625" customWidth="1"/>
    <col min="9729" max="9729" width="17.85546875" customWidth="1"/>
    <col min="9730" max="9731" width="19.140625" customWidth="1"/>
    <col min="9732" max="9732" width="16.42578125" customWidth="1"/>
    <col min="9982" max="9982" width="6.85546875" customWidth="1"/>
    <col min="9983" max="9983" width="20.5703125" customWidth="1"/>
    <col min="9984" max="9984" width="34.28515625" customWidth="1"/>
    <col min="9985" max="9985" width="17.85546875" customWidth="1"/>
    <col min="9986" max="9987" width="19.140625" customWidth="1"/>
    <col min="9988" max="9988" width="16.42578125" customWidth="1"/>
    <col min="10238" max="10238" width="6.85546875" customWidth="1"/>
    <col min="10239" max="10239" width="20.5703125" customWidth="1"/>
    <col min="10240" max="10240" width="34.28515625" customWidth="1"/>
    <col min="10241" max="10241" width="17.85546875" customWidth="1"/>
    <col min="10242" max="10243" width="19.140625" customWidth="1"/>
    <col min="10244" max="10244" width="16.42578125" customWidth="1"/>
    <col min="10494" max="10494" width="6.85546875" customWidth="1"/>
    <col min="10495" max="10495" width="20.5703125" customWidth="1"/>
    <col min="10496" max="10496" width="34.28515625" customWidth="1"/>
    <col min="10497" max="10497" width="17.85546875" customWidth="1"/>
    <col min="10498" max="10499" width="19.140625" customWidth="1"/>
    <col min="10500" max="10500" width="16.42578125" customWidth="1"/>
    <col min="10750" max="10750" width="6.85546875" customWidth="1"/>
    <col min="10751" max="10751" width="20.5703125" customWidth="1"/>
    <col min="10752" max="10752" width="34.28515625" customWidth="1"/>
    <col min="10753" max="10753" width="17.85546875" customWidth="1"/>
    <col min="10754" max="10755" width="19.140625" customWidth="1"/>
    <col min="10756" max="10756" width="16.42578125" customWidth="1"/>
    <col min="11006" max="11006" width="6.85546875" customWidth="1"/>
    <col min="11007" max="11007" width="20.5703125" customWidth="1"/>
    <col min="11008" max="11008" width="34.28515625" customWidth="1"/>
    <col min="11009" max="11009" width="17.85546875" customWidth="1"/>
    <col min="11010" max="11011" width="19.140625" customWidth="1"/>
    <col min="11012" max="11012" width="16.42578125" customWidth="1"/>
    <col min="11262" max="11262" width="6.85546875" customWidth="1"/>
    <col min="11263" max="11263" width="20.5703125" customWidth="1"/>
    <col min="11264" max="11264" width="34.28515625" customWidth="1"/>
    <col min="11265" max="11265" width="17.85546875" customWidth="1"/>
    <col min="11266" max="11267" width="19.140625" customWidth="1"/>
    <col min="11268" max="11268" width="16.42578125" customWidth="1"/>
    <col min="11518" max="11518" width="6.85546875" customWidth="1"/>
    <col min="11519" max="11519" width="20.5703125" customWidth="1"/>
    <col min="11520" max="11520" width="34.28515625" customWidth="1"/>
    <col min="11521" max="11521" width="17.85546875" customWidth="1"/>
    <col min="11522" max="11523" width="19.140625" customWidth="1"/>
    <col min="11524" max="11524" width="16.42578125" customWidth="1"/>
    <col min="11774" max="11774" width="6.85546875" customWidth="1"/>
    <col min="11775" max="11775" width="20.5703125" customWidth="1"/>
    <col min="11776" max="11776" width="34.28515625" customWidth="1"/>
    <col min="11777" max="11777" width="17.85546875" customWidth="1"/>
    <col min="11778" max="11779" width="19.140625" customWidth="1"/>
    <col min="11780" max="11780" width="16.42578125" customWidth="1"/>
    <col min="12030" max="12030" width="6.85546875" customWidth="1"/>
    <col min="12031" max="12031" width="20.5703125" customWidth="1"/>
    <col min="12032" max="12032" width="34.28515625" customWidth="1"/>
    <col min="12033" max="12033" width="17.85546875" customWidth="1"/>
    <col min="12034" max="12035" width="19.140625" customWidth="1"/>
    <col min="12036" max="12036" width="16.42578125" customWidth="1"/>
    <col min="12286" max="12286" width="6.85546875" customWidth="1"/>
    <col min="12287" max="12287" width="20.5703125" customWidth="1"/>
    <col min="12288" max="12288" width="34.28515625" customWidth="1"/>
    <col min="12289" max="12289" width="17.85546875" customWidth="1"/>
    <col min="12290" max="12291" width="19.140625" customWidth="1"/>
    <col min="12292" max="12292" width="16.42578125" customWidth="1"/>
    <col min="12542" max="12542" width="6.85546875" customWidth="1"/>
    <col min="12543" max="12543" width="20.5703125" customWidth="1"/>
    <col min="12544" max="12544" width="34.28515625" customWidth="1"/>
    <col min="12545" max="12545" width="17.85546875" customWidth="1"/>
    <col min="12546" max="12547" width="19.140625" customWidth="1"/>
    <col min="12548" max="12548" width="16.42578125" customWidth="1"/>
    <col min="12798" max="12798" width="6.85546875" customWidth="1"/>
    <col min="12799" max="12799" width="20.5703125" customWidth="1"/>
    <col min="12800" max="12800" width="34.28515625" customWidth="1"/>
    <col min="12801" max="12801" width="17.85546875" customWidth="1"/>
    <col min="12802" max="12803" width="19.140625" customWidth="1"/>
    <col min="12804" max="12804" width="16.42578125" customWidth="1"/>
    <col min="13054" max="13054" width="6.85546875" customWidth="1"/>
    <col min="13055" max="13055" width="20.5703125" customWidth="1"/>
    <col min="13056" max="13056" width="34.28515625" customWidth="1"/>
    <col min="13057" max="13057" width="17.85546875" customWidth="1"/>
    <col min="13058" max="13059" width="19.140625" customWidth="1"/>
    <col min="13060" max="13060" width="16.42578125" customWidth="1"/>
    <col min="13310" max="13310" width="6.85546875" customWidth="1"/>
    <col min="13311" max="13311" width="20.5703125" customWidth="1"/>
    <col min="13312" max="13312" width="34.28515625" customWidth="1"/>
    <col min="13313" max="13313" width="17.85546875" customWidth="1"/>
    <col min="13314" max="13315" width="19.140625" customWidth="1"/>
    <col min="13316" max="13316" width="16.42578125" customWidth="1"/>
    <col min="13566" max="13566" width="6.85546875" customWidth="1"/>
    <col min="13567" max="13567" width="20.5703125" customWidth="1"/>
    <col min="13568" max="13568" width="34.28515625" customWidth="1"/>
    <col min="13569" max="13569" width="17.85546875" customWidth="1"/>
    <col min="13570" max="13571" width="19.140625" customWidth="1"/>
    <col min="13572" max="13572" width="16.42578125" customWidth="1"/>
    <col min="13822" max="13822" width="6.85546875" customWidth="1"/>
    <col min="13823" max="13823" width="20.5703125" customWidth="1"/>
    <col min="13824" max="13824" width="34.28515625" customWidth="1"/>
    <col min="13825" max="13825" width="17.85546875" customWidth="1"/>
    <col min="13826" max="13827" width="19.140625" customWidth="1"/>
    <col min="13828" max="13828" width="16.42578125" customWidth="1"/>
    <col min="14078" max="14078" width="6.85546875" customWidth="1"/>
    <col min="14079" max="14079" width="20.5703125" customWidth="1"/>
    <col min="14080" max="14080" width="34.28515625" customWidth="1"/>
    <col min="14081" max="14081" width="17.85546875" customWidth="1"/>
    <col min="14082" max="14083" width="19.140625" customWidth="1"/>
    <col min="14084" max="14084" width="16.42578125" customWidth="1"/>
    <col min="14334" max="14334" width="6.85546875" customWidth="1"/>
    <col min="14335" max="14335" width="20.5703125" customWidth="1"/>
    <col min="14336" max="14336" width="34.28515625" customWidth="1"/>
    <col min="14337" max="14337" width="17.85546875" customWidth="1"/>
    <col min="14338" max="14339" width="19.140625" customWidth="1"/>
    <col min="14340" max="14340" width="16.42578125" customWidth="1"/>
    <col min="14590" max="14590" width="6.85546875" customWidth="1"/>
    <col min="14591" max="14591" width="20.5703125" customWidth="1"/>
    <col min="14592" max="14592" width="34.28515625" customWidth="1"/>
    <col min="14593" max="14593" width="17.85546875" customWidth="1"/>
    <col min="14594" max="14595" width="19.140625" customWidth="1"/>
    <col min="14596" max="14596" width="16.42578125" customWidth="1"/>
    <col min="14846" max="14846" width="6.85546875" customWidth="1"/>
    <col min="14847" max="14847" width="20.5703125" customWidth="1"/>
    <col min="14848" max="14848" width="34.28515625" customWidth="1"/>
    <col min="14849" max="14849" width="17.85546875" customWidth="1"/>
    <col min="14850" max="14851" width="19.140625" customWidth="1"/>
    <col min="14852" max="14852" width="16.42578125" customWidth="1"/>
    <col min="15102" max="15102" width="6.85546875" customWidth="1"/>
    <col min="15103" max="15103" width="20.5703125" customWidth="1"/>
    <col min="15104" max="15104" width="34.28515625" customWidth="1"/>
    <col min="15105" max="15105" width="17.85546875" customWidth="1"/>
    <col min="15106" max="15107" width="19.140625" customWidth="1"/>
    <col min="15108" max="15108" width="16.42578125" customWidth="1"/>
    <col min="15358" max="15358" width="6.85546875" customWidth="1"/>
    <col min="15359" max="15359" width="20.5703125" customWidth="1"/>
    <col min="15360" max="15360" width="34.28515625" customWidth="1"/>
    <col min="15361" max="15361" width="17.85546875" customWidth="1"/>
    <col min="15362" max="15363" width="19.140625" customWidth="1"/>
    <col min="15364" max="15364" width="16.42578125" customWidth="1"/>
    <col min="15614" max="15614" width="6.85546875" customWidth="1"/>
    <col min="15615" max="15615" width="20.5703125" customWidth="1"/>
    <col min="15616" max="15616" width="34.28515625" customWidth="1"/>
    <col min="15617" max="15617" width="17.85546875" customWidth="1"/>
    <col min="15618" max="15619" width="19.140625" customWidth="1"/>
    <col min="15620" max="15620" width="16.42578125" customWidth="1"/>
    <col min="15870" max="15870" width="6.85546875" customWidth="1"/>
    <col min="15871" max="15871" width="20.5703125" customWidth="1"/>
    <col min="15872" max="15872" width="34.28515625" customWidth="1"/>
    <col min="15873" max="15873" width="17.85546875" customWidth="1"/>
    <col min="15874" max="15875" width="19.140625" customWidth="1"/>
    <col min="15876" max="15876" width="16.42578125" customWidth="1"/>
    <col min="16126" max="16126" width="6.85546875" customWidth="1"/>
    <col min="16127" max="16127" width="20.5703125" customWidth="1"/>
    <col min="16128" max="16128" width="34.28515625" customWidth="1"/>
    <col min="16129" max="16129" width="17.85546875" customWidth="1"/>
    <col min="16130" max="16131" width="19.140625" customWidth="1"/>
    <col min="16132" max="16132" width="16.42578125" customWidth="1"/>
  </cols>
  <sheetData>
    <row r="1" spans="1:17" ht="18" customHeight="1" x14ac:dyDescent="0.2">
      <c r="A1" s="193" t="s">
        <v>0</v>
      </c>
      <c r="B1" s="193"/>
      <c r="C1" s="193"/>
      <c r="D1" s="193"/>
      <c r="E1" s="193"/>
      <c r="F1" s="193"/>
      <c r="G1" s="193"/>
      <c r="H1" s="193"/>
      <c r="I1" s="193"/>
    </row>
    <row r="2" spans="1:17" ht="17.100000000000001" customHeight="1" x14ac:dyDescent="0.2">
      <c r="A2" s="193" t="s">
        <v>777</v>
      </c>
      <c r="B2" s="193"/>
      <c r="C2" s="193"/>
      <c r="D2" s="193"/>
      <c r="E2" s="193"/>
      <c r="F2" s="193"/>
      <c r="G2" s="193"/>
      <c r="H2" s="193"/>
      <c r="I2" s="193"/>
      <c r="K2" s="171" t="s">
        <v>1009</v>
      </c>
      <c r="L2" s="171"/>
      <c r="M2" s="171"/>
      <c r="N2" s="171"/>
      <c r="O2" s="171"/>
    </row>
    <row r="3" spans="1:17" ht="21" customHeight="1" x14ac:dyDescent="0.2">
      <c r="A3" s="193" t="s">
        <v>950</v>
      </c>
      <c r="B3" s="193"/>
      <c r="C3" s="193"/>
      <c r="D3" s="193"/>
      <c r="E3" s="193"/>
      <c r="F3" s="193"/>
      <c r="G3" s="193"/>
      <c r="H3" s="193"/>
      <c r="I3" s="193"/>
    </row>
    <row r="4" spans="1:17" s="103" customFormat="1" ht="30" x14ac:dyDescent="0.2">
      <c r="A4" s="104" t="s">
        <v>2</v>
      </c>
      <c r="B4" s="104" t="s">
        <v>3</v>
      </c>
      <c r="C4" s="104" t="s">
        <v>4</v>
      </c>
      <c r="D4" s="104" t="s">
        <v>5</v>
      </c>
      <c r="E4" s="104" t="s">
        <v>6</v>
      </c>
      <c r="F4" s="104" t="s">
        <v>7</v>
      </c>
      <c r="G4" s="104" t="s">
        <v>8</v>
      </c>
      <c r="H4" s="93" t="s">
        <v>949</v>
      </c>
      <c r="I4" s="102" t="s">
        <v>973</v>
      </c>
      <c r="J4" s="161"/>
      <c r="K4" s="161"/>
      <c r="L4" s="161"/>
      <c r="M4" s="161"/>
      <c r="N4" s="161"/>
      <c r="O4" s="161"/>
      <c r="P4" s="161"/>
      <c r="Q4" s="161"/>
    </row>
    <row r="5" spans="1:17" x14ac:dyDescent="0.2">
      <c r="A5" s="35"/>
      <c r="B5" s="35"/>
      <c r="C5" s="36" t="s">
        <v>9</v>
      </c>
      <c r="D5" s="35"/>
      <c r="E5" s="35"/>
      <c r="F5" s="35"/>
      <c r="G5" s="35"/>
      <c r="H5" s="40"/>
      <c r="I5" s="76"/>
    </row>
    <row r="6" spans="1:17" ht="25.5" x14ac:dyDescent="0.2">
      <c r="A6" s="35"/>
      <c r="B6" s="35"/>
      <c r="C6" s="36" t="s">
        <v>10</v>
      </c>
      <c r="D6" s="35"/>
      <c r="E6" s="35"/>
      <c r="F6" s="35"/>
      <c r="G6" s="35"/>
      <c r="H6" s="40"/>
      <c r="I6" s="76"/>
    </row>
    <row r="7" spans="1:17" x14ac:dyDescent="0.2">
      <c r="A7" s="37">
        <v>1</v>
      </c>
      <c r="B7" s="38" t="s">
        <v>412</v>
      </c>
      <c r="C7" s="38" t="s">
        <v>413</v>
      </c>
      <c r="D7" s="38" t="s">
        <v>155</v>
      </c>
      <c r="E7" s="39">
        <v>614877</v>
      </c>
      <c r="F7" s="40">
        <v>10530.690940500001</v>
      </c>
      <c r="G7" s="41">
        <v>5.3892799999999998E-2</v>
      </c>
      <c r="H7" s="40"/>
      <c r="I7" s="76"/>
    </row>
    <row r="8" spans="1:17" x14ac:dyDescent="0.2">
      <c r="A8" s="37">
        <v>2</v>
      </c>
      <c r="B8" s="38" t="s">
        <v>410</v>
      </c>
      <c r="C8" s="38" t="s">
        <v>411</v>
      </c>
      <c r="D8" s="38" t="s">
        <v>22</v>
      </c>
      <c r="E8" s="39">
        <v>613861</v>
      </c>
      <c r="F8" s="40">
        <v>9168.3209654999991</v>
      </c>
      <c r="G8" s="41">
        <v>4.6920613999999999E-2</v>
      </c>
      <c r="H8" s="40"/>
      <c r="I8" s="76"/>
    </row>
    <row r="9" spans="1:17" x14ac:dyDescent="0.2">
      <c r="A9" s="37">
        <v>3</v>
      </c>
      <c r="B9" s="38" t="s">
        <v>20</v>
      </c>
      <c r="C9" s="38" t="s">
        <v>21</v>
      </c>
      <c r="D9" s="38" t="s">
        <v>22</v>
      </c>
      <c r="E9" s="39">
        <v>1229856</v>
      </c>
      <c r="F9" s="40">
        <v>8785.4763359999997</v>
      </c>
      <c r="G9" s="41">
        <v>4.4961333999999999E-2</v>
      </c>
      <c r="H9" s="40"/>
      <c r="I9" s="76"/>
    </row>
    <row r="10" spans="1:17" x14ac:dyDescent="0.2">
      <c r="A10" s="37">
        <v>4</v>
      </c>
      <c r="B10" s="38" t="s">
        <v>11</v>
      </c>
      <c r="C10" s="38" t="s">
        <v>12</v>
      </c>
      <c r="D10" s="38" t="s">
        <v>13</v>
      </c>
      <c r="E10" s="39">
        <v>344779</v>
      </c>
      <c r="F10" s="40">
        <v>6084.4874024999999</v>
      </c>
      <c r="G10" s="41">
        <v>3.1138513E-2</v>
      </c>
      <c r="H10" s="40"/>
      <c r="I10" s="76"/>
    </row>
    <row r="11" spans="1:17" x14ac:dyDescent="0.2">
      <c r="A11" s="37">
        <v>5</v>
      </c>
      <c r="B11" s="38" t="s">
        <v>416</v>
      </c>
      <c r="C11" s="38" t="s">
        <v>417</v>
      </c>
      <c r="D11" s="38" t="s">
        <v>22</v>
      </c>
      <c r="E11" s="39">
        <v>1190548</v>
      </c>
      <c r="F11" s="40">
        <v>5483.0688140000002</v>
      </c>
      <c r="G11" s="41">
        <v>2.8060640000000001E-2</v>
      </c>
      <c r="H11" s="40"/>
      <c r="I11" s="76"/>
    </row>
    <row r="12" spans="1:17" ht="25.5" x14ac:dyDescent="0.2">
      <c r="A12" s="37">
        <v>6</v>
      </c>
      <c r="B12" s="38" t="s">
        <v>485</v>
      </c>
      <c r="C12" s="38" t="s">
        <v>486</v>
      </c>
      <c r="D12" s="38" t="s">
        <v>207</v>
      </c>
      <c r="E12" s="39">
        <v>567883</v>
      </c>
      <c r="F12" s="40">
        <v>5014.1229485000003</v>
      </c>
      <c r="G12" s="41">
        <v>2.5660721000000001E-2</v>
      </c>
      <c r="H12" s="40"/>
      <c r="I12" s="76"/>
    </row>
    <row r="13" spans="1:17" x14ac:dyDescent="0.2">
      <c r="A13" s="37">
        <v>7</v>
      </c>
      <c r="B13" s="38" t="s">
        <v>14</v>
      </c>
      <c r="C13" s="38" t="s">
        <v>15</v>
      </c>
      <c r="D13" s="38" t="s">
        <v>16</v>
      </c>
      <c r="E13" s="39">
        <v>198105</v>
      </c>
      <c r="F13" s="40">
        <v>4765.21767</v>
      </c>
      <c r="G13" s="41">
        <v>2.4386900999999999E-2</v>
      </c>
      <c r="H13" s="40"/>
      <c r="I13" s="76"/>
    </row>
    <row r="14" spans="1:17" ht="15" x14ac:dyDescent="0.2">
      <c r="A14" s="37">
        <v>8</v>
      </c>
      <c r="B14" s="38" t="s">
        <v>420</v>
      </c>
      <c r="C14" s="38" t="s">
        <v>421</v>
      </c>
      <c r="D14" s="38" t="s">
        <v>155</v>
      </c>
      <c r="E14" s="39">
        <v>133653</v>
      </c>
      <c r="F14" s="40">
        <v>4716.8148494999996</v>
      </c>
      <c r="G14" s="41">
        <v>2.4139191000000001E-2</v>
      </c>
      <c r="H14" s="40"/>
      <c r="I14" s="76"/>
      <c r="K14" s="160" t="s">
        <v>1023</v>
      </c>
    </row>
    <row r="15" spans="1:17" ht="25.5" x14ac:dyDescent="0.2">
      <c r="A15" s="37">
        <v>9</v>
      </c>
      <c r="B15" s="38" t="s">
        <v>414</v>
      </c>
      <c r="C15" s="38" t="s">
        <v>415</v>
      </c>
      <c r="D15" s="38" t="s">
        <v>78</v>
      </c>
      <c r="E15" s="39">
        <v>171620</v>
      </c>
      <c r="F15" s="40">
        <v>4587.5742200000004</v>
      </c>
      <c r="G15" s="41">
        <v>2.3477776999999998E-2</v>
      </c>
      <c r="H15" s="40"/>
      <c r="I15" s="76"/>
    </row>
    <row r="16" spans="1:17" x14ac:dyDescent="0.2">
      <c r="A16" s="37">
        <v>10</v>
      </c>
      <c r="B16" s="38" t="s">
        <v>406</v>
      </c>
      <c r="C16" s="38" t="s">
        <v>407</v>
      </c>
      <c r="D16" s="38" t="s">
        <v>27</v>
      </c>
      <c r="E16" s="39">
        <v>203881</v>
      </c>
      <c r="F16" s="40">
        <v>4480.6927370000003</v>
      </c>
      <c r="G16" s="41">
        <v>2.2930790999999999E-2</v>
      </c>
      <c r="H16" s="40"/>
      <c r="I16" s="76"/>
    </row>
    <row r="17" spans="1:9" x14ac:dyDescent="0.2">
      <c r="A17" s="37">
        <v>11</v>
      </c>
      <c r="B17" s="38" t="s">
        <v>176</v>
      </c>
      <c r="C17" s="38" t="s">
        <v>177</v>
      </c>
      <c r="D17" s="38" t="s">
        <v>78</v>
      </c>
      <c r="E17" s="39">
        <v>515226</v>
      </c>
      <c r="F17" s="40">
        <v>4170.2392440000003</v>
      </c>
      <c r="G17" s="41">
        <v>2.1341987E-2</v>
      </c>
      <c r="H17" s="40"/>
      <c r="I17" s="76"/>
    </row>
    <row r="18" spans="1:9" x14ac:dyDescent="0.2">
      <c r="A18" s="37">
        <v>12</v>
      </c>
      <c r="B18" s="38" t="s">
        <v>306</v>
      </c>
      <c r="C18" s="38" t="s">
        <v>307</v>
      </c>
      <c r="D18" s="38" t="s">
        <v>155</v>
      </c>
      <c r="E18" s="39">
        <v>90073</v>
      </c>
      <c r="F18" s="40">
        <v>3898.8548415</v>
      </c>
      <c r="G18" s="41">
        <v>1.9953126000000002E-2</v>
      </c>
      <c r="H18" s="40"/>
      <c r="I18" s="76"/>
    </row>
    <row r="19" spans="1:9" x14ac:dyDescent="0.2">
      <c r="A19" s="37">
        <v>13</v>
      </c>
      <c r="B19" s="38" t="s">
        <v>39</v>
      </c>
      <c r="C19" s="38" t="s">
        <v>40</v>
      </c>
      <c r="D19" s="38" t="s">
        <v>16</v>
      </c>
      <c r="E19" s="39">
        <v>977623</v>
      </c>
      <c r="F19" s="40">
        <v>3617.2051000000001</v>
      </c>
      <c r="G19" s="41">
        <v>1.8511730000000001E-2</v>
      </c>
      <c r="H19" s="40"/>
      <c r="I19" s="76"/>
    </row>
    <row r="20" spans="1:9" x14ac:dyDescent="0.2">
      <c r="A20" s="37">
        <v>14</v>
      </c>
      <c r="B20" s="38" t="s">
        <v>17</v>
      </c>
      <c r="C20" s="38" t="s">
        <v>18</v>
      </c>
      <c r="D20" s="38" t="s">
        <v>19</v>
      </c>
      <c r="E20" s="39">
        <v>492230</v>
      </c>
      <c r="F20" s="40">
        <v>3584.6649750000001</v>
      </c>
      <c r="G20" s="41">
        <v>1.8345199999999999E-2</v>
      </c>
      <c r="H20" s="40"/>
      <c r="I20" s="76"/>
    </row>
    <row r="21" spans="1:9" x14ac:dyDescent="0.2">
      <c r="A21" s="37">
        <v>15</v>
      </c>
      <c r="B21" s="38" t="s">
        <v>365</v>
      </c>
      <c r="C21" s="38" t="s">
        <v>366</v>
      </c>
      <c r="D21" s="38" t="s">
        <v>367</v>
      </c>
      <c r="E21" s="39">
        <v>124090</v>
      </c>
      <c r="F21" s="40">
        <v>3560.7625499999999</v>
      </c>
      <c r="G21" s="41">
        <v>1.8222874999999999E-2</v>
      </c>
      <c r="H21" s="40"/>
      <c r="I21" s="76"/>
    </row>
    <row r="22" spans="1:9" x14ac:dyDescent="0.2">
      <c r="A22" s="37">
        <v>16</v>
      </c>
      <c r="B22" s="38" t="s">
        <v>519</v>
      </c>
      <c r="C22" s="38" t="s">
        <v>520</v>
      </c>
      <c r="D22" s="38" t="s">
        <v>22</v>
      </c>
      <c r="E22" s="39">
        <v>1284263</v>
      </c>
      <c r="F22" s="40">
        <v>3552.9135894999999</v>
      </c>
      <c r="G22" s="41">
        <v>1.8182706E-2</v>
      </c>
      <c r="H22" s="40"/>
      <c r="I22" s="76"/>
    </row>
    <row r="23" spans="1:9" x14ac:dyDescent="0.2">
      <c r="A23" s="37">
        <v>17</v>
      </c>
      <c r="B23" s="38" t="s">
        <v>380</v>
      </c>
      <c r="C23" s="38" t="s">
        <v>381</v>
      </c>
      <c r="D23" s="38" t="s">
        <v>155</v>
      </c>
      <c r="E23" s="39">
        <v>307173</v>
      </c>
      <c r="F23" s="40">
        <v>3497.6253645000002</v>
      </c>
      <c r="G23" s="41">
        <v>1.7899758000000002E-2</v>
      </c>
      <c r="H23" s="40"/>
      <c r="I23" s="76"/>
    </row>
    <row r="24" spans="1:9" ht="25.5" x14ac:dyDescent="0.2">
      <c r="A24" s="37">
        <v>18</v>
      </c>
      <c r="B24" s="38" t="s">
        <v>566</v>
      </c>
      <c r="C24" s="38" t="s">
        <v>567</v>
      </c>
      <c r="D24" s="38" t="s">
        <v>207</v>
      </c>
      <c r="E24" s="39">
        <v>22304</v>
      </c>
      <c r="F24" s="40">
        <v>3354.5439040000001</v>
      </c>
      <c r="G24" s="41">
        <v>1.7167511999999999E-2</v>
      </c>
      <c r="H24" s="40"/>
      <c r="I24" s="76"/>
    </row>
    <row r="25" spans="1:9" ht="25.5" x14ac:dyDescent="0.2">
      <c r="A25" s="37">
        <v>19</v>
      </c>
      <c r="B25" s="38" t="s">
        <v>322</v>
      </c>
      <c r="C25" s="38" t="s">
        <v>323</v>
      </c>
      <c r="D25" s="38" t="s">
        <v>207</v>
      </c>
      <c r="E25" s="39">
        <v>364016</v>
      </c>
      <c r="F25" s="40">
        <v>3245.0206320000002</v>
      </c>
      <c r="G25" s="41">
        <v>1.6607006000000001E-2</v>
      </c>
      <c r="H25" s="40"/>
      <c r="I25" s="76"/>
    </row>
    <row r="26" spans="1:9" x14ac:dyDescent="0.2">
      <c r="A26" s="37">
        <v>20</v>
      </c>
      <c r="B26" s="38" t="s">
        <v>326</v>
      </c>
      <c r="C26" s="38" t="s">
        <v>327</v>
      </c>
      <c r="D26" s="38" t="s">
        <v>22</v>
      </c>
      <c r="E26" s="39">
        <v>463925</v>
      </c>
      <c r="F26" s="40">
        <v>3041.7242624999999</v>
      </c>
      <c r="G26" s="41">
        <v>1.5566597999999999E-2</v>
      </c>
      <c r="H26" s="40"/>
      <c r="I26" s="76"/>
    </row>
    <row r="27" spans="1:9" x14ac:dyDescent="0.2">
      <c r="A27" s="37">
        <v>21</v>
      </c>
      <c r="B27" s="38" t="s">
        <v>212</v>
      </c>
      <c r="C27" s="38" t="s">
        <v>213</v>
      </c>
      <c r="D27" s="38" t="s">
        <v>979</v>
      </c>
      <c r="E27" s="39">
        <v>552800</v>
      </c>
      <c r="F27" s="40">
        <v>3032.1080000000002</v>
      </c>
      <c r="G27" s="41">
        <v>1.5517385E-2</v>
      </c>
      <c r="H27" s="40"/>
      <c r="I27" s="76"/>
    </row>
    <row r="28" spans="1:9" x14ac:dyDescent="0.2">
      <c r="A28" s="37">
        <v>22</v>
      </c>
      <c r="B28" s="38" t="s">
        <v>347</v>
      </c>
      <c r="C28" s="38" t="s">
        <v>348</v>
      </c>
      <c r="D28" s="38" t="s">
        <v>204</v>
      </c>
      <c r="E28" s="39">
        <v>83467</v>
      </c>
      <c r="F28" s="40">
        <v>2992.5840844999998</v>
      </c>
      <c r="G28" s="41">
        <v>1.5315113999999999E-2</v>
      </c>
      <c r="H28" s="40"/>
      <c r="I28" s="76"/>
    </row>
    <row r="29" spans="1:9" x14ac:dyDescent="0.2">
      <c r="A29" s="37">
        <v>23</v>
      </c>
      <c r="B29" s="38" t="s">
        <v>384</v>
      </c>
      <c r="C29" s="38" t="s">
        <v>385</v>
      </c>
      <c r="D29" s="38" t="s">
        <v>982</v>
      </c>
      <c r="E29" s="39">
        <v>16980</v>
      </c>
      <c r="F29" s="40">
        <v>2926.9020300000002</v>
      </c>
      <c r="G29" s="41">
        <v>1.4978974000000001E-2</v>
      </c>
      <c r="H29" s="40"/>
      <c r="I29" s="76"/>
    </row>
    <row r="30" spans="1:9" x14ac:dyDescent="0.2">
      <c r="A30" s="37">
        <v>24</v>
      </c>
      <c r="B30" s="38" t="s">
        <v>337</v>
      </c>
      <c r="C30" s="38" t="s">
        <v>338</v>
      </c>
      <c r="D30" s="38" t="s">
        <v>78</v>
      </c>
      <c r="E30" s="39">
        <v>197458</v>
      </c>
      <c r="F30" s="40">
        <v>2777.6416859999999</v>
      </c>
      <c r="G30" s="41">
        <v>1.4215106E-2</v>
      </c>
      <c r="H30" s="40"/>
      <c r="I30" s="76"/>
    </row>
    <row r="31" spans="1:9" x14ac:dyDescent="0.2">
      <c r="A31" s="37">
        <v>25</v>
      </c>
      <c r="B31" s="38" t="s">
        <v>84</v>
      </c>
      <c r="C31" s="38" t="s">
        <v>85</v>
      </c>
      <c r="D31" s="38" t="s">
        <v>70</v>
      </c>
      <c r="E31" s="39">
        <v>543670</v>
      </c>
      <c r="F31" s="40">
        <v>2632.7219749999999</v>
      </c>
      <c r="G31" s="41">
        <v>1.3473452E-2</v>
      </c>
      <c r="H31" s="40"/>
      <c r="I31" s="76"/>
    </row>
    <row r="32" spans="1:9" ht="25.5" x14ac:dyDescent="0.2">
      <c r="A32" s="37">
        <v>26</v>
      </c>
      <c r="B32" s="38" t="s">
        <v>23</v>
      </c>
      <c r="C32" s="38" t="s">
        <v>24</v>
      </c>
      <c r="D32" s="38" t="s">
        <v>974</v>
      </c>
      <c r="E32" s="39">
        <v>31126</v>
      </c>
      <c r="F32" s="40">
        <v>2313.829025</v>
      </c>
      <c r="G32" s="41">
        <v>1.1841457E-2</v>
      </c>
      <c r="H32" s="40"/>
      <c r="I32" s="76"/>
    </row>
    <row r="33" spans="1:9" x14ac:dyDescent="0.2">
      <c r="A33" s="37">
        <v>27</v>
      </c>
      <c r="B33" s="38" t="s">
        <v>81</v>
      </c>
      <c r="C33" s="38" t="s">
        <v>82</v>
      </c>
      <c r="D33" s="38" t="s">
        <v>83</v>
      </c>
      <c r="E33" s="39">
        <v>1696366</v>
      </c>
      <c r="F33" s="40">
        <v>2030.5501019999999</v>
      </c>
      <c r="G33" s="41">
        <v>1.0391724E-2</v>
      </c>
      <c r="H33" s="40"/>
      <c r="I33" s="76"/>
    </row>
    <row r="34" spans="1:9" ht="25.5" x14ac:dyDescent="0.2">
      <c r="A34" s="37">
        <v>28</v>
      </c>
      <c r="B34" s="38" t="s">
        <v>404</v>
      </c>
      <c r="C34" s="38" t="s">
        <v>405</v>
      </c>
      <c r="D34" s="38" t="s">
        <v>207</v>
      </c>
      <c r="E34" s="39">
        <v>250803</v>
      </c>
      <c r="F34" s="40">
        <v>1952.752158</v>
      </c>
      <c r="G34" s="41">
        <v>9.9935779999999995E-3</v>
      </c>
      <c r="H34" s="40"/>
      <c r="I34" s="76"/>
    </row>
    <row r="35" spans="1:9" x14ac:dyDescent="0.2">
      <c r="A35" s="37">
        <v>29</v>
      </c>
      <c r="B35" s="38" t="s">
        <v>441</v>
      </c>
      <c r="C35" s="38" t="s">
        <v>442</v>
      </c>
      <c r="D35" s="38" t="s">
        <v>22</v>
      </c>
      <c r="E35" s="39">
        <v>90523</v>
      </c>
      <c r="F35" s="40">
        <v>1775.9707370000001</v>
      </c>
      <c r="G35" s="41">
        <v>9.0888659999999993E-3</v>
      </c>
      <c r="H35" s="40"/>
      <c r="I35" s="76"/>
    </row>
    <row r="36" spans="1:9" x14ac:dyDescent="0.2">
      <c r="A36" s="37">
        <v>30</v>
      </c>
      <c r="B36" s="38" t="s">
        <v>398</v>
      </c>
      <c r="C36" s="38" t="s">
        <v>399</v>
      </c>
      <c r="D36" s="38" t="s">
        <v>160</v>
      </c>
      <c r="E36" s="39">
        <v>195065</v>
      </c>
      <c r="F36" s="40">
        <v>1768.06916</v>
      </c>
      <c r="G36" s="41">
        <v>9.0484280000000007E-3</v>
      </c>
      <c r="H36" s="40"/>
      <c r="I36" s="76"/>
    </row>
    <row r="37" spans="1:9" x14ac:dyDescent="0.2">
      <c r="A37" s="37">
        <v>31</v>
      </c>
      <c r="B37" s="38" t="s">
        <v>90</v>
      </c>
      <c r="C37" s="38" t="s">
        <v>91</v>
      </c>
      <c r="D37" s="38" t="s">
        <v>27</v>
      </c>
      <c r="E37" s="39">
        <v>21525</v>
      </c>
      <c r="F37" s="40">
        <v>1677.61545</v>
      </c>
      <c r="G37" s="41">
        <v>8.5855140000000007E-3</v>
      </c>
      <c r="H37" s="40"/>
      <c r="I37" s="76"/>
    </row>
    <row r="38" spans="1:9" ht="25.5" x14ac:dyDescent="0.2">
      <c r="A38" s="37">
        <v>32</v>
      </c>
      <c r="B38" s="38" t="s">
        <v>396</v>
      </c>
      <c r="C38" s="38" t="s">
        <v>397</v>
      </c>
      <c r="D38" s="38" t="s">
        <v>974</v>
      </c>
      <c r="E38" s="39">
        <v>85529</v>
      </c>
      <c r="F38" s="40">
        <v>1602.3002859999999</v>
      </c>
      <c r="G38" s="41">
        <v>8.2000739999999999E-3</v>
      </c>
      <c r="H38" s="40"/>
      <c r="I38" s="76"/>
    </row>
    <row r="39" spans="1:9" x14ac:dyDescent="0.2">
      <c r="A39" s="37">
        <v>33</v>
      </c>
      <c r="B39" s="38" t="s">
        <v>187</v>
      </c>
      <c r="C39" s="38" t="s">
        <v>188</v>
      </c>
      <c r="D39" s="38" t="s">
        <v>978</v>
      </c>
      <c r="E39" s="39">
        <v>171598</v>
      </c>
      <c r="F39" s="40">
        <v>1533.485527</v>
      </c>
      <c r="G39" s="41">
        <v>7.8479020000000003E-3</v>
      </c>
      <c r="H39" s="40"/>
      <c r="I39" s="76"/>
    </row>
    <row r="40" spans="1:9" x14ac:dyDescent="0.2">
      <c r="A40" s="37">
        <v>34</v>
      </c>
      <c r="B40" s="38" t="s">
        <v>88</v>
      </c>
      <c r="C40" s="38" t="s">
        <v>89</v>
      </c>
      <c r="D40" s="38" t="s">
        <v>53</v>
      </c>
      <c r="E40" s="39">
        <v>331864</v>
      </c>
      <c r="F40" s="40">
        <v>1399.63642</v>
      </c>
      <c r="G40" s="41">
        <v>7.1629040000000003E-3</v>
      </c>
      <c r="H40" s="40"/>
      <c r="I40" s="76"/>
    </row>
    <row r="41" spans="1:9" x14ac:dyDescent="0.2">
      <c r="A41" s="37">
        <v>35</v>
      </c>
      <c r="B41" s="38" t="s">
        <v>308</v>
      </c>
      <c r="C41" s="38" t="s">
        <v>309</v>
      </c>
      <c r="D41" s="38" t="s">
        <v>175</v>
      </c>
      <c r="E41" s="39">
        <v>24177</v>
      </c>
      <c r="F41" s="40">
        <v>1375.1273174999999</v>
      </c>
      <c r="G41" s="41">
        <v>7.0374740000000002E-3</v>
      </c>
      <c r="H41" s="40"/>
      <c r="I41" s="76"/>
    </row>
    <row r="42" spans="1:9" x14ac:dyDescent="0.2">
      <c r="A42" s="37">
        <v>36</v>
      </c>
      <c r="B42" s="38" t="s">
        <v>418</v>
      </c>
      <c r="C42" s="38" t="s">
        <v>419</v>
      </c>
      <c r="D42" s="38" t="s">
        <v>982</v>
      </c>
      <c r="E42" s="39">
        <v>105663</v>
      </c>
      <c r="F42" s="40">
        <v>1226.2719465</v>
      </c>
      <c r="G42" s="41">
        <v>6.2756779999999998E-3</v>
      </c>
      <c r="H42" s="40"/>
      <c r="I42" s="76"/>
    </row>
    <row r="43" spans="1:9" x14ac:dyDescent="0.2">
      <c r="A43" s="37">
        <v>37</v>
      </c>
      <c r="B43" s="38" t="s">
        <v>439</v>
      </c>
      <c r="C43" s="38" t="s">
        <v>440</v>
      </c>
      <c r="D43" s="38" t="s">
        <v>204</v>
      </c>
      <c r="E43" s="39">
        <v>20653</v>
      </c>
      <c r="F43" s="40">
        <v>1007.618564</v>
      </c>
      <c r="G43" s="41">
        <v>5.1566779999999996E-3</v>
      </c>
      <c r="H43" s="40"/>
      <c r="I43" s="76"/>
    </row>
    <row r="44" spans="1:9" ht="25.5" x14ac:dyDescent="0.2">
      <c r="A44" s="37">
        <v>38</v>
      </c>
      <c r="B44" s="38" t="s">
        <v>426</v>
      </c>
      <c r="C44" s="38" t="s">
        <v>427</v>
      </c>
      <c r="D44" s="38" t="s">
        <v>207</v>
      </c>
      <c r="E44" s="39">
        <v>41670</v>
      </c>
      <c r="F44" s="40">
        <v>965.72308499999997</v>
      </c>
      <c r="G44" s="41">
        <v>4.9422700000000003E-3</v>
      </c>
      <c r="H44" s="40"/>
      <c r="I44" s="76"/>
    </row>
    <row r="45" spans="1:9" x14ac:dyDescent="0.2">
      <c r="A45" s="37">
        <v>39</v>
      </c>
      <c r="B45" s="38" t="s">
        <v>430</v>
      </c>
      <c r="C45" s="38" t="s">
        <v>431</v>
      </c>
      <c r="D45" s="38" t="s">
        <v>432</v>
      </c>
      <c r="E45" s="39">
        <v>216487</v>
      </c>
      <c r="F45" s="40">
        <v>893.55009250000001</v>
      </c>
      <c r="G45" s="41">
        <v>4.5729109999999998E-3</v>
      </c>
      <c r="H45" s="40"/>
      <c r="I45" s="76"/>
    </row>
    <row r="46" spans="1:9" x14ac:dyDescent="0.2">
      <c r="A46" s="37">
        <v>40</v>
      </c>
      <c r="B46" s="38" t="s">
        <v>424</v>
      </c>
      <c r="C46" s="38" t="s">
        <v>425</v>
      </c>
      <c r="D46" s="38" t="s">
        <v>204</v>
      </c>
      <c r="E46" s="39">
        <v>113820</v>
      </c>
      <c r="F46" s="40">
        <v>857.74752000000001</v>
      </c>
      <c r="G46" s="41">
        <v>4.3896849999999999E-3</v>
      </c>
      <c r="H46" s="40"/>
      <c r="I46" s="76"/>
    </row>
    <row r="47" spans="1:9" x14ac:dyDescent="0.2">
      <c r="A47" s="37">
        <v>41</v>
      </c>
      <c r="B47" s="38" t="s">
        <v>370</v>
      </c>
      <c r="C47" s="38" t="s">
        <v>371</v>
      </c>
      <c r="D47" s="38" t="s">
        <v>75</v>
      </c>
      <c r="E47" s="39">
        <v>14951</v>
      </c>
      <c r="F47" s="40">
        <v>762.60565699999995</v>
      </c>
      <c r="G47" s="41">
        <v>3.902778E-3</v>
      </c>
      <c r="H47" s="40"/>
      <c r="I47" s="76"/>
    </row>
    <row r="48" spans="1:9" x14ac:dyDescent="0.2">
      <c r="A48" s="37">
        <v>42</v>
      </c>
      <c r="B48" s="38" t="s">
        <v>210</v>
      </c>
      <c r="C48" s="38" t="s">
        <v>211</v>
      </c>
      <c r="D48" s="38" t="s">
        <v>53</v>
      </c>
      <c r="E48" s="39">
        <v>79865</v>
      </c>
      <c r="F48" s="40">
        <v>757.00040249999995</v>
      </c>
      <c r="G48" s="41">
        <v>3.8740929999999999E-3</v>
      </c>
      <c r="H48" s="40"/>
      <c r="I48" s="76"/>
    </row>
    <row r="49" spans="1:9" ht="25.5" x14ac:dyDescent="0.2">
      <c r="A49" s="37">
        <v>43</v>
      </c>
      <c r="B49" s="38" t="s">
        <v>66</v>
      </c>
      <c r="C49" s="38" t="s">
        <v>67</v>
      </c>
      <c r="D49" s="38" t="s">
        <v>48</v>
      </c>
      <c r="E49" s="39">
        <v>109708</v>
      </c>
      <c r="F49" s="40">
        <v>750.238158</v>
      </c>
      <c r="G49" s="41">
        <v>3.8394850000000001E-3</v>
      </c>
      <c r="H49" s="40"/>
      <c r="I49" s="76"/>
    </row>
    <row r="50" spans="1:9" x14ac:dyDescent="0.2">
      <c r="A50" s="37">
        <v>44</v>
      </c>
      <c r="B50" s="38" t="s">
        <v>450</v>
      </c>
      <c r="C50" s="38" t="s">
        <v>451</v>
      </c>
      <c r="D50" s="38" t="s">
        <v>75</v>
      </c>
      <c r="E50" s="39">
        <v>26102</v>
      </c>
      <c r="F50" s="40">
        <v>620.05300999999997</v>
      </c>
      <c r="G50" s="41">
        <v>3.1732380000000001E-3</v>
      </c>
      <c r="H50" s="40"/>
      <c r="I50" s="76"/>
    </row>
    <row r="51" spans="1:9" ht="25.5" x14ac:dyDescent="0.2">
      <c r="A51" s="37">
        <v>45</v>
      </c>
      <c r="B51" s="38" t="s">
        <v>339</v>
      </c>
      <c r="C51" s="38" t="s">
        <v>340</v>
      </c>
      <c r="D51" s="38" t="s">
        <v>75</v>
      </c>
      <c r="E51" s="39">
        <v>134358</v>
      </c>
      <c r="F51" s="40">
        <v>602.25973499999998</v>
      </c>
      <c r="G51" s="41">
        <v>3.0821780000000001E-3</v>
      </c>
      <c r="H51" s="40"/>
      <c r="I51" s="76"/>
    </row>
    <row r="52" spans="1:9" x14ac:dyDescent="0.2">
      <c r="A52" s="37">
        <v>46</v>
      </c>
      <c r="B52" s="38" t="s">
        <v>454</v>
      </c>
      <c r="C52" s="38" t="s">
        <v>455</v>
      </c>
      <c r="D52" s="38" t="s">
        <v>204</v>
      </c>
      <c r="E52" s="39">
        <v>53263</v>
      </c>
      <c r="F52" s="40">
        <v>517.34351900000001</v>
      </c>
      <c r="G52" s="41">
        <v>2.6476030000000001E-3</v>
      </c>
      <c r="H52" s="40"/>
      <c r="I52" s="76"/>
    </row>
    <row r="53" spans="1:9" x14ac:dyDescent="0.2">
      <c r="A53" s="37">
        <v>47</v>
      </c>
      <c r="B53" s="38" t="s">
        <v>562</v>
      </c>
      <c r="C53" s="38" t="s">
        <v>563</v>
      </c>
      <c r="D53" s="38" t="s">
        <v>83</v>
      </c>
      <c r="E53" s="39">
        <v>5824</v>
      </c>
      <c r="F53" s="40">
        <v>411.62867199999999</v>
      </c>
      <c r="G53" s="41">
        <v>2.106587E-3</v>
      </c>
      <c r="H53" s="40"/>
      <c r="I53" s="76"/>
    </row>
    <row r="54" spans="1:9" x14ac:dyDescent="0.2">
      <c r="A54" s="37">
        <v>48</v>
      </c>
      <c r="B54" s="38" t="s">
        <v>287</v>
      </c>
      <c r="C54" s="38" t="s">
        <v>288</v>
      </c>
      <c r="D54" s="38" t="s">
        <v>334</v>
      </c>
      <c r="E54" s="39">
        <v>8880</v>
      </c>
      <c r="F54" s="40">
        <v>216.71196</v>
      </c>
      <c r="G54" s="41">
        <v>1.1090640000000001E-3</v>
      </c>
      <c r="H54" s="40"/>
      <c r="I54" s="76"/>
    </row>
    <row r="55" spans="1:9" ht="25.5" x14ac:dyDescent="0.2">
      <c r="A55" s="37">
        <v>49</v>
      </c>
      <c r="B55" s="38" t="s">
        <v>445</v>
      </c>
      <c r="C55" s="4" t="s">
        <v>930</v>
      </c>
      <c r="D55" s="72" t="s">
        <v>19</v>
      </c>
      <c r="E55" s="39">
        <v>35159</v>
      </c>
      <c r="F55" s="40">
        <v>137.40137200000001</v>
      </c>
      <c r="G55" s="41">
        <v>7.0317700000000003E-4</v>
      </c>
      <c r="H55" s="40"/>
      <c r="I55" s="76"/>
    </row>
    <row r="56" spans="1:9" x14ac:dyDescent="0.2">
      <c r="A56" s="35"/>
      <c r="B56" s="35"/>
      <c r="C56" s="36" t="s">
        <v>95</v>
      </c>
      <c r="D56" s="35"/>
      <c r="E56" s="35" t="s">
        <v>96</v>
      </c>
      <c r="F56" s="42">
        <v>140657.468998</v>
      </c>
      <c r="G56" s="43">
        <v>0.71984115699999984</v>
      </c>
      <c r="H56" s="40"/>
      <c r="I56" s="76"/>
    </row>
    <row r="57" spans="1:9" x14ac:dyDescent="0.2">
      <c r="A57" s="35"/>
      <c r="B57" s="35"/>
      <c r="C57" s="44"/>
      <c r="D57" s="35"/>
      <c r="E57" s="35"/>
      <c r="F57" s="45"/>
      <c r="G57" s="45"/>
      <c r="H57" s="40"/>
      <c r="I57" s="76"/>
    </row>
    <row r="58" spans="1:9" x14ac:dyDescent="0.2">
      <c r="A58" s="35"/>
      <c r="B58" s="35"/>
      <c r="C58" s="36" t="s">
        <v>97</v>
      </c>
      <c r="D58" s="35"/>
      <c r="E58" s="35"/>
      <c r="F58" s="35"/>
      <c r="G58" s="35"/>
      <c r="H58" s="40"/>
      <c r="I58" s="76"/>
    </row>
    <row r="59" spans="1:9" x14ac:dyDescent="0.2">
      <c r="A59" s="35"/>
      <c r="B59" s="35"/>
      <c r="C59" s="36" t="s">
        <v>95</v>
      </c>
      <c r="D59" s="35"/>
      <c r="E59" s="35" t="s">
        <v>96</v>
      </c>
      <c r="F59" s="46">
        <v>0</v>
      </c>
      <c r="G59" s="47">
        <v>0</v>
      </c>
      <c r="H59" s="40"/>
      <c r="I59" s="76"/>
    </row>
    <row r="60" spans="1:9" x14ac:dyDescent="0.2">
      <c r="A60" s="35"/>
      <c r="B60" s="35"/>
      <c r="C60" s="44"/>
      <c r="D60" s="35"/>
      <c r="E60" s="35"/>
      <c r="F60" s="45"/>
      <c r="G60" s="45"/>
      <c r="H60" s="40"/>
      <c r="I60" s="76"/>
    </row>
    <row r="61" spans="1:9" x14ac:dyDescent="0.2">
      <c r="A61" s="35"/>
      <c r="B61" s="35"/>
      <c r="C61" s="36" t="s">
        <v>98</v>
      </c>
      <c r="D61" s="35"/>
      <c r="E61" s="35"/>
      <c r="F61" s="35"/>
      <c r="G61" s="35"/>
      <c r="H61" s="40"/>
      <c r="I61" s="76"/>
    </row>
    <row r="62" spans="1:9" x14ac:dyDescent="0.2">
      <c r="A62" s="35"/>
      <c r="B62" s="35"/>
      <c r="C62" s="36" t="s">
        <v>95</v>
      </c>
      <c r="D62" s="35"/>
      <c r="E62" s="35" t="s">
        <v>96</v>
      </c>
      <c r="F62" s="46">
        <v>0</v>
      </c>
      <c r="G62" s="47">
        <v>0</v>
      </c>
      <c r="H62" s="40"/>
      <c r="I62" s="76"/>
    </row>
    <row r="63" spans="1:9" x14ac:dyDescent="0.2">
      <c r="A63" s="35"/>
      <c r="B63" s="35"/>
      <c r="C63" s="44"/>
      <c r="D63" s="35"/>
      <c r="E63" s="35"/>
      <c r="F63" s="45"/>
      <c r="G63" s="45"/>
      <c r="H63" s="40"/>
      <c r="I63" s="76"/>
    </row>
    <row r="64" spans="1:9" x14ac:dyDescent="0.2">
      <c r="A64" s="35"/>
      <c r="B64" s="35"/>
      <c r="C64" s="36" t="s">
        <v>99</v>
      </c>
      <c r="D64" s="35"/>
      <c r="E64" s="35"/>
      <c r="F64" s="35"/>
      <c r="G64" s="35"/>
      <c r="H64" s="40"/>
      <c r="I64" s="76"/>
    </row>
    <row r="65" spans="1:17" x14ac:dyDescent="0.2">
      <c r="A65" s="35"/>
      <c r="B65" s="35"/>
      <c r="C65" s="36" t="s">
        <v>95</v>
      </c>
      <c r="D65" s="35"/>
      <c r="E65" s="35" t="s">
        <v>96</v>
      </c>
      <c r="F65" s="42">
        <v>0</v>
      </c>
      <c r="G65" s="43">
        <v>0</v>
      </c>
      <c r="H65" s="40"/>
      <c r="I65" s="76"/>
    </row>
    <row r="66" spans="1:17" x14ac:dyDescent="0.2">
      <c r="A66" s="35"/>
      <c r="B66" s="35"/>
      <c r="C66" s="44"/>
      <c r="D66" s="35"/>
      <c r="E66" s="35"/>
      <c r="F66" s="45"/>
      <c r="G66" s="45"/>
      <c r="H66" s="40"/>
      <c r="I66" s="76"/>
    </row>
    <row r="67" spans="1:17" x14ac:dyDescent="0.2">
      <c r="A67" s="35"/>
      <c r="B67" s="35"/>
      <c r="C67" s="36" t="s">
        <v>100</v>
      </c>
      <c r="D67" s="35"/>
      <c r="E67" s="35"/>
      <c r="F67" s="45"/>
      <c r="G67" s="45"/>
      <c r="H67" s="40"/>
      <c r="I67" s="76"/>
    </row>
    <row r="68" spans="1:17" x14ac:dyDescent="0.2">
      <c r="A68" s="35"/>
      <c r="B68" s="35"/>
      <c r="C68" s="36" t="s">
        <v>95</v>
      </c>
      <c r="D68" s="35"/>
      <c r="E68" s="35" t="s">
        <v>96</v>
      </c>
      <c r="F68" s="46">
        <v>0</v>
      </c>
      <c r="G68" s="47">
        <v>0</v>
      </c>
      <c r="H68" s="40"/>
      <c r="I68" s="76"/>
    </row>
    <row r="69" spans="1:17" x14ac:dyDescent="0.2">
      <c r="A69" s="35"/>
      <c r="B69" s="35"/>
      <c r="C69" s="44"/>
      <c r="D69" s="35"/>
      <c r="E69" s="35"/>
      <c r="F69" s="45"/>
      <c r="G69" s="45"/>
      <c r="H69" s="40"/>
      <c r="I69" s="76"/>
    </row>
    <row r="70" spans="1:17" x14ac:dyDescent="0.2">
      <c r="A70" s="35"/>
      <c r="B70" s="35"/>
      <c r="C70" s="36" t="s">
        <v>101</v>
      </c>
      <c r="D70" s="35"/>
      <c r="E70" s="35"/>
      <c r="F70" s="45"/>
      <c r="G70" s="45"/>
      <c r="H70" s="40"/>
      <c r="I70" s="76"/>
    </row>
    <row r="71" spans="1:17" x14ac:dyDescent="0.2">
      <c r="A71" s="35"/>
      <c r="B71" s="35"/>
      <c r="C71" s="36" t="s">
        <v>95</v>
      </c>
      <c r="D71" s="35"/>
      <c r="E71" s="35" t="s">
        <v>96</v>
      </c>
      <c r="F71" s="46">
        <v>0</v>
      </c>
      <c r="G71" s="47">
        <v>0</v>
      </c>
      <c r="H71" s="40"/>
      <c r="I71" s="76"/>
    </row>
    <row r="72" spans="1:17" x14ac:dyDescent="0.2">
      <c r="A72" s="35"/>
      <c r="B72" s="35"/>
      <c r="C72" s="44"/>
      <c r="D72" s="35"/>
      <c r="E72" s="35"/>
      <c r="F72" s="45"/>
      <c r="G72" s="45"/>
      <c r="H72" s="40"/>
      <c r="I72" s="76"/>
    </row>
    <row r="73" spans="1:17" x14ac:dyDescent="0.2">
      <c r="A73" s="35"/>
      <c r="B73" s="35"/>
      <c r="C73" s="36" t="s">
        <v>102</v>
      </c>
      <c r="D73" s="35"/>
      <c r="E73" s="35"/>
      <c r="F73" s="42">
        <v>140657.468998</v>
      </c>
      <c r="G73" s="43">
        <v>0.71984115699999995</v>
      </c>
      <c r="H73" s="40"/>
      <c r="I73" s="76"/>
    </row>
    <row r="74" spans="1:17" x14ac:dyDescent="0.2">
      <c r="A74" s="35"/>
      <c r="B74" s="35"/>
      <c r="C74" s="44"/>
      <c r="D74" s="35"/>
      <c r="E74" s="35"/>
      <c r="F74" s="45"/>
      <c r="G74" s="45"/>
      <c r="H74" s="40"/>
      <c r="I74" s="76"/>
    </row>
    <row r="75" spans="1:17" x14ac:dyDescent="0.2">
      <c r="A75" s="35"/>
      <c r="B75" s="35"/>
      <c r="C75" s="36" t="s">
        <v>103</v>
      </c>
      <c r="D75" s="35"/>
      <c r="E75" s="35"/>
      <c r="F75" s="45"/>
      <c r="G75" s="45"/>
      <c r="H75" s="40"/>
      <c r="I75" s="76"/>
    </row>
    <row r="76" spans="1:17" ht="25.5" x14ac:dyDescent="0.2">
      <c r="A76" s="35"/>
      <c r="B76" s="35"/>
      <c r="C76" s="36" t="s">
        <v>10</v>
      </c>
      <c r="D76" s="35"/>
      <c r="E76" s="35"/>
      <c r="F76" s="45"/>
      <c r="G76" s="45"/>
      <c r="H76" s="40"/>
      <c r="I76" s="76"/>
    </row>
    <row r="77" spans="1:17" ht="25.5" x14ac:dyDescent="0.2">
      <c r="A77" s="37">
        <v>1</v>
      </c>
      <c r="B77" s="38" t="s">
        <v>820</v>
      </c>
      <c r="C77" s="38" t="s">
        <v>821</v>
      </c>
      <c r="D77" s="38" t="s">
        <v>822</v>
      </c>
      <c r="E77" s="39">
        <v>500</v>
      </c>
      <c r="F77" s="40">
        <v>5077.88</v>
      </c>
      <c r="G77" s="41">
        <v>2.5987010000000001E-2</v>
      </c>
      <c r="H77" s="40">
        <v>3.7</v>
      </c>
      <c r="I77" s="76"/>
      <c r="Q77"/>
    </row>
    <row r="78" spans="1:17" ht="25.5" x14ac:dyDescent="0.2">
      <c r="A78" s="37">
        <v>2</v>
      </c>
      <c r="B78" s="38" t="s">
        <v>823</v>
      </c>
      <c r="C78" s="38" t="s">
        <v>824</v>
      </c>
      <c r="D78" s="38" t="s">
        <v>691</v>
      </c>
      <c r="E78" s="39">
        <v>250</v>
      </c>
      <c r="F78" s="40">
        <v>2564.6025</v>
      </c>
      <c r="G78" s="41">
        <v>1.3124838E-2</v>
      </c>
      <c r="H78" s="40">
        <v>4.84</v>
      </c>
      <c r="I78" s="76"/>
    </row>
    <row r="79" spans="1:17" ht="25.5" x14ac:dyDescent="0.2">
      <c r="A79" s="37">
        <v>3</v>
      </c>
      <c r="B79" s="38" t="s">
        <v>825</v>
      </c>
      <c r="C79" s="38" t="s">
        <v>826</v>
      </c>
      <c r="D79" s="38" t="s">
        <v>691</v>
      </c>
      <c r="E79" s="39">
        <v>250</v>
      </c>
      <c r="F79" s="40">
        <v>2562.9524999999999</v>
      </c>
      <c r="G79" s="41">
        <v>1.3116393E-2</v>
      </c>
      <c r="H79" s="40">
        <v>4.75</v>
      </c>
      <c r="I79" s="76"/>
    </row>
    <row r="80" spans="1:17" ht="38.25" x14ac:dyDescent="0.2">
      <c r="A80" s="37">
        <v>4</v>
      </c>
      <c r="B80" s="38" t="s">
        <v>827</v>
      </c>
      <c r="C80" s="72" t="s">
        <v>966</v>
      </c>
      <c r="D80" s="38" t="s">
        <v>828</v>
      </c>
      <c r="E80" s="39">
        <v>250</v>
      </c>
      <c r="F80" s="40">
        <v>2558.2399999999998</v>
      </c>
      <c r="G80" s="41">
        <v>1.3092276E-2</v>
      </c>
      <c r="H80" s="40">
        <v>7.8006000000000002</v>
      </c>
      <c r="I80" s="76">
        <v>4.4400000000000004</v>
      </c>
    </row>
    <row r="81" spans="1:9" x14ac:dyDescent="0.2">
      <c r="A81" s="37">
        <v>5</v>
      </c>
      <c r="B81" s="38" t="s">
        <v>829</v>
      </c>
      <c r="C81" s="38" t="s">
        <v>830</v>
      </c>
      <c r="D81" s="38" t="s">
        <v>691</v>
      </c>
      <c r="E81" s="39">
        <v>250</v>
      </c>
      <c r="F81" s="40">
        <v>2514.6475</v>
      </c>
      <c r="G81" s="41">
        <v>1.2869182999999999E-2</v>
      </c>
      <c r="H81" s="40">
        <v>5.46</v>
      </c>
      <c r="I81" s="76"/>
    </row>
    <row r="82" spans="1:9" ht="25.5" x14ac:dyDescent="0.2">
      <c r="A82" s="37">
        <v>6</v>
      </c>
      <c r="B82" s="38" t="s">
        <v>831</v>
      </c>
      <c r="C82" s="38" t="s">
        <v>832</v>
      </c>
      <c r="D82" s="38" t="s">
        <v>946</v>
      </c>
      <c r="E82" s="39">
        <v>250</v>
      </c>
      <c r="F82" s="40">
        <v>2501.9250000000002</v>
      </c>
      <c r="G82" s="41">
        <v>1.2804074E-2</v>
      </c>
      <c r="H82" s="40">
        <v>4.41</v>
      </c>
      <c r="I82" s="76"/>
    </row>
    <row r="83" spans="1:9" ht="38.25" x14ac:dyDescent="0.2">
      <c r="A83" s="37">
        <v>7</v>
      </c>
      <c r="B83" s="38" t="s">
        <v>833</v>
      </c>
      <c r="C83" s="72" t="s">
        <v>967</v>
      </c>
      <c r="D83" s="38" t="s">
        <v>828</v>
      </c>
      <c r="E83" s="39">
        <v>230</v>
      </c>
      <c r="F83" s="40">
        <v>2333.3569000000002</v>
      </c>
      <c r="G83" s="41">
        <v>1.1941395E-2</v>
      </c>
      <c r="H83" s="40">
        <v>8.6199999999999992</v>
      </c>
      <c r="I83" s="76">
        <v>5.25</v>
      </c>
    </row>
    <row r="84" spans="1:9" ht="38.25" x14ac:dyDescent="0.2">
      <c r="A84" s="37">
        <v>8</v>
      </c>
      <c r="B84" s="38" t="s">
        <v>834</v>
      </c>
      <c r="C84" s="72" t="s">
        <v>968</v>
      </c>
      <c r="D84" s="38" t="s">
        <v>828</v>
      </c>
      <c r="E84" s="39">
        <v>200</v>
      </c>
      <c r="F84" s="40">
        <v>2006.7619999999999</v>
      </c>
      <c r="G84" s="41">
        <v>1.0269983999999999E-2</v>
      </c>
      <c r="H84" s="40">
        <v>8.5417000000000005</v>
      </c>
      <c r="I84" s="76">
        <v>7.14</v>
      </c>
    </row>
    <row r="85" spans="1:9" ht="25.5" x14ac:dyDescent="0.2">
      <c r="A85" s="37">
        <v>9</v>
      </c>
      <c r="B85" s="38" t="s">
        <v>835</v>
      </c>
      <c r="C85" s="72" t="s">
        <v>969</v>
      </c>
      <c r="D85" s="38" t="s">
        <v>836</v>
      </c>
      <c r="E85" s="39">
        <v>150</v>
      </c>
      <c r="F85" s="40">
        <v>1586.0205000000001</v>
      </c>
      <c r="G85" s="41">
        <v>8.1167589999999994E-3</v>
      </c>
      <c r="H85" s="40">
        <v>7.4863</v>
      </c>
      <c r="I85" s="76">
        <v>5.7</v>
      </c>
    </row>
    <row r="86" spans="1:9" ht="25.5" x14ac:dyDescent="0.2">
      <c r="A86" s="37">
        <v>10</v>
      </c>
      <c r="B86" s="38" t="s">
        <v>837</v>
      </c>
      <c r="C86" s="38" t="s">
        <v>838</v>
      </c>
      <c r="D86" s="38" t="s">
        <v>691</v>
      </c>
      <c r="E86" s="39">
        <v>150</v>
      </c>
      <c r="F86" s="40">
        <v>1570.2855</v>
      </c>
      <c r="G86" s="41">
        <v>8.0362330000000003E-3</v>
      </c>
      <c r="H86" s="40">
        <v>5.34</v>
      </c>
      <c r="I86" s="76"/>
    </row>
    <row r="87" spans="1:9" ht="38.25" x14ac:dyDescent="0.2">
      <c r="A87" s="37">
        <v>11</v>
      </c>
      <c r="B87" s="38" t="s">
        <v>839</v>
      </c>
      <c r="C87" s="72" t="s">
        <v>970</v>
      </c>
      <c r="D87" s="38" t="s">
        <v>828</v>
      </c>
      <c r="E87" s="39">
        <v>150</v>
      </c>
      <c r="F87" s="40">
        <v>1524.7170000000001</v>
      </c>
      <c r="G87" s="41">
        <v>7.8030269999999997E-3</v>
      </c>
      <c r="H87" s="40">
        <v>8.3939000000000004</v>
      </c>
      <c r="I87" s="76">
        <v>6.02</v>
      </c>
    </row>
    <row r="88" spans="1:9" ht="25.5" x14ac:dyDescent="0.2">
      <c r="A88" s="37">
        <v>12</v>
      </c>
      <c r="B88" s="38" t="s">
        <v>840</v>
      </c>
      <c r="C88" s="38" t="s">
        <v>841</v>
      </c>
      <c r="D88" s="38" t="s">
        <v>842</v>
      </c>
      <c r="E88" s="39">
        <v>150</v>
      </c>
      <c r="F88" s="40">
        <v>1502.982</v>
      </c>
      <c r="G88" s="41">
        <v>7.6917940000000001E-3</v>
      </c>
      <c r="H88" s="40">
        <v>3.8</v>
      </c>
      <c r="I88" s="76"/>
    </row>
    <row r="89" spans="1:9" ht="25.5" x14ac:dyDescent="0.2">
      <c r="A89" s="37">
        <v>13</v>
      </c>
      <c r="B89" s="38" t="s">
        <v>843</v>
      </c>
      <c r="C89" s="38" t="s">
        <v>844</v>
      </c>
      <c r="D89" s="38" t="s">
        <v>691</v>
      </c>
      <c r="E89" s="39">
        <v>100</v>
      </c>
      <c r="F89" s="40">
        <v>1061.229</v>
      </c>
      <c r="G89" s="41">
        <v>5.4310399999999998E-3</v>
      </c>
      <c r="H89" s="40">
        <v>5.4</v>
      </c>
      <c r="I89" s="76"/>
    </row>
    <row r="90" spans="1:9" x14ac:dyDescent="0.2">
      <c r="A90" s="37">
        <v>14</v>
      </c>
      <c r="B90" s="38" t="s">
        <v>845</v>
      </c>
      <c r="C90" s="38" t="s">
        <v>846</v>
      </c>
      <c r="D90" s="38" t="s">
        <v>691</v>
      </c>
      <c r="E90" s="39">
        <v>100</v>
      </c>
      <c r="F90" s="40">
        <v>1055.931</v>
      </c>
      <c r="G90" s="41">
        <v>5.4039259999999999E-3</v>
      </c>
      <c r="H90" s="40">
        <v>6.173</v>
      </c>
      <c r="I90" s="76"/>
    </row>
    <row r="91" spans="1:9" ht="25.5" x14ac:dyDescent="0.2">
      <c r="A91" s="37">
        <v>15</v>
      </c>
      <c r="B91" s="38" t="s">
        <v>847</v>
      </c>
      <c r="C91" s="38" t="s">
        <v>848</v>
      </c>
      <c r="D91" s="38" t="s">
        <v>691</v>
      </c>
      <c r="E91" s="39">
        <v>100</v>
      </c>
      <c r="F91" s="40">
        <v>1053.9269999999999</v>
      </c>
      <c r="G91" s="41">
        <v>5.3936699999999997E-3</v>
      </c>
      <c r="H91" s="40">
        <v>5.3</v>
      </c>
      <c r="I91" s="76"/>
    </row>
    <row r="92" spans="1:9" ht="25.5" x14ac:dyDescent="0.2">
      <c r="A92" s="37">
        <v>16</v>
      </c>
      <c r="B92" s="38" t="s">
        <v>849</v>
      </c>
      <c r="C92" s="38" t="s">
        <v>850</v>
      </c>
      <c r="D92" s="38" t="s">
        <v>691</v>
      </c>
      <c r="E92" s="39">
        <v>100</v>
      </c>
      <c r="F92" s="40">
        <v>1024.24</v>
      </c>
      <c r="G92" s="41">
        <v>5.2417419999999998E-3</v>
      </c>
      <c r="H92" s="40">
        <v>5.14</v>
      </c>
      <c r="I92" s="76"/>
    </row>
    <row r="93" spans="1:9" ht="38.25" x14ac:dyDescent="0.2">
      <c r="A93" s="37">
        <v>17</v>
      </c>
      <c r="B93" s="38" t="s">
        <v>851</v>
      </c>
      <c r="C93" s="72" t="s">
        <v>971</v>
      </c>
      <c r="D93" s="38" t="s">
        <v>828</v>
      </c>
      <c r="E93" s="39">
        <v>100</v>
      </c>
      <c r="F93" s="40">
        <v>1019.587</v>
      </c>
      <c r="G93" s="41">
        <v>5.2179289999999996E-3</v>
      </c>
      <c r="H93" s="40">
        <v>8.4449000000000005</v>
      </c>
      <c r="I93" s="76">
        <v>5.04</v>
      </c>
    </row>
    <row r="94" spans="1:9" ht="38.25" x14ac:dyDescent="0.2">
      <c r="A94" s="37">
        <v>18</v>
      </c>
      <c r="B94" s="38" t="s">
        <v>852</v>
      </c>
      <c r="C94" s="72" t="s">
        <v>972</v>
      </c>
      <c r="D94" s="38" t="s">
        <v>947</v>
      </c>
      <c r="E94" s="39">
        <v>100</v>
      </c>
      <c r="F94" s="40">
        <v>1011.801</v>
      </c>
      <c r="G94" s="41">
        <v>5.178083E-3</v>
      </c>
      <c r="H94" s="40">
        <v>9.0086999999999993</v>
      </c>
      <c r="I94" s="76">
        <v>4.7699999999999996</v>
      </c>
    </row>
    <row r="95" spans="1:9" ht="25.5" x14ac:dyDescent="0.2">
      <c r="A95" s="37">
        <v>19</v>
      </c>
      <c r="B95" s="38" t="s">
        <v>853</v>
      </c>
      <c r="C95" s="38" t="s">
        <v>854</v>
      </c>
      <c r="D95" s="38" t="s">
        <v>691</v>
      </c>
      <c r="E95" s="39">
        <v>100</v>
      </c>
      <c r="F95" s="40">
        <v>999.85400000000004</v>
      </c>
      <c r="G95" s="41">
        <v>5.1169420000000002E-3</v>
      </c>
      <c r="H95" s="40">
        <v>6.085</v>
      </c>
      <c r="I95" s="76"/>
    </row>
    <row r="96" spans="1:9" ht="25.5" x14ac:dyDescent="0.2">
      <c r="A96" s="37">
        <v>20</v>
      </c>
      <c r="B96" s="38" t="s">
        <v>855</v>
      </c>
      <c r="C96" s="38" t="s">
        <v>856</v>
      </c>
      <c r="D96" s="38" t="s">
        <v>691</v>
      </c>
      <c r="E96" s="39">
        <v>100</v>
      </c>
      <c r="F96" s="40">
        <v>993.26800000000003</v>
      </c>
      <c r="G96" s="41">
        <v>5.083237E-3</v>
      </c>
      <c r="H96" s="40">
        <v>5.47</v>
      </c>
      <c r="I96" s="76"/>
    </row>
    <row r="97" spans="1:9" ht="25.5" x14ac:dyDescent="0.2">
      <c r="A97" s="37">
        <v>21</v>
      </c>
      <c r="B97" s="38" t="s">
        <v>857</v>
      </c>
      <c r="C97" s="38" t="s">
        <v>858</v>
      </c>
      <c r="D97" s="38" t="s">
        <v>691</v>
      </c>
      <c r="E97" s="39">
        <v>50</v>
      </c>
      <c r="F97" s="40">
        <v>496.10300000000001</v>
      </c>
      <c r="G97" s="41">
        <v>2.5389010000000001E-3</v>
      </c>
      <c r="H97" s="40">
        <v>5.17</v>
      </c>
      <c r="I97" s="76"/>
    </row>
    <row r="98" spans="1:9" ht="25.5" x14ac:dyDescent="0.2">
      <c r="A98" s="37">
        <v>22</v>
      </c>
      <c r="B98" s="38" t="s">
        <v>859</v>
      </c>
      <c r="C98" s="38" t="s">
        <v>965</v>
      </c>
      <c r="D98" s="38" t="s">
        <v>948</v>
      </c>
      <c r="E98" s="39">
        <v>20</v>
      </c>
      <c r="F98" s="40">
        <v>198.5378</v>
      </c>
      <c r="G98" s="41">
        <v>1.0160550000000001E-3</v>
      </c>
      <c r="H98" s="40">
        <v>10.687200000000001</v>
      </c>
      <c r="I98" s="76"/>
    </row>
    <row r="99" spans="1:9" x14ac:dyDescent="0.2">
      <c r="A99" s="35"/>
      <c r="B99" s="35"/>
      <c r="C99" s="36" t="s">
        <v>95</v>
      </c>
      <c r="D99" s="35"/>
      <c r="E99" s="35" t="s">
        <v>96</v>
      </c>
      <c r="F99" s="42">
        <v>37218.849199999997</v>
      </c>
      <c r="G99" s="43">
        <v>0.190474491</v>
      </c>
      <c r="H99" s="40"/>
      <c r="I99" s="76"/>
    </row>
    <row r="100" spans="1:9" x14ac:dyDescent="0.2">
      <c r="A100" s="35"/>
      <c r="B100" s="35"/>
      <c r="C100" s="44"/>
      <c r="D100" s="35"/>
      <c r="E100" s="35"/>
      <c r="F100" s="45"/>
      <c r="G100" s="45"/>
      <c r="H100" s="40"/>
      <c r="I100" s="76"/>
    </row>
    <row r="101" spans="1:9" x14ac:dyDescent="0.2">
      <c r="A101" s="35"/>
      <c r="B101" s="35"/>
      <c r="C101" s="36" t="s">
        <v>104</v>
      </c>
      <c r="D101" s="35"/>
      <c r="E101" s="35"/>
      <c r="F101" s="35"/>
      <c r="G101" s="35"/>
      <c r="H101" s="40"/>
      <c r="I101" s="76"/>
    </row>
    <row r="102" spans="1:9" x14ac:dyDescent="0.2">
      <c r="A102" s="37">
        <v>1</v>
      </c>
      <c r="B102" s="38" t="s">
        <v>860</v>
      </c>
      <c r="C102" s="38" t="s">
        <v>861</v>
      </c>
      <c r="D102" s="38" t="s">
        <v>691</v>
      </c>
      <c r="E102" s="39">
        <v>50</v>
      </c>
      <c r="F102" s="40">
        <v>534.14750000000004</v>
      </c>
      <c r="G102" s="41">
        <v>2.733601E-3</v>
      </c>
      <c r="H102" s="40">
        <v>6.31</v>
      </c>
      <c r="I102" s="76"/>
    </row>
    <row r="103" spans="1:9" x14ac:dyDescent="0.2">
      <c r="A103" s="35"/>
      <c r="B103" s="35"/>
      <c r="C103" s="36" t="s">
        <v>95</v>
      </c>
      <c r="D103" s="35"/>
      <c r="E103" s="35" t="s">
        <v>96</v>
      </c>
      <c r="F103" s="42">
        <v>534.14750000000004</v>
      </c>
      <c r="G103" s="43">
        <v>2.733601E-3</v>
      </c>
      <c r="H103" s="40"/>
      <c r="I103" s="76"/>
    </row>
    <row r="104" spans="1:9" x14ac:dyDescent="0.2">
      <c r="A104" s="35"/>
      <c r="B104" s="35"/>
      <c r="C104" s="44"/>
      <c r="D104" s="35"/>
      <c r="E104" s="35"/>
      <c r="F104" s="45"/>
      <c r="G104" s="45"/>
      <c r="H104" s="40"/>
      <c r="I104" s="76"/>
    </row>
    <row r="105" spans="1:9" x14ac:dyDescent="0.2">
      <c r="A105" s="35"/>
      <c r="B105" s="35"/>
      <c r="C105" s="36" t="s">
        <v>105</v>
      </c>
      <c r="D105" s="35"/>
      <c r="E105" s="35"/>
      <c r="F105" s="35"/>
      <c r="G105" s="35"/>
      <c r="H105" s="40"/>
      <c r="I105" s="76"/>
    </row>
    <row r="106" spans="1:9" ht="25.5" x14ac:dyDescent="0.2">
      <c r="A106" s="37">
        <v>1</v>
      </c>
      <c r="B106" s="38" t="s">
        <v>722</v>
      </c>
      <c r="C106" s="38" t="s">
        <v>873</v>
      </c>
      <c r="D106" s="38" t="s">
        <v>721</v>
      </c>
      <c r="E106" s="39">
        <v>1800000</v>
      </c>
      <c r="F106" s="40">
        <v>1894.4982</v>
      </c>
      <c r="G106" s="41">
        <v>9.6954520000000002E-3</v>
      </c>
      <c r="H106" s="40">
        <v>4.7282000000000002</v>
      </c>
      <c r="I106" s="76"/>
    </row>
    <row r="107" spans="1:9" ht="25.5" x14ac:dyDescent="0.2">
      <c r="A107" s="37">
        <v>2</v>
      </c>
      <c r="B107" s="38" t="s">
        <v>862</v>
      </c>
      <c r="C107" s="38" t="s">
        <v>872</v>
      </c>
      <c r="D107" s="38" t="s">
        <v>721</v>
      </c>
      <c r="E107" s="39">
        <v>1500000</v>
      </c>
      <c r="F107" s="40">
        <v>1555.5015000000001</v>
      </c>
      <c r="G107" s="41">
        <v>7.9605730000000003E-3</v>
      </c>
      <c r="H107" s="40">
        <v>4.5273000000000003</v>
      </c>
      <c r="I107" s="76"/>
    </row>
    <row r="108" spans="1:9" ht="25.5" x14ac:dyDescent="0.2">
      <c r="A108" s="37">
        <v>3</v>
      </c>
      <c r="B108" s="38" t="s">
        <v>863</v>
      </c>
      <c r="C108" s="38" t="s">
        <v>871</v>
      </c>
      <c r="D108" s="38" t="s">
        <v>721</v>
      </c>
      <c r="E108" s="39">
        <v>500000</v>
      </c>
      <c r="F108" s="40">
        <v>499.65750000000003</v>
      </c>
      <c r="G108" s="41">
        <v>2.557092E-3</v>
      </c>
      <c r="H108" s="40">
        <v>5.6459000000000001</v>
      </c>
      <c r="I108" s="76"/>
    </row>
    <row r="109" spans="1:9" x14ac:dyDescent="0.2">
      <c r="A109" s="35"/>
      <c r="B109" s="35"/>
      <c r="C109" s="36" t="s">
        <v>95</v>
      </c>
      <c r="D109" s="35"/>
      <c r="E109" s="35" t="s">
        <v>96</v>
      </c>
      <c r="F109" s="42">
        <v>3949.6572000000001</v>
      </c>
      <c r="G109" s="43">
        <v>2.0213116999999999E-2</v>
      </c>
      <c r="H109" s="40"/>
      <c r="I109" s="76"/>
    </row>
    <row r="110" spans="1:9" x14ac:dyDescent="0.2">
      <c r="A110" s="35"/>
      <c r="B110" s="35"/>
      <c r="C110" s="44"/>
      <c r="D110" s="35"/>
      <c r="E110" s="35"/>
      <c r="F110" s="45"/>
      <c r="G110" s="45"/>
      <c r="H110" s="40"/>
      <c r="I110" s="76"/>
    </row>
    <row r="111" spans="1:9" x14ac:dyDescent="0.2">
      <c r="A111" s="35"/>
      <c r="B111" s="35"/>
      <c r="C111" s="36" t="s">
        <v>106</v>
      </c>
      <c r="D111" s="35"/>
      <c r="E111" s="35"/>
      <c r="F111" s="45"/>
      <c r="G111" s="45"/>
      <c r="H111" s="40"/>
      <c r="I111" s="76"/>
    </row>
    <row r="112" spans="1:9" x14ac:dyDescent="0.2">
      <c r="A112" s="35"/>
      <c r="B112" s="35"/>
      <c r="C112" s="36" t="s">
        <v>95</v>
      </c>
      <c r="D112" s="35"/>
      <c r="E112" s="35" t="s">
        <v>96</v>
      </c>
      <c r="F112" s="46">
        <v>0</v>
      </c>
      <c r="G112" s="47">
        <v>0</v>
      </c>
      <c r="H112" s="40"/>
      <c r="I112" s="76"/>
    </row>
    <row r="113" spans="1:9" x14ac:dyDescent="0.2">
      <c r="A113" s="35"/>
      <c r="B113" s="35"/>
      <c r="C113" s="44"/>
      <c r="D113" s="35"/>
      <c r="E113" s="35"/>
      <c r="F113" s="45"/>
      <c r="G113" s="45"/>
      <c r="H113" s="40"/>
      <c r="I113" s="76"/>
    </row>
    <row r="114" spans="1:9" x14ac:dyDescent="0.2">
      <c r="A114" s="35"/>
      <c r="B114" s="35"/>
      <c r="C114" s="36" t="s">
        <v>107</v>
      </c>
      <c r="D114" s="35"/>
      <c r="E114" s="35"/>
      <c r="F114" s="42">
        <v>41702.653899999998</v>
      </c>
      <c r="G114" s="43">
        <v>0.213421209</v>
      </c>
      <c r="H114" s="40"/>
      <c r="I114" s="76"/>
    </row>
    <row r="115" spans="1:9" x14ac:dyDescent="0.2">
      <c r="A115" s="35"/>
      <c r="B115" s="35"/>
      <c r="C115" s="44"/>
      <c r="D115" s="35"/>
      <c r="E115" s="35"/>
      <c r="F115" s="45"/>
      <c r="G115" s="45"/>
      <c r="H115" s="40"/>
      <c r="I115" s="76"/>
    </row>
    <row r="116" spans="1:9" x14ac:dyDescent="0.2">
      <c r="A116" s="35"/>
      <c r="B116" s="35"/>
      <c r="C116" s="36" t="s">
        <v>108</v>
      </c>
      <c r="D116" s="35"/>
      <c r="E116" s="35"/>
      <c r="F116" s="45"/>
      <c r="G116" s="45"/>
      <c r="H116" s="40"/>
      <c r="I116" s="76"/>
    </row>
    <row r="117" spans="1:9" x14ac:dyDescent="0.2">
      <c r="A117" s="35"/>
      <c r="B117" s="35"/>
      <c r="C117" s="36" t="s">
        <v>109</v>
      </c>
      <c r="D117" s="35"/>
      <c r="E117" s="35"/>
      <c r="F117" s="45"/>
      <c r="G117" s="45"/>
      <c r="H117" s="40"/>
      <c r="I117" s="76"/>
    </row>
    <row r="118" spans="1:9" x14ac:dyDescent="0.2">
      <c r="A118" s="35"/>
      <c r="B118" s="35"/>
      <c r="C118" s="36" t="s">
        <v>95</v>
      </c>
      <c r="D118" s="35"/>
      <c r="E118" s="35" t="s">
        <v>96</v>
      </c>
      <c r="F118" s="46">
        <v>0</v>
      </c>
      <c r="G118" s="47">
        <v>0</v>
      </c>
      <c r="H118" s="40"/>
      <c r="I118" s="76"/>
    </row>
    <row r="119" spans="1:9" x14ac:dyDescent="0.2">
      <c r="A119" s="35"/>
      <c r="B119" s="35"/>
      <c r="C119" s="44"/>
      <c r="D119" s="35"/>
      <c r="E119" s="35"/>
      <c r="F119" s="45"/>
      <c r="G119" s="45"/>
      <c r="H119" s="40"/>
      <c r="I119" s="76"/>
    </row>
    <row r="120" spans="1:9" x14ac:dyDescent="0.2">
      <c r="A120" s="35"/>
      <c r="B120" s="35"/>
      <c r="C120" s="36" t="s">
        <v>110</v>
      </c>
      <c r="D120" s="35"/>
      <c r="E120" s="35"/>
      <c r="F120" s="45"/>
      <c r="G120" s="45"/>
      <c r="H120" s="40"/>
      <c r="I120" s="76"/>
    </row>
    <row r="121" spans="1:9" x14ac:dyDescent="0.2">
      <c r="A121" s="35"/>
      <c r="B121" s="35"/>
      <c r="C121" s="36" t="s">
        <v>95</v>
      </c>
      <c r="D121" s="35"/>
      <c r="E121" s="35" t="s">
        <v>96</v>
      </c>
      <c r="F121" s="46">
        <v>0</v>
      </c>
      <c r="G121" s="47">
        <v>0</v>
      </c>
      <c r="H121" s="40"/>
      <c r="I121" s="76"/>
    </row>
    <row r="122" spans="1:9" x14ac:dyDescent="0.2">
      <c r="A122" s="35"/>
      <c r="B122" s="35"/>
      <c r="C122" s="44"/>
      <c r="D122" s="35"/>
      <c r="E122" s="35"/>
      <c r="F122" s="45"/>
      <c r="G122" s="45"/>
      <c r="H122" s="40"/>
      <c r="I122" s="76"/>
    </row>
    <row r="123" spans="1:9" x14ac:dyDescent="0.2">
      <c r="A123" s="35"/>
      <c r="B123" s="35"/>
      <c r="C123" s="36" t="s">
        <v>111</v>
      </c>
      <c r="D123" s="35"/>
      <c r="E123" s="35"/>
      <c r="F123" s="45"/>
      <c r="G123" s="45"/>
      <c r="H123" s="40"/>
      <c r="I123" s="76"/>
    </row>
    <row r="124" spans="1:9" x14ac:dyDescent="0.2">
      <c r="A124" s="37">
        <v>1</v>
      </c>
      <c r="B124" s="38" t="s">
        <v>864</v>
      </c>
      <c r="C124" s="38" t="s">
        <v>874</v>
      </c>
      <c r="D124" s="38" t="s">
        <v>721</v>
      </c>
      <c r="E124" s="39">
        <v>2500000</v>
      </c>
      <c r="F124" s="40">
        <v>2488.3425000000002</v>
      </c>
      <c r="G124" s="41">
        <v>1.2734563000000001E-2</v>
      </c>
      <c r="H124" s="40">
        <v>3.42</v>
      </c>
      <c r="I124" s="76"/>
    </row>
    <row r="125" spans="1:9" x14ac:dyDescent="0.2">
      <c r="A125" s="37">
        <v>2</v>
      </c>
      <c r="B125" s="38" t="s">
        <v>865</v>
      </c>
      <c r="C125" s="38" t="s">
        <v>866</v>
      </c>
      <c r="D125" s="38" t="s">
        <v>721</v>
      </c>
      <c r="E125" s="39">
        <v>2500000</v>
      </c>
      <c r="F125" s="40">
        <v>2486.5650000000001</v>
      </c>
      <c r="G125" s="41">
        <v>1.2725466E-2</v>
      </c>
      <c r="H125" s="40">
        <v>3.46</v>
      </c>
      <c r="I125" s="76"/>
    </row>
    <row r="126" spans="1:9" x14ac:dyDescent="0.2">
      <c r="A126" s="35"/>
      <c r="B126" s="35"/>
      <c r="C126" s="36" t="s">
        <v>95</v>
      </c>
      <c r="D126" s="35"/>
      <c r="E126" s="35" t="s">
        <v>96</v>
      </c>
      <c r="F126" s="42">
        <v>4974.9075000000003</v>
      </c>
      <c r="G126" s="43">
        <v>2.5460028999999999E-2</v>
      </c>
      <c r="H126" s="40"/>
      <c r="I126" s="76"/>
    </row>
    <row r="127" spans="1:9" x14ac:dyDescent="0.2">
      <c r="A127" s="35"/>
      <c r="B127" s="35"/>
      <c r="C127" s="44"/>
      <c r="D127" s="35"/>
      <c r="E127" s="35"/>
      <c r="F127" s="45"/>
      <c r="G127" s="45"/>
      <c r="H127" s="40"/>
      <c r="I127" s="76"/>
    </row>
    <row r="128" spans="1:9" x14ac:dyDescent="0.2">
      <c r="A128" s="35"/>
      <c r="B128" s="35"/>
      <c r="C128" s="36" t="s">
        <v>112</v>
      </c>
      <c r="D128" s="35"/>
      <c r="E128" s="35"/>
      <c r="F128" s="45"/>
      <c r="G128" s="45"/>
      <c r="H128" s="40"/>
      <c r="I128" s="76"/>
    </row>
    <row r="129" spans="1:9" x14ac:dyDescent="0.2">
      <c r="A129" s="37">
        <v>1</v>
      </c>
      <c r="B129" s="38"/>
      <c r="C129" s="38" t="s">
        <v>113</v>
      </c>
      <c r="D129" s="38"/>
      <c r="E129" s="48"/>
      <c r="F129" s="40">
        <v>3854.2371965000002</v>
      </c>
      <c r="G129" s="41">
        <v>1.9724787000000001E-2</v>
      </c>
      <c r="H129" s="6">
        <v>3.3628721504199861</v>
      </c>
      <c r="I129" s="76"/>
    </row>
    <row r="130" spans="1:9" x14ac:dyDescent="0.2">
      <c r="A130" s="37">
        <v>2</v>
      </c>
      <c r="B130" s="38"/>
      <c r="C130" s="38" t="s">
        <v>114</v>
      </c>
      <c r="D130" s="38"/>
      <c r="E130" s="48"/>
      <c r="F130" s="40">
        <v>1488.4711103</v>
      </c>
      <c r="G130" s="41">
        <v>7.6175319999999998E-3</v>
      </c>
      <c r="H130" s="6">
        <v>3.4499999999999966</v>
      </c>
      <c r="I130" s="76"/>
    </row>
    <row r="131" spans="1:9" x14ac:dyDescent="0.2">
      <c r="A131" s="35"/>
      <c r="B131" s="35"/>
      <c r="C131" s="36" t="s">
        <v>95</v>
      </c>
      <c r="D131" s="35"/>
      <c r="E131" s="35" t="s">
        <v>96</v>
      </c>
      <c r="F131" s="42">
        <v>5342.7083068000002</v>
      </c>
      <c r="G131" s="43">
        <v>2.7342319E-2</v>
      </c>
      <c r="H131" s="40"/>
      <c r="I131" s="76"/>
    </row>
    <row r="132" spans="1:9" x14ac:dyDescent="0.2">
      <c r="A132" s="35"/>
      <c r="B132" s="35"/>
      <c r="C132" s="44"/>
      <c r="D132" s="35"/>
      <c r="E132" s="35"/>
      <c r="F132" s="45"/>
      <c r="G132" s="45"/>
      <c r="H132" s="40"/>
      <c r="I132" s="76"/>
    </row>
    <row r="133" spans="1:9" x14ac:dyDescent="0.2">
      <c r="A133" s="35"/>
      <c r="B133" s="35"/>
      <c r="C133" s="36" t="s">
        <v>115</v>
      </c>
      <c r="D133" s="35"/>
      <c r="E133" s="35"/>
      <c r="F133" s="42">
        <v>10317.6158068</v>
      </c>
      <c r="G133" s="43">
        <v>5.2802347999999999E-2</v>
      </c>
      <c r="H133" s="40"/>
      <c r="I133" s="76"/>
    </row>
    <row r="134" spans="1:9" x14ac:dyDescent="0.2">
      <c r="A134" s="35"/>
      <c r="B134" s="35"/>
      <c r="C134" s="45"/>
      <c r="D134" s="35"/>
      <c r="E134" s="35"/>
      <c r="F134" s="35"/>
      <c r="G134" s="35"/>
      <c r="H134" s="40"/>
      <c r="I134" s="76"/>
    </row>
    <row r="135" spans="1:9" x14ac:dyDescent="0.2">
      <c r="A135" s="35"/>
      <c r="B135" s="35"/>
      <c r="C135" s="36" t="s">
        <v>116</v>
      </c>
      <c r="D135" s="35"/>
      <c r="E135" s="35"/>
      <c r="F135" s="35"/>
      <c r="G135" s="35"/>
      <c r="H135" s="40"/>
      <c r="I135" s="76"/>
    </row>
    <row r="136" spans="1:9" x14ac:dyDescent="0.2">
      <c r="A136" s="35"/>
      <c r="B136" s="35"/>
      <c r="C136" s="36" t="s">
        <v>117</v>
      </c>
      <c r="D136" s="35"/>
      <c r="E136" s="35"/>
      <c r="F136" s="35"/>
      <c r="G136" s="35"/>
      <c r="H136" s="40"/>
      <c r="I136" s="76"/>
    </row>
    <row r="137" spans="1:9" x14ac:dyDescent="0.2">
      <c r="A137" s="35"/>
      <c r="B137" s="35"/>
      <c r="C137" s="36" t="s">
        <v>95</v>
      </c>
      <c r="D137" s="35"/>
      <c r="E137" s="35" t="s">
        <v>96</v>
      </c>
      <c r="F137" s="46">
        <v>0</v>
      </c>
      <c r="G137" s="47">
        <v>0</v>
      </c>
      <c r="H137" s="40"/>
      <c r="I137" s="76"/>
    </row>
    <row r="138" spans="1:9" x14ac:dyDescent="0.2">
      <c r="A138" s="35"/>
      <c r="B138" s="35"/>
      <c r="C138" s="44"/>
      <c r="D138" s="35"/>
      <c r="E138" s="35"/>
      <c r="F138" s="45"/>
      <c r="G138" s="45"/>
      <c r="H138" s="40"/>
      <c r="I138" s="76"/>
    </row>
    <row r="139" spans="1:9" x14ac:dyDescent="0.2">
      <c r="A139" s="35"/>
      <c r="B139" s="35"/>
      <c r="C139" s="36" t="s">
        <v>118</v>
      </c>
      <c r="D139" s="35"/>
      <c r="E139" s="35"/>
      <c r="F139" s="35"/>
      <c r="G139" s="35"/>
      <c r="H139" s="40"/>
      <c r="I139" s="76"/>
    </row>
    <row r="140" spans="1:9" x14ac:dyDescent="0.2">
      <c r="A140" s="35"/>
      <c r="B140" s="35"/>
      <c r="C140" s="36" t="s">
        <v>119</v>
      </c>
      <c r="D140" s="35"/>
      <c r="E140" s="35"/>
      <c r="F140" s="35"/>
      <c r="G140" s="35"/>
      <c r="H140" s="40"/>
      <c r="I140" s="76"/>
    </row>
    <row r="141" spans="1:9" x14ac:dyDescent="0.2">
      <c r="A141" s="35"/>
      <c r="B141" s="35"/>
      <c r="C141" s="36" t="s">
        <v>95</v>
      </c>
      <c r="D141" s="35"/>
      <c r="E141" s="35" t="s">
        <v>96</v>
      </c>
      <c r="F141" s="46">
        <v>0</v>
      </c>
      <c r="G141" s="47">
        <v>0</v>
      </c>
      <c r="H141" s="40"/>
      <c r="I141" s="76"/>
    </row>
    <row r="142" spans="1:9" x14ac:dyDescent="0.2">
      <c r="A142" s="35"/>
      <c r="B142" s="35"/>
      <c r="C142" s="44"/>
      <c r="D142" s="35"/>
      <c r="E142" s="35"/>
      <c r="F142" s="45"/>
      <c r="G142" s="45"/>
      <c r="H142" s="40"/>
      <c r="I142" s="76"/>
    </row>
    <row r="143" spans="1:9" ht="25.5" x14ac:dyDescent="0.2">
      <c r="A143" s="35"/>
      <c r="B143" s="35"/>
      <c r="C143" s="36" t="s">
        <v>120</v>
      </c>
      <c r="D143" s="35"/>
      <c r="E143" s="35"/>
      <c r="F143" s="45"/>
      <c r="G143" s="45"/>
      <c r="H143" s="40"/>
      <c r="I143" s="76"/>
    </row>
    <row r="144" spans="1:9" x14ac:dyDescent="0.2">
      <c r="A144" s="35"/>
      <c r="B144" s="35"/>
      <c r="C144" s="36" t="s">
        <v>95</v>
      </c>
      <c r="D144" s="35"/>
      <c r="E144" s="35" t="s">
        <v>96</v>
      </c>
      <c r="F144" s="46">
        <v>0</v>
      </c>
      <c r="G144" s="47">
        <v>0</v>
      </c>
      <c r="H144" s="40"/>
      <c r="I144" s="76"/>
    </row>
    <row r="145" spans="1:9" x14ac:dyDescent="0.2">
      <c r="A145" s="35"/>
      <c r="B145" s="35"/>
      <c r="C145" s="44"/>
      <c r="D145" s="35"/>
      <c r="E145" s="35"/>
      <c r="F145" s="45"/>
      <c r="G145" s="45"/>
      <c r="H145" s="40"/>
      <c r="I145" s="76"/>
    </row>
    <row r="146" spans="1:9" x14ac:dyDescent="0.2">
      <c r="A146" s="35"/>
      <c r="B146" s="38"/>
      <c r="C146" s="38"/>
      <c r="D146" s="36"/>
      <c r="E146" s="35"/>
      <c r="F146" s="38"/>
      <c r="G146" s="48"/>
      <c r="H146" s="40"/>
      <c r="I146" s="76"/>
    </row>
    <row r="147" spans="1:9" x14ac:dyDescent="0.2">
      <c r="A147" s="48"/>
      <c r="B147" s="38"/>
      <c r="C147" s="38" t="s">
        <v>816</v>
      </c>
      <c r="D147" s="38"/>
      <c r="E147" s="48"/>
      <c r="F147" s="40">
        <v>2722.96430521</v>
      </c>
      <c r="G147" s="41">
        <v>1.3935283999999999E-2</v>
      </c>
      <c r="H147" s="40"/>
      <c r="I147" s="76"/>
    </row>
    <row r="148" spans="1:9" x14ac:dyDescent="0.2">
      <c r="A148" s="44"/>
      <c r="B148" s="44"/>
      <c r="C148" s="36" t="s">
        <v>122</v>
      </c>
      <c r="D148" s="45"/>
      <c r="E148" s="45"/>
      <c r="F148" s="42">
        <v>195400.70301001001</v>
      </c>
      <c r="G148" s="43">
        <v>0.99999999799999995</v>
      </c>
      <c r="H148" s="40"/>
      <c r="I148" s="76"/>
    </row>
    <row r="149" spans="1:9" ht="14.1" customHeight="1" x14ac:dyDescent="0.2">
      <c r="A149" s="49"/>
      <c r="B149" s="49"/>
      <c r="C149" s="49"/>
      <c r="D149" s="50"/>
      <c r="E149" s="50"/>
      <c r="F149" s="50"/>
      <c r="G149" s="50"/>
    </row>
    <row r="150" spans="1:9" ht="17.100000000000001" customHeight="1" x14ac:dyDescent="0.2">
      <c r="A150" s="51"/>
      <c r="B150" s="186" t="s">
        <v>817</v>
      </c>
      <c r="C150" s="186"/>
      <c r="D150" s="186"/>
      <c r="E150" s="186"/>
      <c r="F150" s="186"/>
      <c r="G150" s="52"/>
    </row>
    <row r="151" spans="1:9" ht="17.100000000000001" customHeight="1" x14ac:dyDescent="0.2">
      <c r="A151" s="51"/>
      <c r="B151" s="186" t="s">
        <v>818</v>
      </c>
      <c r="C151" s="186"/>
      <c r="D151" s="186"/>
      <c r="E151" s="186"/>
      <c r="F151" s="186"/>
      <c r="G151" s="52"/>
    </row>
    <row r="152" spans="1:9" ht="26.25" customHeight="1" x14ac:dyDescent="0.2">
      <c r="A152" s="51"/>
      <c r="B152" s="202" t="s">
        <v>1029</v>
      </c>
      <c r="C152" s="202"/>
      <c r="D152" s="202"/>
      <c r="E152" s="202"/>
      <c r="F152" s="202"/>
      <c r="G152" s="52"/>
    </row>
    <row r="153" spans="1:9" ht="14.1" customHeight="1" x14ac:dyDescent="0.2">
      <c r="A153" s="51"/>
      <c r="B153" s="51"/>
      <c r="C153" s="51"/>
      <c r="D153" s="52"/>
      <c r="E153" s="52"/>
      <c r="F153" s="52"/>
      <c r="G153" s="52"/>
    </row>
    <row r="154" spans="1:9" ht="14.1" customHeight="1" x14ac:dyDescent="0.2">
      <c r="A154" s="51"/>
      <c r="B154" s="187" t="s">
        <v>124</v>
      </c>
      <c r="C154" s="188"/>
      <c r="D154" s="189"/>
      <c r="E154" s="53"/>
      <c r="F154" s="52"/>
      <c r="G154" s="52"/>
    </row>
    <row r="155" spans="1:9" ht="29.1" customHeight="1" x14ac:dyDescent="0.2">
      <c r="A155" s="51"/>
      <c r="B155" s="182" t="s">
        <v>125</v>
      </c>
      <c r="C155" s="183"/>
      <c r="D155" s="36" t="s">
        <v>126</v>
      </c>
      <c r="E155" s="53"/>
      <c r="F155" s="52"/>
      <c r="G155" s="52"/>
    </row>
    <row r="156" spans="1:9" ht="17.100000000000001" customHeight="1" x14ac:dyDescent="0.2">
      <c r="A156" s="51"/>
      <c r="B156" s="182" t="s">
        <v>127</v>
      </c>
      <c r="C156" s="183"/>
      <c r="D156" s="36" t="s">
        <v>126</v>
      </c>
      <c r="E156" s="53"/>
      <c r="F156" s="52"/>
      <c r="G156" s="52"/>
    </row>
    <row r="157" spans="1:9" ht="17.100000000000001" customHeight="1" x14ac:dyDescent="0.2">
      <c r="A157" s="51"/>
      <c r="B157" s="182" t="s">
        <v>128</v>
      </c>
      <c r="C157" s="183"/>
      <c r="D157" s="45" t="s">
        <v>96</v>
      </c>
      <c r="E157" s="53"/>
      <c r="F157" s="52"/>
      <c r="G157" s="52"/>
    </row>
    <row r="158" spans="1:9" ht="24" customHeight="1" x14ac:dyDescent="0.2">
      <c r="A158" s="54"/>
      <c r="B158" s="55" t="s">
        <v>96</v>
      </c>
      <c r="C158" s="55" t="s">
        <v>129</v>
      </c>
      <c r="D158" s="55" t="s">
        <v>130</v>
      </c>
      <c r="E158" s="54"/>
      <c r="F158" s="54"/>
      <c r="G158" s="54"/>
    </row>
    <row r="159" spans="1:9" ht="18" customHeight="1" x14ac:dyDescent="0.2">
      <c r="A159" s="54"/>
      <c r="B159" s="56" t="s">
        <v>131</v>
      </c>
      <c r="C159" s="55" t="s">
        <v>132</v>
      </c>
      <c r="D159" s="55" t="s">
        <v>133</v>
      </c>
      <c r="E159" s="54"/>
      <c r="F159" s="54"/>
      <c r="G159" s="54"/>
    </row>
    <row r="160" spans="1:9" ht="17.100000000000001" customHeight="1" x14ac:dyDescent="0.2">
      <c r="A160" s="54"/>
      <c r="B160" s="38" t="s">
        <v>134</v>
      </c>
      <c r="C160" s="57">
        <v>146.0367</v>
      </c>
      <c r="D160" s="57">
        <v>143.60069999999999</v>
      </c>
      <c r="E160" s="54"/>
      <c r="F160" s="58"/>
      <c r="G160" s="59"/>
    </row>
    <row r="161" spans="1:17" ht="17.100000000000001" customHeight="1" x14ac:dyDescent="0.2">
      <c r="A161" s="54"/>
      <c r="B161" s="38" t="s">
        <v>983</v>
      </c>
      <c r="C161" s="57">
        <v>18.924600000000002</v>
      </c>
      <c r="D161" s="57">
        <v>18.438500000000001</v>
      </c>
      <c r="E161" s="54"/>
      <c r="F161" s="58"/>
      <c r="G161" s="59"/>
    </row>
    <row r="162" spans="1:17" ht="17.100000000000001" customHeight="1" x14ac:dyDescent="0.2">
      <c r="A162" s="54"/>
      <c r="B162" s="38" t="s">
        <v>135</v>
      </c>
      <c r="C162" s="57">
        <v>135.15199999999999</v>
      </c>
      <c r="D162" s="57">
        <v>132.75290000000001</v>
      </c>
      <c r="E162" s="54"/>
      <c r="F162" s="58"/>
      <c r="G162" s="59"/>
    </row>
    <row r="163" spans="1:17" ht="17.100000000000001" customHeight="1" x14ac:dyDescent="0.2">
      <c r="A163" s="54"/>
      <c r="B163" s="38" t="s">
        <v>984</v>
      </c>
      <c r="C163" s="57">
        <v>16.667400000000001</v>
      </c>
      <c r="D163" s="57">
        <v>16.221399999999999</v>
      </c>
      <c r="E163" s="54"/>
      <c r="F163" s="58"/>
      <c r="G163" s="59"/>
    </row>
    <row r="164" spans="1:17" ht="14.1" customHeight="1" x14ac:dyDescent="0.2">
      <c r="A164" s="54"/>
      <c r="B164" s="54"/>
      <c r="C164" s="54"/>
      <c r="D164" s="54"/>
      <c r="E164" s="54"/>
      <c r="F164" s="54"/>
      <c r="G164" s="54"/>
    </row>
    <row r="165" spans="1:17" ht="17.100000000000001" customHeight="1" x14ac:dyDescent="0.2">
      <c r="A165" s="54"/>
      <c r="B165" s="182" t="s">
        <v>985</v>
      </c>
      <c r="C165" s="183"/>
      <c r="D165" s="36" t="s">
        <v>96</v>
      </c>
      <c r="E165" s="54"/>
      <c r="F165" s="54"/>
      <c r="G165" s="54"/>
    </row>
    <row r="166" spans="1:17" ht="18" customHeight="1" x14ac:dyDescent="0.2">
      <c r="A166" s="54"/>
      <c r="B166" s="63" t="s">
        <v>131</v>
      </c>
      <c r="C166" s="64" t="s">
        <v>867</v>
      </c>
      <c r="D166" s="64" t="s">
        <v>868</v>
      </c>
      <c r="E166" s="54"/>
      <c r="F166" s="54"/>
      <c r="G166" s="54"/>
      <c r="J166" s="82"/>
      <c r="K166" s="82"/>
      <c r="L166" s="82"/>
      <c r="M166" s="82"/>
      <c r="N166" s="82"/>
      <c r="O166" s="82"/>
      <c r="P166" s="82"/>
    </row>
    <row r="167" spans="1:17" ht="17.100000000000001" customHeight="1" x14ac:dyDescent="0.2">
      <c r="A167" s="54"/>
      <c r="B167" s="38" t="s">
        <v>983</v>
      </c>
      <c r="C167" s="65">
        <v>0.17599999999999999</v>
      </c>
      <c r="D167" s="65">
        <v>0.17599999999999999</v>
      </c>
      <c r="E167" s="54"/>
      <c r="F167" s="58"/>
      <c r="G167" s="59"/>
    </row>
    <row r="168" spans="1:17" ht="17.100000000000001" customHeight="1" x14ac:dyDescent="0.2">
      <c r="A168" s="54"/>
      <c r="B168" s="38" t="s">
        <v>984</v>
      </c>
      <c r="C168" s="65">
        <v>0.155</v>
      </c>
      <c r="D168" s="65">
        <v>0.155</v>
      </c>
      <c r="E168" s="54"/>
      <c r="F168" s="58"/>
      <c r="G168" s="59"/>
    </row>
    <row r="169" spans="1:17" ht="14.1" customHeight="1" x14ac:dyDescent="0.2">
      <c r="A169" s="54"/>
      <c r="B169" s="66"/>
      <c r="C169" s="66"/>
      <c r="D169" s="67"/>
      <c r="E169" s="54"/>
      <c r="F169" s="58"/>
      <c r="G169" s="59"/>
    </row>
    <row r="170" spans="1:17" s="82" customFormat="1" x14ac:dyDescent="0.2">
      <c r="B170" s="177" t="s">
        <v>936</v>
      </c>
      <c r="C170" s="177"/>
      <c r="D170" s="177"/>
      <c r="E170" s="177"/>
      <c r="F170" s="177"/>
      <c r="I170"/>
      <c r="J170" s="70"/>
      <c r="K170" s="70"/>
      <c r="L170" s="70"/>
      <c r="M170" s="70"/>
      <c r="N170" s="70"/>
      <c r="O170" s="70"/>
      <c r="P170" s="70"/>
      <c r="Q170" s="70"/>
    </row>
    <row r="171" spans="1:17" ht="14.1" customHeight="1" x14ac:dyDescent="0.2">
      <c r="A171" s="54"/>
      <c r="B171" s="58"/>
      <c r="C171" s="58"/>
      <c r="D171" s="54"/>
      <c r="E171" s="54"/>
      <c r="F171" s="54"/>
      <c r="G171" s="54"/>
      <c r="Q171" s="82"/>
    </row>
    <row r="172" spans="1:17" ht="29.1" customHeight="1" x14ac:dyDescent="0.2">
      <c r="A172" s="54"/>
      <c r="B172" s="182" t="s">
        <v>137</v>
      </c>
      <c r="C172" s="183"/>
      <c r="D172" s="36" t="s">
        <v>126</v>
      </c>
      <c r="E172" s="61"/>
      <c r="F172" s="54"/>
      <c r="G172" s="54"/>
    </row>
    <row r="173" spans="1:17" ht="29.1" customHeight="1" x14ac:dyDescent="0.2">
      <c r="A173" s="54"/>
      <c r="B173" s="182" t="s">
        <v>138</v>
      </c>
      <c r="C173" s="183"/>
      <c r="D173" s="36" t="s">
        <v>126</v>
      </c>
      <c r="E173" s="61"/>
      <c r="F173" s="54"/>
      <c r="G173" s="54"/>
    </row>
    <row r="174" spans="1:17" ht="17.100000000000001" customHeight="1" x14ac:dyDescent="0.2">
      <c r="A174" s="54"/>
      <c r="B174" s="194" t="s">
        <v>939</v>
      </c>
      <c r="C174" s="195"/>
      <c r="D174" s="62">
        <v>0.85899999999999999</v>
      </c>
      <c r="E174" s="61"/>
      <c r="F174" s="54"/>
      <c r="G174" s="54"/>
    </row>
    <row r="175" spans="1:17" ht="17.100000000000001" customHeight="1" x14ac:dyDescent="0.2">
      <c r="A175" s="54"/>
      <c r="B175" s="194" t="s">
        <v>940</v>
      </c>
      <c r="C175" s="195"/>
      <c r="D175" s="62">
        <v>0.65200000000000002</v>
      </c>
      <c r="E175" s="61"/>
      <c r="F175" s="54"/>
      <c r="G175" s="54"/>
    </row>
    <row r="176" spans="1:17" ht="17.100000000000001" customHeight="1" x14ac:dyDescent="0.2">
      <c r="A176" s="54"/>
      <c r="B176" s="182" t="s">
        <v>819</v>
      </c>
      <c r="C176" s="183"/>
      <c r="D176" s="36" t="s">
        <v>126</v>
      </c>
      <c r="E176" s="61"/>
      <c r="F176" s="54"/>
      <c r="G176" s="54"/>
    </row>
    <row r="177" spans="1:16" ht="17.100000000000001" customHeight="1" x14ac:dyDescent="0.2">
      <c r="A177" s="54"/>
      <c r="B177" s="184" t="s">
        <v>943</v>
      </c>
      <c r="C177" s="185"/>
      <c r="D177" s="27">
        <v>0.73848320135170353</v>
      </c>
      <c r="E177" s="54"/>
      <c r="F177" s="58"/>
      <c r="G177" s="59"/>
    </row>
    <row r="178" spans="1:16" ht="11.1" customHeight="1" x14ac:dyDescent="0.2">
      <c r="A178" s="60"/>
      <c r="B178" s="60"/>
      <c r="C178" s="60"/>
      <c r="D178" s="60"/>
      <c r="E178" s="60"/>
      <c r="F178" s="60"/>
      <c r="G178" s="60"/>
    </row>
    <row r="179" spans="1:16" x14ac:dyDescent="0.2">
      <c r="A179" s="60"/>
      <c r="B179" s="208" t="s">
        <v>1030</v>
      </c>
      <c r="C179" s="208"/>
      <c r="D179" s="208"/>
      <c r="E179" s="208"/>
      <c r="F179" s="208"/>
      <c r="G179" s="208"/>
      <c r="H179" s="208"/>
    </row>
    <row r="180" spans="1:16" x14ac:dyDescent="0.2">
      <c r="B180" s="203" t="s">
        <v>951</v>
      </c>
      <c r="C180" s="203" t="s">
        <v>952</v>
      </c>
      <c r="D180" s="204" t="s">
        <v>953</v>
      </c>
      <c r="E180" s="204"/>
      <c r="F180" s="204"/>
      <c r="G180" s="205" t="s">
        <v>954</v>
      </c>
      <c r="H180" s="205"/>
    </row>
    <row r="181" spans="1:16" ht="25.5" x14ac:dyDescent="0.2">
      <c r="B181" s="94" t="s">
        <v>955</v>
      </c>
      <c r="C181" s="95" t="s">
        <v>956</v>
      </c>
      <c r="D181" s="209">
        <v>0</v>
      </c>
      <c r="E181" s="209"/>
      <c r="F181" s="209"/>
      <c r="G181" s="209">
        <v>0</v>
      </c>
      <c r="H181" s="209"/>
    </row>
    <row r="182" spans="1:16" x14ac:dyDescent="0.2">
      <c r="B182" s="94"/>
      <c r="C182" s="94"/>
      <c r="D182" s="192"/>
      <c r="E182" s="192"/>
      <c r="F182" s="192"/>
      <c r="G182" s="192"/>
      <c r="H182" s="192"/>
    </row>
    <row r="183" spans="1:16" x14ac:dyDescent="0.2">
      <c r="B183" s="205" t="s">
        <v>957</v>
      </c>
      <c r="C183" s="205"/>
      <c r="D183" s="205"/>
      <c r="E183" s="205"/>
      <c r="F183" s="205"/>
      <c r="G183" s="205"/>
      <c r="H183" s="205"/>
      <c r="J183" s="162"/>
      <c r="K183" s="162"/>
      <c r="L183" s="162"/>
      <c r="M183" s="162"/>
      <c r="N183" s="162"/>
      <c r="O183" s="162"/>
      <c r="P183" s="162"/>
    </row>
    <row r="184" spans="1:16" x14ac:dyDescent="0.2">
      <c r="B184" s="206" t="s">
        <v>951</v>
      </c>
      <c r="C184" s="206" t="s">
        <v>952</v>
      </c>
      <c r="D184" s="206" t="s">
        <v>958</v>
      </c>
      <c r="E184" s="206"/>
      <c r="F184" s="206"/>
      <c r="G184" s="206"/>
      <c r="H184" s="94"/>
    </row>
    <row r="185" spans="1:16" ht="51" x14ac:dyDescent="0.2">
      <c r="B185" s="206"/>
      <c r="C185" s="206"/>
      <c r="D185" s="207" t="s">
        <v>959</v>
      </c>
      <c r="E185" s="207" t="s">
        <v>960</v>
      </c>
      <c r="F185" s="207" t="s">
        <v>961</v>
      </c>
      <c r="G185" s="207" t="s">
        <v>962</v>
      </c>
      <c r="H185" s="207" t="s">
        <v>964</v>
      </c>
    </row>
    <row r="186" spans="1:16" ht="25.5" x14ac:dyDescent="0.2">
      <c r="B186" s="96" t="s">
        <v>955</v>
      </c>
      <c r="C186" s="97" t="s">
        <v>956</v>
      </c>
      <c r="D186" s="98">
        <v>700</v>
      </c>
      <c r="E186" s="98">
        <v>24.098357999999998</v>
      </c>
      <c r="F186" s="99">
        <v>0</v>
      </c>
      <c r="G186" s="100">
        <v>724.09835799999996</v>
      </c>
      <c r="H186" s="101">
        <v>3.7000000000000002E-3</v>
      </c>
    </row>
    <row r="187" spans="1:16" ht="26.25" customHeight="1" x14ac:dyDescent="0.2">
      <c r="B187" s="190" t="s">
        <v>963</v>
      </c>
      <c r="C187" s="191"/>
      <c r="D187" s="191"/>
      <c r="E187" s="191"/>
      <c r="F187" s="191"/>
      <c r="G187" s="191"/>
      <c r="H187" s="191"/>
    </row>
  </sheetData>
  <mergeCells count="31">
    <mergeCell ref="A1:I1"/>
    <mergeCell ref="A2:I2"/>
    <mergeCell ref="A3:I3"/>
    <mergeCell ref="B183:H183"/>
    <mergeCell ref="B175:C175"/>
    <mergeCell ref="B176:C176"/>
    <mergeCell ref="B177:C177"/>
    <mergeCell ref="B170:F170"/>
    <mergeCell ref="B173:C173"/>
    <mergeCell ref="B174:C174"/>
    <mergeCell ref="B179:H179"/>
    <mergeCell ref="K2:O2"/>
    <mergeCell ref="B172:C172"/>
    <mergeCell ref="B150:F150"/>
    <mergeCell ref="B151:F151"/>
    <mergeCell ref="B152:F152"/>
    <mergeCell ref="B154:D154"/>
    <mergeCell ref="B155:C155"/>
    <mergeCell ref="B156:C156"/>
    <mergeCell ref="B157:C157"/>
    <mergeCell ref="B165:C165"/>
    <mergeCell ref="B187:H187"/>
    <mergeCell ref="D180:F180"/>
    <mergeCell ref="G180:H180"/>
    <mergeCell ref="D181:F181"/>
    <mergeCell ref="G181:H181"/>
    <mergeCell ref="D182:F182"/>
    <mergeCell ref="G182:H182"/>
    <mergeCell ref="B184:B185"/>
    <mergeCell ref="C184:C185"/>
    <mergeCell ref="D184:G184"/>
  </mergeCells>
  <pageMargins left="5.000000074505806E-2" right="5.000000074505806E-2" top="0.30000001192092896" bottom="0.20000000298023224" header="0" footer="0"/>
  <pageSetup paperSize="9"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P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700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412</v>
      </c>
      <c r="C7" s="4" t="s">
        <v>413</v>
      </c>
      <c r="D7" s="4" t="s">
        <v>155</v>
      </c>
      <c r="E7" s="5">
        <v>577633</v>
      </c>
      <c r="F7" s="6">
        <v>9892.8315745</v>
      </c>
      <c r="G7" s="7">
        <v>8.1674599000000001E-2</v>
      </c>
      <c r="H7" s="69"/>
    </row>
    <row r="8" spans="1:14" x14ac:dyDescent="0.2">
      <c r="A8" s="3">
        <v>2</v>
      </c>
      <c r="B8" s="4" t="s">
        <v>20</v>
      </c>
      <c r="C8" s="4" t="s">
        <v>21</v>
      </c>
      <c r="D8" s="4" t="s">
        <v>22</v>
      </c>
      <c r="E8" s="5">
        <v>1301254</v>
      </c>
      <c r="F8" s="6">
        <v>9295.5079490000007</v>
      </c>
      <c r="G8" s="7">
        <v>7.6743133000000005E-2</v>
      </c>
      <c r="H8" s="69"/>
    </row>
    <row r="9" spans="1:14" x14ac:dyDescent="0.2">
      <c r="A9" s="3">
        <v>3</v>
      </c>
      <c r="B9" s="4" t="s">
        <v>410</v>
      </c>
      <c r="C9" s="4" t="s">
        <v>411</v>
      </c>
      <c r="D9" s="4" t="s">
        <v>22</v>
      </c>
      <c r="E9" s="5">
        <v>608253</v>
      </c>
      <c r="F9" s="6">
        <v>9084.5626814999996</v>
      </c>
      <c r="G9" s="7">
        <v>7.5001581999999997E-2</v>
      </c>
      <c r="H9" s="69"/>
    </row>
    <row r="10" spans="1:14" x14ac:dyDescent="0.2">
      <c r="A10" s="3">
        <v>4</v>
      </c>
      <c r="B10" s="4" t="s">
        <v>14</v>
      </c>
      <c r="C10" s="4" t="s">
        <v>15</v>
      </c>
      <c r="D10" s="4" t="s">
        <v>16</v>
      </c>
      <c r="E10" s="5">
        <v>314857</v>
      </c>
      <c r="F10" s="6">
        <v>7573.5702780000001</v>
      </c>
      <c r="G10" s="7">
        <v>6.2526922999999998E-2</v>
      </c>
      <c r="H10" s="69"/>
    </row>
    <row r="11" spans="1:14" x14ac:dyDescent="0.2">
      <c r="A11" s="3">
        <v>5</v>
      </c>
      <c r="B11" s="4" t="s">
        <v>416</v>
      </c>
      <c r="C11" s="4" t="s">
        <v>417</v>
      </c>
      <c r="D11" s="4" t="s">
        <v>22</v>
      </c>
      <c r="E11" s="5">
        <v>1197530</v>
      </c>
      <c r="F11" s="6">
        <v>5515.2244149999997</v>
      </c>
      <c r="G11" s="7">
        <v>4.5533348000000001E-2</v>
      </c>
      <c r="H11" s="69"/>
    </row>
    <row r="12" spans="1:14" ht="25.5" x14ac:dyDescent="0.2">
      <c r="A12" s="3">
        <v>6</v>
      </c>
      <c r="B12" s="4" t="s">
        <v>414</v>
      </c>
      <c r="C12" s="4" t="s">
        <v>415</v>
      </c>
      <c r="D12" s="4" t="s">
        <v>78</v>
      </c>
      <c r="E12" s="5">
        <v>201600</v>
      </c>
      <c r="F12" s="6">
        <v>5388.9696000000004</v>
      </c>
      <c r="G12" s="7">
        <v>4.4490995999999998E-2</v>
      </c>
      <c r="H12" s="69"/>
    </row>
    <row r="13" spans="1:14" x14ac:dyDescent="0.2">
      <c r="A13" s="3">
        <v>7</v>
      </c>
      <c r="B13" s="4" t="s">
        <v>420</v>
      </c>
      <c r="C13" s="4" t="s">
        <v>421</v>
      </c>
      <c r="D13" s="4" t="s">
        <v>155</v>
      </c>
      <c r="E13" s="5">
        <v>142864</v>
      </c>
      <c r="F13" s="6">
        <v>5041.8848559999997</v>
      </c>
      <c r="G13" s="7">
        <v>4.1625486000000003E-2</v>
      </c>
      <c r="H13" s="69"/>
    </row>
    <row r="14" spans="1:14" x14ac:dyDescent="0.2">
      <c r="A14" s="3">
        <v>8</v>
      </c>
      <c r="B14" s="4" t="s">
        <v>11</v>
      </c>
      <c r="C14" s="4" t="s">
        <v>12</v>
      </c>
      <c r="D14" s="4" t="s">
        <v>13</v>
      </c>
      <c r="E14" s="5">
        <v>277602</v>
      </c>
      <c r="F14" s="6">
        <v>4898.9812949999996</v>
      </c>
      <c r="G14" s="7">
        <v>4.0445683000000003E-2</v>
      </c>
      <c r="H14" s="69"/>
    </row>
    <row r="15" spans="1:14" ht="15" x14ac:dyDescent="0.2">
      <c r="A15" s="3">
        <v>9</v>
      </c>
      <c r="B15" s="4" t="s">
        <v>326</v>
      </c>
      <c r="C15" s="4" t="s">
        <v>327</v>
      </c>
      <c r="D15" s="4" t="s">
        <v>22</v>
      </c>
      <c r="E15" s="5">
        <v>605523</v>
      </c>
      <c r="F15" s="6">
        <v>3970.1115494999999</v>
      </c>
      <c r="G15" s="7">
        <v>3.2776992999999997E-2</v>
      </c>
      <c r="H15" s="69"/>
      <c r="J15" s="160" t="s">
        <v>1024</v>
      </c>
    </row>
    <row r="16" spans="1:14" x14ac:dyDescent="0.2">
      <c r="A16" s="3">
        <v>10</v>
      </c>
      <c r="B16" s="4" t="s">
        <v>380</v>
      </c>
      <c r="C16" s="4" t="s">
        <v>381</v>
      </c>
      <c r="D16" s="4" t="s">
        <v>155</v>
      </c>
      <c r="E16" s="5">
        <v>316010</v>
      </c>
      <c r="F16" s="6">
        <v>3598.2478649999998</v>
      </c>
      <c r="G16" s="7">
        <v>2.9706909E-2</v>
      </c>
      <c r="H16" s="69"/>
    </row>
    <row r="17" spans="1:8" x14ac:dyDescent="0.2">
      <c r="A17" s="3">
        <v>11</v>
      </c>
      <c r="B17" s="4" t="s">
        <v>306</v>
      </c>
      <c r="C17" s="4" t="s">
        <v>307</v>
      </c>
      <c r="D17" s="4" t="s">
        <v>155</v>
      </c>
      <c r="E17" s="5">
        <v>75542</v>
      </c>
      <c r="F17" s="6">
        <v>3269.8732409999998</v>
      </c>
      <c r="G17" s="7">
        <v>2.6995868999999999E-2</v>
      </c>
      <c r="H17" s="69"/>
    </row>
    <row r="18" spans="1:8" x14ac:dyDescent="0.2">
      <c r="A18" s="3">
        <v>12</v>
      </c>
      <c r="B18" s="4" t="s">
        <v>337</v>
      </c>
      <c r="C18" s="4" t="s">
        <v>338</v>
      </c>
      <c r="D18" s="4" t="s">
        <v>78</v>
      </c>
      <c r="E18" s="5">
        <v>225395</v>
      </c>
      <c r="F18" s="6">
        <v>3170.6314649999999</v>
      </c>
      <c r="G18" s="7">
        <v>2.6176535000000001E-2</v>
      </c>
      <c r="H18" s="69"/>
    </row>
    <row r="19" spans="1:8" x14ac:dyDescent="0.2">
      <c r="A19" s="3">
        <v>13</v>
      </c>
      <c r="B19" s="4" t="s">
        <v>17</v>
      </c>
      <c r="C19" s="4" t="s">
        <v>18</v>
      </c>
      <c r="D19" s="4" t="s">
        <v>19</v>
      </c>
      <c r="E19" s="5">
        <v>409068</v>
      </c>
      <c r="F19" s="6">
        <v>2979.0377100000001</v>
      </c>
      <c r="G19" s="7">
        <v>2.4594748999999999E-2</v>
      </c>
      <c r="H19" s="69"/>
    </row>
    <row r="20" spans="1:8" x14ac:dyDescent="0.2">
      <c r="A20" s="3">
        <v>14</v>
      </c>
      <c r="B20" s="4" t="s">
        <v>39</v>
      </c>
      <c r="C20" s="4" t="s">
        <v>40</v>
      </c>
      <c r="D20" s="4" t="s">
        <v>16</v>
      </c>
      <c r="E20" s="5">
        <v>694156</v>
      </c>
      <c r="F20" s="6">
        <v>2568.3771999999999</v>
      </c>
      <c r="G20" s="7">
        <v>2.1204362000000001E-2</v>
      </c>
      <c r="H20" s="69"/>
    </row>
    <row r="21" spans="1:8" ht="25.5" x14ac:dyDescent="0.2">
      <c r="A21" s="3">
        <v>15</v>
      </c>
      <c r="B21" s="4" t="s">
        <v>566</v>
      </c>
      <c r="C21" s="4" t="s">
        <v>567</v>
      </c>
      <c r="D21" s="4" t="s">
        <v>207</v>
      </c>
      <c r="E21" s="5">
        <v>16757</v>
      </c>
      <c r="F21" s="6">
        <v>2520.2695570000001</v>
      </c>
      <c r="G21" s="7">
        <v>2.0807188000000001E-2</v>
      </c>
      <c r="H21" s="69"/>
    </row>
    <row r="22" spans="1:8" x14ac:dyDescent="0.2">
      <c r="A22" s="3">
        <v>16</v>
      </c>
      <c r="B22" s="4" t="s">
        <v>441</v>
      </c>
      <c r="C22" s="4" t="s">
        <v>442</v>
      </c>
      <c r="D22" s="4" t="s">
        <v>22</v>
      </c>
      <c r="E22" s="5">
        <v>122979</v>
      </c>
      <c r="F22" s="6">
        <v>2412.7250009999998</v>
      </c>
      <c r="G22" s="7">
        <v>1.9919307000000001E-2</v>
      </c>
      <c r="H22" s="69"/>
    </row>
    <row r="23" spans="1:8" x14ac:dyDescent="0.2">
      <c r="A23" s="3">
        <v>17</v>
      </c>
      <c r="B23" s="4" t="s">
        <v>347</v>
      </c>
      <c r="C23" s="4" t="s">
        <v>348</v>
      </c>
      <c r="D23" s="4" t="s">
        <v>204</v>
      </c>
      <c r="E23" s="5">
        <v>61489</v>
      </c>
      <c r="F23" s="6">
        <v>2204.5958615</v>
      </c>
      <c r="G23" s="7">
        <v>1.8201005999999999E-2</v>
      </c>
      <c r="H23" s="69"/>
    </row>
    <row r="24" spans="1:8" x14ac:dyDescent="0.2">
      <c r="A24" s="3">
        <v>18</v>
      </c>
      <c r="B24" s="4" t="s">
        <v>81</v>
      </c>
      <c r="C24" s="4" t="s">
        <v>82</v>
      </c>
      <c r="D24" s="4" t="s">
        <v>83</v>
      </c>
      <c r="E24" s="5">
        <v>1772874</v>
      </c>
      <c r="F24" s="6">
        <v>2122.1301779999999</v>
      </c>
      <c r="G24" s="7">
        <v>1.7520173999999999E-2</v>
      </c>
      <c r="H24" s="69"/>
    </row>
    <row r="25" spans="1:8" ht="25.5" x14ac:dyDescent="0.2">
      <c r="A25" s="3">
        <v>19</v>
      </c>
      <c r="B25" s="4" t="s">
        <v>426</v>
      </c>
      <c r="C25" s="4" t="s">
        <v>427</v>
      </c>
      <c r="D25" s="4" t="s">
        <v>207</v>
      </c>
      <c r="E25" s="5">
        <v>90435</v>
      </c>
      <c r="F25" s="6">
        <v>2095.8763425000002</v>
      </c>
      <c r="G25" s="7">
        <v>1.7303424000000001E-2</v>
      </c>
      <c r="H25" s="69"/>
    </row>
    <row r="26" spans="1:8" x14ac:dyDescent="0.2">
      <c r="A26" s="3">
        <v>20</v>
      </c>
      <c r="B26" s="4" t="s">
        <v>406</v>
      </c>
      <c r="C26" s="4" t="s">
        <v>407</v>
      </c>
      <c r="D26" s="4" t="s">
        <v>27</v>
      </c>
      <c r="E26" s="5">
        <v>93108</v>
      </c>
      <c r="F26" s="6">
        <v>2046.234516</v>
      </c>
      <c r="G26" s="7">
        <v>1.6893584E-2</v>
      </c>
      <c r="H26" s="69"/>
    </row>
    <row r="27" spans="1:8" ht="25.5" x14ac:dyDescent="0.2">
      <c r="A27" s="3">
        <v>21</v>
      </c>
      <c r="B27" s="4" t="s">
        <v>665</v>
      </c>
      <c r="C27" s="4" t="s">
        <v>666</v>
      </c>
      <c r="D27" s="4" t="s">
        <v>974</v>
      </c>
      <c r="E27" s="5">
        <v>511927</v>
      </c>
      <c r="F27" s="6">
        <v>1917.6785420000001</v>
      </c>
      <c r="G27" s="7">
        <v>1.5832234000000001E-2</v>
      </c>
      <c r="H27" s="69"/>
    </row>
    <row r="28" spans="1:8" x14ac:dyDescent="0.2">
      <c r="A28" s="3">
        <v>22</v>
      </c>
      <c r="B28" s="4" t="s">
        <v>384</v>
      </c>
      <c r="C28" s="4" t="s">
        <v>385</v>
      </c>
      <c r="D28" s="4" t="s">
        <v>982</v>
      </c>
      <c r="E28" s="5">
        <v>10820</v>
      </c>
      <c r="F28" s="6">
        <v>1865.0812699999999</v>
      </c>
      <c r="G28" s="7">
        <v>1.5397994E-2</v>
      </c>
      <c r="H28" s="69"/>
    </row>
    <row r="29" spans="1:8" ht="25.5" x14ac:dyDescent="0.2">
      <c r="A29" s="3">
        <v>23</v>
      </c>
      <c r="B29" s="4" t="s">
        <v>322</v>
      </c>
      <c r="C29" s="4" t="s">
        <v>323</v>
      </c>
      <c r="D29" s="4" t="s">
        <v>207</v>
      </c>
      <c r="E29" s="5">
        <v>200026</v>
      </c>
      <c r="F29" s="6">
        <v>1783.1317770000001</v>
      </c>
      <c r="G29" s="7">
        <v>1.4721425E-2</v>
      </c>
      <c r="H29" s="69"/>
    </row>
    <row r="30" spans="1:8" ht="25.5" x14ac:dyDescent="0.2">
      <c r="A30" s="3">
        <v>24</v>
      </c>
      <c r="B30" s="4" t="s">
        <v>485</v>
      </c>
      <c r="C30" s="4" t="s">
        <v>486</v>
      </c>
      <c r="D30" s="4" t="s">
        <v>207</v>
      </c>
      <c r="E30" s="5">
        <v>197658</v>
      </c>
      <c r="F30" s="6">
        <v>1745.221311</v>
      </c>
      <c r="G30" s="7">
        <v>1.4408438000000001E-2</v>
      </c>
      <c r="H30" s="69"/>
    </row>
    <row r="31" spans="1:8" ht="25.5" x14ac:dyDescent="0.2">
      <c r="A31" s="3">
        <v>25</v>
      </c>
      <c r="B31" s="4" t="s">
        <v>23</v>
      </c>
      <c r="C31" s="4" t="s">
        <v>24</v>
      </c>
      <c r="D31" s="4" t="s">
        <v>974</v>
      </c>
      <c r="E31" s="5">
        <v>19363</v>
      </c>
      <c r="F31" s="6">
        <v>1439.3970125000001</v>
      </c>
      <c r="G31" s="7">
        <v>1.1883572E-2</v>
      </c>
      <c r="H31" s="69"/>
    </row>
    <row r="32" spans="1:8" x14ac:dyDescent="0.2">
      <c r="A32" s="3">
        <v>26</v>
      </c>
      <c r="B32" s="4" t="s">
        <v>439</v>
      </c>
      <c r="C32" s="4" t="s">
        <v>440</v>
      </c>
      <c r="D32" s="4" t="s">
        <v>204</v>
      </c>
      <c r="E32" s="5">
        <v>27625</v>
      </c>
      <c r="F32" s="6">
        <v>1347.7684999999999</v>
      </c>
      <c r="G32" s="7">
        <v>1.1127092E-2</v>
      </c>
      <c r="H32" s="69"/>
    </row>
    <row r="33" spans="1:8" ht="25.5" x14ac:dyDescent="0.2">
      <c r="A33" s="3">
        <v>27</v>
      </c>
      <c r="B33" s="4" t="s">
        <v>404</v>
      </c>
      <c r="C33" s="4" t="s">
        <v>405</v>
      </c>
      <c r="D33" s="4" t="s">
        <v>207</v>
      </c>
      <c r="E33" s="5">
        <v>167408</v>
      </c>
      <c r="F33" s="6">
        <v>1303.438688</v>
      </c>
      <c r="G33" s="7">
        <v>1.0761108E-2</v>
      </c>
      <c r="H33" s="69"/>
    </row>
    <row r="34" spans="1:8" x14ac:dyDescent="0.2">
      <c r="A34" s="3">
        <v>28</v>
      </c>
      <c r="B34" s="4" t="s">
        <v>84</v>
      </c>
      <c r="C34" s="4" t="s">
        <v>85</v>
      </c>
      <c r="D34" s="4" t="s">
        <v>70</v>
      </c>
      <c r="E34" s="5">
        <v>254760</v>
      </c>
      <c r="F34" s="6">
        <v>1233.6753000000001</v>
      </c>
      <c r="G34" s="7">
        <v>1.0185146000000001E-2</v>
      </c>
      <c r="H34" s="69"/>
    </row>
    <row r="35" spans="1:8" x14ac:dyDescent="0.2">
      <c r="A35" s="3">
        <v>29</v>
      </c>
      <c r="B35" s="4" t="s">
        <v>418</v>
      </c>
      <c r="C35" s="4" t="s">
        <v>419</v>
      </c>
      <c r="D35" s="4" t="s">
        <v>982</v>
      </c>
      <c r="E35" s="5">
        <v>104007</v>
      </c>
      <c r="F35" s="6">
        <v>1207.0532384999999</v>
      </c>
      <c r="G35" s="7">
        <v>9.9653559999999999E-3</v>
      </c>
      <c r="H35" s="69"/>
    </row>
    <row r="36" spans="1:8" ht="25.5" x14ac:dyDescent="0.2">
      <c r="A36" s="3">
        <v>30</v>
      </c>
      <c r="B36" s="4" t="s">
        <v>496</v>
      </c>
      <c r="C36" s="4" t="s">
        <v>497</v>
      </c>
      <c r="D36" s="4" t="s">
        <v>207</v>
      </c>
      <c r="E36" s="5">
        <v>196793</v>
      </c>
      <c r="F36" s="6">
        <v>1170.8199535000001</v>
      </c>
      <c r="G36" s="7">
        <v>9.666216E-3</v>
      </c>
      <c r="H36" s="69"/>
    </row>
    <row r="37" spans="1:8" x14ac:dyDescent="0.2">
      <c r="A37" s="3">
        <v>31</v>
      </c>
      <c r="B37" s="4" t="s">
        <v>430</v>
      </c>
      <c r="C37" s="4" t="s">
        <v>431</v>
      </c>
      <c r="D37" s="4" t="s">
        <v>432</v>
      </c>
      <c r="E37" s="5">
        <v>243917</v>
      </c>
      <c r="F37" s="6">
        <v>1006.7674175</v>
      </c>
      <c r="G37" s="7">
        <v>8.3118089999999999E-3</v>
      </c>
      <c r="H37" s="69"/>
    </row>
    <row r="38" spans="1:8" ht="25.5" x14ac:dyDescent="0.2">
      <c r="A38" s="3">
        <v>32</v>
      </c>
      <c r="B38" s="4" t="s">
        <v>66</v>
      </c>
      <c r="C38" s="4" t="s">
        <v>67</v>
      </c>
      <c r="D38" s="4" t="s">
        <v>48</v>
      </c>
      <c r="E38" s="5">
        <v>139388</v>
      </c>
      <c r="F38" s="6">
        <v>953.204838</v>
      </c>
      <c r="G38" s="7">
        <v>7.8695999999999992E-3</v>
      </c>
      <c r="H38" s="69"/>
    </row>
    <row r="39" spans="1:8" x14ac:dyDescent="0.2">
      <c r="A39" s="3">
        <v>33</v>
      </c>
      <c r="B39" s="4" t="s">
        <v>308</v>
      </c>
      <c r="C39" s="4" t="s">
        <v>309</v>
      </c>
      <c r="D39" s="4" t="s">
        <v>175</v>
      </c>
      <c r="E39" s="5">
        <v>16292</v>
      </c>
      <c r="F39" s="6">
        <v>926.64823000000001</v>
      </c>
      <c r="G39" s="7">
        <v>7.6503500000000002E-3</v>
      </c>
      <c r="H39" s="69"/>
    </row>
    <row r="40" spans="1:8" x14ac:dyDescent="0.2">
      <c r="A40" s="3">
        <v>34</v>
      </c>
      <c r="B40" s="4" t="s">
        <v>450</v>
      </c>
      <c r="C40" s="4" t="s">
        <v>451</v>
      </c>
      <c r="D40" s="4" t="s">
        <v>75</v>
      </c>
      <c r="E40" s="5">
        <v>37350</v>
      </c>
      <c r="F40" s="6">
        <v>887.24924999999996</v>
      </c>
      <c r="G40" s="7">
        <v>7.325074E-3</v>
      </c>
      <c r="H40" s="69"/>
    </row>
    <row r="41" spans="1:8" x14ac:dyDescent="0.2">
      <c r="A41" s="3">
        <v>35</v>
      </c>
      <c r="B41" s="4" t="s">
        <v>365</v>
      </c>
      <c r="C41" s="4" t="s">
        <v>366</v>
      </c>
      <c r="D41" s="4" t="s">
        <v>367</v>
      </c>
      <c r="E41" s="5">
        <v>29518</v>
      </c>
      <c r="F41" s="6">
        <v>847.01900999999998</v>
      </c>
      <c r="G41" s="7">
        <v>6.9929359999999999E-3</v>
      </c>
      <c r="H41" s="69"/>
    </row>
    <row r="42" spans="1:8" x14ac:dyDescent="0.2">
      <c r="A42" s="3">
        <v>36</v>
      </c>
      <c r="B42" s="4" t="s">
        <v>564</v>
      </c>
      <c r="C42" s="4" t="s">
        <v>565</v>
      </c>
      <c r="D42" s="4" t="s">
        <v>78</v>
      </c>
      <c r="E42" s="5">
        <v>11390</v>
      </c>
      <c r="F42" s="6">
        <v>796.98677499999997</v>
      </c>
      <c r="G42" s="7">
        <v>6.579873E-3</v>
      </c>
      <c r="H42" s="69"/>
    </row>
    <row r="43" spans="1:8" x14ac:dyDescent="0.2">
      <c r="A43" s="3">
        <v>37</v>
      </c>
      <c r="B43" s="4" t="s">
        <v>287</v>
      </c>
      <c r="C43" s="4" t="s">
        <v>288</v>
      </c>
      <c r="D43" s="4" t="s">
        <v>334</v>
      </c>
      <c r="E43" s="5">
        <v>31068</v>
      </c>
      <c r="F43" s="6">
        <v>758.19900600000005</v>
      </c>
      <c r="G43" s="7">
        <v>6.259644E-3</v>
      </c>
      <c r="H43" s="69"/>
    </row>
    <row r="44" spans="1:8" ht="25.5" x14ac:dyDescent="0.2">
      <c r="A44" s="3">
        <v>38</v>
      </c>
      <c r="B44" s="4" t="s">
        <v>560</v>
      </c>
      <c r="C44" s="4" t="s">
        <v>561</v>
      </c>
      <c r="D44" s="4" t="s">
        <v>207</v>
      </c>
      <c r="E44" s="5">
        <v>21084</v>
      </c>
      <c r="F44" s="6">
        <v>662.80716600000005</v>
      </c>
      <c r="G44" s="7">
        <v>5.4720949999999997E-3</v>
      </c>
      <c r="H44" s="69"/>
    </row>
    <row r="45" spans="1:8" x14ac:dyDescent="0.2">
      <c r="A45" s="3">
        <v>39</v>
      </c>
      <c r="B45" s="4" t="s">
        <v>562</v>
      </c>
      <c r="C45" s="4" t="s">
        <v>563</v>
      </c>
      <c r="D45" s="4" t="s">
        <v>83</v>
      </c>
      <c r="E45" s="5">
        <v>8825</v>
      </c>
      <c r="F45" s="6">
        <v>623.73334999999997</v>
      </c>
      <c r="G45" s="7">
        <v>5.1495040000000001E-3</v>
      </c>
      <c r="H45" s="69"/>
    </row>
    <row r="46" spans="1:8" x14ac:dyDescent="0.2">
      <c r="A46" s="3">
        <v>40</v>
      </c>
      <c r="B46" s="4" t="s">
        <v>394</v>
      </c>
      <c r="C46" s="4" t="s">
        <v>395</v>
      </c>
      <c r="D46" s="4" t="s">
        <v>975</v>
      </c>
      <c r="E46" s="5">
        <v>191820</v>
      </c>
      <c r="F46" s="6">
        <v>622.07226000000003</v>
      </c>
      <c r="G46" s="7">
        <v>5.1357900000000003E-3</v>
      </c>
      <c r="H46" s="69"/>
    </row>
    <row r="47" spans="1:8" x14ac:dyDescent="0.2">
      <c r="A47" s="3">
        <v>41</v>
      </c>
      <c r="B47" s="4" t="s">
        <v>424</v>
      </c>
      <c r="C47" s="4" t="s">
        <v>425</v>
      </c>
      <c r="D47" s="4" t="s">
        <v>204</v>
      </c>
      <c r="E47" s="5">
        <v>82386</v>
      </c>
      <c r="F47" s="6">
        <v>620.86089600000003</v>
      </c>
      <c r="G47" s="7">
        <v>5.1257890000000004E-3</v>
      </c>
      <c r="H47" s="69"/>
    </row>
    <row r="48" spans="1:8" x14ac:dyDescent="0.2">
      <c r="A48" s="3">
        <v>42</v>
      </c>
      <c r="B48" s="4" t="s">
        <v>320</v>
      </c>
      <c r="C48" s="4" t="s">
        <v>321</v>
      </c>
      <c r="D48" s="4" t="s">
        <v>144</v>
      </c>
      <c r="E48" s="5">
        <v>30620</v>
      </c>
      <c r="F48" s="6">
        <v>614.19127000000003</v>
      </c>
      <c r="G48" s="7">
        <v>5.0707249999999999E-3</v>
      </c>
      <c r="H48" s="69"/>
    </row>
    <row r="49" spans="1:8" x14ac:dyDescent="0.2">
      <c r="A49" s="3">
        <v>43</v>
      </c>
      <c r="B49" s="4" t="s">
        <v>456</v>
      </c>
      <c r="C49" s="4" t="s">
        <v>457</v>
      </c>
      <c r="D49" s="4" t="s">
        <v>160</v>
      </c>
      <c r="E49" s="5">
        <v>281545</v>
      </c>
      <c r="F49" s="6">
        <v>590.82218250000005</v>
      </c>
      <c r="G49" s="7">
        <v>4.8777910000000002E-3</v>
      </c>
      <c r="H49" s="69"/>
    </row>
    <row r="50" spans="1:8" x14ac:dyDescent="0.2">
      <c r="A50" s="3">
        <v>44</v>
      </c>
      <c r="B50" s="4" t="s">
        <v>454</v>
      </c>
      <c r="C50" s="4" t="s">
        <v>455</v>
      </c>
      <c r="D50" s="4" t="s">
        <v>204</v>
      </c>
      <c r="E50" s="5">
        <v>41820</v>
      </c>
      <c r="F50" s="6">
        <v>406.19765999999998</v>
      </c>
      <c r="G50" s="7">
        <v>3.3535420000000002E-3</v>
      </c>
      <c r="H50" s="69"/>
    </row>
    <row r="51" spans="1:8" ht="25.5" x14ac:dyDescent="0.2">
      <c r="A51" s="3">
        <v>45</v>
      </c>
      <c r="B51" s="4" t="s">
        <v>458</v>
      </c>
      <c r="C51" s="4" t="s">
        <v>459</v>
      </c>
      <c r="D51" s="4" t="s">
        <v>982</v>
      </c>
      <c r="E51" s="5">
        <v>24000</v>
      </c>
      <c r="F51" s="6">
        <v>344.964</v>
      </c>
      <c r="G51" s="7">
        <v>2.8480010000000002E-3</v>
      </c>
      <c r="H51" s="69"/>
    </row>
    <row r="52" spans="1:8" ht="25.5" x14ac:dyDescent="0.2">
      <c r="A52" s="3">
        <v>46</v>
      </c>
      <c r="B52" s="4" t="s">
        <v>266</v>
      </c>
      <c r="C52" s="4" t="s">
        <v>267</v>
      </c>
      <c r="D52" s="4" t="s">
        <v>981</v>
      </c>
      <c r="E52" s="5">
        <v>27345</v>
      </c>
      <c r="F52" s="6">
        <v>332.40582000000001</v>
      </c>
      <c r="G52" s="7">
        <v>2.744322E-3</v>
      </c>
      <c r="H52" s="69"/>
    </row>
    <row r="53" spans="1:8" x14ac:dyDescent="0.2">
      <c r="A53" s="3">
        <v>47</v>
      </c>
      <c r="B53" s="4" t="s">
        <v>687</v>
      </c>
      <c r="C53" s="4" t="s">
        <v>688</v>
      </c>
      <c r="D53" s="4" t="s">
        <v>22</v>
      </c>
      <c r="E53" s="5">
        <v>34999</v>
      </c>
      <c r="F53" s="6">
        <v>309.04117000000002</v>
      </c>
      <c r="G53" s="7">
        <v>2.551425E-3</v>
      </c>
      <c r="H53" s="69"/>
    </row>
    <row r="54" spans="1:8" x14ac:dyDescent="0.2">
      <c r="A54" s="3">
        <v>48</v>
      </c>
      <c r="B54" s="4" t="s">
        <v>589</v>
      </c>
      <c r="C54" s="4" t="s">
        <v>590</v>
      </c>
      <c r="D54" s="4" t="s">
        <v>982</v>
      </c>
      <c r="E54" s="5">
        <v>44670</v>
      </c>
      <c r="F54" s="6">
        <v>304.11336</v>
      </c>
      <c r="G54" s="7">
        <v>2.5107409999999999E-3</v>
      </c>
      <c r="H54" s="69"/>
    </row>
    <row r="55" spans="1:8" x14ac:dyDescent="0.2">
      <c r="A55" s="3">
        <v>49</v>
      </c>
      <c r="B55" s="4" t="s">
        <v>501</v>
      </c>
      <c r="C55" s="4" t="s">
        <v>502</v>
      </c>
      <c r="D55" s="4" t="s">
        <v>83</v>
      </c>
      <c r="E55" s="5">
        <v>25000</v>
      </c>
      <c r="F55" s="6">
        <v>114.65</v>
      </c>
      <c r="G55" s="7">
        <v>9.4654299999999999E-4</v>
      </c>
      <c r="H55" s="69"/>
    </row>
    <row r="56" spans="1:8" ht="25.5" x14ac:dyDescent="0.2">
      <c r="A56" s="3">
        <v>50</v>
      </c>
      <c r="B56" s="4" t="s">
        <v>445</v>
      </c>
      <c r="C56" s="4" t="s">
        <v>930</v>
      </c>
      <c r="D56" s="72" t="s">
        <v>19</v>
      </c>
      <c r="E56" s="5">
        <v>29219</v>
      </c>
      <c r="F56" s="6">
        <v>114.18785200000001</v>
      </c>
      <c r="G56" s="7">
        <v>9.4272799999999999E-4</v>
      </c>
      <c r="H56" s="69"/>
    </row>
    <row r="57" spans="1:8" x14ac:dyDescent="0.2">
      <c r="A57" s="1"/>
      <c r="B57" s="1"/>
      <c r="C57" s="2" t="s">
        <v>95</v>
      </c>
      <c r="D57" s="1"/>
      <c r="E57" s="1" t="s">
        <v>96</v>
      </c>
      <c r="F57" s="9">
        <v>116499.03024099999</v>
      </c>
      <c r="G57" s="10">
        <v>0.9618087129999997</v>
      </c>
      <c r="H57" s="69"/>
    </row>
    <row r="58" spans="1:8" x14ac:dyDescent="0.2">
      <c r="A58" s="1"/>
      <c r="B58" s="1"/>
      <c r="C58" s="11"/>
      <c r="D58" s="1"/>
      <c r="E58" s="1"/>
      <c r="F58" s="12"/>
      <c r="G58" s="12"/>
      <c r="H58" s="69"/>
    </row>
    <row r="59" spans="1:8" x14ac:dyDescent="0.2">
      <c r="A59" s="1"/>
      <c r="B59" s="1"/>
      <c r="C59" s="2" t="s">
        <v>97</v>
      </c>
      <c r="D59" s="1"/>
      <c r="E59" s="1"/>
      <c r="F59" s="1"/>
      <c r="G59" s="1"/>
      <c r="H59" s="69"/>
    </row>
    <row r="60" spans="1:8" x14ac:dyDescent="0.2">
      <c r="A60" s="1"/>
      <c r="B60" s="1"/>
      <c r="C60" s="2" t="s">
        <v>95</v>
      </c>
      <c r="D60" s="1"/>
      <c r="E60" s="1" t="s">
        <v>96</v>
      </c>
      <c r="F60" s="13">
        <v>0</v>
      </c>
      <c r="G60" s="14">
        <v>0</v>
      </c>
      <c r="H60" s="69"/>
    </row>
    <row r="61" spans="1:8" x14ac:dyDescent="0.2">
      <c r="A61" s="1"/>
      <c r="B61" s="1"/>
      <c r="C61" s="11"/>
      <c r="D61" s="1"/>
      <c r="E61" s="1"/>
      <c r="F61" s="12"/>
      <c r="G61" s="12"/>
      <c r="H61" s="69"/>
    </row>
    <row r="62" spans="1:8" x14ac:dyDescent="0.2">
      <c r="A62" s="1"/>
      <c r="B62" s="1"/>
      <c r="C62" s="2" t="s">
        <v>98</v>
      </c>
      <c r="D62" s="1"/>
      <c r="E62" s="1"/>
      <c r="F62" s="1"/>
      <c r="G62" s="1"/>
      <c r="H62" s="69"/>
    </row>
    <row r="63" spans="1:8" x14ac:dyDescent="0.2">
      <c r="A63" s="1"/>
      <c r="B63" s="1"/>
      <c r="C63" s="2" t="s">
        <v>95</v>
      </c>
      <c r="D63" s="1"/>
      <c r="E63" s="1" t="s">
        <v>96</v>
      </c>
      <c r="F63" s="13">
        <v>0</v>
      </c>
      <c r="G63" s="14">
        <v>0</v>
      </c>
      <c r="H63" s="69"/>
    </row>
    <row r="64" spans="1:8" x14ac:dyDescent="0.2">
      <c r="A64" s="1"/>
      <c r="B64" s="1"/>
      <c r="C64" s="11"/>
      <c r="D64" s="1"/>
      <c r="E64" s="1"/>
      <c r="F64" s="12"/>
      <c r="G64" s="12"/>
      <c r="H64" s="69"/>
    </row>
    <row r="65" spans="1:8" x14ac:dyDescent="0.2">
      <c r="A65" s="1"/>
      <c r="B65" s="1"/>
      <c r="C65" s="2" t="s">
        <v>99</v>
      </c>
      <c r="D65" s="1"/>
      <c r="E65" s="1"/>
      <c r="F65" s="1"/>
      <c r="G65" s="1"/>
      <c r="H65" s="69"/>
    </row>
    <row r="66" spans="1:8" x14ac:dyDescent="0.2">
      <c r="A66" s="1"/>
      <c r="B66" s="1"/>
      <c r="C66" s="2" t="s">
        <v>95</v>
      </c>
      <c r="D66" s="1"/>
      <c r="E66" s="1" t="s">
        <v>96</v>
      </c>
      <c r="F66" s="9">
        <v>0</v>
      </c>
      <c r="G66" s="10">
        <v>0</v>
      </c>
      <c r="H66" s="69"/>
    </row>
    <row r="67" spans="1:8" x14ac:dyDescent="0.2">
      <c r="A67" s="1"/>
      <c r="B67" s="1"/>
      <c r="C67" s="11"/>
      <c r="D67" s="1"/>
      <c r="E67" s="1"/>
      <c r="F67" s="12"/>
      <c r="G67" s="12"/>
      <c r="H67" s="69"/>
    </row>
    <row r="68" spans="1:8" x14ac:dyDescent="0.2">
      <c r="A68" s="1"/>
      <c r="B68" s="1"/>
      <c r="C68" s="2" t="s">
        <v>100</v>
      </c>
      <c r="D68" s="1"/>
      <c r="E68" s="1"/>
      <c r="F68" s="12"/>
      <c r="G68" s="12"/>
      <c r="H68" s="69"/>
    </row>
    <row r="69" spans="1:8" x14ac:dyDescent="0.2">
      <c r="A69" s="1"/>
      <c r="B69" s="1"/>
      <c r="C69" s="2" t="s">
        <v>95</v>
      </c>
      <c r="D69" s="1"/>
      <c r="E69" s="1" t="s">
        <v>96</v>
      </c>
      <c r="F69" s="13">
        <v>0</v>
      </c>
      <c r="G69" s="14">
        <v>0</v>
      </c>
      <c r="H69" s="69"/>
    </row>
    <row r="70" spans="1:8" x14ac:dyDescent="0.2">
      <c r="A70" s="1"/>
      <c r="B70" s="1"/>
      <c r="C70" s="11"/>
      <c r="D70" s="1"/>
      <c r="E70" s="1"/>
      <c r="F70" s="12"/>
      <c r="G70" s="12"/>
      <c r="H70" s="69"/>
    </row>
    <row r="71" spans="1:8" x14ac:dyDescent="0.2">
      <c r="A71" s="1"/>
      <c r="B71" s="1"/>
      <c r="C71" s="2" t="s">
        <v>101</v>
      </c>
      <c r="D71" s="1"/>
      <c r="E71" s="1"/>
      <c r="F71" s="12"/>
      <c r="G71" s="12"/>
      <c r="H71" s="69"/>
    </row>
    <row r="72" spans="1:8" x14ac:dyDescent="0.2">
      <c r="A72" s="1"/>
      <c r="B72" s="1"/>
      <c r="C72" s="2" t="s">
        <v>95</v>
      </c>
      <c r="D72" s="1"/>
      <c r="E72" s="1" t="s">
        <v>96</v>
      </c>
      <c r="F72" s="13">
        <v>0</v>
      </c>
      <c r="G72" s="14">
        <v>0</v>
      </c>
      <c r="H72" s="69"/>
    </row>
    <row r="73" spans="1:8" x14ac:dyDescent="0.2">
      <c r="A73" s="1"/>
      <c r="B73" s="1"/>
      <c r="C73" s="11"/>
      <c r="D73" s="1"/>
      <c r="E73" s="1"/>
      <c r="F73" s="12"/>
      <c r="G73" s="12"/>
      <c r="H73" s="69"/>
    </row>
    <row r="74" spans="1:8" x14ac:dyDescent="0.2">
      <c r="A74" s="1"/>
      <c r="B74" s="1"/>
      <c r="C74" s="2" t="s">
        <v>102</v>
      </c>
      <c r="D74" s="1"/>
      <c r="E74" s="1"/>
      <c r="F74" s="9">
        <v>116499.030241</v>
      </c>
      <c r="G74" s="10">
        <v>0.96180871300000004</v>
      </c>
      <c r="H74" s="69"/>
    </row>
    <row r="75" spans="1:8" x14ac:dyDescent="0.2">
      <c r="A75" s="1"/>
      <c r="B75" s="1"/>
      <c r="C75" s="11"/>
      <c r="D75" s="1"/>
      <c r="E75" s="1"/>
      <c r="F75" s="12"/>
      <c r="G75" s="12"/>
      <c r="H75" s="69"/>
    </row>
    <row r="76" spans="1:8" x14ac:dyDescent="0.2">
      <c r="A76" s="1"/>
      <c r="B76" s="1"/>
      <c r="C76" s="2" t="s">
        <v>103</v>
      </c>
      <c r="D76" s="1"/>
      <c r="E76" s="1"/>
      <c r="F76" s="12"/>
      <c r="G76" s="12"/>
      <c r="H76" s="69"/>
    </row>
    <row r="77" spans="1:8" ht="25.5" x14ac:dyDescent="0.2">
      <c r="A77" s="1"/>
      <c r="B77" s="1"/>
      <c r="C77" s="2" t="s">
        <v>10</v>
      </c>
      <c r="D77" s="1"/>
      <c r="E77" s="1"/>
      <c r="F77" s="12"/>
      <c r="G77" s="12"/>
      <c r="H77" s="69"/>
    </row>
    <row r="78" spans="1:8" x14ac:dyDescent="0.2">
      <c r="A78" s="1"/>
      <c r="B78" s="1"/>
      <c r="C78" s="2" t="s">
        <v>95</v>
      </c>
      <c r="D78" s="1"/>
      <c r="E78" s="1" t="s">
        <v>96</v>
      </c>
      <c r="F78" s="13">
        <v>0</v>
      </c>
      <c r="G78" s="14">
        <v>0</v>
      </c>
      <c r="H78" s="69"/>
    </row>
    <row r="79" spans="1:8" x14ac:dyDescent="0.2">
      <c r="A79" s="1"/>
      <c r="B79" s="1"/>
      <c r="C79" s="11"/>
      <c r="D79" s="1"/>
      <c r="E79" s="1"/>
      <c r="F79" s="12"/>
      <c r="G79" s="12"/>
      <c r="H79" s="69"/>
    </row>
    <row r="80" spans="1:8" x14ac:dyDescent="0.2">
      <c r="A80" s="1"/>
      <c r="B80" s="1"/>
      <c r="C80" s="2" t="s">
        <v>104</v>
      </c>
      <c r="D80" s="1"/>
      <c r="E80" s="1"/>
      <c r="F80" s="1"/>
      <c r="G80" s="1"/>
      <c r="H80" s="69"/>
    </row>
    <row r="81" spans="1:8" x14ac:dyDescent="0.2">
      <c r="A81" s="1"/>
      <c r="B81" s="1"/>
      <c r="C81" s="2" t="s">
        <v>95</v>
      </c>
      <c r="D81" s="1"/>
      <c r="E81" s="1" t="s">
        <v>96</v>
      </c>
      <c r="F81" s="13">
        <v>0</v>
      </c>
      <c r="G81" s="14">
        <v>0</v>
      </c>
      <c r="H81" s="69"/>
    </row>
    <row r="82" spans="1:8" x14ac:dyDescent="0.2">
      <c r="A82" s="1"/>
      <c r="B82" s="1"/>
      <c r="C82" s="11"/>
      <c r="D82" s="1"/>
      <c r="E82" s="1"/>
      <c r="F82" s="12"/>
      <c r="G82" s="12"/>
      <c r="H82" s="69"/>
    </row>
    <row r="83" spans="1:8" x14ac:dyDescent="0.2">
      <c r="A83" s="1"/>
      <c r="B83" s="1"/>
      <c r="C83" s="2" t="s">
        <v>105</v>
      </c>
      <c r="D83" s="1"/>
      <c r="E83" s="1"/>
      <c r="F83" s="1"/>
      <c r="G83" s="1"/>
      <c r="H83" s="69"/>
    </row>
    <row r="84" spans="1:8" x14ac:dyDescent="0.2">
      <c r="A84" s="1"/>
      <c r="B84" s="1"/>
      <c r="C84" s="2" t="s">
        <v>95</v>
      </c>
      <c r="D84" s="1"/>
      <c r="E84" s="1" t="s">
        <v>96</v>
      </c>
      <c r="F84" s="13">
        <v>0</v>
      </c>
      <c r="G84" s="14">
        <v>0</v>
      </c>
      <c r="H84" s="69"/>
    </row>
    <row r="85" spans="1:8" x14ac:dyDescent="0.2">
      <c r="A85" s="1"/>
      <c r="B85" s="1"/>
      <c r="C85" s="11"/>
      <c r="D85" s="1"/>
      <c r="E85" s="1"/>
      <c r="F85" s="12"/>
      <c r="G85" s="12"/>
      <c r="H85" s="69"/>
    </row>
    <row r="86" spans="1:8" x14ac:dyDescent="0.2">
      <c r="A86" s="1"/>
      <c r="B86" s="1"/>
      <c r="C86" s="2" t="s">
        <v>106</v>
      </c>
      <c r="D86" s="1"/>
      <c r="E86" s="1"/>
      <c r="F86" s="12"/>
      <c r="G86" s="12"/>
      <c r="H86" s="69"/>
    </row>
    <row r="87" spans="1:8" x14ac:dyDescent="0.2">
      <c r="A87" s="1"/>
      <c r="B87" s="1"/>
      <c r="C87" s="2" t="s">
        <v>95</v>
      </c>
      <c r="D87" s="1"/>
      <c r="E87" s="1" t="s">
        <v>96</v>
      </c>
      <c r="F87" s="13">
        <v>0</v>
      </c>
      <c r="G87" s="14">
        <v>0</v>
      </c>
      <c r="H87" s="69"/>
    </row>
    <row r="88" spans="1:8" x14ac:dyDescent="0.2">
      <c r="A88" s="1"/>
      <c r="B88" s="1"/>
      <c r="C88" s="11"/>
      <c r="D88" s="1"/>
      <c r="E88" s="1"/>
      <c r="F88" s="12"/>
      <c r="G88" s="12"/>
      <c r="H88" s="69"/>
    </row>
    <row r="89" spans="1:8" x14ac:dyDescent="0.2">
      <c r="A89" s="1"/>
      <c r="B89" s="1"/>
      <c r="C89" s="2" t="s">
        <v>107</v>
      </c>
      <c r="D89" s="1"/>
      <c r="E89" s="1"/>
      <c r="F89" s="9">
        <v>0</v>
      </c>
      <c r="G89" s="10">
        <v>0</v>
      </c>
      <c r="H89" s="69"/>
    </row>
    <row r="90" spans="1:8" x14ac:dyDescent="0.2">
      <c r="A90" s="1"/>
      <c r="B90" s="1"/>
      <c r="C90" s="11"/>
      <c r="D90" s="1"/>
      <c r="E90" s="1"/>
      <c r="F90" s="12"/>
      <c r="G90" s="12"/>
      <c r="H90" s="69"/>
    </row>
    <row r="91" spans="1:8" x14ac:dyDescent="0.2">
      <c r="A91" s="1"/>
      <c r="B91" s="1"/>
      <c r="C91" s="2" t="s">
        <v>108</v>
      </c>
      <c r="D91" s="1"/>
      <c r="E91" s="1"/>
      <c r="F91" s="12"/>
      <c r="G91" s="12"/>
      <c r="H91" s="69"/>
    </row>
    <row r="92" spans="1:8" x14ac:dyDescent="0.2">
      <c r="A92" s="1"/>
      <c r="B92" s="1"/>
      <c r="C92" s="2" t="s">
        <v>109</v>
      </c>
      <c r="D92" s="1"/>
      <c r="E92" s="1"/>
      <c r="F92" s="12"/>
      <c r="G92" s="12"/>
      <c r="H92" s="69"/>
    </row>
    <row r="93" spans="1:8" x14ac:dyDescent="0.2">
      <c r="A93" s="1"/>
      <c r="B93" s="1"/>
      <c r="C93" s="2" t="s">
        <v>95</v>
      </c>
      <c r="D93" s="1"/>
      <c r="E93" s="1" t="s">
        <v>96</v>
      </c>
      <c r="F93" s="13">
        <v>0</v>
      </c>
      <c r="G93" s="14">
        <v>0</v>
      </c>
      <c r="H93" s="69"/>
    </row>
    <row r="94" spans="1:8" x14ac:dyDescent="0.2">
      <c r="A94" s="1"/>
      <c r="B94" s="1"/>
      <c r="C94" s="11"/>
      <c r="D94" s="1"/>
      <c r="E94" s="1"/>
      <c r="F94" s="12"/>
      <c r="G94" s="12"/>
      <c r="H94" s="69"/>
    </row>
    <row r="95" spans="1:8" x14ac:dyDescent="0.2">
      <c r="A95" s="1"/>
      <c r="B95" s="1"/>
      <c r="C95" s="2" t="s">
        <v>110</v>
      </c>
      <c r="D95" s="1"/>
      <c r="E95" s="1"/>
      <c r="F95" s="12"/>
      <c r="G95" s="12"/>
      <c r="H95" s="69"/>
    </row>
    <row r="96" spans="1:8" x14ac:dyDescent="0.2">
      <c r="A96" s="1"/>
      <c r="B96" s="1"/>
      <c r="C96" s="2" t="s">
        <v>95</v>
      </c>
      <c r="D96" s="1"/>
      <c r="E96" s="1" t="s">
        <v>96</v>
      </c>
      <c r="F96" s="13">
        <v>0</v>
      </c>
      <c r="G96" s="14">
        <v>0</v>
      </c>
      <c r="H96" s="69"/>
    </row>
    <row r="97" spans="1:8" x14ac:dyDescent="0.2">
      <c r="A97" s="1"/>
      <c r="B97" s="1"/>
      <c r="C97" s="11"/>
      <c r="D97" s="1"/>
      <c r="E97" s="1"/>
      <c r="F97" s="12"/>
      <c r="G97" s="12"/>
      <c r="H97" s="69"/>
    </row>
    <row r="98" spans="1:8" x14ac:dyDescent="0.2">
      <c r="A98" s="1"/>
      <c r="B98" s="1"/>
      <c r="C98" s="2" t="s">
        <v>111</v>
      </c>
      <c r="D98" s="1"/>
      <c r="E98" s="1"/>
      <c r="F98" s="12"/>
      <c r="G98" s="12"/>
      <c r="H98" s="69"/>
    </row>
    <row r="99" spans="1:8" x14ac:dyDescent="0.2">
      <c r="A99" s="1"/>
      <c r="B99" s="1"/>
      <c r="C99" s="2" t="s">
        <v>95</v>
      </c>
      <c r="D99" s="1"/>
      <c r="E99" s="1" t="s">
        <v>96</v>
      </c>
      <c r="F99" s="13">
        <v>0</v>
      </c>
      <c r="G99" s="14">
        <v>0</v>
      </c>
      <c r="H99" s="69"/>
    </row>
    <row r="100" spans="1:8" x14ac:dyDescent="0.2">
      <c r="A100" s="1"/>
      <c r="B100" s="1"/>
      <c r="C100" s="11"/>
      <c r="D100" s="1"/>
      <c r="E100" s="1"/>
      <c r="F100" s="12"/>
      <c r="G100" s="12"/>
      <c r="H100" s="69"/>
    </row>
    <row r="101" spans="1:8" x14ac:dyDescent="0.2">
      <c r="A101" s="1"/>
      <c r="B101" s="1"/>
      <c r="C101" s="2" t="s">
        <v>112</v>
      </c>
      <c r="D101" s="1"/>
      <c r="E101" s="1"/>
      <c r="F101" s="12"/>
      <c r="G101" s="12"/>
      <c r="H101" s="69"/>
    </row>
    <row r="102" spans="1:8" x14ac:dyDescent="0.2">
      <c r="A102" s="3">
        <v>1</v>
      </c>
      <c r="B102" s="4"/>
      <c r="C102" s="4" t="s">
        <v>113</v>
      </c>
      <c r="D102" s="4"/>
      <c r="E102" s="8"/>
      <c r="F102" s="6">
        <v>1999.7937523999999</v>
      </c>
      <c r="G102" s="7">
        <v>1.6510172E-2</v>
      </c>
      <c r="H102" s="6">
        <v>3.3628721504199861</v>
      </c>
    </row>
    <row r="103" spans="1:8" x14ac:dyDescent="0.2">
      <c r="A103" s="3">
        <v>2</v>
      </c>
      <c r="B103" s="4"/>
      <c r="C103" s="4" t="s">
        <v>114</v>
      </c>
      <c r="D103" s="4"/>
      <c r="E103" s="8"/>
      <c r="F103" s="6">
        <v>772.30200639999998</v>
      </c>
      <c r="G103" s="7">
        <v>6.376077E-3</v>
      </c>
      <c r="H103" s="6">
        <v>3.4499999999999966</v>
      </c>
    </row>
    <row r="104" spans="1:8" x14ac:dyDescent="0.2">
      <c r="A104" s="1"/>
      <c r="B104" s="1"/>
      <c r="C104" s="2" t="s">
        <v>95</v>
      </c>
      <c r="D104" s="1"/>
      <c r="E104" s="1" t="s">
        <v>96</v>
      </c>
      <c r="F104" s="9">
        <v>2772.0957588000001</v>
      </c>
      <c r="G104" s="10">
        <v>2.2886249000000001E-2</v>
      </c>
      <c r="H104" s="69"/>
    </row>
    <row r="105" spans="1:8" x14ac:dyDescent="0.2">
      <c r="A105" s="1"/>
      <c r="B105" s="1"/>
      <c r="C105" s="11"/>
      <c r="D105" s="1"/>
      <c r="E105" s="1"/>
      <c r="F105" s="12"/>
      <c r="G105" s="12"/>
      <c r="H105" s="69"/>
    </row>
    <row r="106" spans="1:8" x14ac:dyDescent="0.2">
      <c r="A106" s="1"/>
      <c r="B106" s="1"/>
      <c r="C106" s="2" t="s">
        <v>115</v>
      </c>
      <c r="D106" s="1"/>
      <c r="E106" s="1"/>
      <c r="F106" s="9">
        <v>2772.0957588000001</v>
      </c>
      <c r="G106" s="10">
        <v>2.2886249000000001E-2</v>
      </c>
      <c r="H106" s="69"/>
    </row>
    <row r="107" spans="1:8" x14ac:dyDescent="0.2">
      <c r="A107" s="1"/>
      <c r="B107" s="1"/>
      <c r="C107" s="12"/>
      <c r="D107" s="1"/>
      <c r="E107" s="1"/>
      <c r="F107" s="1"/>
      <c r="G107" s="1"/>
      <c r="H107" s="69"/>
    </row>
    <row r="108" spans="1:8" x14ac:dyDescent="0.2">
      <c r="A108" s="1"/>
      <c r="B108" s="1"/>
      <c r="C108" s="2" t="s">
        <v>116</v>
      </c>
      <c r="D108" s="1"/>
      <c r="E108" s="1"/>
      <c r="F108" s="1"/>
      <c r="G108" s="1"/>
      <c r="H108" s="69"/>
    </row>
    <row r="109" spans="1:8" x14ac:dyDescent="0.2">
      <c r="A109" s="1"/>
      <c r="B109" s="1"/>
      <c r="C109" s="2" t="s">
        <v>117</v>
      </c>
      <c r="D109" s="1"/>
      <c r="E109" s="1"/>
      <c r="F109" s="1"/>
      <c r="G109" s="1"/>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118</v>
      </c>
      <c r="D112" s="1"/>
      <c r="E112" s="1"/>
      <c r="F112" s="1"/>
      <c r="G112" s="1"/>
      <c r="H112" s="69"/>
    </row>
    <row r="113" spans="1:8" x14ac:dyDescent="0.2">
      <c r="A113" s="1"/>
      <c r="B113" s="1"/>
      <c r="C113" s="2" t="s">
        <v>119</v>
      </c>
      <c r="D113" s="1"/>
      <c r="E113" s="1"/>
      <c r="F113" s="1"/>
      <c r="G113" s="1"/>
      <c r="H113" s="69"/>
    </row>
    <row r="114" spans="1:8" x14ac:dyDescent="0.2">
      <c r="A114" s="1"/>
      <c r="B114" s="1"/>
      <c r="C114" s="2" t="s">
        <v>95</v>
      </c>
      <c r="D114" s="1"/>
      <c r="E114" s="1" t="s">
        <v>96</v>
      </c>
      <c r="F114" s="13">
        <v>0</v>
      </c>
      <c r="G114" s="14">
        <v>0</v>
      </c>
      <c r="H114" s="69"/>
    </row>
    <row r="115" spans="1:8" x14ac:dyDescent="0.2">
      <c r="A115" s="1"/>
      <c r="B115" s="1"/>
      <c r="C115" s="11"/>
      <c r="D115" s="1"/>
      <c r="E115" s="1"/>
      <c r="F115" s="12"/>
      <c r="G115" s="12"/>
      <c r="H115" s="69"/>
    </row>
    <row r="116" spans="1:8" x14ac:dyDescent="0.2">
      <c r="A116" s="1"/>
      <c r="B116" s="1"/>
      <c r="C116" s="11"/>
      <c r="D116" s="1"/>
      <c r="E116" s="1"/>
      <c r="F116" s="12"/>
      <c r="G116" s="12"/>
      <c r="H116" s="69"/>
    </row>
    <row r="117" spans="1:8" ht="25.5" x14ac:dyDescent="0.2">
      <c r="A117" s="1"/>
      <c r="B117" s="1"/>
      <c r="C117" s="2" t="s">
        <v>120</v>
      </c>
      <c r="D117" s="1"/>
      <c r="E117" s="1"/>
      <c r="F117" s="12"/>
      <c r="G117" s="12"/>
      <c r="H117" s="69"/>
    </row>
    <row r="118" spans="1:8" x14ac:dyDescent="0.2">
      <c r="A118" s="1"/>
      <c r="B118" s="1"/>
      <c r="C118" s="2" t="s">
        <v>95</v>
      </c>
      <c r="D118" s="1"/>
      <c r="E118" s="1" t="s">
        <v>96</v>
      </c>
      <c r="F118" s="13">
        <v>0</v>
      </c>
      <c r="G118" s="14">
        <v>0</v>
      </c>
      <c r="H118" s="69"/>
    </row>
    <row r="119" spans="1:8" x14ac:dyDescent="0.2">
      <c r="A119" s="1"/>
      <c r="B119" s="1"/>
      <c r="C119" s="11"/>
      <c r="D119" s="1"/>
      <c r="E119" s="1"/>
      <c r="F119" s="12"/>
      <c r="G119" s="12"/>
      <c r="H119" s="69"/>
    </row>
    <row r="120" spans="1:8" x14ac:dyDescent="0.2">
      <c r="A120" s="1"/>
      <c r="B120" s="4"/>
      <c r="C120" s="4"/>
      <c r="D120" s="2"/>
      <c r="E120" s="1"/>
      <c r="F120" s="4"/>
      <c r="G120" s="8"/>
      <c r="H120" s="69"/>
    </row>
    <row r="121" spans="1:8" x14ac:dyDescent="0.2">
      <c r="A121" s="8"/>
      <c r="B121" s="4"/>
      <c r="C121" s="4" t="s">
        <v>121</v>
      </c>
      <c r="D121" s="4"/>
      <c r="E121" s="8"/>
      <c r="F121" s="6">
        <v>1853.8219661699986</v>
      </c>
      <c r="G121" s="7">
        <v>1.5305038287329783E-2</v>
      </c>
      <c r="H121" s="69"/>
    </row>
    <row r="122" spans="1:8" x14ac:dyDescent="0.2">
      <c r="A122" s="11"/>
      <c r="B122" s="11"/>
      <c r="C122" s="2" t="s">
        <v>122</v>
      </c>
      <c r="D122" s="15"/>
      <c r="E122" s="15"/>
      <c r="F122" s="9">
        <v>121124.94796597</v>
      </c>
      <c r="G122" s="10">
        <v>1</v>
      </c>
      <c r="H122" s="69"/>
    </row>
    <row r="123" spans="1:8" ht="14.1" customHeight="1" x14ac:dyDescent="0.2">
      <c r="A123" s="16"/>
      <c r="B123" s="16"/>
      <c r="C123" s="16"/>
      <c r="D123" s="17"/>
      <c r="E123" s="17"/>
      <c r="F123" s="17"/>
      <c r="G123" s="17"/>
    </row>
    <row r="124" spans="1:8" ht="14.1" customHeight="1" x14ac:dyDescent="0.2">
      <c r="A124" s="18"/>
      <c r="B124" s="176" t="s">
        <v>96</v>
      </c>
      <c r="C124" s="176"/>
      <c r="D124" s="176"/>
      <c r="E124" s="176"/>
      <c r="F124" s="176"/>
      <c r="G124" s="20"/>
    </row>
    <row r="125" spans="1:8" ht="14.1" customHeight="1" x14ac:dyDescent="0.2">
      <c r="A125" s="18"/>
      <c r="B125" s="176" t="s">
        <v>96</v>
      </c>
      <c r="C125" s="176"/>
      <c r="D125" s="176"/>
      <c r="E125" s="176"/>
      <c r="F125" s="176"/>
      <c r="G125" s="20"/>
    </row>
    <row r="126" spans="1:8" ht="14.1" customHeight="1" x14ac:dyDescent="0.2">
      <c r="A126" s="18"/>
      <c r="B126" s="18"/>
      <c r="C126" s="18"/>
      <c r="D126" s="20"/>
      <c r="E126" s="20"/>
      <c r="F126" s="20"/>
      <c r="G126" s="20"/>
    </row>
    <row r="127" spans="1:8" ht="14.1" customHeight="1" x14ac:dyDescent="0.2">
      <c r="A127" s="18"/>
      <c r="B127" s="174" t="s">
        <v>124</v>
      </c>
      <c r="C127" s="175"/>
      <c r="D127" s="12" t="s">
        <v>96</v>
      </c>
      <c r="E127" s="21"/>
      <c r="F127" s="20"/>
      <c r="G127" s="20"/>
    </row>
    <row r="128" spans="1:8" ht="29.1" customHeight="1" x14ac:dyDescent="0.2">
      <c r="A128" s="18"/>
      <c r="B128" s="172" t="s">
        <v>125</v>
      </c>
      <c r="C128" s="173"/>
      <c r="D128" s="2" t="s">
        <v>126</v>
      </c>
      <c r="E128" s="21"/>
      <c r="F128" s="20"/>
      <c r="G128" s="20"/>
    </row>
    <row r="129" spans="1:16" ht="17.100000000000001" customHeight="1" x14ac:dyDescent="0.2">
      <c r="A129" s="18"/>
      <c r="B129" s="172" t="s">
        <v>127</v>
      </c>
      <c r="C129" s="173"/>
      <c r="D129" s="2" t="s">
        <v>126</v>
      </c>
      <c r="E129" s="21"/>
      <c r="F129" s="20"/>
      <c r="G129" s="20"/>
    </row>
    <row r="130" spans="1:16" ht="17.100000000000001" customHeight="1" x14ac:dyDescent="0.2">
      <c r="A130" s="18"/>
      <c r="B130" s="172" t="s">
        <v>128</v>
      </c>
      <c r="C130" s="173"/>
      <c r="D130" s="12" t="s">
        <v>96</v>
      </c>
      <c r="E130" s="21"/>
      <c r="F130" s="20"/>
      <c r="G130" s="20"/>
    </row>
    <row r="131" spans="1:16" ht="24" customHeight="1" x14ac:dyDescent="0.2">
      <c r="A131" s="22"/>
      <c r="B131" s="23" t="s">
        <v>96</v>
      </c>
      <c r="C131" s="23" t="s">
        <v>129</v>
      </c>
      <c r="D131" s="23" t="s">
        <v>130</v>
      </c>
      <c r="E131" s="22"/>
      <c r="F131" s="22"/>
      <c r="G131" s="22"/>
    </row>
    <row r="132" spans="1:16" ht="18" customHeight="1" x14ac:dyDescent="0.2">
      <c r="A132" s="22"/>
      <c r="B132" s="23" t="s">
        <v>131</v>
      </c>
      <c r="C132" s="23" t="s">
        <v>132</v>
      </c>
      <c r="D132" s="23" t="s">
        <v>133</v>
      </c>
      <c r="E132" s="22"/>
      <c r="F132" s="22"/>
      <c r="G132" s="22"/>
    </row>
    <row r="133" spans="1:16" ht="17.100000000000001" customHeight="1" x14ac:dyDescent="0.2">
      <c r="A133" s="22"/>
      <c r="B133" s="4" t="s">
        <v>134</v>
      </c>
      <c r="C133" s="24">
        <v>15.2948</v>
      </c>
      <c r="D133" s="24">
        <v>14.830299999999999</v>
      </c>
      <c r="E133" s="22"/>
      <c r="F133" s="19"/>
      <c r="G133" s="25"/>
    </row>
    <row r="134" spans="1:16" ht="17.100000000000001" customHeight="1" x14ac:dyDescent="0.2">
      <c r="A134" s="22"/>
      <c r="B134" s="4" t="s">
        <v>983</v>
      </c>
      <c r="C134" s="24">
        <v>14.764200000000001</v>
      </c>
      <c r="D134" s="24">
        <v>14.315799999999999</v>
      </c>
      <c r="E134" s="22"/>
      <c r="F134" s="19"/>
      <c r="G134" s="25"/>
    </row>
    <row r="135" spans="1:16" ht="17.100000000000001" customHeight="1" x14ac:dyDescent="0.2">
      <c r="A135" s="22"/>
      <c r="B135" s="4" t="s">
        <v>135</v>
      </c>
      <c r="C135" s="24">
        <v>14.9778</v>
      </c>
      <c r="D135" s="24">
        <v>14.4992</v>
      </c>
      <c r="E135" s="22"/>
      <c r="F135" s="19"/>
      <c r="G135" s="25"/>
    </row>
    <row r="136" spans="1:16" ht="17.100000000000001" customHeight="1" x14ac:dyDescent="0.2">
      <c r="A136" s="22"/>
      <c r="B136" s="4" t="s">
        <v>984</v>
      </c>
      <c r="C136" s="24">
        <v>14.4602</v>
      </c>
      <c r="D136" s="24">
        <v>13.997999999999999</v>
      </c>
      <c r="E136" s="22"/>
      <c r="F136" s="19"/>
      <c r="G136" s="25"/>
    </row>
    <row r="137" spans="1:16" ht="14.1" customHeight="1" x14ac:dyDescent="0.2">
      <c r="A137" s="22"/>
      <c r="B137" s="22"/>
      <c r="C137" s="22"/>
      <c r="D137" s="22"/>
      <c r="E137" s="22"/>
      <c r="F137" s="22"/>
      <c r="G137" s="22"/>
      <c r="I137" s="82"/>
      <c r="J137" s="82"/>
      <c r="K137" s="82"/>
      <c r="L137" s="82"/>
      <c r="M137" s="82"/>
      <c r="N137" s="82"/>
      <c r="O137" s="82"/>
    </row>
    <row r="138" spans="1:16" ht="17.100000000000001" customHeight="1" x14ac:dyDescent="0.2">
      <c r="A138" s="22"/>
      <c r="B138" s="172" t="s">
        <v>985</v>
      </c>
      <c r="C138" s="173"/>
      <c r="D138" s="2" t="s">
        <v>126</v>
      </c>
      <c r="E138" s="22"/>
      <c r="F138" s="22"/>
      <c r="G138" s="22"/>
    </row>
    <row r="139" spans="1:16" ht="18" customHeight="1" x14ac:dyDescent="0.2">
      <c r="A139" s="22"/>
      <c r="B139" s="26" t="s">
        <v>136</v>
      </c>
      <c r="C139" s="26" t="s">
        <v>136</v>
      </c>
      <c r="D139" s="26"/>
      <c r="E139" s="22"/>
      <c r="F139" s="22"/>
      <c r="G139" s="22"/>
    </row>
    <row r="140" spans="1:16" s="82" customFormat="1" x14ac:dyDescent="0.2">
      <c r="B140" s="177" t="s">
        <v>936</v>
      </c>
      <c r="C140" s="177"/>
      <c r="D140" s="177"/>
      <c r="E140" s="177"/>
      <c r="F140" s="177"/>
      <c r="I140"/>
      <c r="J140"/>
      <c r="K140"/>
      <c r="L140"/>
      <c r="M140"/>
      <c r="N140"/>
      <c r="O140"/>
      <c r="P140" s="70"/>
    </row>
    <row r="141" spans="1:16" ht="14.1" customHeight="1" x14ac:dyDescent="0.2">
      <c r="A141" s="22"/>
      <c r="B141" s="19"/>
      <c r="C141" s="19"/>
      <c r="D141" s="22"/>
      <c r="E141" s="22"/>
      <c r="F141" s="22"/>
      <c r="G141" s="22"/>
    </row>
    <row r="142" spans="1:16" ht="29.1" customHeight="1" x14ac:dyDescent="0.2">
      <c r="A142" s="22"/>
      <c r="B142" s="172" t="s">
        <v>137</v>
      </c>
      <c r="C142" s="173"/>
      <c r="D142" s="2" t="s">
        <v>126</v>
      </c>
      <c r="E142" s="22"/>
      <c r="F142" s="22"/>
      <c r="G142" s="22"/>
    </row>
    <row r="143" spans="1:16" ht="29.1" customHeight="1" x14ac:dyDescent="0.2">
      <c r="A143" s="22"/>
      <c r="B143" s="172" t="s">
        <v>138</v>
      </c>
      <c r="C143" s="173"/>
      <c r="D143" s="2" t="s">
        <v>126</v>
      </c>
      <c r="E143" s="22"/>
      <c r="F143" s="22"/>
      <c r="G143" s="22"/>
    </row>
    <row r="144" spans="1:16" ht="17.100000000000001" customHeight="1" x14ac:dyDescent="0.2">
      <c r="A144" s="22"/>
      <c r="B144" s="172" t="s">
        <v>139</v>
      </c>
      <c r="C144" s="173"/>
      <c r="D144" s="27">
        <v>0.7270809071997919</v>
      </c>
      <c r="E144" s="22"/>
      <c r="F144" s="19"/>
      <c r="G144" s="25"/>
    </row>
    <row r="145" spans="1:7" ht="17.100000000000001" customHeight="1" x14ac:dyDescent="0.2">
      <c r="A145" s="22"/>
      <c r="B145" s="172" t="s">
        <v>140</v>
      </c>
      <c r="C145" s="173"/>
      <c r="D145" s="2" t="s">
        <v>126</v>
      </c>
      <c r="E145" s="22"/>
      <c r="F145" s="22"/>
      <c r="G145" s="22"/>
    </row>
  </sheetData>
  <mergeCells count="16">
    <mergeCell ref="B145:C145"/>
    <mergeCell ref="B128:C128"/>
    <mergeCell ref="B129:C129"/>
    <mergeCell ref="B130:C130"/>
    <mergeCell ref="B138:C138"/>
    <mergeCell ref="B142:C142"/>
    <mergeCell ref="B143:C143"/>
    <mergeCell ref="B140:F140"/>
    <mergeCell ref="A1:H1"/>
    <mergeCell ref="A2:H2"/>
    <mergeCell ref="A3:H3"/>
    <mergeCell ref="J2:N2"/>
    <mergeCell ref="B144:C144"/>
    <mergeCell ref="B127:C127"/>
    <mergeCell ref="B124:F124"/>
    <mergeCell ref="B125:F125"/>
  </mergeCells>
  <pageMargins left="5.000000074505806E-2" right="5.000000074505806E-2" top="0.30000001192092896" bottom="0.20000000298023224" header="0" footer="0"/>
  <pageSetup paperSize="9"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P15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701</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14</v>
      </c>
      <c r="C7" s="4" t="s">
        <v>15</v>
      </c>
      <c r="D7" s="4" t="s">
        <v>16</v>
      </c>
      <c r="E7" s="5">
        <v>148853</v>
      </c>
      <c r="F7" s="6">
        <v>3580.5100619999998</v>
      </c>
      <c r="G7" s="7">
        <v>4.3220296999999998E-2</v>
      </c>
      <c r="H7" s="69"/>
    </row>
    <row r="8" spans="1:14" x14ac:dyDescent="0.2">
      <c r="A8" s="3">
        <v>2</v>
      </c>
      <c r="B8" s="4" t="s">
        <v>412</v>
      </c>
      <c r="C8" s="4" t="s">
        <v>413</v>
      </c>
      <c r="D8" s="4" t="s">
        <v>155</v>
      </c>
      <c r="E8" s="5">
        <v>172983</v>
      </c>
      <c r="F8" s="6">
        <v>2962.5933494999999</v>
      </c>
      <c r="G8" s="7">
        <v>3.5761431000000003E-2</v>
      </c>
      <c r="H8" s="69"/>
    </row>
    <row r="9" spans="1:14" x14ac:dyDescent="0.2">
      <c r="A9" s="3">
        <v>3</v>
      </c>
      <c r="B9" s="4" t="s">
        <v>410</v>
      </c>
      <c r="C9" s="4" t="s">
        <v>411</v>
      </c>
      <c r="D9" s="4" t="s">
        <v>22</v>
      </c>
      <c r="E9" s="5">
        <v>186608</v>
      </c>
      <c r="F9" s="6">
        <v>2787.0837839999999</v>
      </c>
      <c r="G9" s="7">
        <v>3.3642856999999998E-2</v>
      </c>
      <c r="H9" s="69"/>
    </row>
    <row r="10" spans="1:14" x14ac:dyDescent="0.2">
      <c r="A10" s="3">
        <v>4</v>
      </c>
      <c r="B10" s="4" t="s">
        <v>20</v>
      </c>
      <c r="C10" s="4" t="s">
        <v>21</v>
      </c>
      <c r="D10" s="4" t="s">
        <v>22</v>
      </c>
      <c r="E10" s="5">
        <v>377738</v>
      </c>
      <c r="F10" s="6">
        <v>2698.3714030000001</v>
      </c>
      <c r="G10" s="7">
        <v>3.2572010999999998E-2</v>
      </c>
      <c r="H10" s="69"/>
    </row>
    <row r="11" spans="1:14" x14ac:dyDescent="0.2">
      <c r="A11" s="3">
        <v>5</v>
      </c>
      <c r="B11" s="4" t="s">
        <v>306</v>
      </c>
      <c r="C11" s="4" t="s">
        <v>307</v>
      </c>
      <c r="D11" s="4" t="s">
        <v>155</v>
      </c>
      <c r="E11" s="5">
        <v>59873</v>
      </c>
      <c r="F11" s="6">
        <v>2591.6327415000001</v>
      </c>
      <c r="G11" s="7">
        <v>3.1283569999999997E-2</v>
      </c>
      <c r="H11" s="69"/>
    </row>
    <row r="12" spans="1:14" ht="25.5" x14ac:dyDescent="0.2">
      <c r="A12" s="3">
        <v>6</v>
      </c>
      <c r="B12" s="4" t="s">
        <v>414</v>
      </c>
      <c r="C12" s="4" t="s">
        <v>415</v>
      </c>
      <c r="D12" s="4" t="s">
        <v>78</v>
      </c>
      <c r="E12" s="5">
        <v>94000</v>
      </c>
      <c r="F12" s="6">
        <v>2512.7139999999999</v>
      </c>
      <c r="G12" s="7">
        <v>3.0330942999999999E-2</v>
      </c>
      <c r="H12" s="69"/>
    </row>
    <row r="13" spans="1:14" x14ac:dyDescent="0.2">
      <c r="A13" s="3">
        <v>7</v>
      </c>
      <c r="B13" s="4" t="s">
        <v>17</v>
      </c>
      <c r="C13" s="4" t="s">
        <v>18</v>
      </c>
      <c r="D13" s="4" t="s">
        <v>19</v>
      </c>
      <c r="E13" s="5">
        <v>301200</v>
      </c>
      <c r="F13" s="6">
        <v>2193.489</v>
      </c>
      <c r="G13" s="7">
        <v>2.6477581E-2</v>
      </c>
      <c r="H13" s="69"/>
    </row>
    <row r="14" spans="1:14" x14ac:dyDescent="0.2">
      <c r="A14" s="3">
        <v>8</v>
      </c>
      <c r="B14" s="4" t="s">
        <v>142</v>
      </c>
      <c r="C14" s="4" t="s">
        <v>143</v>
      </c>
      <c r="D14" s="4" t="s">
        <v>144</v>
      </c>
      <c r="E14" s="5">
        <v>58563</v>
      </c>
      <c r="F14" s="6">
        <v>2190.8418299999998</v>
      </c>
      <c r="G14" s="7">
        <v>2.6445626999999999E-2</v>
      </c>
      <c r="H14" s="69"/>
    </row>
    <row r="15" spans="1:14" ht="15" x14ac:dyDescent="0.2">
      <c r="A15" s="3">
        <v>9</v>
      </c>
      <c r="B15" s="4" t="s">
        <v>326</v>
      </c>
      <c r="C15" s="4" t="s">
        <v>327</v>
      </c>
      <c r="D15" s="4" t="s">
        <v>22</v>
      </c>
      <c r="E15" s="5">
        <v>326936</v>
      </c>
      <c r="F15" s="6">
        <v>2143.5558839999999</v>
      </c>
      <c r="G15" s="7">
        <v>2.5874839E-2</v>
      </c>
      <c r="H15" s="69"/>
      <c r="J15" s="160" t="s">
        <v>1025</v>
      </c>
    </row>
    <row r="16" spans="1:14" x14ac:dyDescent="0.2">
      <c r="A16" s="3">
        <v>10</v>
      </c>
      <c r="B16" s="4" t="s">
        <v>416</v>
      </c>
      <c r="C16" s="4" t="s">
        <v>417</v>
      </c>
      <c r="D16" s="4" t="s">
        <v>22</v>
      </c>
      <c r="E16" s="5">
        <v>416666</v>
      </c>
      <c r="F16" s="6">
        <v>1918.9552630000001</v>
      </c>
      <c r="G16" s="7">
        <v>2.3163688000000002E-2</v>
      </c>
      <c r="H16" s="69"/>
    </row>
    <row r="17" spans="1:8" ht="25.5" x14ac:dyDescent="0.2">
      <c r="A17" s="3">
        <v>11</v>
      </c>
      <c r="B17" s="4" t="s">
        <v>503</v>
      </c>
      <c r="C17" s="4" t="s">
        <v>504</v>
      </c>
      <c r="D17" s="4" t="s">
        <v>974</v>
      </c>
      <c r="E17" s="5">
        <v>139340</v>
      </c>
      <c r="F17" s="6">
        <v>1879.8359399999999</v>
      </c>
      <c r="G17" s="7">
        <v>2.2691479000000001E-2</v>
      </c>
      <c r="H17" s="69"/>
    </row>
    <row r="18" spans="1:8" x14ac:dyDescent="0.2">
      <c r="A18" s="3">
        <v>12</v>
      </c>
      <c r="B18" s="4" t="s">
        <v>187</v>
      </c>
      <c r="C18" s="4" t="s">
        <v>188</v>
      </c>
      <c r="D18" s="4" t="s">
        <v>978</v>
      </c>
      <c r="E18" s="5">
        <v>210048</v>
      </c>
      <c r="F18" s="6">
        <v>1877.0939519999999</v>
      </c>
      <c r="G18" s="7">
        <v>2.2658379999999999E-2</v>
      </c>
      <c r="H18" s="69"/>
    </row>
    <row r="19" spans="1:8" x14ac:dyDescent="0.2">
      <c r="A19" s="3">
        <v>13</v>
      </c>
      <c r="B19" s="4" t="s">
        <v>448</v>
      </c>
      <c r="C19" s="4" t="s">
        <v>449</v>
      </c>
      <c r="D19" s="4" t="s">
        <v>78</v>
      </c>
      <c r="E19" s="5">
        <v>265000</v>
      </c>
      <c r="F19" s="6">
        <v>1851.4224999999999</v>
      </c>
      <c r="G19" s="7">
        <v>2.23485E-2</v>
      </c>
      <c r="H19" s="69"/>
    </row>
    <row r="20" spans="1:8" x14ac:dyDescent="0.2">
      <c r="A20" s="3">
        <v>14</v>
      </c>
      <c r="B20" s="4" t="s">
        <v>420</v>
      </c>
      <c r="C20" s="4" t="s">
        <v>421</v>
      </c>
      <c r="D20" s="4" t="s">
        <v>155</v>
      </c>
      <c r="E20" s="5">
        <v>48283</v>
      </c>
      <c r="F20" s="6">
        <v>1703.9794945000001</v>
      </c>
      <c r="G20" s="7">
        <v>2.0568717E-2</v>
      </c>
      <c r="H20" s="69"/>
    </row>
    <row r="21" spans="1:8" x14ac:dyDescent="0.2">
      <c r="A21" s="3">
        <v>15</v>
      </c>
      <c r="B21" s="4" t="s">
        <v>384</v>
      </c>
      <c r="C21" s="4" t="s">
        <v>385</v>
      </c>
      <c r="D21" s="4" t="s">
        <v>982</v>
      </c>
      <c r="E21" s="5">
        <v>9583</v>
      </c>
      <c r="F21" s="6">
        <v>1651.8552505</v>
      </c>
      <c r="G21" s="7">
        <v>1.9939525999999999E-2</v>
      </c>
      <c r="H21" s="69"/>
    </row>
    <row r="22" spans="1:8" x14ac:dyDescent="0.2">
      <c r="A22" s="3">
        <v>16</v>
      </c>
      <c r="B22" s="4" t="s">
        <v>25</v>
      </c>
      <c r="C22" s="4" t="s">
        <v>26</v>
      </c>
      <c r="D22" s="4" t="s">
        <v>27</v>
      </c>
      <c r="E22" s="5">
        <v>100996</v>
      </c>
      <c r="F22" s="6">
        <v>1629.3179700000001</v>
      </c>
      <c r="G22" s="7">
        <v>1.9667479000000002E-2</v>
      </c>
      <c r="H22" s="69"/>
    </row>
    <row r="23" spans="1:8" x14ac:dyDescent="0.2">
      <c r="A23" s="3">
        <v>17</v>
      </c>
      <c r="B23" s="4" t="s">
        <v>11</v>
      </c>
      <c r="C23" s="4" t="s">
        <v>12</v>
      </c>
      <c r="D23" s="4" t="s">
        <v>13</v>
      </c>
      <c r="E23" s="5">
        <v>91037</v>
      </c>
      <c r="F23" s="6">
        <v>1606.5754575000001</v>
      </c>
      <c r="G23" s="7">
        <v>1.9392954E-2</v>
      </c>
      <c r="H23" s="69"/>
    </row>
    <row r="24" spans="1:8" x14ac:dyDescent="0.2">
      <c r="A24" s="3">
        <v>18</v>
      </c>
      <c r="B24" s="4" t="s">
        <v>320</v>
      </c>
      <c r="C24" s="4" t="s">
        <v>321</v>
      </c>
      <c r="D24" s="4" t="s">
        <v>144</v>
      </c>
      <c r="E24" s="5">
        <v>74585</v>
      </c>
      <c r="F24" s="6">
        <v>1496.0632224999999</v>
      </c>
      <c r="G24" s="7">
        <v>1.8058962000000001E-2</v>
      </c>
      <c r="H24" s="69"/>
    </row>
    <row r="25" spans="1:8" ht="25.5" x14ac:dyDescent="0.2">
      <c r="A25" s="3">
        <v>19</v>
      </c>
      <c r="B25" s="4" t="s">
        <v>702</v>
      </c>
      <c r="C25" s="4" t="s">
        <v>703</v>
      </c>
      <c r="D25" s="4" t="s">
        <v>207</v>
      </c>
      <c r="E25" s="5">
        <v>132080</v>
      </c>
      <c r="F25" s="6">
        <v>1482.33384</v>
      </c>
      <c r="G25" s="7">
        <v>1.7893235E-2</v>
      </c>
      <c r="H25" s="69"/>
    </row>
    <row r="26" spans="1:8" x14ac:dyDescent="0.2">
      <c r="A26" s="3">
        <v>20</v>
      </c>
      <c r="B26" s="4" t="s">
        <v>316</v>
      </c>
      <c r="C26" s="4" t="s">
        <v>317</v>
      </c>
      <c r="D26" s="4" t="s">
        <v>221</v>
      </c>
      <c r="E26" s="5">
        <v>3790</v>
      </c>
      <c r="F26" s="6">
        <v>1455.01511</v>
      </c>
      <c r="G26" s="7">
        <v>1.7563471000000001E-2</v>
      </c>
      <c r="H26" s="69"/>
    </row>
    <row r="27" spans="1:8" x14ac:dyDescent="0.2">
      <c r="A27" s="3">
        <v>21</v>
      </c>
      <c r="B27" s="4" t="s">
        <v>84</v>
      </c>
      <c r="C27" s="4" t="s">
        <v>85</v>
      </c>
      <c r="D27" s="4" t="s">
        <v>70</v>
      </c>
      <c r="E27" s="5">
        <v>298256</v>
      </c>
      <c r="F27" s="6">
        <v>1444.30468</v>
      </c>
      <c r="G27" s="7">
        <v>1.7434186000000001E-2</v>
      </c>
      <c r="H27" s="69"/>
    </row>
    <row r="28" spans="1:8" x14ac:dyDescent="0.2">
      <c r="A28" s="3">
        <v>22</v>
      </c>
      <c r="B28" s="4" t="s">
        <v>227</v>
      </c>
      <c r="C28" s="4" t="s">
        <v>228</v>
      </c>
      <c r="D28" s="4" t="s">
        <v>976</v>
      </c>
      <c r="E28" s="5">
        <v>88413</v>
      </c>
      <c r="F28" s="6">
        <v>1413.7680765</v>
      </c>
      <c r="G28" s="7">
        <v>1.7065579000000001E-2</v>
      </c>
      <c r="H28" s="69"/>
    </row>
    <row r="29" spans="1:8" x14ac:dyDescent="0.2">
      <c r="A29" s="3">
        <v>23</v>
      </c>
      <c r="B29" s="4" t="s">
        <v>374</v>
      </c>
      <c r="C29" s="4" t="s">
        <v>375</v>
      </c>
      <c r="D29" s="4" t="s">
        <v>75</v>
      </c>
      <c r="E29" s="5">
        <v>2094345</v>
      </c>
      <c r="F29" s="6">
        <v>1404.2583225000001</v>
      </c>
      <c r="G29" s="7">
        <v>1.6950786999999998E-2</v>
      </c>
      <c r="H29" s="69"/>
    </row>
    <row r="30" spans="1:8" ht="25.5" x14ac:dyDescent="0.2">
      <c r="A30" s="3">
        <v>24</v>
      </c>
      <c r="B30" s="4" t="s">
        <v>523</v>
      </c>
      <c r="C30" s="4" t="s">
        <v>524</v>
      </c>
      <c r="D30" s="4" t="s">
        <v>207</v>
      </c>
      <c r="E30" s="5">
        <v>406199</v>
      </c>
      <c r="F30" s="6">
        <v>1265.9191834999999</v>
      </c>
      <c r="G30" s="7">
        <v>1.5280896E-2</v>
      </c>
      <c r="H30" s="69"/>
    </row>
    <row r="31" spans="1:8" ht="25.5" x14ac:dyDescent="0.2">
      <c r="A31" s="3">
        <v>25</v>
      </c>
      <c r="B31" s="4" t="s">
        <v>361</v>
      </c>
      <c r="C31" s="4" t="s">
        <v>362</v>
      </c>
      <c r="D31" s="4" t="s">
        <v>207</v>
      </c>
      <c r="E31" s="5">
        <v>237070</v>
      </c>
      <c r="F31" s="6">
        <v>1249.477435</v>
      </c>
      <c r="G31" s="7">
        <v>1.5082428E-2</v>
      </c>
      <c r="H31" s="69"/>
    </row>
    <row r="32" spans="1:8" x14ac:dyDescent="0.2">
      <c r="A32" s="3">
        <v>26</v>
      </c>
      <c r="B32" s="4" t="s">
        <v>185</v>
      </c>
      <c r="C32" s="4" t="s">
        <v>186</v>
      </c>
      <c r="D32" s="4" t="s">
        <v>16</v>
      </c>
      <c r="E32" s="5">
        <v>422965</v>
      </c>
      <c r="F32" s="6">
        <v>1248.169715</v>
      </c>
      <c r="G32" s="7">
        <v>1.5066642999999999E-2</v>
      </c>
      <c r="H32" s="69"/>
    </row>
    <row r="33" spans="1:8" x14ac:dyDescent="0.2">
      <c r="A33" s="3">
        <v>27</v>
      </c>
      <c r="B33" s="4" t="s">
        <v>435</v>
      </c>
      <c r="C33" s="4" t="s">
        <v>436</v>
      </c>
      <c r="D33" s="4" t="s">
        <v>83</v>
      </c>
      <c r="E33" s="5">
        <v>149037</v>
      </c>
      <c r="F33" s="6">
        <v>1245.204135</v>
      </c>
      <c r="G33" s="7">
        <v>1.5030844999999999E-2</v>
      </c>
      <c r="H33" s="69"/>
    </row>
    <row r="34" spans="1:8" x14ac:dyDescent="0.2">
      <c r="A34" s="3">
        <v>28</v>
      </c>
      <c r="B34" s="4" t="s">
        <v>351</v>
      </c>
      <c r="C34" s="4" t="s">
        <v>352</v>
      </c>
      <c r="D34" s="4" t="s">
        <v>22</v>
      </c>
      <c r="E34" s="5">
        <v>1431306</v>
      </c>
      <c r="F34" s="6">
        <v>1227.344895</v>
      </c>
      <c r="G34" s="7">
        <v>1.4815267E-2</v>
      </c>
      <c r="H34" s="69"/>
    </row>
    <row r="35" spans="1:8" x14ac:dyDescent="0.2">
      <c r="A35" s="3">
        <v>29</v>
      </c>
      <c r="B35" s="4" t="s">
        <v>253</v>
      </c>
      <c r="C35" s="4" t="s">
        <v>254</v>
      </c>
      <c r="D35" s="4" t="s">
        <v>65</v>
      </c>
      <c r="E35" s="5">
        <v>141941</v>
      </c>
      <c r="F35" s="6">
        <v>1213.59555</v>
      </c>
      <c r="G35" s="7">
        <v>1.4649298E-2</v>
      </c>
      <c r="H35" s="69"/>
    </row>
    <row r="36" spans="1:8" x14ac:dyDescent="0.2">
      <c r="A36" s="3">
        <v>30</v>
      </c>
      <c r="B36" s="4" t="s">
        <v>501</v>
      </c>
      <c r="C36" s="4" t="s">
        <v>502</v>
      </c>
      <c r="D36" s="4" t="s">
        <v>83</v>
      </c>
      <c r="E36" s="5">
        <v>261222</v>
      </c>
      <c r="F36" s="6">
        <v>1197.9640919999999</v>
      </c>
      <c r="G36" s="7">
        <v>1.4460611E-2</v>
      </c>
      <c r="H36" s="69"/>
    </row>
    <row r="37" spans="1:8" x14ac:dyDescent="0.2">
      <c r="A37" s="3">
        <v>31</v>
      </c>
      <c r="B37" s="4" t="s">
        <v>378</v>
      </c>
      <c r="C37" s="4" t="s">
        <v>379</v>
      </c>
      <c r="D37" s="4" t="s">
        <v>224</v>
      </c>
      <c r="E37" s="5">
        <v>158937</v>
      </c>
      <c r="F37" s="6">
        <v>1176.4516739999999</v>
      </c>
      <c r="G37" s="7">
        <v>1.4200935E-2</v>
      </c>
      <c r="H37" s="69"/>
    </row>
    <row r="38" spans="1:8" x14ac:dyDescent="0.2">
      <c r="A38" s="3">
        <v>32</v>
      </c>
      <c r="B38" s="4" t="s">
        <v>418</v>
      </c>
      <c r="C38" s="4" t="s">
        <v>419</v>
      </c>
      <c r="D38" s="4" t="s">
        <v>982</v>
      </c>
      <c r="E38" s="5">
        <v>100100</v>
      </c>
      <c r="F38" s="6">
        <v>1161.71055</v>
      </c>
      <c r="G38" s="7">
        <v>1.4022995E-2</v>
      </c>
      <c r="H38" s="69"/>
    </row>
    <row r="39" spans="1:8" x14ac:dyDescent="0.2">
      <c r="A39" s="3">
        <v>33</v>
      </c>
      <c r="B39" s="4" t="s">
        <v>237</v>
      </c>
      <c r="C39" s="4" t="s">
        <v>238</v>
      </c>
      <c r="D39" s="4" t="s">
        <v>204</v>
      </c>
      <c r="E39" s="5">
        <v>69458</v>
      </c>
      <c r="F39" s="6">
        <v>1138.2082459999999</v>
      </c>
      <c r="G39" s="7">
        <v>1.3739299E-2</v>
      </c>
      <c r="H39" s="69"/>
    </row>
    <row r="40" spans="1:8" x14ac:dyDescent="0.2">
      <c r="A40" s="3">
        <v>34</v>
      </c>
      <c r="B40" s="4" t="s">
        <v>90</v>
      </c>
      <c r="C40" s="4" t="s">
        <v>91</v>
      </c>
      <c r="D40" s="4" t="s">
        <v>27</v>
      </c>
      <c r="E40" s="5">
        <v>14578</v>
      </c>
      <c r="F40" s="6">
        <v>1136.1801640000001</v>
      </c>
      <c r="G40" s="7">
        <v>1.3714818E-2</v>
      </c>
      <c r="H40" s="69"/>
    </row>
    <row r="41" spans="1:8" x14ac:dyDescent="0.2">
      <c r="A41" s="3">
        <v>35</v>
      </c>
      <c r="B41" s="4" t="s">
        <v>347</v>
      </c>
      <c r="C41" s="4" t="s">
        <v>348</v>
      </c>
      <c r="D41" s="4" t="s">
        <v>204</v>
      </c>
      <c r="E41" s="5">
        <v>31426</v>
      </c>
      <c r="F41" s="6">
        <v>1126.7320910000001</v>
      </c>
      <c r="G41" s="7">
        <v>1.360077E-2</v>
      </c>
      <c r="H41" s="69"/>
    </row>
    <row r="42" spans="1:8" x14ac:dyDescent="0.2">
      <c r="A42" s="3">
        <v>36</v>
      </c>
      <c r="B42" s="4" t="s">
        <v>519</v>
      </c>
      <c r="C42" s="4" t="s">
        <v>520</v>
      </c>
      <c r="D42" s="4" t="s">
        <v>22</v>
      </c>
      <c r="E42" s="5">
        <v>394065</v>
      </c>
      <c r="F42" s="6">
        <v>1090.1808225</v>
      </c>
      <c r="G42" s="7">
        <v>1.3159561E-2</v>
      </c>
      <c r="H42" s="69"/>
    </row>
    <row r="43" spans="1:8" x14ac:dyDescent="0.2">
      <c r="A43" s="3">
        <v>37</v>
      </c>
      <c r="B43" s="4" t="s">
        <v>200</v>
      </c>
      <c r="C43" s="4" t="s">
        <v>201</v>
      </c>
      <c r="D43" s="4" t="s">
        <v>27</v>
      </c>
      <c r="E43" s="5">
        <v>52223</v>
      </c>
      <c r="F43" s="6">
        <v>1055.374607</v>
      </c>
      <c r="G43" s="7">
        <v>1.2739415E-2</v>
      </c>
      <c r="H43" s="69"/>
    </row>
    <row r="44" spans="1:8" x14ac:dyDescent="0.2">
      <c r="A44" s="3">
        <v>38</v>
      </c>
      <c r="B44" s="4" t="s">
        <v>576</v>
      </c>
      <c r="C44" s="4" t="s">
        <v>577</v>
      </c>
      <c r="D44" s="4" t="s">
        <v>75</v>
      </c>
      <c r="E44" s="5">
        <v>187368</v>
      </c>
      <c r="F44" s="6">
        <v>1047.574488</v>
      </c>
      <c r="G44" s="7">
        <v>1.264526E-2</v>
      </c>
      <c r="H44" s="69"/>
    </row>
    <row r="45" spans="1:8" x14ac:dyDescent="0.2">
      <c r="A45" s="3">
        <v>39</v>
      </c>
      <c r="B45" s="4" t="s">
        <v>704</v>
      </c>
      <c r="C45" s="4" t="s">
        <v>705</v>
      </c>
      <c r="D45" s="4" t="s">
        <v>53</v>
      </c>
      <c r="E45" s="5">
        <v>124146</v>
      </c>
      <c r="F45" s="6">
        <v>1033.8258149999999</v>
      </c>
      <c r="G45" s="7">
        <v>1.24793E-2</v>
      </c>
      <c r="H45" s="69"/>
    </row>
    <row r="46" spans="1:8" x14ac:dyDescent="0.2">
      <c r="A46" s="3">
        <v>40</v>
      </c>
      <c r="B46" s="4" t="s">
        <v>430</v>
      </c>
      <c r="C46" s="4" t="s">
        <v>431</v>
      </c>
      <c r="D46" s="4" t="s">
        <v>432</v>
      </c>
      <c r="E46" s="5">
        <v>250000</v>
      </c>
      <c r="F46" s="6">
        <v>1031.875</v>
      </c>
      <c r="G46" s="7">
        <v>1.2455752E-2</v>
      </c>
      <c r="H46" s="69"/>
    </row>
    <row r="47" spans="1:8" x14ac:dyDescent="0.2">
      <c r="A47" s="3">
        <v>41</v>
      </c>
      <c r="B47" s="4" t="s">
        <v>428</v>
      </c>
      <c r="C47" s="4" t="s">
        <v>429</v>
      </c>
      <c r="D47" s="4" t="s">
        <v>155</v>
      </c>
      <c r="E47" s="5">
        <v>65425</v>
      </c>
      <c r="F47" s="6">
        <v>1008.4936625</v>
      </c>
      <c r="G47" s="7">
        <v>1.2173516000000001E-2</v>
      </c>
      <c r="H47" s="69"/>
    </row>
    <row r="48" spans="1:8" x14ac:dyDescent="0.2">
      <c r="A48" s="3">
        <v>42</v>
      </c>
      <c r="B48" s="4" t="s">
        <v>382</v>
      </c>
      <c r="C48" s="4" t="s">
        <v>383</v>
      </c>
      <c r="D48" s="4" t="s">
        <v>78</v>
      </c>
      <c r="E48" s="5">
        <v>269702</v>
      </c>
      <c r="F48" s="6">
        <v>1003.561142</v>
      </c>
      <c r="G48" s="7">
        <v>1.2113975000000001E-2</v>
      </c>
      <c r="H48" s="69"/>
    </row>
    <row r="49" spans="1:8" x14ac:dyDescent="0.2">
      <c r="A49" s="3">
        <v>43</v>
      </c>
      <c r="B49" s="4" t="s">
        <v>39</v>
      </c>
      <c r="C49" s="4" t="s">
        <v>40</v>
      </c>
      <c r="D49" s="4" t="s">
        <v>16</v>
      </c>
      <c r="E49" s="5">
        <v>256895</v>
      </c>
      <c r="F49" s="6">
        <v>950.51149999999996</v>
      </c>
      <c r="G49" s="7">
        <v>1.1473614E-2</v>
      </c>
      <c r="H49" s="69"/>
    </row>
    <row r="50" spans="1:8" ht="25.5" x14ac:dyDescent="0.2">
      <c r="A50" s="3">
        <v>44</v>
      </c>
      <c r="B50" s="4" t="s">
        <v>426</v>
      </c>
      <c r="C50" s="4" t="s">
        <v>427</v>
      </c>
      <c r="D50" s="4" t="s">
        <v>207</v>
      </c>
      <c r="E50" s="5">
        <v>40280</v>
      </c>
      <c r="F50" s="6">
        <v>933.50914</v>
      </c>
      <c r="G50" s="7">
        <v>1.1268378000000001E-2</v>
      </c>
      <c r="H50" s="69"/>
    </row>
    <row r="51" spans="1:8" x14ac:dyDescent="0.2">
      <c r="A51" s="3">
        <v>45</v>
      </c>
      <c r="B51" s="4" t="s">
        <v>363</v>
      </c>
      <c r="C51" s="4" t="s">
        <v>364</v>
      </c>
      <c r="D51" s="4" t="s">
        <v>48</v>
      </c>
      <c r="E51" s="5">
        <v>147000</v>
      </c>
      <c r="F51" s="6">
        <v>911.4</v>
      </c>
      <c r="G51" s="7">
        <v>1.1001499E-2</v>
      </c>
      <c r="H51" s="69"/>
    </row>
    <row r="52" spans="1:8" x14ac:dyDescent="0.2">
      <c r="A52" s="3">
        <v>46</v>
      </c>
      <c r="B52" s="4" t="s">
        <v>357</v>
      </c>
      <c r="C52" s="4" t="s">
        <v>358</v>
      </c>
      <c r="D52" s="4" t="s">
        <v>976</v>
      </c>
      <c r="E52" s="5">
        <v>117000</v>
      </c>
      <c r="F52" s="6">
        <v>856.44</v>
      </c>
      <c r="G52" s="7">
        <v>1.0338078000000001E-2</v>
      </c>
      <c r="H52" s="69"/>
    </row>
    <row r="53" spans="1:8" x14ac:dyDescent="0.2">
      <c r="A53" s="3">
        <v>47</v>
      </c>
      <c r="B53" s="4" t="s">
        <v>513</v>
      </c>
      <c r="C53" s="4" t="s">
        <v>514</v>
      </c>
      <c r="D53" s="4" t="s">
        <v>204</v>
      </c>
      <c r="E53" s="5">
        <v>96183</v>
      </c>
      <c r="F53" s="6">
        <v>855.21114450000005</v>
      </c>
      <c r="G53" s="7">
        <v>1.0323244000000001E-2</v>
      </c>
      <c r="H53" s="69"/>
    </row>
    <row r="54" spans="1:8" x14ac:dyDescent="0.2">
      <c r="A54" s="3">
        <v>48</v>
      </c>
      <c r="B54" s="4" t="s">
        <v>181</v>
      </c>
      <c r="C54" s="4" t="s">
        <v>182</v>
      </c>
      <c r="D54" s="4" t="s">
        <v>155</v>
      </c>
      <c r="E54" s="5">
        <v>81375</v>
      </c>
      <c r="F54" s="6">
        <v>823.88118750000001</v>
      </c>
      <c r="G54" s="7">
        <v>9.9450609999999998E-3</v>
      </c>
      <c r="H54" s="69"/>
    </row>
    <row r="55" spans="1:8" x14ac:dyDescent="0.2">
      <c r="A55" s="3">
        <v>49</v>
      </c>
      <c r="B55" s="4" t="s">
        <v>706</v>
      </c>
      <c r="C55" s="4" t="s">
        <v>707</v>
      </c>
      <c r="D55" s="4" t="s">
        <v>160</v>
      </c>
      <c r="E55" s="5">
        <v>10000</v>
      </c>
      <c r="F55" s="6">
        <v>807.56500000000005</v>
      </c>
      <c r="G55" s="7">
        <v>9.7481080000000001E-3</v>
      </c>
      <c r="H55" s="69"/>
    </row>
    <row r="56" spans="1:8" ht="25.5" x14ac:dyDescent="0.2">
      <c r="A56" s="3">
        <v>50</v>
      </c>
      <c r="B56" s="4" t="s">
        <v>708</v>
      </c>
      <c r="C56" s="4" t="s">
        <v>709</v>
      </c>
      <c r="D56" s="4" t="s">
        <v>207</v>
      </c>
      <c r="E56" s="5">
        <v>3189</v>
      </c>
      <c r="F56" s="6">
        <v>798.34701600000005</v>
      </c>
      <c r="G56" s="7">
        <v>9.636838E-3</v>
      </c>
      <c r="H56" s="69"/>
    </row>
    <row r="57" spans="1:8" ht="25.5" x14ac:dyDescent="0.2">
      <c r="A57" s="3">
        <v>51</v>
      </c>
      <c r="B57" s="4" t="s">
        <v>28</v>
      </c>
      <c r="C57" s="4" t="s">
        <v>29</v>
      </c>
      <c r="D57" s="4" t="s">
        <v>974</v>
      </c>
      <c r="E57" s="5">
        <v>84095</v>
      </c>
      <c r="F57" s="6">
        <v>791.37599750000004</v>
      </c>
      <c r="G57" s="7">
        <v>9.5526910000000003E-3</v>
      </c>
      <c r="H57" s="69"/>
    </row>
    <row r="58" spans="1:8" ht="25.5" x14ac:dyDescent="0.2">
      <c r="A58" s="3">
        <v>52</v>
      </c>
      <c r="B58" s="4" t="s">
        <v>710</v>
      </c>
      <c r="C58" s="4" t="s">
        <v>711</v>
      </c>
      <c r="D58" s="4" t="s">
        <v>45</v>
      </c>
      <c r="E58" s="5">
        <v>9000</v>
      </c>
      <c r="F58" s="6">
        <v>766.81799999999998</v>
      </c>
      <c r="G58" s="7">
        <v>9.2562519999999995E-3</v>
      </c>
      <c r="H58" s="69"/>
    </row>
    <row r="59" spans="1:8" x14ac:dyDescent="0.2">
      <c r="A59" s="3">
        <v>53</v>
      </c>
      <c r="B59" s="4" t="s">
        <v>81</v>
      </c>
      <c r="C59" s="4" t="s">
        <v>82</v>
      </c>
      <c r="D59" s="4" t="s">
        <v>83</v>
      </c>
      <c r="E59" s="5">
        <v>543862</v>
      </c>
      <c r="F59" s="6">
        <v>651.00281399999994</v>
      </c>
      <c r="G59" s="7">
        <v>7.858248E-3</v>
      </c>
      <c r="H59" s="69"/>
    </row>
    <row r="60" spans="1:8" x14ac:dyDescent="0.2">
      <c r="A60" s="3">
        <v>54</v>
      </c>
      <c r="B60" s="4" t="s">
        <v>88</v>
      </c>
      <c r="C60" s="4" t="s">
        <v>89</v>
      </c>
      <c r="D60" s="4" t="s">
        <v>53</v>
      </c>
      <c r="E60" s="5">
        <v>152274</v>
      </c>
      <c r="F60" s="6">
        <v>642.21559500000001</v>
      </c>
      <c r="G60" s="7">
        <v>7.7521769999999999E-3</v>
      </c>
      <c r="H60" s="69"/>
    </row>
    <row r="61" spans="1:8" x14ac:dyDescent="0.2">
      <c r="A61" s="3">
        <v>55</v>
      </c>
      <c r="B61" s="4" t="s">
        <v>380</v>
      </c>
      <c r="C61" s="4" t="s">
        <v>381</v>
      </c>
      <c r="D61" s="4" t="s">
        <v>155</v>
      </c>
      <c r="E61" s="5">
        <v>54604</v>
      </c>
      <c r="F61" s="6">
        <v>621.74844599999994</v>
      </c>
      <c r="G61" s="7">
        <v>7.5051190000000002E-3</v>
      </c>
      <c r="H61" s="69"/>
    </row>
    <row r="62" spans="1:8" x14ac:dyDescent="0.2">
      <c r="A62" s="3">
        <v>56</v>
      </c>
      <c r="B62" s="4" t="s">
        <v>456</v>
      </c>
      <c r="C62" s="4" t="s">
        <v>457</v>
      </c>
      <c r="D62" s="4" t="s">
        <v>160</v>
      </c>
      <c r="E62" s="5">
        <v>275000</v>
      </c>
      <c r="F62" s="6">
        <v>577.08749999999998</v>
      </c>
      <c r="G62" s="7">
        <v>6.9660169999999997E-3</v>
      </c>
      <c r="H62" s="69"/>
    </row>
    <row r="63" spans="1:8" x14ac:dyDescent="0.2">
      <c r="A63" s="3">
        <v>57</v>
      </c>
      <c r="B63" s="4" t="s">
        <v>461</v>
      </c>
      <c r="C63" s="4" t="s">
        <v>462</v>
      </c>
      <c r="D63" s="4" t="s">
        <v>75</v>
      </c>
      <c r="E63" s="5">
        <v>141219</v>
      </c>
      <c r="F63" s="6">
        <v>549.13008149999996</v>
      </c>
      <c r="G63" s="7">
        <v>6.6285429999999998E-3</v>
      </c>
      <c r="H63" s="69"/>
    </row>
    <row r="64" spans="1:8" x14ac:dyDescent="0.2">
      <c r="A64" s="3">
        <v>58</v>
      </c>
      <c r="B64" s="4" t="s">
        <v>549</v>
      </c>
      <c r="C64" s="4" t="s">
        <v>550</v>
      </c>
      <c r="D64" s="4" t="s">
        <v>160</v>
      </c>
      <c r="E64" s="5">
        <v>21294</v>
      </c>
      <c r="F64" s="6">
        <v>483.81032699999997</v>
      </c>
      <c r="G64" s="7">
        <v>5.8400689999999998E-3</v>
      </c>
      <c r="H64" s="69"/>
    </row>
    <row r="65" spans="1:8" x14ac:dyDescent="0.2">
      <c r="A65" s="3">
        <v>59</v>
      </c>
      <c r="B65" s="4" t="s">
        <v>370</v>
      </c>
      <c r="C65" s="4" t="s">
        <v>371</v>
      </c>
      <c r="D65" s="4" t="s">
        <v>75</v>
      </c>
      <c r="E65" s="5">
        <v>8146</v>
      </c>
      <c r="F65" s="6">
        <v>415.50302199999999</v>
      </c>
      <c r="G65" s="7">
        <v>5.0155319999999996E-3</v>
      </c>
      <c r="H65" s="69"/>
    </row>
    <row r="66" spans="1:8" x14ac:dyDescent="0.2">
      <c r="A66" s="3">
        <v>60</v>
      </c>
      <c r="B66" s="4" t="s">
        <v>35</v>
      </c>
      <c r="C66" s="4" t="s">
        <v>36</v>
      </c>
      <c r="D66" s="4" t="s">
        <v>27</v>
      </c>
      <c r="E66" s="5">
        <v>17809</v>
      </c>
      <c r="F66" s="6">
        <v>410.66663549999998</v>
      </c>
      <c r="G66" s="7">
        <v>4.9571520000000003E-3</v>
      </c>
      <c r="H66" s="69"/>
    </row>
    <row r="67" spans="1:8" ht="25.5" x14ac:dyDescent="0.2">
      <c r="A67" s="3">
        <v>61</v>
      </c>
      <c r="B67" s="4" t="s">
        <v>23</v>
      </c>
      <c r="C67" s="4" t="s">
        <v>24</v>
      </c>
      <c r="D67" s="4" t="s">
        <v>974</v>
      </c>
      <c r="E67" s="5">
        <v>5301</v>
      </c>
      <c r="F67" s="6">
        <v>394.06308749999999</v>
      </c>
      <c r="G67" s="7">
        <v>4.7567310000000002E-3</v>
      </c>
      <c r="H67" s="69"/>
    </row>
    <row r="68" spans="1:8" ht="25.5" x14ac:dyDescent="0.2">
      <c r="A68" s="3">
        <v>62</v>
      </c>
      <c r="B68" s="4" t="s">
        <v>266</v>
      </c>
      <c r="C68" s="4" t="s">
        <v>267</v>
      </c>
      <c r="D68" s="4" t="s">
        <v>981</v>
      </c>
      <c r="E68" s="5">
        <v>23685</v>
      </c>
      <c r="F68" s="6">
        <v>287.91485999999998</v>
      </c>
      <c r="G68" s="7">
        <v>3.4754170000000002E-3</v>
      </c>
      <c r="H68" s="69"/>
    </row>
    <row r="69" spans="1:8" x14ac:dyDescent="0.2">
      <c r="A69" s="3">
        <v>63</v>
      </c>
      <c r="B69" s="4" t="s">
        <v>51</v>
      </c>
      <c r="C69" s="4" t="s">
        <v>52</v>
      </c>
      <c r="D69" s="4" t="s">
        <v>53</v>
      </c>
      <c r="E69" s="5">
        <v>135712</v>
      </c>
      <c r="F69" s="6">
        <v>229.896128</v>
      </c>
      <c r="G69" s="7">
        <v>2.7750740000000002E-3</v>
      </c>
      <c r="H69" s="69"/>
    </row>
    <row r="70" spans="1:8" ht="25.5" x14ac:dyDescent="0.2">
      <c r="A70" s="3">
        <v>64</v>
      </c>
      <c r="B70" s="4" t="s">
        <v>445</v>
      </c>
      <c r="C70" s="4" t="s">
        <v>930</v>
      </c>
      <c r="D70" s="72" t="s">
        <v>19</v>
      </c>
      <c r="E70" s="5">
        <v>21514</v>
      </c>
      <c r="F70" s="6">
        <v>84.076712000000001</v>
      </c>
      <c r="G70" s="7">
        <v>1.0148889999999999E-3</v>
      </c>
      <c r="H70" s="69"/>
    </row>
    <row r="71" spans="1:8" x14ac:dyDescent="0.2">
      <c r="A71" s="1"/>
      <c r="B71" s="1"/>
      <c r="C71" s="2" t="s">
        <v>95</v>
      </c>
      <c r="D71" s="1"/>
      <c r="E71" s="1" t="s">
        <v>96</v>
      </c>
      <c r="F71" s="9">
        <v>81975.58859449999</v>
      </c>
      <c r="G71" s="10">
        <v>0.98952641400000041</v>
      </c>
      <c r="H71" s="69"/>
    </row>
    <row r="72" spans="1:8" x14ac:dyDescent="0.2">
      <c r="A72" s="1"/>
      <c r="B72" s="1"/>
      <c r="C72" s="11"/>
      <c r="D72" s="1"/>
      <c r="E72" s="1"/>
      <c r="F72" s="12"/>
      <c r="G72" s="12"/>
      <c r="H72" s="69"/>
    </row>
    <row r="73" spans="1:8" x14ac:dyDescent="0.2">
      <c r="A73" s="1"/>
      <c r="B73" s="1"/>
      <c r="C73" s="2" t="s">
        <v>97</v>
      </c>
      <c r="D73" s="1"/>
      <c r="E73" s="1"/>
      <c r="F73" s="1"/>
      <c r="G73" s="1"/>
      <c r="H73" s="69"/>
    </row>
    <row r="74" spans="1:8" x14ac:dyDescent="0.2">
      <c r="A74" s="1"/>
      <c r="B74" s="1"/>
      <c r="C74" s="2" t="s">
        <v>95</v>
      </c>
      <c r="D74" s="1"/>
      <c r="E74" s="1" t="s">
        <v>96</v>
      </c>
      <c r="F74" s="13">
        <v>0</v>
      </c>
      <c r="G74" s="14">
        <v>0</v>
      </c>
      <c r="H74" s="69"/>
    </row>
    <row r="75" spans="1:8" x14ac:dyDescent="0.2">
      <c r="A75" s="1"/>
      <c r="B75" s="1"/>
      <c r="C75" s="11"/>
      <c r="D75" s="1"/>
      <c r="E75" s="1"/>
      <c r="F75" s="12"/>
      <c r="G75" s="12"/>
      <c r="H75" s="69"/>
    </row>
    <row r="76" spans="1:8" x14ac:dyDescent="0.2">
      <c r="A76" s="1"/>
      <c r="B76" s="1"/>
      <c r="C76" s="2" t="s">
        <v>98</v>
      </c>
      <c r="D76" s="1"/>
      <c r="E76" s="1"/>
      <c r="F76" s="1"/>
      <c r="G76" s="1"/>
      <c r="H76" s="69"/>
    </row>
    <row r="77" spans="1:8" x14ac:dyDescent="0.2">
      <c r="A77" s="1"/>
      <c r="B77" s="1"/>
      <c r="C77" s="2" t="s">
        <v>95</v>
      </c>
      <c r="D77" s="1"/>
      <c r="E77" s="1" t="s">
        <v>96</v>
      </c>
      <c r="F77" s="13">
        <v>0</v>
      </c>
      <c r="G77" s="14">
        <v>0</v>
      </c>
      <c r="H77" s="69"/>
    </row>
    <row r="78" spans="1:8" x14ac:dyDescent="0.2">
      <c r="A78" s="1"/>
      <c r="B78" s="1"/>
      <c r="C78" s="11"/>
      <c r="D78" s="1"/>
      <c r="E78" s="1"/>
      <c r="F78" s="12"/>
      <c r="G78" s="12"/>
      <c r="H78" s="69"/>
    </row>
    <row r="79" spans="1:8" x14ac:dyDescent="0.2">
      <c r="A79" s="1"/>
      <c r="B79" s="1"/>
      <c r="C79" s="2" t="s">
        <v>99</v>
      </c>
      <c r="D79" s="1"/>
      <c r="E79" s="1"/>
      <c r="F79" s="1"/>
      <c r="G79" s="1"/>
      <c r="H79" s="69"/>
    </row>
    <row r="80" spans="1:8" x14ac:dyDescent="0.2">
      <c r="A80" s="1"/>
      <c r="B80" s="1"/>
      <c r="C80" s="2" t="s">
        <v>95</v>
      </c>
      <c r="D80" s="1"/>
      <c r="E80" s="1" t="s">
        <v>96</v>
      </c>
      <c r="F80" s="9">
        <v>0</v>
      </c>
      <c r="G80" s="10">
        <v>0</v>
      </c>
      <c r="H80" s="69"/>
    </row>
    <row r="81" spans="1:8" x14ac:dyDescent="0.2">
      <c r="A81" s="1"/>
      <c r="B81" s="1"/>
      <c r="C81" s="11"/>
      <c r="D81" s="1"/>
      <c r="E81" s="1"/>
      <c r="F81" s="12"/>
      <c r="G81" s="12"/>
      <c r="H81" s="69"/>
    </row>
    <row r="82" spans="1:8" x14ac:dyDescent="0.2">
      <c r="A82" s="1"/>
      <c r="B82" s="1"/>
      <c r="C82" s="2" t="s">
        <v>100</v>
      </c>
      <c r="D82" s="1"/>
      <c r="E82" s="1"/>
      <c r="F82" s="12"/>
      <c r="G82" s="12"/>
      <c r="H82" s="69"/>
    </row>
    <row r="83" spans="1:8" x14ac:dyDescent="0.2">
      <c r="A83" s="1"/>
      <c r="B83" s="1"/>
      <c r="C83" s="2" t="s">
        <v>95</v>
      </c>
      <c r="D83" s="1"/>
      <c r="E83" s="1" t="s">
        <v>96</v>
      </c>
      <c r="F83" s="13">
        <v>0</v>
      </c>
      <c r="G83" s="14">
        <v>0</v>
      </c>
      <c r="H83" s="69"/>
    </row>
    <row r="84" spans="1:8" x14ac:dyDescent="0.2">
      <c r="A84" s="1"/>
      <c r="B84" s="1"/>
      <c r="C84" s="11"/>
      <c r="D84" s="1"/>
      <c r="E84" s="1"/>
      <c r="F84" s="12"/>
      <c r="G84" s="12"/>
      <c r="H84" s="69"/>
    </row>
    <row r="85" spans="1:8" x14ac:dyDescent="0.2">
      <c r="A85" s="1"/>
      <c r="B85" s="1"/>
      <c r="C85" s="2" t="s">
        <v>101</v>
      </c>
      <c r="D85" s="1"/>
      <c r="E85" s="1"/>
      <c r="F85" s="12"/>
      <c r="G85" s="12"/>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102</v>
      </c>
      <c r="D88" s="1"/>
      <c r="E88" s="1"/>
      <c r="F88" s="9">
        <v>81975.588594500005</v>
      </c>
      <c r="G88" s="10">
        <v>0.98952641399999997</v>
      </c>
      <c r="H88" s="69"/>
    </row>
    <row r="89" spans="1:8" x14ac:dyDescent="0.2">
      <c r="A89" s="1"/>
      <c r="B89" s="1"/>
      <c r="C89" s="11"/>
      <c r="D89" s="1"/>
      <c r="E89" s="1"/>
      <c r="F89" s="12"/>
      <c r="G89" s="12"/>
      <c r="H89" s="69"/>
    </row>
    <row r="90" spans="1:8" x14ac:dyDescent="0.2">
      <c r="A90" s="1"/>
      <c r="B90" s="1"/>
      <c r="C90" s="2" t="s">
        <v>103</v>
      </c>
      <c r="D90" s="1"/>
      <c r="E90" s="1"/>
      <c r="F90" s="12"/>
      <c r="G90" s="12"/>
      <c r="H90" s="69"/>
    </row>
    <row r="91" spans="1:8" ht="25.5" x14ac:dyDescent="0.2">
      <c r="A91" s="1"/>
      <c r="B91" s="1"/>
      <c r="C91" s="2" t="s">
        <v>10</v>
      </c>
      <c r="D91" s="1"/>
      <c r="E91" s="1"/>
      <c r="F91" s="12"/>
      <c r="G91" s="12"/>
      <c r="H91" s="69"/>
    </row>
    <row r="92" spans="1:8" x14ac:dyDescent="0.2">
      <c r="A92" s="1"/>
      <c r="B92" s="1"/>
      <c r="C92" s="2" t="s">
        <v>95</v>
      </c>
      <c r="D92" s="1"/>
      <c r="E92" s="1" t="s">
        <v>96</v>
      </c>
      <c r="F92" s="13">
        <v>0</v>
      </c>
      <c r="G92" s="14">
        <v>0</v>
      </c>
      <c r="H92" s="69"/>
    </row>
    <row r="93" spans="1:8" x14ac:dyDescent="0.2">
      <c r="A93" s="1"/>
      <c r="B93" s="1"/>
      <c r="C93" s="11"/>
      <c r="D93" s="1"/>
      <c r="E93" s="1"/>
      <c r="F93" s="12"/>
      <c r="G93" s="12"/>
      <c r="H93" s="69"/>
    </row>
    <row r="94" spans="1:8" x14ac:dyDescent="0.2">
      <c r="A94" s="1"/>
      <c r="B94" s="1"/>
      <c r="C94" s="2" t="s">
        <v>104</v>
      </c>
      <c r="D94" s="1"/>
      <c r="E94" s="1"/>
      <c r="F94" s="1"/>
      <c r="G94" s="1"/>
      <c r="H94" s="69"/>
    </row>
    <row r="95" spans="1:8" x14ac:dyDescent="0.2">
      <c r="A95" s="1"/>
      <c r="B95" s="1"/>
      <c r="C95" s="2" t="s">
        <v>95</v>
      </c>
      <c r="D95" s="1"/>
      <c r="E95" s="1" t="s">
        <v>96</v>
      </c>
      <c r="F95" s="13">
        <v>0</v>
      </c>
      <c r="G95" s="14">
        <v>0</v>
      </c>
      <c r="H95" s="69"/>
    </row>
    <row r="96" spans="1:8" x14ac:dyDescent="0.2">
      <c r="A96" s="1"/>
      <c r="B96" s="1"/>
      <c r="C96" s="11"/>
      <c r="D96" s="1"/>
      <c r="E96" s="1"/>
      <c r="F96" s="12"/>
      <c r="G96" s="12"/>
      <c r="H96" s="69"/>
    </row>
    <row r="97" spans="1:8" x14ac:dyDescent="0.2">
      <c r="A97" s="1"/>
      <c r="B97" s="1"/>
      <c r="C97" s="2" t="s">
        <v>105</v>
      </c>
      <c r="D97" s="1"/>
      <c r="E97" s="1"/>
      <c r="F97" s="1"/>
      <c r="G97" s="1"/>
      <c r="H97" s="69"/>
    </row>
    <row r="98" spans="1:8" x14ac:dyDescent="0.2">
      <c r="A98" s="1"/>
      <c r="B98" s="1"/>
      <c r="C98" s="2" t="s">
        <v>95</v>
      </c>
      <c r="D98" s="1"/>
      <c r="E98" s="1" t="s">
        <v>96</v>
      </c>
      <c r="F98" s="13">
        <v>0</v>
      </c>
      <c r="G98" s="14">
        <v>0</v>
      </c>
      <c r="H98" s="69"/>
    </row>
    <row r="99" spans="1:8" x14ac:dyDescent="0.2">
      <c r="A99" s="1"/>
      <c r="B99" s="1"/>
      <c r="C99" s="11"/>
      <c r="D99" s="1"/>
      <c r="E99" s="1"/>
      <c r="F99" s="12"/>
      <c r="G99" s="12"/>
      <c r="H99" s="69"/>
    </row>
    <row r="100" spans="1:8" x14ac:dyDescent="0.2">
      <c r="A100" s="1"/>
      <c r="B100" s="1"/>
      <c r="C100" s="2" t="s">
        <v>106</v>
      </c>
      <c r="D100" s="1"/>
      <c r="E100" s="1"/>
      <c r="F100" s="12"/>
      <c r="G100" s="12"/>
      <c r="H100" s="69"/>
    </row>
    <row r="101" spans="1:8" x14ac:dyDescent="0.2">
      <c r="A101" s="1"/>
      <c r="B101" s="1"/>
      <c r="C101" s="2" t="s">
        <v>95</v>
      </c>
      <c r="D101" s="1"/>
      <c r="E101" s="1" t="s">
        <v>96</v>
      </c>
      <c r="F101" s="13">
        <v>0</v>
      </c>
      <c r="G101" s="14">
        <v>0</v>
      </c>
      <c r="H101" s="69"/>
    </row>
    <row r="102" spans="1:8" x14ac:dyDescent="0.2">
      <c r="A102" s="1"/>
      <c r="B102" s="1"/>
      <c r="C102" s="11"/>
      <c r="D102" s="1"/>
      <c r="E102" s="1"/>
      <c r="F102" s="12"/>
      <c r="G102" s="12"/>
      <c r="H102" s="69"/>
    </row>
    <row r="103" spans="1:8" x14ac:dyDescent="0.2">
      <c r="A103" s="1"/>
      <c r="B103" s="1"/>
      <c r="C103" s="2" t="s">
        <v>107</v>
      </c>
      <c r="D103" s="1"/>
      <c r="E103" s="1"/>
      <c r="F103" s="9">
        <v>0</v>
      </c>
      <c r="G103" s="10">
        <v>0</v>
      </c>
      <c r="H103" s="69"/>
    </row>
    <row r="104" spans="1:8" x14ac:dyDescent="0.2">
      <c r="A104" s="1"/>
      <c r="B104" s="1"/>
      <c r="C104" s="11"/>
      <c r="D104" s="1"/>
      <c r="E104" s="1"/>
      <c r="F104" s="12"/>
      <c r="G104" s="12"/>
      <c r="H104" s="69"/>
    </row>
    <row r="105" spans="1:8" x14ac:dyDescent="0.2">
      <c r="A105" s="1"/>
      <c r="B105" s="1"/>
      <c r="C105" s="2" t="s">
        <v>108</v>
      </c>
      <c r="D105" s="1"/>
      <c r="E105" s="1"/>
      <c r="F105" s="12"/>
      <c r="G105" s="12"/>
      <c r="H105" s="69"/>
    </row>
    <row r="106" spans="1:8" x14ac:dyDescent="0.2">
      <c r="A106" s="1"/>
      <c r="B106" s="1"/>
      <c r="C106" s="2" t="s">
        <v>109</v>
      </c>
      <c r="D106" s="1"/>
      <c r="E106" s="1"/>
      <c r="F106" s="12"/>
      <c r="G106" s="12"/>
      <c r="H106" s="69"/>
    </row>
    <row r="107" spans="1:8" x14ac:dyDescent="0.2">
      <c r="A107" s="1"/>
      <c r="B107" s="1"/>
      <c r="C107" s="2" t="s">
        <v>95</v>
      </c>
      <c r="D107" s="1"/>
      <c r="E107" s="1" t="s">
        <v>96</v>
      </c>
      <c r="F107" s="13">
        <v>0</v>
      </c>
      <c r="G107" s="14">
        <v>0</v>
      </c>
      <c r="H107" s="69"/>
    </row>
    <row r="108" spans="1:8" x14ac:dyDescent="0.2">
      <c r="A108" s="1"/>
      <c r="B108" s="1"/>
      <c r="C108" s="11"/>
      <c r="D108" s="1"/>
      <c r="E108" s="1"/>
      <c r="F108" s="12"/>
      <c r="G108" s="12"/>
      <c r="H108" s="69"/>
    </row>
    <row r="109" spans="1:8" x14ac:dyDescent="0.2">
      <c r="A109" s="1"/>
      <c r="B109" s="1"/>
      <c r="C109" s="2" t="s">
        <v>110</v>
      </c>
      <c r="D109" s="1"/>
      <c r="E109" s="1"/>
      <c r="F109" s="12"/>
      <c r="G109" s="12"/>
      <c r="H109" s="69"/>
    </row>
    <row r="110" spans="1:8" x14ac:dyDescent="0.2">
      <c r="A110" s="1"/>
      <c r="B110" s="1"/>
      <c r="C110" s="2" t="s">
        <v>95</v>
      </c>
      <c r="D110" s="1"/>
      <c r="E110" s="1" t="s">
        <v>96</v>
      </c>
      <c r="F110" s="13">
        <v>0</v>
      </c>
      <c r="G110" s="14">
        <v>0</v>
      </c>
      <c r="H110" s="69"/>
    </row>
    <row r="111" spans="1:8" x14ac:dyDescent="0.2">
      <c r="A111" s="1"/>
      <c r="B111" s="1"/>
      <c r="C111" s="11"/>
      <c r="D111" s="1"/>
      <c r="E111" s="1"/>
      <c r="F111" s="12"/>
      <c r="G111" s="12"/>
      <c r="H111" s="69"/>
    </row>
    <row r="112" spans="1:8" x14ac:dyDescent="0.2">
      <c r="A112" s="1"/>
      <c r="B112" s="1"/>
      <c r="C112" s="2" t="s">
        <v>111</v>
      </c>
      <c r="D112" s="1"/>
      <c r="E112" s="1"/>
      <c r="F112" s="12"/>
      <c r="G112" s="12"/>
      <c r="H112" s="69"/>
    </row>
    <row r="113" spans="1:8" x14ac:dyDescent="0.2">
      <c r="A113" s="1"/>
      <c r="B113" s="1"/>
      <c r="C113" s="2" t="s">
        <v>95</v>
      </c>
      <c r="D113" s="1"/>
      <c r="E113" s="1" t="s">
        <v>96</v>
      </c>
      <c r="F113" s="13">
        <v>0</v>
      </c>
      <c r="G113" s="14">
        <v>0</v>
      </c>
      <c r="H113" s="69"/>
    </row>
    <row r="114" spans="1:8" x14ac:dyDescent="0.2">
      <c r="A114" s="1"/>
      <c r="B114" s="1"/>
      <c r="C114" s="11"/>
      <c r="D114" s="1"/>
      <c r="E114" s="1"/>
      <c r="F114" s="12"/>
      <c r="G114" s="12"/>
      <c r="H114" s="69"/>
    </row>
    <row r="115" spans="1:8" x14ac:dyDescent="0.2">
      <c r="A115" s="1"/>
      <c r="B115" s="1"/>
      <c r="C115" s="2" t="s">
        <v>112</v>
      </c>
      <c r="D115" s="1"/>
      <c r="E115" s="1"/>
      <c r="F115" s="12"/>
      <c r="G115" s="12"/>
      <c r="H115" s="69"/>
    </row>
    <row r="116" spans="1:8" x14ac:dyDescent="0.2">
      <c r="A116" s="3">
        <v>1</v>
      </c>
      <c r="B116" s="4"/>
      <c r="C116" s="4" t="s">
        <v>113</v>
      </c>
      <c r="D116" s="4"/>
      <c r="E116" s="8"/>
      <c r="F116" s="6">
        <v>1020.7282569</v>
      </c>
      <c r="G116" s="7">
        <v>1.2321199E-2</v>
      </c>
      <c r="H116" s="6">
        <v>3.3628721504199861</v>
      </c>
    </row>
    <row r="117" spans="1:8" x14ac:dyDescent="0.2">
      <c r="A117" s="3">
        <v>2</v>
      </c>
      <c r="B117" s="4"/>
      <c r="C117" s="4" t="s">
        <v>114</v>
      </c>
      <c r="D117" s="4"/>
      <c r="E117" s="8"/>
      <c r="F117" s="6">
        <v>394.19593950000001</v>
      </c>
      <c r="G117" s="7">
        <v>4.7583349999999998E-3</v>
      </c>
      <c r="H117" s="6">
        <v>3.4499999999999966</v>
      </c>
    </row>
    <row r="118" spans="1:8" x14ac:dyDescent="0.2">
      <c r="A118" s="1"/>
      <c r="B118" s="1"/>
      <c r="C118" s="2" t="s">
        <v>95</v>
      </c>
      <c r="D118" s="1"/>
      <c r="E118" s="1" t="s">
        <v>96</v>
      </c>
      <c r="F118" s="9">
        <v>1414.9241964</v>
      </c>
      <c r="G118" s="10">
        <v>1.7079534E-2</v>
      </c>
      <c r="H118" s="69"/>
    </row>
    <row r="119" spans="1:8" x14ac:dyDescent="0.2">
      <c r="A119" s="1"/>
      <c r="B119" s="1"/>
      <c r="C119" s="11"/>
      <c r="D119" s="1"/>
      <c r="E119" s="1"/>
      <c r="F119" s="12"/>
      <c r="G119" s="12"/>
      <c r="H119" s="69"/>
    </row>
    <row r="120" spans="1:8" x14ac:dyDescent="0.2">
      <c r="A120" s="1"/>
      <c r="B120" s="1"/>
      <c r="C120" s="2" t="s">
        <v>115</v>
      </c>
      <c r="D120" s="1"/>
      <c r="E120" s="1"/>
      <c r="F120" s="9">
        <v>1414.9241964</v>
      </c>
      <c r="G120" s="10">
        <v>1.7079534E-2</v>
      </c>
      <c r="H120" s="69"/>
    </row>
    <row r="121" spans="1:8" x14ac:dyDescent="0.2">
      <c r="A121" s="1"/>
      <c r="B121" s="1"/>
      <c r="C121" s="12"/>
      <c r="D121" s="1"/>
      <c r="E121" s="1"/>
      <c r="F121" s="1"/>
      <c r="G121" s="1"/>
      <c r="H121" s="69"/>
    </row>
    <row r="122" spans="1:8" x14ac:dyDescent="0.2">
      <c r="A122" s="1"/>
      <c r="B122" s="1"/>
      <c r="C122" s="2" t="s">
        <v>116</v>
      </c>
      <c r="D122" s="1"/>
      <c r="E122" s="1"/>
      <c r="F122" s="1"/>
      <c r="G122" s="1"/>
      <c r="H122" s="69"/>
    </row>
    <row r="123" spans="1:8" x14ac:dyDescent="0.2">
      <c r="A123" s="1"/>
      <c r="B123" s="1"/>
      <c r="C123" s="2" t="s">
        <v>117</v>
      </c>
      <c r="D123" s="1"/>
      <c r="E123" s="1"/>
      <c r="F123" s="1"/>
      <c r="G123" s="1"/>
      <c r="H123" s="69"/>
    </row>
    <row r="124" spans="1:8" x14ac:dyDescent="0.2">
      <c r="A124" s="1"/>
      <c r="B124" s="1"/>
      <c r="C124" s="2" t="s">
        <v>95</v>
      </c>
      <c r="D124" s="1"/>
      <c r="E124" s="1" t="s">
        <v>96</v>
      </c>
      <c r="F124" s="13">
        <v>0</v>
      </c>
      <c r="G124" s="14">
        <v>0</v>
      </c>
      <c r="H124" s="69"/>
    </row>
    <row r="125" spans="1:8" x14ac:dyDescent="0.2">
      <c r="A125" s="1"/>
      <c r="B125" s="1"/>
      <c r="C125" s="11"/>
      <c r="D125" s="1"/>
      <c r="E125" s="1"/>
      <c r="F125" s="12"/>
      <c r="G125" s="12"/>
      <c r="H125" s="69"/>
    </row>
    <row r="126" spans="1:8" x14ac:dyDescent="0.2">
      <c r="A126" s="1"/>
      <c r="B126" s="1"/>
      <c r="C126" s="2" t="s">
        <v>118</v>
      </c>
      <c r="D126" s="1"/>
      <c r="E126" s="1"/>
      <c r="F126" s="1"/>
      <c r="G126" s="1"/>
      <c r="H126" s="69"/>
    </row>
    <row r="127" spans="1:8" x14ac:dyDescent="0.2">
      <c r="A127" s="1"/>
      <c r="B127" s="1"/>
      <c r="C127" s="2" t="s">
        <v>119</v>
      </c>
      <c r="D127" s="1"/>
      <c r="E127" s="1"/>
      <c r="F127" s="1"/>
      <c r="G127" s="1"/>
      <c r="H127" s="69"/>
    </row>
    <row r="128" spans="1:8" x14ac:dyDescent="0.2">
      <c r="A128" s="1"/>
      <c r="B128" s="1"/>
      <c r="C128" s="2" t="s">
        <v>95</v>
      </c>
      <c r="D128" s="1"/>
      <c r="E128" s="1" t="s">
        <v>96</v>
      </c>
      <c r="F128" s="13">
        <v>0</v>
      </c>
      <c r="G128" s="14">
        <v>0</v>
      </c>
      <c r="H128" s="69"/>
    </row>
    <row r="129" spans="1:8" x14ac:dyDescent="0.2">
      <c r="A129" s="1"/>
      <c r="B129" s="1"/>
      <c r="C129" s="11"/>
      <c r="D129" s="1"/>
      <c r="E129" s="1"/>
      <c r="F129" s="12"/>
      <c r="G129" s="12"/>
      <c r="H129" s="69"/>
    </row>
    <row r="130" spans="1:8" x14ac:dyDescent="0.2">
      <c r="A130" s="1"/>
      <c r="B130" s="1"/>
      <c r="C130" s="11"/>
      <c r="D130" s="1"/>
      <c r="E130" s="1"/>
      <c r="F130" s="12"/>
      <c r="G130" s="12"/>
      <c r="H130" s="69"/>
    </row>
    <row r="131" spans="1:8" ht="25.5" x14ac:dyDescent="0.2">
      <c r="A131" s="1"/>
      <c r="B131" s="1"/>
      <c r="C131" s="2" t="s">
        <v>120</v>
      </c>
      <c r="D131" s="1"/>
      <c r="E131" s="1"/>
      <c r="F131" s="12"/>
      <c r="G131" s="12"/>
      <c r="H131" s="69"/>
    </row>
    <row r="132" spans="1:8" x14ac:dyDescent="0.2">
      <c r="A132" s="1"/>
      <c r="B132" s="1"/>
      <c r="C132" s="2" t="s">
        <v>95</v>
      </c>
      <c r="D132" s="1"/>
      <c r="E132" s="1" t="s">
        <v>96</v>
      </c>
      <c r="F132" s="13">
        <v>0</v>
      </c>
      <c r="G132" s="14">
        <v>0</v>
      </c>
      <c r="H132" s="69"/>
    </row>
    <row r="133" spans="1:8" x14ac:dyDescent="0.2">
      <c r="A133" s="1"/>
      <c r="B133" s="1"/>
      <c r="C133" s="11"/>
      <c r="D133" s="1"/>
      <c r="E133" s="1"/>
      <c r="F133" s="12"/>
      <c r="G133" s="12"/>
      <c r="H133" s="69"/>
    </row>
    <row r="134" spans="1:8" x14ac:dyDescent="0.2">
      <c r="A134" s="1"/>
      <c r="B134" s="4"/>
      <c r="C134" s="4"/>
      <c r="D134" s="2"/>
      <c r="E134" s="1"/>
      <c r="F134" s="4"/>
      <c r="G134" s="8"/>
      <c r="H134" s="69"/>
    </row>
    <row r="135" spans="1:8" x14ac:dyDescent="0.2">
      <c r="A135" s="8"/>
      <c r="B135" s="4"/>
      <c r="C135" s="4" t="s">
        <v>121</v>
      </c>
      <c r="D135" s="4"/>
      <c r="E135" s="8"/>
      <c r="F135" s="6">
        <v>-547.25833391000003</v>
      </c>
      <c r="G135" s="7">
        <v>-6.6059489999999998E-3</v>
      </c>
      <c r="H135" s="69"/>
    </row>
    <row r="136" spans="1:8" x14ac:dyDescent="0.2">
      <c r="A136" s="11"/>
      <c r="B136" s="11"/>
      <c r="C136" s="2" t="s">
        <v>122</v>
      </c>
      <c r="D136" s="15"/>
      <c r="E136" s="15"/>
      <c r="F136" s="9">
        <v>82843.254456989991</v>
      </c>
      <c r="G136" s="10">
        <v>0.99999999899999992</v>
      </c>
      <c r="H136" s="69"/>
    </row>
    <row r="137" spans="1:8" ht="14.1" customHeight="1" x14ac:dyDescent="0.2">
      <c r="A137" s="16"/>
      <c r="B137" s="16"/>
      <c r="C137" s="16"/>
      <c r="D137" s="17"/>
      <c r="E137" s="17"/>
      <c r="F137" s="17"/>
      <c r="G137" s="17"/>
    </row>
    <row r="138" spans="1:8" ht="14.1" customHeight="1" x14ac:dyDescent="0.2">
      <c r="A138" s="18"/>
      <c r="B138" s="176" t="s">
        <v>96</v>
      </c>
      <c r="C138" s="176"/>
      <c r="D138" s="176"/>
      <c r="E138" s="176"/>
      <c r="F138" s="176"/>
      <c r="G138" s="20"/>
    </row>
    <row r="139" spans="1:8" ht="14.1" customHeight="1" x14ac:dyDescent="0.2">
      <c r="A139" s="18"/>
      <c r="B139" s="176" t="s">
        <v>96</v>
      </c>
      <c r="C139" s="176"/>
      <c r="D139" s="176"/>
      <c r="E139" s="176"/>
      <c r="F139" s="176"/>
      <c r="G139" s="20"/>
    </row>
    <row r="140" spans="1:8" ht="14.1" customHeight="1" x14ac:dyDescent="0.2">
      <c r="A140" s="18"/>
      <c r="B140" s="18"/>
      <c r="C140" s="18"/>
      <c r="D140" s="20"/>
      <c r="E140" s="20"/>
      <c r="F140" s="20"/>
      <c r="G140" s="20"/>
    </row>
    <row r="141" spans="1:8" ht="14.1" customHeight="1" x14ac:dyDescent="0.2">
      <c r="A141" s="18"/>
      <c r="B141" s="174" t="s">
        <v>124</v>
      </c>
      <c r="C141" s="175"/>
      <c r="D141" s="12" t="s">
        <v>96</v>
      </c>
      <c r="E141" s="21"/>
      <c r="F141" s="20"/>
      <c r="G141" s="20"/>
    </row>
    <row r="142" spans="1:8" ht="29.1" customHeight="1" x14ac:dyDescent="0.2">
      <c r="A142" s="18"/>
      <c r="B142" s="172" t="s">
        <v>125</v>
      </c>
      <c r="C142" s="173"/>
      <c r="D142" s="2" t="s">
        <v>126</v>
      </c>
      <c r="E142" s="21"/>
      <c r="F142" s="20"/>
      <c r="G142" s="20"/>
    </row>
    <row r="143" spans="1:8" ht="17.100000000000001" customHeight="1" x14ac:dyDescent="0.2">
      <c r="A143" s="18"/>
      <c r="B143" s="172" t="s">
        <v>127</v>
      </c>
      <c r="C143" s="173"/>
      <c r="D143" s="2" t="s">
        <v>126</v>
      </c>
      <c r="E143" s="21"/>
      <c r="F143" s="20"/>
      <c r="G143" s="20"/>
    </row>
    <row r="144" spans="1:8" ht="17.100000000000001" customHeight="1" x14ac:dyDescent="0.2">
      <c r="A144" s="18"/>
      <c r="B144" s="172" t="s">
        <v>128</v>
      </c>
      <c r="C144" s="173"/>
      <c r="D144" s="12" t="s">
        <v>96</v>
      </c>
      <c r="E144" s="21"/>
      <c r="F144" s="20"/>
      <c r="G144" s="20"/>
    </row>
    <row r="145" spans="1:16" ht="24" customHeight="1" x14ac:dyDescent="0.2">
      <c r="A145" s="22"/>
      <c r="B145" s="23" t="s">
        <v>96</v>
      </c>
      <c r="C145" s="23" t="s">
        <v>129</v>
      </c>
      <c r="D145" s="23" t="s">
        <v>130</v>
      </c>
      <c r="E145" s="22"/>
      <c r="F145" s="22"/>
      <c r="G145" s="22"/>
    </row>
    <row r="146" spans="1:16" ht="18" customHeight="1" x14ac:dyDescent="0.2">
      <c r="A146" s="22"/>
      <c r="B146" s="23" t="s">
        <v>131</v>
      </c>
      <c r="C146" s="23" t="s">
        <v>132</v>
      </c>
      <c r="D146" s="23" t="s">
        <v>133</v>
      </c>
      <c r="E146" s="22"/>
      <c r="F146" s="22"/>
      <c r="G146" s="22"/>
    </row>
    <row r="147" spans="1:16" ht="17.100000000000001" customHeight="1" x14ac:dyDescent="0.2">
      <c r="A147" s="22"/>
      <c r="B147" s="4" t="s">
        <v>134</v>
      </c>
      <c r="C147" s="24">
        <v>17.330100000000002</v>
      </c>
      <c r="D147" s="24">
        <v>16.7882</v>
      </c>
      <c r="E147" s="22"/>
      <c r="F147" s="19"/>
      <c r="G147" s="25"/>
    </row>
    <row r="148" spans="1:16" ht="17.100000000000001" customHeight="1" x14ac:dyDescent="0.2">
      <c r="A148" s="22"/>
      <c r="B148" s="4" t="s">
        <v>983</v>
      </c>
      <c r="C148" s="24">
        <v>16.126799999999999</v>
      </c>
      <c r="D148" s="24">
        <v>15.622400000000001</v>
      </c>
      <c r="E148" s="22"/>
      <c r="F148" s="19"/>
      <c r="G148" s="25"/>
    </row>
    <row r="149" spans="1:16" ht="17.100000000000001" customHeight="1" x14ac:dyDescent="0.2">
      <c r="A149" s="22"/>
      <c r="B149" s="4" t="s">
        <v>135</v>
      </c>
      <c r="C149" s="24">
        <v>16.647600000000001</v>
      </c>
      <c r="D149" s="24">
        <v>16.104600000000001</v>
      </c>
      <c r="E149" s="22"/>
      <c r="F149" s="19"/>
      <c r="G149" s="25"/>
    </row>
    <row r="150" spans="1:16" ht="17.100000000000001" customHeight="1" x14ac:dyDescent="0.2">
      <c r="A150" s="22"/>
      <c r="B150" s="4" t="s">
        <v>984</v>
      </c>
      <c r="C150" s="24">
        <v>15.5059</v>
      </c>
      <c r="D150" s="24">
        <v>15.0001</v>
      </c>
      <c r="E150" s="22"/>
      <c r="F150" s="19"/>
      <c r="G150" s="25"/>
    </row>
    <row r="151" spans="1:16" ht="14.1" customHeight="1" x14ac:dyDescent="0.2">
      <c r="A151" s="22"/>
      <c r="B151" s="22"/>
      <c r="C151" s="22"/>
      <c r="D151" s="22"/>
      <c r="E151" s="22"/>
      <c r="F151" s="22"/>
      <c r="G151" s="22"/>
    </row>
    <row r="152" spans="1:16" ht="17.100000000000001" customHeight="1" x14ac:dyDescent="0.2">
      <c r="A152" s="22"/>
      <c r="B152" s="172" t="s">
        <v>985</v>
      </c>
      <c r="C152" s="173"/>
      <c r="D152" s="2" t="s">
        <v>126</v>
      </c>
      <c r="E152" s="22"/>
      <c r="F152" s="22"/>
      <c r="G152" s="22"/>
      <c r="I152" s="82"/>
      <c r="J152" s="82"/>
      <c r="K152" s="82"/>
      <c r="L152" s="82"/>
      <c r="M152" s="82"/>
      <c r="N152" s="82"/>
      <c r="O152" s="82"/>
    </row>
    <row r="153" spans="1:16" ht="18" customHeight="1" x14ac:dyDescent="0.2">
      <c r="A153" s="22"/>
      <c r="B153" s="26" t="s">
        <v>136</v>
      </c>
      <c r="C153" s="26" t="s">
        <v>136</v>
      </c>
      <c r="D153" s="26"/>
      <c r="E153" s="22"/>
      <c r="F153" s="22"/>
      <c r="G153" s="22"/>
    </row>
    <row r="154" spans="1:16" s="82" customFormat="1" x14ac:dyDescent="0.2">
      <c r="B154" s="177" t="s">
        <v>936</v>
      </c>
      <c r="C154" s="177"/>
      <c r="D154" s="177"/>
      <c r="E154" s="177"/>
      <c r="F154" s="177"/>
      <c r="I154"/>
      <c r="J154"/>
      <c r="K154"/>
      <c r="L154"/>
      <c r="M154"/>
      <c r="N154"/>
      <c r="O154"/>
      <c r="P154" s="70"/>
    </row>
    <row r="155" spans="1:16" ht="14.1" customHeight="1" x14ac:dyDescent="0.2">
      <c r="A155" s="22"/>
      <c r="B155" s="19"/>
      <c r="C155" s="19"/>
      <c r="D155" s="22"/>
      <c r="E155" s="22"/>
      <c r="F155" s="22"/>
      <c r="G155" s="22"/>
    </row>
    <row r="156" spans="1:16" ht="29.1" customHeight="1" x14ac:dyDescent="0.2">
      <c r="A156" s="22"/>
      <c r="B156" s="172" t="s">
        <v>137</v>
      </c>
      <c r="C156" s="173"/>
      <c r="D156" s="2" t="s">
        <v>126</v>
      </c>
      <c r="E156" s="22"/>
      <c r="F156" s="22"/>
      <c r="G156" s="22"/>
    </row>
    <row r="157" spans="1:16" ht="29.1" customHeight="1" x14ac:dyDescent="0.2">
      <c r="A157" s="22"/>
      <c r="B157" s="172" t="s">
        <v>138</v>
      </c>
      <c r="C157" s="173"/>
      <c r="D157" s="2" t="s">
        <v>126</v>
      </c>
      <c r="E157" s="22"/>
      <c r="F157" s="22"/>
      <c r="G157" s="22"/>
    </row>
    <row r="158" spans="1:16" ht="17.100000000000001" customHeight="1" x14ac:dyDescent="0.2">
      <c r="A158" s="22"/>
      <c r="B158" s="172" t="s">
        <v>139</v>
      </c>
      <c r="C158" s="173"/>
      <c r="D158" s="27">
        <v>0.84633346182314972</v>
      </c>
      <c r="E158" s="22"/>
      <c r="F158" s="19"/>
      <c r="G158" s="25"/>
    </row>
    <row r="159" spans="1:16" ht="17.100000000000001" customHeight="1" x14ac:dyDescent="0.2">
      <c r="A159" s="22"/>
      <c r="B159" s="172" t="s">
        <v>140</v>
      </c>
      <c r="C159" s="173"/>
      <c r="D159" s="2" t="s">
        <v>126</v>
      </c>
      <c r="E159" s="22"/>
      <c r="F159" s="22"/>
      <c r="G159" s="22"/>
    </row>
  </sheetData>
  <mergeCells count="16">
    <mergeCell ref="B159:C159"/>
    <mergeCell ref="B142:C142"/>
    <mergeCell ref="B143:C143"/>
    <mergeCell ref="B144:C144"/>
    <mergeCell ref="B152:C152"/>
    <mergeCell ref="B156:C156"/>
    <mergeCell ref="B157:C157"/>
    <mergeCell ref="B154:F154"/>
    <mergeCell ref="A1:H1"/>
    <mergeCell ref="A2:H2"/>
    <mergeCell ref="A3:H3"/>
    <mergeCell ref="J2:N2"/>
    <mergeCell ref="B158:C158"/>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Q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7" ht="18" customHeight="1" x14ac:dyDescent="0.2">
      <c r="A1" s="167" t="s">
        <v>0</v>
      </c>
      <c r="B1" s="167"/>
      <c r="C1" s="167"/>
      <c r="D1" s="167"/>
      <c r="E1" s="167"/>
      <c r="F1" s="167"/>
      <c r="G1" s="167"/>
      <c r="H1" s="167"/>
    </row>
    <row r="2" spans="1:17" ht="17.100000000000001" customHeight="1" x14ac:dyDescent="0.2">
      <c r="A2" s="168" t="s">
        <v>712</v>
      </c>
      <c r="B2" s="169"/>
      <c r="C2" s="169"/>
      <c r="D2" s="169"/>
      <c r="E2" s="169"/>
      <c r="F2" s="169"/>
      <c r="G2" s="169"/>
      <c r="H2" s="170"/>
      <c r="J2" s="171" t="s">
        <v>1009</v>
      </c>
      <c r="K2" s="171"/>
      <c r="L2" s="171"/>
      <c r="M2" s="171"/>
      <c r="N2" s="171"/>
    </row>
    <row r="3" spans="1:17" ht="21" customHeight="1" x14ac:dyDescent="0.2">
      <c r="A3" s="167" t="s">
        <v>950</v>
      </c>
      <c r="B3" s="167"/>
      <c r="C3" s="167"/>
      <c r="D3" s="167"/>
      <c r="E3" s="167"/>
      <c r="F3" s="167"/>
      <c r="G3" s="167"/>
      <c r="H3" s="167"/>
    </row>
    <row r="4" spans="1:17" s="103" customFormat="1" ht="30.95" customHeight="1" x14ac:dyDescent="0.2">
      <c r="A4" s="92" t="s">
        <v>2</v>
      </c>
      <c r="B4" s="92" t="s">
        <v>3</v>
      </c>
      <c r="C4" s="92" t="s">
        <v>4</v>
      </c>
      <c r="D4" s="92" t="s">
        <v>5</v>
      </c>
      <c r="E4" s="92" t="s">
        <v>6</v>
      </c>
      <c r="F4" s="92" t="s">
        <v>7</v>
      </c>
      <c r="G4" s="92" t="s">
        <v>8</v>
      </c>
      <c r="H4" s="93" t="s">
        <v>949</v>
      </c>
    </row>
    <row r="5" spans="1:17" x14ac:dyDescent="0.2">
      <c r="A5" s="1"/>
      <c r="B5" s="1"/>
      <c r="C5" s="2" t="s">
        <v>9</v>
      </c>
      <c r="D5" s="1"/>
      <c r="E5" s="1"/>
      <c r="F5" s="1"/>
      <c r="G5" s="1"/>
      <c r="H5" s="40"/>
    </row>
    <row r="6" spans="1:17" ht="25.5" x14ac:dyDescent="0.2">
      <c r="A6" s="1"/>
      <c r="B6" s="1"/>
      <c r="C6" s="2" t="s">
        <v>10</v>
      </c>
      <c r="D6" s="1"/>
      <c r="E6" s="1"/>
      <c r="F6" s="1"/>
      <c r="G6" s="1"/>
      <c r="H6" s="40"/>
    </row>
    <row r="7" spans="1:17" ht="25.5" x14ac:dyDescent="0.2">
      <c r="A7" s="3">
        <v>1</v>
      </c>
      <c r="B7" s="4" t="s">
        <v>426</v>
      </c>
      <c r="C7" s="4" t="s">
        <v>427</v>
      </c>
      <c r="D7" s="4" t="s">
        <v>207</v>
      </c>
      <c r="E7" s="5">
        <v>46600</v>
      </c>
      <c r="F7" s="6">
        <v>1079.9783</v>
      </c>
      <c r="G7" s="7">
        <v>6.8535580999999998E-2</v>
      </c>
      <c r="H7" s="40"/>
    </row>
    <row r="8" spans="1:17" ht="25.5" x14ac:dyDescent="0.2">
      <c r="A8" s="3">
        <v>2</v>
      </c>
      <c r="B8" s="4" t="s">
        <v>414</v>
      </c>
      <c r="C8" s="4" t="s">
        <v>415</v>
      </c>
      <c r="D8" s="4" t="s">
        <v>78</v>
      </c>
      <c r="E8" s="5">
        <v>34750</v>
      </c>
      <c r="F8" s="6">
        <v>928.90224999999998</v>
      </c>
      <c r="G8" s="7">
        <v>5.8948273000000002E-2</v>
      </c>
      <c r="H8" s="40"/>
    </row>
    <row r="9" spans="1:17" x14ac:dyDescent="0.2">
      <c r="A9" s="3">
        <v>3</v>
      </c>
      <c r="B9" s="4" t="s">
        <v>14</v>
      </c>
      <c r="C9" s="4" t="s">
        <v>15</v>
      </c>
      <c r="D9" s="4" t="s">
        <v>16</v>
      </c>
      <c r="E9" s="5">
        <v>35400</v>
      </c>
      <c r="F9" s="6">
        <v>851.51160000000004</v>
      </c>
      <c r="G9" s="7">
        <v>5.4037051000000003E-2</v>
      </c>
      <c r="H9" s="40"/>
    </row>
    <row r="10" spans="1:17" x14ac:dyDescent="0.2">
      <c r="A10" s="3">
        <v>4</v>
      </c>
      <c r="B10" s="4" t="s">
        <v>20</v>
      </c>
      <c r="C10" s="4" t="s">
        <v>21</v>
      </c>
      <c r="D10" s="4" t="s">
        <v>22</v>
      </c>
      <c r="E10" s="5">
        <v>109950</v>
      </c>
      <c r="F10" s="6">
        <v>785.42782499999998</v>
      </c>
      <c r="G10" s="7">
        <v>4.9843365000000001E-2</v>
      </c>
      <c r="H10" s="40"/>
    </row>
    <row r="11" spans="1:17" x14ac:dyDescent="0.2">
      <c r="A11" s="3">
        <v>5</v>
      </c>
      <c r="B11" s="4" t="s">
        <v>428</v>
      </c>
      <c r="C11" s="4" t="s">
        <v>429</v>
      </c>
      <c r="D11" s="4" t="s">
        <v>155</v>
      </c>
      <c r="E11" s="5">
        <v>45000</v>
      </c>
      <c r="F11" s="6">
        <v>693.65250000000003</v>
      </c>
      <c r="G11" s="7">
        <v>4.4019289000000003E-2</v>
      </c>
      <c r="H11" s="40"/>
    </row>
    <row r="12" spans="1:17" x14ac:dyDescent="0.2">
      <c r="A12" s="3">
        <v>6</v>
      </c>
      <c r="B12" s="4" t="s">
        <v>412</v>
      </c>
      <c r="C12" s="4" t="s">
        <v>413</v>
      </c>
      <c r="D12" s="4" t="s">
        <v>155</v>
      </c>
      <c r="E12" s="5">
        <v>30200</v>
      </c>
      <c r="F12" s="6">
        <v>517.22029999999995</v>
      </c>
      <c r="G12" s="7">
        <v>3.2822876000000001E-2</v>
      </c>
      <c r="H12" s="40"/>
    </row>
    <row r="13" spans="1:17" x14ac:dyDescent="0.2">
      <c r="A13" s="3">
        <v>7</v>
      </c>
      <c r="B13" s="4" t="s">
        <v>410</v>
      </c>
      <c r="C13" s="4" t="s">
        <v>411</v>
      </c>
      <c r="D13" s="4" t="s">
        <v>22</v>
      </c>
      <c r="E13" s="5">
        <v>30000</v>
      </c>
      <c r="F13" s="6">
        <v>448.065</v>
      </c>
      <c r="G13" s="7">
        <v>2.8434271000000001E-2</v>
      </c>
      <c r="H13" s="40"/>
    </row>
    <row r="14" spans="1:17" ht="25.5" x14ac:dyDescent="0.2">
      <c r="A14" s="3">
        <v>8</v>
      </c>
      <c r="B14" s="4" t="s">
        <v>437</v>
      </c>
      <c r="C14" s="4" t="s">
        <v>438</v>
      </c>
      <c r="D14" s="4" t="s">
        <v>207</v>
      </c>
      <c r="E14" s="5">
        <v>194000</v>
      </c>
      <c r="F14" s="6">
        <v>429.03100000000001</v>
      </c>
      <c r="G14" s="7">
        <v>2.722637E-2</v>
      </c>
      <c r="H14" s="40"/>
    </row>
    <row r="15" spans="1:17" s="80" customFormat="1" ht="15" x14ac:dyDescent="0.2">
      <c r="A15" s="3">
        <v>9</v>
      </c>
      <c r="B15" s="4" t="s">
        <v>926</v>
      </c>
      <c r="C15" s="4" t="s">
        <v>927</v>
      </c>
      <c r="D15" s="4" t="s">
        <v>53</v>
      </c>
      <c r="E15" s="5">
        <v>110790</v>
      </c>
      <c r="F15" s="78">
        <v>399.06558000000001</v>
      </c>
      <c r="G15" s="79">
        <v>2.5324760000000002E-2</v>
      </c>
      <c r="H15" s="40"/>
      <c r="I15"/>
      <c r="J15" s="160" t="s">
        <v>1026</v>
      </c>
      <c r="K15"/>
      <c r="L15"/>
      <c r="M15"/>
      <c r="N15"/>
      <c r="O15"/>
      <c r="P15"/>
      <c r="Q15"/>
    </row>
    <row r="16" spans="1:17" ht="25.5" x14ac:dyDescent="0.2">
      <c r="A16" s="3">
        <v>10</v>
      </c>
      <c r="B16" s="4" t="s">
        <v>485</v>
      </c>
      <c r="C16" s="4" t="s">
        <v>486</v>
      </c>
      <c r="D16" s="4" t="s">
        <v>207</v>
      </c>
      <c r="E16" s="5">
        <v>44000</v>
      </c>
      <c r="F16" s="6">
        <v>388.49799999999999</v>
      </c>
      <c r="G16" s="7">
        <v>2.4654140000000001E-2</v>
      </c>
      <c r="H16" s="40"/>
      <c r="I16" s="80"/>
      <c r="J16" s="80"/>
      <c r="K16" s="80"/>
      <c r="L16" s="80"/>
      <c r="M16" s="80"/>
      <c r="N16" s="80"/>
      <c r="O16" s="80"/>
    </row>
    <row r="17" spans="1:15" x14ac:dyDescent="0.2">
      <c r="A17" s="3">
        <v>11</v>
      </c>
      <c r="B17" s="4" t="s">
        <v>17</v>
      </c>
      <c r="C17" s="4" t="s">
        <v>18</v>
      </c>
      <c r="D17" s="4" t="s">
        <v>19</v>
      </c>
      <c r="E17" s="5">
        <v>53213</v>
      </c>
      <c r="F17" s="6">
        <v>387.52367249999998</v>
      </c>
      <c r="G17" s="7">
        <v>2.4592309E-2</v>
      </c>
      <c r="H17" s="40"/>
    </row>
    <row r="18" spans="1:15" x14ac:dyDescent="0.2">
      <c r="A18" s="3">
        <v>12</v>
      </c>
      <c r="B18" s="4" t="s">
        <v>326</v>
      </c>
      <c r="C18" s="4" t="s">
        <v>327</v>
      </c>
      <c r="D18" s="4" t="s">
        <v>22</v>
      </c>
      <c r="E18" s="5">
        <v>56300</v>
      </c>
      <c r="F18" s="6">
        <v>369.13094999999998</v>
      </c>
      <c r="G18" s="7">
        <v>2.3425103999999999E-2</v>
      </c>
      <c r="H18" s="40"/>
    </row>
    <row r="19" spans="1:15" x14ac:dyDescent="0.2">
      <c r="A19" s="3">
        <v>13</v>
      </c>
      <c r="B19" s="4" t="s">
        <v>11</v>
      </c>
      <c r="C19" s="4" t="s">
        <v>12</v>
      </c>
      <c r="D19" s="4" t="s">
        <v>13</v>
      </c>
      <c r="E19" s="5">
        <v>20550</v>
      </c>
      <c r="F19" s="6">
        <v>362.65612499999997</v>
      </c>
      <c r="G19" s="7">
        <v>2.3014211E-2</v>
      </c>
      <c r="H19" s="40"/>
    </row>
    <row r="20" spans="1:15" ht="25.5" x14ac:dyDescent="0.2">
      <c r="A20" s="3">
        <v>14</v>
      </c>
      <c r="B20" s="4" t="s">
        <v>404</v>
      </c>
      <c r="C20" s="4" t="s">
        <v>405</v>
      </c>
      <c r="D20" s="4" t="s">
        <v>207</v>
      </c>
      <c r="E20" s="5">
        <v>41725</v>
      </c>
      <c r="F20" s="6">
        <v>324.87085000000002</v>
      </c>
      <c r="G20" s="7">
        <v>2.0616352000000001E-2</v>
      </c>
      <c r="H20" s="40"/>
    </row>
    <row r="21" spans="1:15" x14ac:dyDescent="0.2">
      <c r="A21" s="3">
        <v>15</v>
      </c>
      <c r="B21" s="4" t="s">
        <v>355</v>
      </c>
      <c r="C21" s="4" t="s">
        <v>356</v>
      </c>
      <c r="D21" s="4" t="s">
        <v>65</v>
      </c>
      <c r="E21" s="5">
        <v>84500</v>
      </c>
      <c r="F21" s="6">
        <v>290.29975000000002</v>
      </c>
      <c r="G21" s="7">
        <v>1.8422464999999999E-2</v>
      </c>
      <c r="H21" s="40"/>
    </row>
    <row r="22" spans="1:15" x14ac:dyDescent="0.2">
      <c r="A22" s="3">
        <v>16</v>
      </c>
      <c r="B22" s="4" t="s">
        <v>416</v>
      </c>
      <c r="C22" s="4" t="s">
        <v>417</v>
      </c>
      <c r="D22" s="4" t="s">
        <v>22</v>
      </c>
      <c r="E22" s="5">
        <v>61000</v>
      </c>
      <c r="F22" s="6">
        <v>280.93549999999999</v>
      </c>
      <c r="G22" s="7">
        <v>1.7828208000000002E-2</v>
      </c>
      <c r="H22" s="40"/>
    </row>
    <row r="23" spans="1:15" x14ac:dyDescent="0.2">
      <c r="A23" s="3">
        <v>17</v>
      </c>
      <c r="B23" s="4" t="s">
        <v>420</v>
      </c>
      <c r="C23" s="4" t="s">
        <v>421</v>
      </c>
      <c r="D23" s="4" t="s">
        <v>155</v>
      </c>
      <c r="E23" s="5">
        <v>6339</v>
      </c>
      <c r="F23" s="6">
        <v>223.7128185</v>
      </c>
      <c r="G23" s="7">
        <v>1.4196848E-2</v>
      </c>
      <c r="H23" s="40"/>
    </row>
    <row r="24" spans="1:15" s="80" customFormat="1" ht="25.5" x14ac:dyDescent="0.2">
      <c r="A24" s="3">
        <v>18</v>
      </c>
      <c r="B24" s="4" t="s">
        <v>928</v>
      </c>
      <c r="C24" s="4" t="s">
        <v>929</v>
      </c>
      <c r="D24" s="4" t="s">
        <v>32</v>
      </c>
      <c r="E24" s="5">
        <v>150000</v>
      </c>
      <c r="F24" s="6">
        <v>180.24</v>
      </c>
      <c r="G24" s="7">
        <v>1.143806E-2</v>
      </c>
      <c r="H24" s="40"/>
      <c r="I24"/>
      <c r="J24"/>
      <c r="K24"/>
      <c r="L24"/>
      <c r="M24"/>
      <c r="N24"/>
      <c r="O24"/>
    </row>
    <row r="25" spans="1:15" x14ac:dyDescent="0.2">
      <c r="A25" s="3">
        <v>19</v>
      </c>
      <c r="B25" s="4" t="s">
        <v>384</v>
      </c>
      <c r="C25" s="4" t="s">
        <v>385</v>
      </c>
      <c r="D25" s="4" t="s">
        <v>982</v>
      </c>
      <c r="E25" s="5">
        <v>1000</v>
      </c>
      <c r="F25" s="6">
        <v>172.37350000000001</v>
      </c>
      <c r="G25" s="7">
        <v>1.0938847999999999E-2</v>
      </c>
      <c r="H25" s="40"/>
    </row>
    <row r="26" spans="1:15" x14ac:dyDescent="0.2">
      <c r="A26" s="3">
        <v>20</v>
      </c>
      <c r="B26" s="4" t="s">
        <v>640</v>
      </c>
      <c r="C26" s="4" t="s">
        <v>641</v>
      </c>
      <c r="D26" s="4" t="s">
        <v>204</v>
      </c>
      <c r="E26" s="5">
        <v>17850</v>
      </c>
      <c r="F26" s="6">
        <v>157.86539999999999</v>
      </c>
      <c r="G26" s="7">
        <v>1.0018160999999999E-2</v>
      </c>
      <c r="H26" s="40"/>
    </row>
    <row r="27" spans="1:15" x14ac:dyDescent="0.2">
      <c r="A27" s="3">
        <v>21</v>
      </c>
      <c r="B27" s="4" t="s">
        <v>382</v>
      </c>
      <c r="C27" s="4" t="s">
        <v>383</v>
      </c>
      <c r="D27" s="4" t="s">
        <v>78</v>
      </c>
      <c r="E27" s="5">
        <v>40000</v>
      </c>
      <c r="F27" s="6">
        <v>148.84</v>
      </c>
      <c r="G27" s="7">
        <v>9.4454080000000006E-3</v>
      </c>
      <c r="H27" s="40"/>
    </row>
    <row r="28" spans="1:15" x14ac:dyDescent="0.2">
      <c r="A28" s="3">
        <v>22</v>
      </c>
      <c r="B28" s="4" t="s">
        <v>441</v>
      </c>
      <c r="C28" s="4" t="s">
        <v>442</v>
      </c>
      <c r="D28" s="4" t="s">
        <v>22</v>
      </c>
      <c r="E28" s="5">
        <v>7100</v>
      </c>
      <c r="F28" s="6">
        <v>139.29490000000001</v>
      </c>
      <c r="G28" s="7">
        <v>8.839675E-3</v>
      </c>
      <c r="H28" s="40"/>
    </row>
    <row r="29" spans="1:15" x14ac:dyDescent="0.2">
      <c r="A29" s="3">
        <v>23</v>
      </c>
      <c r="B29" s="4" t="s">
        <v>330</v>
      </c>
      <c r="C29" s="4" t="s">
        <v>331</v>
      </c>
      <c r="D29" s="4" t="s">
        <v>22</v>
      </c>
      <c r="E29" s="5">
        <v>150000</v>
      </c>
      <c r="F29" s="6">
        <v>130.19999999999999</v>
      </c>
      <c r="G29" s="7">
        <v>8.2625110000000002E-3</v>
      </c>
      <c r="H29" s="40"/>
    </row>
    <row r="30" spans="1:15" x14ac:dyDescent="0.2">
      <c r="A30" s="3">
        <v>24</v>
      </c>
      <c r="B30" s="4" t="s">
        <v>430</v>
      </c>
      <c r="C30" s="4" t="s">
        <v>431</v>
      </c>
      <c r="D30" s="4" t="s">
        <v>432</v>
      </c>
      <c r="E30" s="5">
        <v>30750</v>
      </c>
      <c r="F30" s="6">
        <v>126.920625</v>
      </c>
      <c r="G30" s="7">
        <v>8.0544009999999992E-3</v>
      </c>
      <c r="H30" s="40"/>
    </row>
    <row r="31" spans="1:15" ht="25.5" x14ac:dyDescent="0.2">
      <c r="A31" s="3">
        <v>25</v>
      </c>
      <c r="B31" s="4" t="s">
        <v>23</v>
      </c>
      <c r="C31" s="4" t="s">
        <v>24</v>
      </c>
      <c r="D31" s="4" t="s">
        <v>974</v>
      </c>
      <c r="E31" s="5">
        <v>1700</v>
      </c>
      <c r="F31" s="6">
        <v>126.37375</v>
      </c>
      <c r="G31" s="7">
        <v>8.0196969999999992E-3</v>
      </c>
      <c r="H31" s="40"/>
      <c r="I31" s="80"/>
      <c r="J31" s="80"/>
      <c r="K31" s="80"/>
      <c r="L31" s="80"/>
      <c r="M31" s="80"/>
      <c r="N31" s="80"/>
      <c r="O31" s="80"/>
    </row>
    <row r="32" spans="1:15" x14ac:dyDescent="0.2">
      <c r="A32" s="3">
        <v>26</v>
      </c>
      <c r="B32" s="4" t="s">
        <v>589</v>
      </c>
      <c r="C32" s="4" t="s">
        <v>590</v>
      </c>
      <c r="D32" s="4" t="s">
        <v>982</v>
      </c>
      <c r="E32" s="5">
        <v>16100</v>
      </c>
      <c r="F32" s="6">
        <v>109.6088</v>
      </c>
      <c r="G32" s="7">
        <v>6.9557910000000002E-3</v>
      </c>
      <c r="H32" s="40"/>
    </row>
    <row r="33" spans="1:8" x14ac:dyDescent="0.2">
      <c r="A33" s="3">
        <v>27</v>
      </c>
      <c r="B33" s="4" t="s">
        <v>574</v>
      </c>
      <c r="C33" s="4" t="s">
        <v>575</v>
      </c>
      <c r="D33" s="4" t="s">
        <v>83</v>
      </c>
      <c r="E33" s="5">
        <v>3250</v>
      </c>
      <c r="F33" s="6">
        <v>105.30974999999999</v>
      </c>
      <c r="G33" s="7">
        <v>6.6829719999999997E-3</v>
      </c>
      <c r="H33" s="40"/>
    </row>
    <row r="34" spans="1:8" x14ac:dyDescent="0.2">
      <c r="A34" s="3">
        <v>28</v>
      </c>
      <c r="B34" s="4" t="s">
        <v>443</v>
      </c>
      <c r="C34" s="4" t="s">
        <v>444</v>
      </c>
      <c r="D34" s="4" t="s">
        <v>65</v>
      </c>
      <c r="E34" s="5">
        <v>8500</v>
      </c>
      <c r="F34" s="6">
        <v>91.052000000000007</v>
      </c>
      <c r="G34" s="7">
        <v>5.7781730000000002E-3</v>
      </c>
      <c r="H34" s="40"/>
    </row>
    <row r="35" spans="1:8" x14ac:dyDescent="0.2">
      <c r="A35" s="3">
        <v>29</v>
      </c>
      <c r="B35" s="4" t="s">
        <v>435</v>
      </c>
      <c r="C35" s="4" t="s">
        <v>436</v>
      </c>
      <c r="D35" s="4" t="s">
        <v>83</v>
      </c>
      <c r="E35" s="5">
        <v>10500</v>
      </c>
      <c r="F35" s="6">
        <v>87.727500000000006</v>
      </c>
      <c r="G35" s="7">
        <v>5.5671999999999996E-3</v>
      </c>
      <c r="H35" s="40"/>
    </row>
    <row r="36" spans="1:8" x14ac:dyDescent="0.2">
      <c r="A36" s="3">
        <v>30</v>
      </c>
      <c r="B36" s="4" t="s">
        <v>316</v>
      </c>
      <c r="C36" s="4" t="s">
        <v>317</v>
      </c>
      <c r="D36" s="4" t="s">
        <v>221</v>
      </c>
      <c r="E36" s="5">
        <v>225</v>
      </c>
      <c r="F36" s="6">
        <v>86.379525000000001</v>
      </c>
      <c r="G36" s="7">
        <v>5.481657E-3</v>
      </c>
      <c r="H36" s="40"/>
    </row>
    <row r="37" spans="1:8" x14ac:dyDescent="0.2">
      <c r="A37" s="3">
        <v>31</v>
      </c>
      <c r="B37" s="4" t="s">
        <v>39</v>
      </c>
      <c r="C37" s="4" t="s">
        <v>40</v>
      </c>
      <c r="D37" s="4" t="s">
        <v>16</v>
      </c>
      <c r="E37" s="5">
        <v>22000</v>
      </c>
      <c r="F37" s="6">
        <v>81.400000000000006</v>
      </c>
      <c r="G37" s="7">
        <v>5.1656560000000002E-3</v>
      </c>
      <c r="H37" s="40"/>
    </row>
    <row r="38" spans="1:8" x14ac:dyDescent="0.2">
      <c r="A38" s="3">
        <v>32</v>
      </c>
      <c r="B38" s="4" t="s">
        <v>380</v>
      </c>
      <c r="C38" s="4" t="s">
        <v>381</v>
      </c>
      <c r="D38" s="4" t="s">
        <v>155</v>
      </c>
      <c r="E38" s="5">
        <v>7000</v>
      </c>
      <c r="F38" s="6">
        <v>79.705500000000001</v>
      </c>
      <c r="G38" s="7">
        <v>5.0581230000000003E-3</v>
      </c>
      <c r="H38" s="40"/>
    </row>
    <row r="39" spans="1:8" x14ac:dyDescent="0.2">
      <c r="A39" s="3">
        <v>33</v>
      </c>
      <c r="B39" s="4" t="s">
        <v>439</v>
      </c>
      <c r="C39" s="4" t="s">
        <v>440</v>
      </c>
      <c r="D39" s="4" t="s">
        <v>204</v>
      </c>
      <c r="E39" s="5">
        <v>1600</v>
      </c>
      <c r="F39" s="6">
        <v>78.0608</v>
      </c>
      <c r="G39" s="7">
        <v>4.9537499999999998E-3</v>
      </c>
      <c r="H39" s="40"/>
    </row>
    <row r="40" spans="1:8" x14ac:dyDescent="0.2">
      <c r="A40" s="3">
        <v>34</v>
      </c>
      <c r="B40" s="4" t="s">
        <v>424</v>
      </c>
      <c r="C40" s="4" t="s">
        <v>425</v>
      </c>
      <c r="D40" s="4" t="s">
        <v>204</v>
      </c>
      <c r="E40" s="5">
        <v>10000</v>
      </c>
      <c r="F40" s="6">
        <v>75.36</v>
      </c>
      <c r="G40" s="7">
        <v>4.7823570000000001E-3</v>
      </c>
      <c r="H40" s="40"/>
    </row>
    <row r="41" spans="1:8" x14ac:dyDescent="0.2">
      <c r="A41" s="3">
        <v>35</v>
      </c>
      <c r="B41" s="4" t="s">
        <v>422</v>
      </c>
      <c r="C41" s="4" t="s">
        <v>423</v>
      </c>
      <c r="D41" s="4" t="s">
        <v>155</v>
      </c>
      <c r="E41" s="5">
        <v>11000</v>
      </c>
      <c r="F41" s="6">
        <v>70.097499999999997</v>
      </c>
      <c r="G41" s="7">
        <v>4.4483980000000001E-3</v>
      </c>
      <c r="H41" s="40"/>
    </row>
    <row r="42" spans="1:8" x14ac:dyDescent="0.2">
      <c r="A42" s="3">
        <v>36</v>
      </c>
      <c r="B42" s="4" t="s">
        <v>418</v>
      </c>
      <c r="C42" s="4" t="s">
        <v>419</v>
      </c>
      <c r="D42" s="4" t="s">
        <v>982</v>
      </c>
      <c r="E42" s="5">
        <v>6000</v>
      </c>
      <c r="F42" s="6">
        <v>69.632999999999996</v>
      </c>
      <c r="G42" s="7">
        <v>4.4189199999999998E-3</v>
      </c>
      <c r="H42" s="40"/>
    </row>
    <row r="43" spans="1:8" ht="25.5" x14ac:dyDescent="0.2">
      <c r="A43" s="3">
        <v>37</v>
      </c>
      <c r="B43" s="4" t="s">
        <v>28</v>
      </c>
      <c r="C43" s="4" t="s">
        <v>29</v>
      </c>
      <c r="D43" s="4" t="s">
        <v>974</v>
      </c>
      <c r="E43" s="5">
        <v>7000</v>
      </c>
      <c r="F43" s="6">
        <v>65.873500000000007</v>
      </c>
      <c r="G43" s="7">
        <v>4.1803420000000001E-3</v>
      </c>
      <c r="H43" s="40"/>
    </row>
    <row r="44" spans="1:8" x14ac:dyDescent="0.2">
      <c r="A44" s="3">
        <v>38</v>
      </c>
      <c r="B44" s="4" t="s">
        <v>310</v>
      </c>
      <c r="C44" s="4" t="s">
        <v>311</v>
      </c>
      <c r="D44" s="4" t="s">
        <v>982</v>
      </c>
      <c r="E44" s="5">
        <v>7000</v>
      </c>
      <c r="F44" s="6">
        <v>65.817499999999995</v>
      </c>
      <c r="G44" s="7">
        <v>4.1767879999999999E-3</v>
      </c>
      <c r="H44" s="40"/>
    </row>
    <row r="45" spans="1:8" x14ac:dyDescent="0.2">
      <c r="A45" s="3">
        <v>39</v>
      </c>
      <c r="B45" s="4" t="s">
        <v>337</v>
      </c>
      <c r="C45" s="4" t="s">
        <v>338</v>
      </c>
      <c r="D45" s="4" t="s">
        <v>78</v>
      </c>
      <c r="E45" s="5">
        <v>4500</v>
      </c>
      <c r="F45" s="6">
        <v>63.301499999999997</v>
      </c>
      <c r="G45" s="7">
        <v>4.0171219999999997E-3</v>
      </c>
      <c r="H45" s="40"/>
    </row>
    <row r="46" spans="1:8" x14ac:dyDescent="0.2">
      <c r="A46" s="3">
        <v>40</v>
      </c>
      <c r="B46" s="4" t="s">
        <v>185</v>
      </c>
      <c r="C46" s="4" t="s">
        <v>186</v>
      </c>
      <c r="D46" s="4" t="s">
        <v>16</v>
      </c>
      <c r="E46" s="5">
        <v>20000</v>
      </c>
      <c r="F46" s="6">
        <v>59.02</v>
      </c>
      <c r="G46" s="7">
        <v>3.7454179999999999E-3</v>
      </c>
      <c r="H46" s="40"/>
    </row>
    <row r="47" spans="1:8" x14ac:dyDescent="0.2">
      <c r="A47" s="3">
        <v>41</v>
      </c>
      <c r="B47" s="4" t="s">
        <v>501</v>
      </c>
      <c r="C47" s="4" t="s">
        <v>502</v>
      </c>
      <c r="D47" s="4" t="s">
        <v>83</v>
      </c>
      <c r="E47" s="5">
        <v>11300</v>
      </c>
      <c r="F47" s="6">
        <v>51.821800000000003</v>
      </c>
      <c r="G47" s="7">
        <v>3.288619E-3</v>
      </c>
      <c r="H47" s="40"/>
    </row>
    <row r="48" spans="1:8" x14ac:dyDescent="0.2">
      <c r="A48" s="3">
        <v>42</v>
      </c>
      <c r="B48" s="4" t="s">
        <v>679</v>
      </c>
      <c r="C48" s="4" t="s">
        <v>680</v>
      </c>
      <c r="D48" s="4" t="s">
        <v>83</v>
      </c>
      <c r="E48" s="5">
        <v>2100</v>
      </c>
      <c r="F48" s="6">
        <v>51.435299999999998</v>
      </c>
      <c r="G48" s="7">
        <v>3.2640920000000001E-3</v>
      </c>
      <c r="H48" s="40"/>
    </row>
    <row r="49" spans="1:8" x14ac:dyDescent="0.2">
      <c r="A49" s="3">
        <v>43</v>
      </c>
      <c r="B49" s="4" t="s">
        <v>400</v>
      </c>
      <c r="C49" s="4" t="s">
        <v>401</v>
      </c>
      <c r="D49" s="4" t="s">
        <v>334</v>
      </c>
      <c r="E49" s="5">
        <v>30000</v>
      </c>
      <c r="F49" s="6">
        <v>45.765000000000001</v>
      </c>
      <c r="G49" s="7">
        <v>2.9042540000000002E-3</v>
      </c>
      <c r="H49" s="40"/>
    </row>
    <row r="50" spans="1:8" x14ac:dyDescent="0.2">
      <c r="A50" s="3">
        <v>44</v>
      </c>
      <c r="B50" s="4" t="s">
        <v>351</v>
      </c>
      <c r="C50" s="4" t="s">
        <v>352</v>
      </c>
      <c r="D50" s="4" t="s">
        <v>22</v>
      </c>
      <c r="E50" s="5">
        <v>50000</v>
      </c>
      <c r="F50" s="6">
        <v>42.875</v>
      </c>
      <c r="G50" s="7">
        <v>2.720854E-3</v>
      </c>
      <c r="H50" s="40"/>
    </row>
    <row r="51" spans="1:8" x14ac:dyDescent="0.2">
      <c r="A51" s="3">
        <v>45</v>
      </c>
      <c r="B51" s="4" t="s">
        <v>68</v>
      </c>
      <c r="C51" s="4" t="s">
        <v>69</v>
      </c>
      <c r="D51" s="4" t="s">
        <v>70</v>
      </c>
      <c r="E51" s="5">
        <v>33000</v>
      </c>
      <c r="F51" s="6">
        <v>42.834000000000003</v>
      </c>
      <c r="G51" s="7">
        <v>2.718252E-3</v>
      </c>
      <c r="H51" s="40"/>
    </row>
    <row r="52" spans="1:8" x14ac:dyDescent="0.2">
      <c r="A52" s="3">
        <v>46</v>
      </c>
      <c r="B52" s="4" t="s">
        <v>347</v>
      </c>
      <c r="C52" s="4" t="s">
        <v>348</v>
      </c>
      <c r="D52" s="4" t="s">
        <v>204</v>
      </c>
      <c r="E52" s="5">
        <v>1000</v>
      </c>
      <c r="F52" s="6">
        <v>35.853499999999997</v>
      </c>
      <c r="G52" s="7">
        <v>2.275268E-3</v>
      </c>
      <c r="H52" s="40"/>
    </row>
    <row r="53" spans="1:8" ht="25.5" x14ac:dyDescent="0.2">
      <c r="A53" s="3">
        <v>47</v>
      </c>
      <c r="B53" s="4" t="s">
        <v>568</v>
      </c>
      <c r="C53" s="4" t="s">
        <v>569</v>
      </c>
      <c r="D53" s="4" t="s">
        <v>207</v>
      </c>
      <c r="E53" s="5">
        <v>175</v>
      </c>
      <c r="F53" s="6">
        <v>33.516962499999998</v>
      </c>
      <c r="G53" s="7">
        <v>2.126991E-3</v>
      </c>
      <c r="H53" s="40"/>
    </row>
    <row r="54" spans="1:8" x14ac:dyDescent="0.2">
      <c r="A54" s="3">
        <v>48</v>
      </c>
      <c r="B54" s="4" t="s">
        <v>363</v>
      </c>
      <c r="C54" s="4" t="s">
        <v>364</v>
      </c>
      <c r="D54" s="4" t="s">
        <v>48</v>
      </c>
      <c r="E54" s="5">
        <v>5000</v>
      </c>
      <c r="F54" s="6">
        <v>31</v>
      </c>
      <c r="G54" s="7">
        <v>1.9672650000000002E-3</v>
      </c>
      <c r="H54" s="40"/>
    </row>
    <row r="55" spans="1:8" ht="25.5" x14ac:dyDescent="0.2">
      <c r="A55" s="3">
        <v>49</v>
      </c>
      <c r="B55" s="4" t="s">
        <v>663</v>
      </c>
      <c r="C55" s="4" t="s">
        <v>664</v>
      </c>
      <c r="D55" s="4" t="s">
        <v>982</v>
      </c>
      <c r="E55" s="5">
        <v>4600</v>
      </c>
      <c r="F55" s="6">
        <v>27.2803</v>
      </c>
      <c r="G55" s="7">
        <v>1.731212E-3</v>
      </c>
      <c r="H55" s="40"/>
    </row>
    <row r="56" spans="1:8" ht="25.5" x14ac:dyDescent="0.2">
      <c r="A56" s="3">
        <v>50</v>
      </c>
      <c r="B56" s="4" t="s">
        <v>445</v>
      </c>
      <c r="C56" s="4" t="s">
        <v>930</v>
      </c>
      <c r="D56" s="4" t="s">
        <v>19</v>
      </c>
      <c r="E56" s="5">
        <v>4205</v>
      </c>
      <c r="F56" s="6">
        <v>16.433140000000002</v>
      </c>
      <c r="G56" s="7">
        <v>1.042849E-3</v>
      </c>
      <c r="H56" s="40"/>
    </row>
    <row r="57" spans="1:8" x14ac:dyDescent="0.2">
      <c r="A57" s="1"/>
      <c r="B57" s="1"/>
      <c r="C57" s="2" t="s">
        <v>95</v>
      </c>
      <c r="D57" s="1"/>
      <c r="E57" s="1" t="s">
        <v>96</v>
      </c>
      <c r="F57" s="9">
        <v>11509.752073499998</v>
      </c>
      <c r="G57" s="10">
        <v>0.73041055699999979</v>
      </c>
      <c r="H57" s="40"/>
    </row>
    <row r="58" spans="1:8" x14ac:dyDescent="0.2">
      <c r="A58" s="1"/>
      <c r="B58" s="1"/>
      <c r="C58" s="11"/>
      <c r="D58" s="1"/>
      <c r="E58" s="1"/>
      <c r="F58" s="12"/>
      <c r="G58" s="12"/>
      <c r="H58" s="40"/>
    </row>
    <row r="59" spans="1:8" x14ac:dyDescent="0.2">
      <c r="A59" s="1"/>
      <c r="B59" s="1"/>
      <c r="C59" s="2" t="s">
        <v>97</v>
      </c>
      <c r="D59" s="1"/>
      <c r="E59" s="1"/>
      <c r="F59" s="1"/>
      <c r="G59" s="1"/>
      <c r="H59" s="40"/>
    </row>
    <row r="60" spans="1:8" x14ac:dyDescent="0.2">
      <c r="A60" s="1"/>
      <c r="B60" s="1"/>
      <c r="C60" s="2" t="s">
        <v>95</v>
      </c>
      <c r="D60" s="1"/>
      <c r="E60" s="1" t="s">
        <v>96</v>
      </c>
      <c r="F60" s="13">
        <v>0</v>
      </c>
      <c r="G60" s="14">
        <v>0</v>
      </c>
      <c r="H60" s="40"/>
    </row>
    <row r="61" spans="1:8" x14ac:dyDescent="0.2">
      <c r="A61" s="1"/>
      <c r="B61" s="1"/>
      <c r="C61" s="11"/>
      <c r="D61" s="1"/>
      <c r="E61" s="1"/>
      <c r="F61" s="12"/>
      <c r="G61" s="12"/>
      <c r="H61" s="40"/>
    </row>
    <row r="62" spans="1:8" x14ac:dyDescent="0.2">
      <c r="A62" s="1"/>
      <c r="B62" s="1"/>
      <c r="C62" s="2" t="s">
        <v>98</v>
      </c>
      <c r="D62" s="1"/>
      <c r="E62" s="1"/>
      <c r="F62" s="1"/>
      <c r="G62" s="1"/>
      <c r="H62" s="40"/>
    </row>
    <row r="63" spans="1:8" x14ac:dyDescent="0.2">
      <c r="A63" s="1"/>
      <c r="B63" s="1"/>
      <c r="C63" s="2" t="s">
        <v>95</v>
      </c>
      <c r="D63" s="1"/>
      <c r="E63" s="1" t="s">
        <v>96</v>
      </c>
      <c r="F63" s="13">
        <v>0</v>
      </c>
      <c r="G63" s="14">
        <v>0</v>
      </c>
      <c r="H63" s="40"/>
    </row>
    <row r="64" spans="1:8" x14ac:dyDescent="0.2">
      <c r="A64" s="1"/>
      <c r="B64" s="1"/>
      <c r="C64" s="11"/>
      <c r="D64" s="1"/>
      <c r="E64" s="1"/>
      <c r="F64" s="12"/>
      <c r="G64" s="12"/>
      <c r="H64" s="40"/>
    </row>
    <row r="65" spans="1:8" x14ac:dyDescent="0.2">
      <c r="A65" s="1"/>
      <c r="B65" s="1"/>
      <c r="C65" s="2" t="s">
        <v>99</v>
      </c>
      <c r="D65" s="1"/>
      <c r="E65" s="1"/>
      <c r="F65" s="1"/>
      <c r="G65" s="1"/>
      <c r="H65" s="40"/>
    </row>
    <row r="66" spans="1:8" x14ac:dyDescent="0.2">
      <c r="A66" s="1"/>
      <c r="B66" s="1"/>
      <c r="C66" s="2" t="s">
        <v>95</v>
      </c>
      <c r="D66" s="1"/>
      <c r="E66" s="1" t="s">
        <v>96</v>
      </c>
      <c r="F66" s="9">
        <v>0</v>
      </c>
      <c r="G66" s="10">
        <v>0</v>
      </c>
      <c r="H66" s="40"/>
    </row>
    <row r="67" spans="1:8" x14ac:dyDescent="0.2">
      <c r="A67" s="1"/>
      <c r="B67" s="1"/>
      <c r="C67" s="11"/>
      <c r="D67" s="1"/>
      <c r="E67" s="1"/>
      <c r="F67" s="12"/>
      <c r="G67" s="12"/>
      <c r="H67" s="40"/>
    </row>
    <row r="68" spans="1:8" x14ac:dyDescent="0.2">
      <c r="A68" s="1"/>
      <c r="B68" s="1"/>
      <c r="C68" s="2" t="s">
        <v>100</v>
      </c>
      <c r="D68" s="1"/>
      <c r="E68" s="1"/>
      <c r="F68" s="12"/>
      <c r="G68" s="12"/>
      <c r="H68" s="40"/>
    </row>
    <row r="69" spans="1:8" x14ac:dyDescent="0.2">
      <c r="A69" s="1"/>
      <c r="B69" s="1"/>
      <c r="C69" s="2" t="s">
        <v>95</v>
      </c>
      <c r="D69" s="1"/>
      <c r="E69" s="1" t="s">
        <v>96</v>
      </c>
      <c r="F69" s="13">
        <v>0</v>
      </c>
      <c r="G69" s="14">
        <v>0</v>
      </c>
      <c r="H69" s="40"/>
    </row>
    <row r="70" spans="1:8" x14ac:dyDescent="0.2">
      <c r="A70" s="1"/>
      <c r="B70" s="1"/>
      <c r="C70" s="11"/>
      <c r="D70" s="1"/>
      <c r="E70" s="1"/>
      <c r="F70" s="12"/>
      <c r="G70" s="12"/>
      <c r="H70" s="40"/>
    </row>
    <row r="71" spans="1:8" x14ac:dyDescent="0.2">
      <c r="A71" s="1"/>
      <c r="B71" s="1"/>
      <c r="C71" s="2" t="s">
        <v>101</v>
      </c>
      <c r="D71" s="1"/>
      <c r="E71" s="1"/>
      <c r="F71" s="12"/>
      <c r="G71" s="12"/>
      <c r="H71" s="40"/>
    </row>
    <row r="72" spans="1:8" x14ac:dyDescent="0.2">
      <c r="A72" s="3">
        <v>1</v>
      </c>
      <c r="B72" s="4"/>
      <c r="C72" s="4" t="s">
        <v>922</v>
      </c>
      <c r="D72" s="4" t="s">
        <v>697</v>
      </c>
      <c r="E72" s="5">
        <v>-1600</v>
      </c>
      <c r="F72" s="6">
        <v>-31.480799999999999</v>
      </c>
      <c r="G72" s="41">
        <v>-1.9977800000000002E-3</v>
      </c>
      <c r="H72" s="40"/>
    </row>
    <row r="73" spans="1:8" x14ac:dyDescent="0.2">
      <c r="A73" s="3">
        <v>2</v>
      </c>
      <c r="B73" s="4"/>
      <c r="C73" s="4" t="s">
        <v>923</v>
      </c>
      <c r="D73" s="4" t="s">
        <v>697</v>
      </c>
      <c r="E73" s="5">
        <v>-175</v>
      </c>
      <c r="F73" s="6">
        <v>-33.646374999999999</v>
      </c>
      <c r="G73" s="41">
        <v>-2.1351999999999999E-3</v>
      </c>
      <c r="H73" s="40"/>
    </row>
    <row r="74" spans="1:8" x14ac:dyDescent="0.2">
      <c r="A74" s="3">
        <v>3</v>
      </c>
      <c r="B74" s="4"/>
      <c r="C74" s="4" t="s">
        <v>893</v>
      </c>
      <c r="D74" s="4" t="s">
        <v>697</v>
      </c>
      <c r="E74" s="5">
        <v>-10750</v>
      </c>
      <c r="F74" s="6">
        <v>-44.472749999999998</v>
      </c>
      <c r="G74" s="41">
        <v>-2.8222500000000001E-3</v>
      </c>
      <c r="H74" s="40"/>
    </row>
    <row r="75" spans="1:8" x14ac:dyDescent="0.2">
      <c r="A75" s="3">
        <v>4</v>
      </c>
      <c r="B75" s="4"/>
      <c r="C75" s="4" t="s">
        <v>924</v>
      </c>
      <c r="D75" s="4" t="s">
        <v>697</v>
      </c>
      <c r="E75" s="5">
        <v>-2100</v>
      </c>
      <c r="F75" s="6">
        <v>-51.489899999999999</v>
      </c>
      <c r="G75" s="41">
        <v>-3.2675600000000001E-3</v>
      </c>
      <c r="H75" s="40"/>
    </row>
    <row r="76" spans="1:8" x14ac:dyDescent="0.2">
      <c r="A76" s="3">
        <v>5</v>
      </c>
      <c r="B76" s="4"/>
      <c r="C76" s="4" t="s">
        <v>914</v>
      </c>
      <c r="D76" s="4" t="s">
        <v>713</v>
      </c>
      <c r="E76" s="5">
        <v>-2000</v>
      </c>
      <c r="F76" s="6">
        <v>-65.087000000000003</v>
      </c>
      <c r="G76" s="41">
        <v>-4.13043E-3</v>
      </c>
      <c r="H76" s="40"/>
    </row>
    <row r="77" spans="1:8" ht="25.5" x14ac:dyDescent="0.2">
      <c r="A77" s="3">
        <v>6</v>
      </c>
      <c r="B77" s="4"/>
      <c r="C77" s="4" t="s">
        <v>890</v>
      </c>
      <c r="D77" s="4" t="s">
        <v>697</v>
      </c>
      <c r="E77" s="5">
        <v>-12100</v>
      </c>
      <c r="F77" s="6">
        <v>-82.467550000000003</v>
      </c>
      <c r="G77" s="41">
        <v>-5.2334E-3</v>
      </c>
      <c r="H77" s="40"/>
    </row>
    <row r="78" spans="1:8" x14ac:dyDescent="0.2">
      <c r="A78" s="3">
        <v>7</v>
      </c>
      <c r="B78" s="4"/>
      <c r="C78" s="4" t="s">
        <v>878</v>
      </c>
      <c r="D78" s="4" t="s">
        <v>697</v>
      </c>
      <c r="E78" s="5">
        <v>-8500</v>
      </c>
      <c r="F78" s="6">
        <v>-91.383499999999998</v>
      </c>
      <c r="G78" s="41">
        <v>-5.79921E-3</v>
      </c>
      <c r="H78" s="40"/>
    </row>
    <row r="79" spans="1:8" x14ac:dyDescent="0.2">
      <c r="A79" s="3">
        <v>8</v>
      </c>
      <c r="B79" s="4"/>
      <c r="C79" s="4" t="s">
        <v>925</v>
      </c>
      <c r="D79" s="4" t="s">
        <v>697</v>
      </c>
      <c r="E79" s="5">
        <v>-150000</v>
      </c>
      <c r="F79" s="6">
        <v>-130.27500000000001</v>
      </c>
      <c r="G79" s="41">
        <v>-8.2672700000000002E-3</v>
      </c>
      <c r="H79" s="40"/>
    </row>
    <row r="80" spans="1:8" x14ac:dyDescent="0.2">
      <c r="A80" s="3">
        <v>9</v>
      </c>
      <c r="B80" s="4"/>
      <c r="C80" s="4" t="s">
        <v>876</v>
      </c>
      <c r="D80" s="4" t="s">
        <v>697</v>
      </c>
      <c r="E80" s="5">
        <v>-8050</v>
      </c>
      <c r="F80" s="6">
        <v>-142.47694999999999</v>
      </c>
      <c r="G80" s="41">
        <v>-9.0416100000000003E-3</v>
      </c>
      <c r="H80" s="40"/>
    </row>
    <row r="81" spans="1:8" x14ac:dyDescent="0.2">
      <c r="A81" s="3">
        <v>10</v>
      </c>
      <c r="B81" s="4"/>
      <c r="C81" s="4" t="s">
        <v>888</v>
      </c>
      <c r="D81" s="4" t="s">
        <v>697</v>
      </c>
      <c r="E81" s="5">
        <v>-40000</v>
      </c>
      <c r="F81" s="6">
        <v>-148.96</v>
      </c>
      <c r="G81" s="41">
        <v>-9.4530199999999995E-3</v>
      </c>
      <c r="H81" s="40"/>
    </row>
    <row r="82" spans="1:8" x14ac:dyDescent="0.2">
      <c r="A82" s="3">
        <v>11</v>
      </c>
      <c r="B82" s="4"/>
      <c r="C82" s="4" t="s">
        <v>911</v>
      </c>
      <c r="D82" s="4" t="s">
        <v>697</v>
      </c>
      <c r="E82" s="5">
        <v>-17850</v>
      </c>
      <c r="F82" s="6">
        <v>-158.19562500000001</v>
      </c>
      <c r="G82" s="41">
        <v>-1.0039119999999999E-2</v>
      </c>
      <c r="H82" s="40"/>
    </row>
    <row r="83" spans="1:8" x14ac:dyDescent="0.2">
      <c r="A83" s="3">
        <v>12</v>
      </c>
      <c r="B83" s="4"/>
      <c r="C83" s="4" t="s">
        <v>898</v>
      </c>
      <c r="D83" s="4" t="s">
        <v>697</v>
      </c>
      <c r="E83" s="5">
        <v>-60000</v>
      </c>
      <c r="F83" s="6">
        <v>-206.85</v>
      </c>
      <c r="G83" s="41">
        <v>-1.312673E-2</v>
      </c>
      <c r="H83" s="40"/>
    </row>
    <row r="84" spans="1:8" x14ac:dyDescent="0.2">
      <c r="A84" s="3">
        <v>13</v>
      </c>
      <c r="B84" s="4"/>
      <c r="C84" s="4" t="s">
        <v>901</v>
      </c>
      <c r="D84" s="4" t="s">
        <v>697</v>
      </c>
      <c r="E84" s="5">
        <v>-34800</v>
      </c>
      <c r="F84" s="6">
        <v>-228.44460000000001</v>
      </c>
      <c r="G84" s="41">
        <v>-1.449713E-2</v>
      </c>
      <c r="H84" s="40"/>
    </row>
    <row r="85" spans="1:8" x14ac:dyDescent="0.2">
      <c r="A85" s="3">
        <v>14</v>
      </c>
      <c r="B85" s="4"/>
      <c r="C85" s="4" t="s">
        <v>900</v>
      </c>
      <c r="D85" s="4" t="s">
        <v>697</v>
      </c>
      <c r="E85" s="5">
        <v>-10000</v>
      </c>
      <c r="F85" s="6">
        <v>-241.255</v>
      </c>
      <c r="G85" s="41">
        <v>-1.5310079999999998E-2</v>
      </c>
      <c r="H85" s="40"/>
    </row>
    <row r="86" spans="1:8" x14ac:dyDescent="0.2">
      <c r="A86" s="3">
        <v>15</v>
      </c>
      <c r="B86" s="4"/>
      <c r="C86" s="4" t="s">
        <v>907</v>
      </c>
      <c r="D86" s="4" t="s">
        <v>697</v>
      </c>
      <c r="E86" s="5">
        <v>-31725</v>
      </c>
      <c r="F86" s="6">
        <v>-247.8515625</v>
      </c>
      <c r="G86" s="41">
        <v>-1.5728699999999998E-2</v>
      </c>
      <c r="H86" s="40"/>
    </row>
    <row r="87" spans="1:8" x14ac:dyDescent="0.2">
      <c r="A87" s="3">
        <v>16</v>
      </c>
      <c r="B87" s="4"/>
      <c r="C87" s="4" t="s">
        <v>919</v>
      </c>
      <c r="D87" s="4" t="s">
        <v>697</v>
      </c>
      <c r="E87" s="5">
        <v>-33948</v>
      </c>
      <c r="F87" s="6">
        <v>-248.15987999999999</v>
      </c>
      <c r="G87" s="41">
        <v>-1.574826E-2</v>
      </c>
      <c r="H87" s="40"/>
    </row>
    <row r="88" spans="1:8" x14ac:dyDescent="0.2">
      <c r="A88" s="3">
        <v>17</v>
      </c>
      <c r="B88" s="4"/>
      <c r="C88" s="4" t="s">
        <v>896</v>
      </c>
      <c r="D88" s="4" t="s">
        <v>697</v>
      </c>
      <c r="E88" s="5">
        <v>-128000</v>
      </c>
      <c r="F88" s="6">
        <v>-284.16000000000003</v>
      </c>
      <c r="G88" s="41">
        <v>-1.8032840000000001E-2</v>
      </c>
      <c r="H88" s="40"/>
    </row>
    <row r="89" spans="1:8" x14ac:dyDescent="0.2">
      <c r="A89" s="3">
        <v>18</v>
      </c>
      <c r="B89" s="4"/>
      <c r="C89" s="4" t="s">
        <v>885</v>
      </c>
      <c r="D89" s="4" t="s">
        <v>697</v>
      </c>
      <c r="E89" s="5">
        <v>-46750</v>
      </c>
      <c r="F89" s="6">
        <v>-334.659875</v>
      </c>
      <c r="G89" s="41">
        <v>-2.1237560000000003E-2</v>
      </c>
      <c r="H89" s="40"/>
    </row>
    <row r="90" spans="1:8" x14ac:dyDescent="0.2">
      <c r="A90" s="3">
        <v>19</v>
      </c>
      <c r="B90" s="4"/>
      <c r="C90" s="4" t="s">
        <v>920</v>
      </c>
      <c r="D90" s="4" t="s">
        <v>697</v>
      </c>
      <c r="E90" s="5">
        <v>-40000</v>
      </c>
      <c r="F90" s="6">
        <v>-354.64</v>
      </c>
      <c r="G90" s="41">
        <v>-2.2505510000000003E-2</v>
      </c>
      <c r="H90" s="40"/>
    </row>
    <row r="91" spans="1:8" x14ac:dyDescent="0.2">
      <c r="A91" s="3">
        <v>20</v>
      </c>
      <c r="B91" s="4"/>
      <c r="C91" s="4" t="s">
        <v>918</v>
      </c>
      <c r="D91" s="4" t="s">
        <v>697</v>
      </c>
      <c r="E91" s="5">
        <v>-36000</v>
      </c>
      <c r="F91" s="6">
        <v>-557.20799999999997</v>
      </c>
      <c r="G91" s="41">
        <v>-3.5360499999999996E-2</v>
      </c>
      <c r="H91" s="40"/>
    </row>
    <row r="92" spans="1:8" ht="25.5" x14ac:dyDescent="0.2">
      <c r="A92" s="3">
        <v>21</v>
      </c>
      <c r="B92" s="4"/>
      <c r="C92" s="4" t="s">
        <v>917</v>
      </c>
      <c r="D92" s="4" t="s">
        <v>697</v>
      </c>
      <c r="E92" s="5">
        <v>-21000</v>
      </c>
      <c r="F92" s="6">
        <v>-563.62950000000001</v>
      </c>
      <c r="G92" s="41">
        <v>-3.5768010000000003E-2</v>
      </c>
      <c r="H92" s="40"/>
    </row>
    <row r="93" spans="1:8" x14ac:dyDescent="0.2">
      <c r="A93" s="3">
        <v>22</v>
      </c>
      <c r="B93" s="4"/>
      <c r="C93" s="4" t="s">
        <v>895</v>
      </c>
      <c r="D93" s="4" t="s">
        <v>697</v>
      </c>
      <c r="E93" s="5">
        <v>-42600</v>
      </c>
      <c r="F93" s="6">
        <v>-990.89729999999997</v>
      </c>
      <c r="G93" s="41">
        <v>-6.2882489999999999E-2</v>
      </c>
      <c r="H93" s="40"/>
    </row>
    <row r="94" spans="1:8" x14ac:dyDescent="0.2">
      <c r="A94" s="1"/>
      <c r="B94" s="1"/>
      <c r="C94" s="2" t="s">
        <v>95</v>
      </c>
      <c r="D94" s="1"/>
      <c r="E94" s="1" t="s">
        <v>96</v>
      </c>
      <c r="F94" s="9">
        <v>-5237.6911675000001</v>
      </c>
      <c r="G94" s="10">
        <v>-0.33238464899999998</v>
      </c>
      <c r="H94" s="40"/>
    </row>
    <row r="95" spans="1:8" x14ac:dyDescent="0.2">
      <c r="A95" s="1"/>
      <c r="B95" s="1"/>
      <c r="C95" s="11"/>
      <c r="D95" s="1"/>
      <c r="E95" s="1"/>
      <c r="F95" s="12"/>
      <c r="G95" s="12"/>
      <c r="H95" s="40"/>
    </row>
    <row r="96" spans="1:8" x14ac:dyDescent="0.2">
      <c r="A96" s="1"/>
      <c r="B96" s="1"/>
      <c r="C96" s="2" t="s">
        <v>102</v>
      </c>
      <c r="D96" s="1"/>
      <c r="E96" s="1"/>
      <c r="F96" s="9">
        <v>11509.752073499998</v>
      </c>
      <c r="G96" s="10">
        <v>0.73041055699999979</v>
      </c>
      <c r="H96" s="40"/>
    </row>
    <row r="97" spans="1:8" x14ac:dyDescent="0.2">
      <c r="A97" s="1"/>
      <c r="B97" s="1"/>
      <c r="C97" s="11"/>
      <c r="D97" s="1"/>
      <c r="E97" s="1"/>
      <c r="F97" s="12"/>
      <c r="G97" s="12"/>
      <c r="H97" s="40"/>
    </row>
    <row r="98" spans="1:8" x14ac:dyDescent="0.2">
      <c r="A98" s="1"/>
      <c r="B98" s="1"/>
      <c r="C98" s="2" t="s">
        <v>103</v>
      </c>
      <c r="D98" s="1"/>
      <c r="E98" s="1"/>
      <c r="F98" s="12"/>
      <c r="G98" s="12"/>
      <c r="H98" s="40"/>
    </row>
    <row r="99" spans="1:8" ht="25.5" x14ac:dyDescent="0.2">
      <c r="A99" s="1"/>
      <c r="B99" s="1"/>
      <c r="C99" s="2" t="s">
        <v>10</v>
      </c>
      <c r="D99" s="1"/>
      <c r="E99" s="1"/>
      <c r="F99" s="12"/>
      <c r="G99" s="12"/>
      <c r="H99" s="40"/>
    </row>
    <row r="100" spans="1:8" x14ac:dyDescent="0.2">
      <c r="A100" s="3">
        <v>1</v>
      </c>
      <c r="B100" s="4" t="s">
        <v>714</v>
      </c>
      <c r="C100" s="4" t="s">
        <v>715</v>
      </c>
      <c r="D100" s="4" t="s">
        <v>691</v>
      </c>
      <c r="E100" s="5">
        <v>50</v>
      </c>
      <c r="F100" s="6">
        <v>506.89699999999999</v>
      </c>
      <c r="G100" s="7">
        <v>3.2167757999999998E-2</v>
      </c>
      <c r="H100" s="40">
        <v>3.8</v>
      </c>
    </row>
    <row r="101" spans="1:8" ht="25.5" x14ac:dyDescent="0.2">
      <c r="A101" s="3">
        <v>2</v>
      </c>
      <c r="B101" s="4" t="s">
        <v>716</v>
      </c>
      <c r="C101" s="4" t="s">
        <v>717</v>
      </c>
      <c r="D101" s="4" t="s">
        <v>691</v>
      </c>
      <c r="E101" s="5">
        <v>30</v>
      </c>
      <c r="F101" s="6">
        <v>303.96179999999998</v>
      </c>
      <c r="G101" s="7">
        <v>1.9289460000000001E-2</v>
      </c>
      <c r="H101" s="40">
        <v>3.7949999999999999</v>
      </c>
    </row>
    <row r="102" spans="1:8" x14ac:dyDescent="0.2">
      <c r="A102" s="3">
        <v>3</v>
      </c>
      <c r="B102" s="4" t="s">
        <v>718</v>
      </c>
      <c r="C102" s="4" t="s">
        <v>719</v>
      </c>
      <c r="D102" s="4" t="s">
        <v>691</v>
      </c>
      <c r="E102" s="5">
        <v>20</v>
      </c>
      <c r="F102" s="6">
        <v>207.63740000000001</v>
      </c>
      <c r="G102" s="7">
        <v>1.31767E-2</v>
      </c>
      <c r="H102" s="40">
        <v>4.6950000000000003</v>
      </c>
    </row>
    <row r="103" spans="1:8" x14ac:dyDescent="0.2">
      <c r="A103" s="1"/>
      <c r="B103" s="1"/>
      <c r="C103" s="2" t="s">
        <v>95</v>
      </c>
      <c r="D103" s="1"/>
      <c r="E103" s="1" t="s">
        <v>96</v>
      </c>
      <c r="F103" s="9">
        <v>1018.4962</v>
      </c>
      <c r="G103" s="10">
        <v>6.4633917999999999E-2</v>
      </c>
      <c r="H103" s="40"/>
    </row>
    <row r="104" spans="1:8" x14ac:dyDescent="0.2">
      <c r="A104" s="1"/>
      <c r="B104" s="1"/>
      <c r="C104" s="11"/>
      <c r="D104" s="1"/>
      <c r="E104" s="1"/>
      <c r="F104" s="12"/>
      <c r="G104" s="12"/>
      <c r="H104" s="40"/>
    </row>
    <row r="105" spans="1:8" x14ac:dyDescent="0.2">
      <c r="A105" s="1"/>
      <c r="B105" s="1"/>
      <c r="C105" s="2" t="s">
        <v>104</v>
      </c>
      <c r="D105" s="1"/>
      <c r="E105" s="1"/>
      <c r="F105" s="1"/>
      <c r="G105" s="1"/>
      <c r="H105" s="40"/>
    </row>
    <row r="106" spans="1:8" x14ac:dyDescent="0.2">
      <c r="A106" s="1"/>
      <c r="B106" s="1"/>
      <c r="C106" s="2" t="s">
        <v>95</v>
      </c>
      <c r="D106" s="1"/>
      <c r="E106" s="1" t="s">
        <v>96</v>
      </c>
      <c r="F106" s="13">
        <v>0</v>
      </c>
      <c r="G106" s="14">
        <v>0</v>
      </c>
      <c r="H106" s="40"/>
    </row>
    <row r="107" spans="1:8" x14ac:dyDescent="0.2">
      <c r="A107" s="1"/>
      <c r="B107" s="1"/>
      <c r="C107" s="11"/>
      <c r="D107" s="1"/>
      <c r="E107" s="1"/>
      <c r="F107" s="12"/>
      <c r="G107" s="12"/>
      <c r="H107" s="40"/>
    </row>
    <row r="108" spans="1:8" x14ac:dyDescent="0.2">
      <c r="A108" s="1"/>
      <c r="B108" s="1"/>
      <c r="C108" s="2" t="s">
        <v>105</v>
      </c>
      <c r="D108" s="1"/>
      <c r="E108" s="1"/>
      <c r="F108" s="1"/>
      <c r="G108" s="1"/>
      <c r="H108" s="40"/>
    </row>
    <row r="109" spans="1:8" ht="25.5" x14ac:dyDescent="0.2">
      <c r="A109" s="3">
        <v>1</v>
      </c>
      <c r="B109" s="4" t="s">
        <v>720</v>
      </c>
      <c r="C109" s="4" t="s">
        <v>870</v>
      </c>
      <c r="D109" s="4" t="s">
        <v>721</v>
      </c>
      <c r="E109" s="5">
        <v>1000000</v>
      </c>
      <c r="F109" s="6">
        <v>996.95100000000002</v>
      </c>
      <c r="G109" s="7">
        <v>6.3266657000000004E-2</v>
      </c>
      <c r="H109" s="40">
        <v>5.3148999999999997</v>
      </c>
    </row>
    <row r="110" spans="1:8" ht="25.5" x14ac:dyDescent="0.2">
      <c r="A110" s="3">
        <v>2</v>
      </c>
      <c r="B110" s="4" t="s">
        <v>722</v>
      </c>
      <c r="C110" s="4" t="s">
        <v>873</v>
      </c>
      <c r="D110" s="4" t="s">
        <v>721</v>
      </c>
      <c r="E110" s="5">
        <v>200000</v>
      </c>
      <c r="F110" s="6">
        <v>210.49979999999999</v>
      </c>
      <c r="G110" s="7">
        <v>1.3358348000000001E-2</v>
      </c>
      <c r="H110" s="40">
        <v>4.7282000000000002</v>
      </c>
    </row>
    <row r="111" spans="1:8" x14ac:dyDescent="0.2">
      <c r="A111" s="1"/>
      <c r="B111" s="1"/>
      <c r="C111" s="2" t="s">
        <v>95</v>
      </c>
      <c r="D111" s="1"/>
      <c r="E111" s="1" t="s">
        <v>96</v>
      </c>
      <c r="F111" s="9">
        <v>1207.4508000000001</v>
      </c>
      <c r="G111" s="10">
        <v>7.6625004999999996E-2</v>
      </c>
      <c r="H111" s="40"/>
    </row>
    <row r="112" spans="1:8" x14ac:dyDescent="0.2">
      <c r="A112" s="1"/>
      <c r="B112" s="1"/>
      <c r="C112" s="11"/>
      <c r="D112" s="1"/>
      <c r="E112" s="1"/>
      <c r="F112" s="12"/>
      <c r="G112" s="12"/>
      <c r="H112" s="40"/>
    </row>
    <row r="113" spans="1:8" x14ac:dyDescent="0.2">
      <c r="A113" s="1"/>
      <c r="B113" s="1"/>
      <c r="C113" s="2" t="s">
        <v>106</v>
      </c>
      <c r="D113" s="1"/>
      <c r="E113" s="1"/>
      <c r="F113" s="12"/>
      <c r="G113" s="12"/>
      <c r="H113" s="40"/>
    </row>
    <row r="114" spans="1:8" x14ac:dyDescent="0.2">
      <c r="A114" s="1"/>
      <c r="B114" s="1"/>
      <c r="C114" s="2" t="s">
        <v>95</v>
      </c>
      <c r="D114" s="1"/>
      <c r="E114" s="1" t="s">
        <v>96</v>
      </c>
      <c r="F114" s="13">
        <v>0</v>
      </c>
      <c r="G114" s="14">
        <v>0</v>
      </c>
      <c r="H114" s="40"/>
    </row>
    <row r="115" spans="1:8" x14ac:dyDescent="0.2">
      <c r="A115" s="1"/>
      <c r="B115" s="1"/>
      <c r="C115" s="11"/>
      <c r="D115" s="1"/>
      <c r="E115" s="1"/>
      <c r="F115" s="12"/>
      <c r="G115" s="12"/>
      <c r="H115" s="40"/>
    </row>
    <row r="116" spans="1:8" x14ac:dyDescent="0.2">
      <c r="A116" s="1"/>
      <c r="B116" s="1"/>
      <c r="C116" s="2" t="s">
        <v>107</v>
      </c>
      <c r="D116" s="1"/>
      <c r="E116" s="1"/>
      <c r="F116" s="9">
        <v>2225.9470000000001</v>
      </c>
      <c r="G116" s="10">
        <v>0.14125892300000001</v>
      </c>
      <c r="H116" s="40"/>
    </row>
    <row r="117" spans="1:8" x14ac:dyDescent="0.2">
      <c r="A117" s="1"/>
      <c r="B117" s="1"/>
      <c r="C117" s="11"/>
      <c r="D117" s="1"/>
      <c r="E117" s="1"/>
      <c r="F117" s="12"/>
      <c r="G117" s="12"/>
      <c r="H117" s="40"/>
    </row>
    <row r="118" spans="1:8" x14ac:dyDescent="0.2">
      <c r="A118" s="1"/>
      <c r="B118" s="1"/>
      <c r="C118" s="2" t="s">
        <v>108</v>
      </c>
      <c r="D118" s="1"/>
      <c r="E118" s="1"/>
      <c r="F118" s="12"/>
      <c r="G118" s="12"/>
      <c r="H118" s="40"/>
    </row>
    <row r="119" spans="1:8" x14ac:dyDescent="0.2">
      <c r="A119" s="1"/>
      <c r="B119" s="1"/>
      <c r="C119" s="2" t="s">
        <v>109</v>
      </c>
      <c r="D119" s="1"/>
      <c r="E119" s="1"/>
      <c r="F119" s="12"/>
      <c r="G119" s="12"/>
      <c r="H119" s="40"/>
    </row>
    <row r="120" spans="1:8" x14ac:dyDescent="0.2">
      <c r="A120" s="1"/>
      <c r="B120" s="1"/>
      <c r="C120" s="2" t="s">
        <v>95</v>
      </c>
      <c r="D120" s="1"/>
      <c r="E120" s="1" t="s">
        <v>96</v>
      </c>
      <c r="F120" s="13">
        <v>0</v>
      </c>
      <c r="G120" s="14">
        <v>0</v>
      </c>
      <c r="H120" s="40"/>
    </row>
    <row r="121" spans="1:8" x14ac:dyDescent="0.2">
      <c r="A121" s="1"/>
      <c r="B121" s="1"/>
      <c r="C121" s="11"/>
      <c r="D121" s="1"/>
      <c r="E121" s="1"/>
      <c r="F121" s="12"/>
      <c r="G121" s="12"/>
      <c r="H121" s="40"/>
    </row>
    <row r="122" spans="1:8" x14ac:dyDescent="0.2">
      <c r="A122" s="1"/>
      <c r="B122" s="1"/>
      <c r="C122" s="2" t="s">
        <v>110</v>
      </c>
      <c r="D122" s="1"/>
      <c r="E122" s="1"/>
      <c r="F122" s="12"/>
      <c r="G122" s="12"/>
      <c r="H122" s="40"/>
    </row>
    <row r="123" spans="1:8" x14ac:dyDescent="0.2">
      <c r="A123" s="1"/>
      <c r="B123" s="1"/>
      <c r="C123" s="2" t="s">
        <v>95</v>
      </c>
      <c r="D123" s="1"/>
      <c r="E123" s="1" t="s">
        <v>96</v>
      </c>
      <c r="F123" s="13">
        <v>0</v>
      </c>
      <c r="G123" s="14">
        <v>0</v>
      </c>
      <c r="H123" s="40"/>
    </row>
    <row r="124" spans="1:8" x14ac:dyDescent="0.2">
      <c r="A124" s="1"/>
      <c r="B124" s="1"/>
      <c r="C124" s="11"/>
      <c r="D124" s="1"/>
      <c r="E124" s="1"/>
      <c r="F124" s="12"/>
      <c r="G124" s="12"/>
      <c r="H124" s="40"/>
    </row>
    <row r="125" spans="1:8" x14ac:dyDescent="0.2">
      <c r="A125" s="1"/>
      <c r="B125" s="1"/>
      <c r="C125" s="2" t="s">
        <v>111</v>
      </c>
      <c r="D125" s="1"/>
      <c r="E125" s="1"/>
      <c r="F125" s="12"/>
      <c r="G125" s="12"/>
      <c r="H125" s="40"/>
    </row>
    <row r="126" spans="1:8" x14ac:dyDescent="0.2">
      <c r="A126" s="1"/>
      <c r="B126" s="1"/>
      <c r="C126" s="2" t="s">
        <v>95</v>
      </c>
      <c r="D126" s="1"/>
      <c r="E126" s="1" t="s">
        <v>96</v>
      </c>
      <c r="F126" s="13">
        <v>0</v>
      </c>
      <c r="G126" s="14">
        <v>0</v>
      </c>
      <c r="H126" s="40"/>
    </row>
    <row r="127" spans="1:8" x14ac:dyDescent="0.2">
      <c r="A127" s="1"/>
      <c r="B127" s="1"/>
      <c r="C127" s="11"/>
      <c r="D127" s="1"/>
      <c r="E127" s="1"/>
      <c r="F127" s="12"/>
      <c r="G127" s="12"/>
      <c r="H127" s="40"/>
    </row>
    <row r="128" spans="1:8" x14ac:dyDescent="0.2">
      <c r="A128" s="1"/>
      <c r="B128" s="1"/>
      <c r="C128" s="2" t="s">
        <v>112</v>
      </c>
      <c r="D128" s="1"/>
      <c r="E128" s="1"/>
      <c r="F128" s="12"/>
      <c r="G128" s="12"/>
      <c r="H128" s="40"/>
    </row>
    <row r="129" spans="1:15" x14ac:dyDescent="0.2">
      <c r="A129" s="3">
        <v>1</v>
      </c>
      <c r="B129" s="4"/>
      <c r="C129" s="4" t="s">
        <v>113</v>
      </c>
      <c r="D129" s="4"/>
      <c r="E129" s="8"/>
      <c r="F129" s="6">
        <v>474.72846179999999</v>
      </c>
      <c r="G129" s="7">
        <v>3.0126337999999999E-2</v>
      </c>
      <c r="H129" s="6">
        <v>3.3628721504199861</v>
      </c>
    </row>
    <row r="130" spans="1:15" x14ac:dyDescent="0.2">
      <c r="A130" s="3">
        <v>2</v>
      </c>
      <c r="B130" s="4"/>
      <c r="C130" s="4" t="s">
        <v>114</v>
      </c>
      <c r="D130" s="4"/>
      <c r="E130" s="8"/>
      <c r="F130" s="6">
        <v>183.33573340000001</v>
      </c>
      <c r="G130" s="7">
        <v>1.1634512E-2</v>
      </c>
      <c r="H130" s="6">
        <v>3.4499999999999966</v>
      </c>
    </row>
    <row r="131" spans="1:15" x14ac:dyDescent="0.2">
      <c r="A131" s="1"/>
      <c r="B131" s="1"/>
      <c r="C131" s="2" t="s">
        <v>95</v>
      </c>
      <c r="D131" s="1"/>
      <c r="E131" s="1" t="s">
        <v>96</v>
      </c>
      <c r="F131" s="9">
        <v>658.06419519999997</v>
      </c>
      <c r="G131" s="10">
        <v>4.1760850000000002E-2</v>
      </c>
      <c r="H131" s="40"/>
    </row>
    <row r="132" spans="1:15" x14ac:dyDescent="0.2">
      <c r="A132" s="1"/>
      <c r="B132" s="1"/>
      <c r="C132" s="11"/>
      <c r="D132" s="1"/>
      <c r="E132" s="1"/>
      <c r="F132" s="12"/>
      <c r="G132" s="12"/>
      <c r="H132" s="40"/>
    </row>
    <row r="133" spans="1:15" x14ac:dyDescent="0.2">
      <c r="A133" s="1"/>
      <c r="B133" s="1"/>
      <c r="C133" s="2" t="s">
        <v>115</v>
      </c>
      <c r="D133" s="1"/>
      <c r="E133" s="1"/>
      <c r="F133" s="9">
        <v>658.06419519999997</v>
      </c>
      <c r="G133" s="10">
        <v>4.1760850000000002E-2</v>
      </c>
      <c r="H133" s="40"/>
    </row>
    <row r="134" spans="1:15" x14ac:dyDescent="0.2">
      <c r="A134" s="1"/>
      <c r="B134" s="1"/>
      <c r="C134" s="12"/>
      <c r="D134" s="1"/>
      <c r="E134" s="1"/>
      <c r="F134" s="1"/>
      <c r="G134" s="1"/>
      <c r="H134" s="40"/>
    </row>
    <row r="135" spans="1:15" x14ac:dyDescent="0.2">
      <c r="A135" s="1"/>
      <c r="B135" s="1"/>
      <c r="C135" s="2" t="s">
        <v>116</v>
      </c>
      <c r="D135" s="1"/>
      <c r="E135" s="1"/>
      <c r="F135" s="1"/>
      <c r="G135" s="1"/>
      <c r="H135" s="40"/>
    </row>
    <row r="136" spans="1:15" x14ac:dyDescent="0.2">
      <c r="A136" s="1"/>
      <c r="B136" s="1"/>
      <c r="C136" s="2" t="s">
        <v>117</v>
      </c>
      <c r="D136" s="1"/>
      <c r="E136" s="1"/>
      <c r="F136" s="1"/>
      <c r="G136" s="1"/>
      <c r="H136" s="40"/>
    </row>
    <row r="137" spans="1:15" x14ac:dyDescent="0.2">
      <c r="A137" s="1"/>
      <c r="B137" s="1"/>
      <c r="C137" s="2" t="s">
        <v>95</v>
      </c>
      <c r="D137" s="1"/>
      <c r="E137" s="1" t="s">
        <v>96</v>
      </c>
      <c r="F137" s="13">
        <v>0</v>
      </c>
      <c r="G137" s="14">
        <v>0</v>
      </c>
      <c r="H137" s="40"/>
    </row>
    <row r="138" spans="1:15" x14ac:dyDescent="0.2">
      <c r="A138" s="1"/>
      <c r="B138" s="1"/>
      <c r="C138" s="11"/>
      <c r="D138" s="1"/>
      <c r="E138" s="1"/>
      <c r="F138" s="12"/>
      <c r="G138" s="12"/>
      <c r="H138" s="40"/>
    </row>
    <row r="139" spans="1:15" x14ac:dyDescent="0.2">
      <c r="A139" s="1"/>
      <c r="B139" s="1"/>
      <c r="C139" s="2" t="s">
        <v>118</v>
      </c>
      <c r="D139" s="1"/>
      <c r="E139" s="1"/>
      <c r="F139" s="1"/>
      <c r="G139" s="1"/>
      <c r="H139" s="40"/>
      <c r="I139" s="70"/>
      <c r="J139" s="70"/>
      <c r="K139" s="70"/>
      <c r="L139" s="70"/>
      <c r="M139" s="70"/>
      <c r="N139" s="70"/>
      <c r="O139" s="70"/>
    </row>
    <row r="140" spans="1:15" x14ac:dyDescent="0.2">
      <c r="A140" s="1"/>
      <c r="B140" s="1"/>
      <c r="C140" s="2" t="s">
        <v>119</v>
      </c>
      <c r="D140" s="1"/>
      <c r="E140" s="1"/>
      <c r="F140" s="1"/>
      <c r="G140" s="1"/>
      <c r="H140" s="40"/>
    </row>
    <row r="141" spans="1:15" x14ac:dyDescent="0.2">
      <c r="A141" s="1"/>
      <c r="B141" s="1"/>
      <c r="C141" s="2" t="s">
        <v>95</v>
      </c>
      <c r="D141" s="1"/>
      <c r="E141" s="1" t="s">
        <v>96</v>
      </c>
      <c r="F141" s="13">
        <v>0</v>
      </c>
      <c r="G141" s="14">
        <v>0</v>
      </c>
      <c r="H141" s="40"/>
    </row>
    <row r="142" spans="1:15" x14ac:dyDescent="0.2">
      <c r="A142" s="1"/>
      <c r="B142" s="1"/>
      <c r="C142" s="11"/>
      <c r="D142" s="1"/>
      <c r="E142" s="1"/>
      <c r="F142" s="12"/>
      <c r="G142" s="12"/>
      <c r="H142" s="40"/>
    </row>
    <row r="143" spans="1:15" x14ac:dyDescent="0.2">
      <c r="A143" s="1"/>
      <c r="B143" s="1"/>
      <c r="C143" s="11"/>
      <c r="D143" s="1"/>
      <c r="E143" s="1"/>
      <c r="F143" s="12"/>
      <c r="G143" s="12"/>
      <c r="H143" s="40"/>
    </row>
    <row r="144" spans="1:15" ht="25.5" x14ac:dyDescent="0.2">
      <c r="A144" s="1"/>
      <c r="B144" s="1"/>
      <c r="C144" s="2" t="s">
        <v>120</v>
      </c>
      <c r="D144" s="1"/>
      <c r="E144" s="1"/>
      <c r="F144" s="12"/>
      <c r="G144" s="12"/>
      <c r="H144" s="40"/>
    </row>
    <row r="145" spans="1:15" x14ac:dyDescent="0.2">
      <c r="A145" s="1"/>
      <c r="B145" s="1"/>
      <c r="C145" s="2" t="s">
        <v>95</v>
      </c>
      <c r="D145" s="1"/>
      <c r="E145" s="1" t="s">
        <v>96</v>
      </c>
      <c r="F145" s="13">
        <v>0</v>
      </c>
      <c r="G145" s="14">
        <v>0</v>
      </c>
      <c r="H145" s="40"/>
    </row>
    <row r="146" spans="1:15" x14ac:dyDescent="0.2">
      <c r="A146" s="1"/>
      <c r="B146" s="1"/>
      <c r="C146" s="11"/>
      <c r="D146" s="1"/>
      <c r="E146" s="1"/>
      <c r="F146" s="12"/>
      <c r="G146" s="12"/>
      <c r="H146" s="40"/>
    </row>
    <row r="147" spans="1:15" x14ac:dyDescent="0.2">
      <c r="A147" s="8"/>
      <c r="B147" s="4"/>
      <c r="C147" s="4" t="s">
        <v>699</v>
      </c>
      <c r="D147" s="4"/>
      <c r="E147" s="8"/>
      <c r="F147" s="6">
        <v>1676.2824045</v>
      </c>
      <c r="G147" s="7">
        <v>0.106377127</v>
      </c>
      <c r="H147" s="40"/>
    </row>
    <row r="148" spans="1:15" x14ac:dyDescent="0.2">
      <c r="A148" s="8"/>
      <c r="B148" s="4"/>
      <c r="C148" s="38" t="s">
        <v>816</v>
      </c>
      <c r="D148" s="4"/>
      <c r="E148" s="8"/>
      <c r="F148" s="6">
        <v>-312.1242819099989</v>
      </c>
      <c r="G148" s="7">
        <v>-1.9807452655686036E-2</v>
      </c>
      <c r="H148" s="40"/>
    </row>
    <row r="149" spans="1:15" x14ac:dyDescent="0.2">
      <c r="A149" s="11"/>
      <c r="B149" s="11"/>
      <c r="C149" s="2" t="s">
        <v>122</v>
      </c>
      <c r="D149" s="15"/>
      <c r="E149" s="15"/>
      <c r="F149" s="9">
        <v>15757.92139129</v>
      </c>
      <c r="G149" s="10">
        <v>1.0000000043443138</v>
      </c>
      <c r="H149" s="40"/>
    </row>
    <row r="150" spans="1:15" ht="14.1" customHeight="1" x14ac:dyDescent="0.2">
      <c r="A150" s="16"/>
      <c r="B150" s="16"/>
      <c r="C150" s="16"/>
      <c r="D150" s="17"/>
      <c r="E150" s="17"/>
      <c r="F150" s="17"/>
      <c r="G150" s="17"/>
    </row>
    <row r="151" spans="1:15" ht="17.100000000000001" customHeight="1" x14ac:dyDescent="0.2">
      <c r="A151" s="18"/>
      <c r="B151" s="176" t="s">
        <v>692</v>
      </c>
      <c r="C151" s="176"/>
      <c r="D151" s="176"/>
      <c r="E151" s="176"/>
      <c r="F151" s="176"/>
      <c r="G151" s="20"/>
    </row>
    <row r="152" spans="1:15" s="70" customFormat="1" ht="17.100000000000001" customHeight="1" x14ac:dyDescent="0.2">
      <c r="A152" s="90"/>
      <c r="B152" s="178" t="s">
        <v>818</v>
      </c>
      <c r="C152" s="178"/>
      <c r="D152" s="178"/>
      <c r="E152" s="178"/>
      <c r="F152" s="178"/>
      <c r="G152" s="91"/>
      <c r="H152"/>
      <c r="I152"/>
      <c r="J152"/>
      <c r="K152"/>
      <c r="L152"/>
      <c r="M152"/>
      <c r="N152"/>
      <c r="O152"/>
    </row>
    <row r="153" spans="1:15" ht="14.1" customHeight="1" x14ac:dyDescent="0.2">
      <c r="A153" s="18"/>
      <c r="B153" s="18"/>
      <c r="C153" s="18"/>
      <c r="D153" s="20"/>
      <c r="E153" s="20"/>
      <c r="F153" s="20"/>
      <c r="G153" s="20"/>
    </row>
    <row r="154" spans="1:15" ht="14.1" customHeight="1" x14ac:dyDescent="0.2">
      <c r="A154" s="18"/>
      <c r="B154" s="174" t="s">
        <v>124</v>
      </c>
      <c r="C154" s="175"/>
      <c r="D154" s="12" t="s">
        <v>96</v>
      </c>
      <c r="E154" s="21"/>
      <c r="F154" s="20"/>
      <c r="G154" s="20"/>
      <c r="I154" s="82"/>
      <c r="J154" s="82"/>
      <c r="K154" s="82"/>
      <c r="L154" s="82"/>
      <c r="M154" s="82"/>
      <c r="N154" s="82"/>
      <c r="O154" s="82"/>
    </row>
    <row r="155" spans="1:15" ht="29.1" customHeight="1" x14ac:dyDescent="0.2">
      <c r="A155" s="18"/>
      <c r="B155" s="172" t="s">
        <v>125</v>
      </c>
      <c r="C155" s="173"/>
      <c r="D155" s="2" t="s">
        <v>126</v>
      </c>
      <c r="E155" s="21"/>
      <c r="F155" s="20"/>
      <c r="G155" s="20"/>
    </row>
    <row r="156" spans="1:15" ht="17.100000000000001" customHeight="1" x14ac:dyDescent="0.2">
      <c r="A156" s="18"/>
      <c r="B156" s="172" t="s">
        <v>127</v>
      </c>
      <c r="C156" s="173"/>
      <c r="D156" s="2" t="s">
        <v>126</v>
      </c>
      <c r="E156" s="21"/>
      <c r="F156" s="20"/>
      <c r="G156" s="20"/>
    </row>
    <row r="157" spans="1:15" ht="17.100000000000001" customHeight="1" x14ac:dyDescent="0.2">
      <c r="A157" s="18"/>
      <c r="B157" s="172" t="s">
        <v>128</v>
      </c>
      <c r="C157" s="173"/>
      <c r="D157" s="12" t="s">
        <v>96</v>
      </c>
      <c r="E157" s="21"/>
      <c r="F157" s="20"/>
      <c r="G157" s="20"/>
    </row>
    <row r="158" spans="1:15" ht="24" customHeight="1" x14ac:dyDescent="0.2">
      <c r="A158" s="22"/>
      <c r="B158" s="23" t="s">
        <v>96</v>
      </c>
      <c r="C158" s="23" t="s">
        <v>129</v>
      </c>
      <c r="D158" s="23" t="s">
        <v>130</v>
      </c>
      <c r="E158" s="22"/>
      <c r="F158" s="22"/>
      <c r="G158" s="22"/>
    </row>
    <row r="159" spans="1:15" ht="18" customHeight="1" x14ac:dyDescent="0.2">
      <c r="A159" s="22"/>
      <c r="B159" s="23" t="s">
        <v>131</v>
      </c>
      <c r="C159" s="23" t="s">
        <v>132</v>
      </c>
      <c r="D159" s="23" t="s">
        <v>133</v>
      </c>
      <c r="E159" s="22"/>
      <c r="F159" s="22"/>
      <c r="G159" s="22"/>
    </row>
    <row r="160" spans="1:15" ht="17.100000000000001" customHeight="1" x14ac:dyDescent="0.2">
      <c r="A160" s="22"/>
      <c r="B160" s="4" t="s">
        <v>134</v>
      </c>
      <c r="C160" s="24">
        <v>13.2621</v>
      </c>
      <c r="D160" s="24">
        <v>13.0929</v>
      </c>
      <c r="E160" s="22"/>
      <c r="F160" s="19"/>
      <c r="G160" s="25"/>
    </row>
    <row r="161" spans="1:16" ht="17.100000000000001" customHeight="1" x14ac:dyDescent="0.2">
      <c r="A161" s="22"/>
      <c r="B161" s="4" t="s">
        <v>983</v>
      </c>
      <c r="C161" s="24">
        <v>13.262</v>
      </c>
      <c r="D161" s="24">
        <v>13.0928</v>
      </c>
      <c r="E161" s="22"/>
      <c r="F161" s="19"/>
      <c r="G161" s="25"/>
    </row>
    <row r="162" spans="1:16" ht="17.100000000000001" customHeight="1" x14ac:dyDescent="0.2">
      <c r="A162" s="22"/>
      <c r="B162" s="4" t="s">
        <v>135</v>
      </c>
      <c r="C162" s="24">
        <v>12.6097</v>
      </c>
      <c r="D162" s="24">
        <v>12.431699999999999</v>
      </c>
      <c r="E162" s="22"/>
      <c r="F162" s="19"/>
      <c r="G162" s="25"/>
    </row>
    <row r="163" spans="1:16" ht="17.100000000000001" customHeight="1" x14ac:dyDescent="0.2">
      <c r="A163" s="22"/>
      <c r="B163" s="4" t="s">
        <v>984</v>
      </c>
      <c r="C163" s="24">
        <v>12.609500000000001</v>
      </c>
      <c r="D163" s="24">
        <v>12.4315</v>
      </c>
      <c r="E163" s="22"/>
      <c r="F163" s="19"/>
      <c r="G163" s="25"/>
    </row>
    <row r="164" spans="1:16" ht="14.1" customHeight="1" x14ac:dyDescent="0.2">
      <c r="A164" s="22"/>
      <c r="B164" s="22"/>
      <c r="C164" s="22"/>
      <c r="D164" s="22"/>
      <c r="E164" s="22"/>
      <c r="F164" s="22"/>
      <c r="G164" s="22"/>
    </row>
    <row r="165" spans="1:16" ht="17.100000000000001" customHeight="1" x14ac:dyDescent="0.2">
      <c r="A165" s="22"/>
      <c r="B165" s="172" t="s">
        <v>985</v>
      </c>
      <c r="C165" s="173"/>
      <c r="D165" s="2" t="s">
        <v>126</v>
      </c>
      <c r="E165" s="22"/>
      <c r="F165" s="22"/>
      <c r="G165" s="22"/>
    </row>
    <row r="166" spans="1:16" ht="18" customHeight="1" x14ac:dyDescent="0.2">
      <c r="A166" s="22"/>
      <c r="B166" s="26" t="s">
        <v>136</v>
      </c>
      <c r="C166" s="26" t="s">
        <v>136</v>
      </c>
      <c r="D166" s="26"/>
      <c r="E166" s="22"/>
      <c r="F166" s="22"/>
      <c r="G166" s="22"/>
    </row>
    <row r="167" spans="1:16" s="82" customFormat="1" x14ac:dyDescent="0.2">
      <c r="B167" s="177" t="s">
        <v>936</v>
      </c>
      <c r="C167" s="177"/>
      <c r="D167" s="177"/>
      <c r="E167" s="177"/>
      <c r="F167" s="177"/>
      <c r="I167"/>
      <c r="J167"/>
      <c r="K167"/>
      <c r="L167"/>
      <c r="M167"/>
      <c r="N167"/>
      <c r="O167"/>
      <c r="P167" s="70"/>
    </row>
    <row r="168" spans="1:16" ht="14.1" customHeight="1" x14ac:dyDescent="0.2">
      <c r="A168" s="22"/>
      <c r="B168" s="19"/>
      <c r="C168" s="19"/>
      <c r="D168" s="22"/>
      <c r="E168" s="22"/>
      <c r="F168" s="22"/>
      <c r="G168" s="22"/>
    </row>
    <row r="169" spans="1:16" ht="29.1" customHeight="1" x14ac:dyDescent="0.2">
      <c r="A169" s="22"/>
      <c r="B169" s="172" t="s">
        <v>137</v>
      </c>
      <c r="C169" s="173"/>
      <c r="D169" s="2" t="s">
        <v>937</v>
      </c>
      <c r="E169" s="22"/>
      <c r="F169" s="22"/>
      <c r="G169" s="22"/>
    </row>
    <row r="170" spans="1:16" ht="29.1" customHeight="1" x14ac:dyDescent="0.2">
      <c r="A170" s="22"/>
      <c r="B170" s="172" t="s">
        <v>138</v>
      </c>
      <c r="C170" s="173"/>
      <c r="D170" s="2" t="s">
        <v>126</v>
      </c>
      <c r="E170" s="22"/>
      <c r="F170" s="22"/>
      <c r="G170" s="22"/>
    </row>
    <row r="171" spans="1:16" ht="17.100000000000001" customHeight="1" x14ac:dyDescent="0.2">
      <c r="A171" s="86"/>
      <c r="B171" s="179" t="s">
        <v>939</v>
      </c>
      <c r="C171" s="180"/>
      <c r="D171" s="87">
        <v>1.0532958719395988</v>
      </c>
      <c r="E171" s="86"/>
      <c r="F171" s="88"/>
      <c r="G171" s="89"/>
    </row>
    <row r="172" spans="1:16" ht="17.100000000000001" customHeight="1" x14ac:dyDescent="0.2">
      <c r="A172" s="86"/>
      <c r="B172" s="179" t="s">
        <v>940</v>
      </c>
      <c r="C172" s="180"/>
      <c r="D172" s="87">
        <v>0.9655809692289653</v>
      </c>
      <c r="E172" s="86"/>
      <c r="F172" s="86"/>
      <c r="G172" s="86"/>
    </row>
    <row r="173" spans="1:16" x14ac:dyDescent="0.2">
      <c r="B173" s="172" t="s">
        <v>941</v>
      </c>
      <c r="C173" s="173"/>
      <c r="D173" s="27">
        <v>4.6638553637238056</v>
      </c>
    </row>
    <row r="174" spans="1:16" x14ac:dyDescent="0.2">
      <c r="B174" s="172" t="s">
        <v>942</v>
      </c>
      <c r="C174" s="173"/>
      <c r="D174" s="2" t="s">
        <v>126</v>
      </c>
    </row>
  </sheetData>
  <mergeCells count="18">
    <mergeCell ref="J2:N2"/>
    <mergeCell ref="B170:C170"/>
    <mergeCell ref="B171:C171"/>
    <mergeCell ref="B172:C172"/>
    <mergeCell ref="B173:C173"/>
    <mergeCell ref="B154:C154"/>
    <mergeCell ref="B151:F151"/>
    <mergeCell ref="B152:F152"/>
    <mergeCell ref="A1:H1"/>
    <mergeCell ref="A2:H2"/>
    <mergeCell ref="A3:H3"/>
    <mergeCell ref="B174:C174"/>
    <mergeCell ref="B155:C155"/>
    <mergeCell ref="B156:C156"/>
    <mergeCell ref="B157:C157"/>
    <mergeCell ref="B165:C165"/>
    <mergeCell ref="B169:C169"/>
    <mergeCell ref="B167:F167"/>
  </mergeCells>
  <pageMargins left="5.000000074505806E-2" right="5.000000074505806E-2" top="0.30000001192092896" bottom="0.20000000298023224" header="0" footer="0"/>
  <pageSetup paperSize="9" orientation="landscape"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P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723</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3">
        <v>1</v>
      </c>
      <c r="B7" s="4" t="s">
        <v>410</v>
      </c>
      <c r="C7" s="4" t="s">
        <v>411</v>
      </c>
      <c r="D7" s="4" t="s">
        <v>22</v>
      </c>
      <c r="E7" s="5">
        <v>619930</v>
      </c>
      <c r="F7" s="6">
        <v>9258.9645149999997</v>
      </c>
      <c r="G7" s="7">
        <v>0.199283452</v>
      </c>
      <c r="H7" s="69"/>
    </row>
    <row r="8" spans="1:14" x14ac:dyDescent="0.2">
      <c r="A8" s="3">
        <v>2</v>
      </c>
      <c r="B8" s="4" t="s">
        <v>20</v>
      </c>
      <c r="C8" s="4" t="s">
        <v>21</v>
      </c>
      <c r="D8" s="4" t="s">
        <v>22</v>
      </c>
      <c r="E8" s="5">
        <v>1125934</v>
      </c>
      <c r="F8" s="6">
        <v>8043.1095290000003</v>
      </c>
      <c r="G8" s="7">
        <v>0.173114243</v>
      </c>
      <c r="H8" s="69"/>
    </row>
    <row r="9" spans="1:14" ht="25.5" x14ac:dyDescent="0.2">
      <c r="A9" s="3">
        <v>3</v>
      </c>
      <c r="B9" s="4" t="s">
        <v>414</v>
      </c>
      <c r="C9" s="4" t="s">
        <v>415</v>
      </c>
      <c r="D9" s="4" t="s">
        <v>78</v>
      </c>
      <c r="E9" s="5">
        <v>161518</v>
      </c>
      <c r="F9" s="6">
        <v>4317.5376580000002</v>
      </c>
      <c r="G9" s="7">
        <v>9.2927649000000001E-2</v>
      </c>
      <c r="H9" s="69"/>
    </row>
    <row r="10" spans="1:14" x14ac:dyDescent="0.2">
      <c r="A10" s="3">
        <v>4</v>
      </c>
      <c r="B10" s="4" t="s">
        <v>326</v>
      </c>
      <c r="C10" s="4" t="s">
        <v>327</v>
      </c>
      <c r="D10" s="4" t="s">
        <v>22</v>
      </c>
      <c r="E10" s="5">
        <v>582054</v>
      </c>
      <c r="F10" s="6">
        <v>3816.2370510000001</v>
      </c>
      <c r="G10" s="7">
        <v>8.2138006999999999E-2</v>
      </c>
      <c r="H10" s="69"/>
    </row>
    <row r="11" spans="1:14" x14ac:dyDescent="0.2">
      <c r="A11" s="3">
        <v>5</v>
      </c>
      <c r="B11" s="4" t="s">
        <v>416</v>
      </c>
      <c r="C11" s="4" t="s">
        <v>417</v>
      </c>
      <c r="D11" s="4" t="s">
        <v>22</v>
      </c>
      <c r="E11" s="5">
        <v>782092</v>
      </c>
      <c r="F11" s="6">
        <v>3601.9247059999998</v>
      </c>
      <c r="G11" s="7">
        <v>7.7525299000000006E-2</v>
      </c>
      <c r="H11" s="69"/>
    </row>
    <row r="12" spans="1:14" x14ac:dyDescent="0.2">
      <c r="A12" s="3">
        <v>6</v>
      </c>
      <c r="B12" s="4" t="s">
        <v>384</v>
      </c>
      <c r="C12" s="4" t="s">
        <v>385</v>
      </c>
      <c r="D12" s="4" t="s">
        <v>982</v>
      </c>
      <c r="E12" s="5">
        <v>17895</v>
      </c>
      <c r="F12" s="6">
        <v>3084.6237824999998</v>
      </c>
      <c r="G12" s="7">
        <v>6.6391276999999999E-2</v>
      </c>
      <c r="H12" s="69"/>
    </row>
    <row r="13" spans="1:14" x14ac:dyDescent="0.2">
      <c r="A13" s="3">
        <v>7</v>
      </c>
      <c r="B13" s="4" t="s">
        <v>441</v>
      </c>
      <c r="C13" s="4" t="s">
        <v>442</v>
      </c>
      <c r="D13" s="4" t="s">
        <v>22</v>
      </c>
      <c r="E13" s="5">
        <v>146084</v>
      </c>
      <c r="F13" s="6">
        <v>2866.0219959999999</v>
      </c>
      <c r="G13" s="7">
        <v>6.1686245000000001E-2</v>
      </c>
      <c r="H13" s="69"/>
    </row>
    <row r="14" spans="1:14" x14ac:dyDescent="0.2">
      <c r="A14" s="3">
        <v>8</v>
      </c>
      <c r="B14" s="4" t="s">
        <v>176</v>
      </c>
      <c r="C14" s="4" t="s">
        <v>177</v>
      </c>
      <c r="D14" s="4" t="s">
        <v>78</v>
      </c>
      <c r="E14" s="5">
        <v>198851</v>
      </c>
      <c r="F14" s="6">
        <v>1609.499994</v>
      </c>
      <c r="G14" s="7">
        <v>3.4641748E-2</v>
      </c>
      <c r="H14" s="69"/>
    </row>
    <row r="15" spans="1:14" ht="15" x14ac:dyDescent="0.2">
      <c r="A15" s="3">
        <v>9</v>
      </c>
      <c r="B15" s="4" t="s">
        <v>519</v>
      </c>
      <c r="C15" s="4" t="s">
        <v>520</v>
      </c>
      <c r="D15" s="4" t="s">
        <v>22</v>
      </c>
      <c r="E15" s="5">
        <v>569695</v>
      </c>
      <c r="F15" s="6">
        <v>1576.0612175000001</v>
      </c>
      <c r="G15" s="7">
        <v>3.3922035000000003E-2</v>
      </c>
      <c r="H15" s="69"/>
      <c r="J15" s="160" t="s">
        <v>1027</v>
      </c>
    </row>
    <row r="16" spans="1:14" x14ac:dyDescent="0.2">
      <c r="A16" s="3">
        <v>10</v>
      </c>
      <c r="B16" s="4" t="s">
        <v>337</v>
      </c>
      <c r="C16" s="4" t="s">
        <v>338</v>
      </c>
      <c r="D16" s="4" t="s">
        <v>78</v>
      </c>
      <c r="E16" s="5">
        <v>67563</v>
      </c>
      <c r="F16" s="6">
        <v>950.40872100000001</v>
      </c>
      <c r="G16" s="7">
        <v>2.0455930000000001E-2</v>
      </c>
      <c r="H16" s="69"/>
    </row>
    <row r="17" spans="1:8" x14ac:dyDescent="0.2">
      <c r="A17" s="3">
        <v>11</v>
      </c>
      <c r="B17" s="4" t="s">
        <v>418</v>
      </c>
      <c r="C17" s="4" t="s">
        <v>419</v>
      </c>
      <c r="D17" s="4" t="s">
        <v>982</v>
      </c>
      <c r="E17" s="5">
        <v>79336</v>
      </c>
      <c r="F17" s="6">
        <v>920.73394800000005</v>
      </c>
      <c r="G17" s="7">
        <v>1.9817231000000001E-2</v>
      </c>
      <c r="H17" s="69"/>
    </row>
    <row r="18" spans="1:8" ht="25.5" x14ac:dyDescent="0.2">
      <c r="A18" s="3">
        <v>12</v>
      </c>
      <c r="B18" s="4" t="s">
        <v>312</v>
      </c>
      <c r="C18" s="4" t="s">
        <v>313</v>
      </c>
      <c r="D18" s="4" t="s">
        <v>78</v>
      </c>
      <c r="E18" s="5">
        <v>141241</v>
      </c>
      <c r="F18" s="6">
        <v>777.53170499999999</v>
      </c>
      <c r="G18" s="7">
        <v>1.6735046999999999E-2</v>
      </c>
      <c r="H18" s="69"/>
    </row>
    <row r="19" spans="1:8" x14ac:dyDescent="0.2">
      <c r="A19" s="3">
        <v>13</v>
      </c>
      <c r="B19" s="4" t="s">
        <v>687</v>
      </c>
      <c r="C19" s="4" t="s">
        <v>688</v>
      </c>
      <c r="D19" s="4" t="s">
        <v>22</v>
      </c>
      <c r="E19" s="5">
        <v>83704</v>
      </c>
      <c r="F19" s="6">
        <v>739.10631999999998</v>
      </c>
      <c r="G19" s="7">
        <v>1.5908005999999999E-2</v>
      </c>
      <c r="H19" s="69"/>
    </row>
    <row r="20" spans="1:8" x14ac:dyDescent="0.2">
      <c r="A20" s="3">
        <v>14</v>
      </c>
      <c r="B20" s="4" t="s">
        <v>76</v>
      </c>
      <c r="C20" s="4" t="s">
        <v>77</v>
      </c>
      <c r="D20" s="4" t="s">
        <v>78</v>
      </c>
      <c r="E20" s="5">
        <v>260000</v>
      </c>
      <c r="F20" s="6">
        <v>665.6</v>
      </c>
      <c r="G20" s="7">
        <v>1.4325907000000001E-2</v>
      </c>
      <c r="H20" s="69"/>
    </row>
    <row r="21" spans="1:8" x14ac:dyDescent="0.2">
      <c r="A21" s="3">
        <v>15</v>
      </c>
      <c r="B21" s="4" t="s">
        <v>345</v>
      </c>
      <c r="C21" s="4" t="s">
        <v>346</v>
      </c>
      <c r="D21" s="4" t="s">
        <v>22</v>
      </c>
      <c r="E21" s="5">
        <v>51843</v>
      </c>
      <c r="F21" s="6">
        <v>568.25112300000001</v>
      </c>
      <c r="G21" s="7">
        <v>1.2230638E-2</v>
      </c>
      <c r="H21" s="69"/>
    </row>
    <row r="22" spans="1:8" x14ac:dyDescent="0.2">
      <c r="A22" s="3">
        <v>16</v>
      </c>
      <c r="B22" s="4" t="s">
        <v>564</v>
      </c>
      <c r="C22" s="4" t="s">
        <v>565</v>
      </c>
      <c r="D22" s="4" t="s">
        <v>78</v>
      </c>
      <c r="E22" s="5">
        <v>7202</v>
      </c>
      <c r="F22" s="6">
        <v>503.94194499999998</v>
      </c>
      <c r="G22" s="7">
        <v>1.0846493E-2</v>
      </c>
      <c r="H22" s="69"/>
    </row>
    <row r="23" spans="1:8" x14ac:dyDescent="0.2">
      <c r="A23" s="3">
        <v>17</v>
      </c>
      <c r="B23" s="4" t="s">
        <v>724</v>
      </c>
      <c r="C23" s="4" t="s">
        <v>725</v>
      </c>
      <c r="D23" s="4" t="s">
        <v>78</v>
      </c>
      <c r="E23" s="5">
        <v>414772</v>
      </c>
      <c r="F23" s="6">
        <v>452.51625200000001</v>
      </c>
      <c r="G23" s="7">
        <v>9.7396419999999997E-3</v>
      </c>
      <c r="H23" s="69"/>
    </row>
    <row r="24" spans="1:8" x14ac:dyDescent="0.2">
      <c r="A24" s="3">
        <v>18</v>
      </c>
      <c r="B24" s="4" t="s">
        <v>330</v>
      </c>
      <c r="C24" s="4" t="s">
        <v>331</v>
      </c>
      <c r="D24" s="4" t="s">
        <v>22</v>
      </c>
      <c r="E24" s="5">
        <v>498429</v>
      </c>
      <c r="F24" s="6">
        <v>432.63637199999999</v>
      </c>
      <c r="G24" s="7">
        <v>9.3117619999999995E-3</v>
      </c>
      <c r="H24" s="69"/>
    </row>
    <row r="25" spans="1:8" x14ac:dyDescent="0.2">
      <c r="A25" s="3">
        <v>19</v>
      </c>
      <c r="B25" s="4" t="s">
        <v>310</v>
      </c>
      <c r="C25" s="4" t="s">
        <v>311</v>
      </c>
      <c r="D25" s="4" t="s">
        <v>982</v>
      </c>
      <c r="E25" s="5">
        <v>31042</v>
      </c>
      <c r="F25" s="6">
        <v>291.87240500000001</v>
      </c>
      <c r="G25" s="7">
        <v>6.2820569999999997E-3</v>
      </c>
      <c r="H25" s="69"/>
    </row>
    <row r="26" spans="1:8" ht="25.5" x14ac:dyDescent="0.2">
      <c r="A26" s="3">
        <v>20</v>
      </c>
      <c r="B26" s="4" t="s">
        <v>458</v>
      </c>
      <c r="C26" s="4" t="s">
        <v>459</v>
      </c>
      <c r="D26" s="4" t="s">
        <v>982</v>
      </c>
      <c r="E26" s="5">
        <v>19277</v>
      </c>
      <c r="F26" s="6">
        <v>277.07795950000002</v>
      </c>
      <c r="G26" s="7">
        <v>5.9636309999999996E-3</v>
      </c>
      <c r="H26" s="69"/>
    </row>
    <row r="27" spans="1:8" x14ac:dyDescent="0.2">
      <c r="A27" s="3">
        <v>21</v>
      </c>
      <c r="B27" s="4" t="s">
        <v>589</v>
      </c>
      <c r="C27" s="4" t="s">
        <v>590</v>
      </c>
      <c r="D27" s="4" t="s">
        <v>982</v>
      </c>
      <c r="E27" s="5">
        <v>39000</v>
      </c>
      <c r="F27" s="6">
        <v>265.512</v>
      </c>
      <c r="G27" s="7">
        <v>5.7146940000000002E-3</v>
      </c>
      <c r="H27" s="69"/>
    </row>
    <row r="28" spans="1:8" x14ac:dyDescent="0.2">
      <c r="A28" s="3">
        <v>22</v>
      </c>
      <c r="B28" s="4" t="s">
        <v>382</v>
      </c>
      <c r="C28" s="4" t="s">
        <v>383</v>
      </c>
      <c r="D28" s="4" t="s">
        <v>78</v>
      </c>
      <c r="E28" s="5">
        <v>59054</v>
      </c>
      <c r="F28" s="6">
        <v>219.73993400000001</v>
      </c>
      <c r="G28" s="7">
        <v>4.7295280000000002E-3</v>
      </c>
      <c r="H28" s="69"/>
    </row>
    <row r="29" spans="1:8" x14ac:dyDescent="0.2">
      <c r="A29" s="3">
        <v>23</v>
      </c>
      <c r="B29" s="4" t="s">
        <v>541</v>
      </c>
      <c r="C29" s="4" t="s">
        <v>542</v>
      </c>
      <c r="D29" s="4" t="s">
        <v>976</v>
      </c>
      <c r="E29" s="5">
        <v>16200</v>
      </c>
      <c r="F29" s="6">
        <v>177.49529999999999</v>
      </c>
      <c r="G29" s="7">
        <v>3.8202840000000002E-3</v>
      </c>
      <c r="H29" s="69"/>
    </row>
    <row r="30" spans="1:8" x14ac:dyDescent="0.2">
      <c r="A30" s="3">
        <v>24</v>
      </c>
      <c r="B30" s="4" t="s">
        <v>726</v>
      </c>
      <c r="C30" s="4" t="s">
        <v>727</v>
      </c>
      <c r="D30" s="4" t="s">
        <v>78</v>
      </c>
      <c r="E30" s="5">
        <v>184713</v>
      </c>
      <c r="F30" s="6">
        <v>131.42329950000001</v>
      </c>
      <c r="G30" s="7">
        <v>2.8286629999999999E-3</v>
      </c>
      <c r="H30" s="69"/>
    </row>
    <row r="31" spans="1:8" x14ac:dyDescent="0.2">
      <c r="A31" s="3">
        <v>25</v>
      </c>
      <c r="B31" s="4" t="s">
        <v>357</v>
      </c>
      <c r="C31" s="4" t="s">
        <v>358</v>
      </c>
      <c r="D31" s="4" t="s">
        <v>976</v>
      </c>
      <c r="E31" s="5">
        <v>15113</v>
      </c>
      <c r="F31" s="6">
        <v>110.62716</v>
      </c>
      <c r="G31" s="7">
        <v>2.3810609999999999E-3</v>
      </c>
      <c r="H31" s="69"/>
    </row>
    <row r="32" spans="1:8" ht="25.5" x14ac:dyDescent="0.2">
      <c r="A32" s="3">
        <v>26</v>
      </c>
      <c r="B32" s="4" t="s">
        <v>728</v>
      </c>
      <c r="C32" s="4" t="s">
        <v>729</v>
      </c>
      <c r="D32" s="4" t="s">
        <v>78</v>
      </c>
      <c r="E32" s="5">
        <v>31804</v>
      </c>
      <c r="F32" s="6">
        <v>49.359808000000001</v>
      </c>
      <c r="G32" s="7">
        <v>1.062386E-3</v>
      </c>
      <c r="H32" s="69"/>
    </row>
    <row r="33" spans="1:8" x14ac:dyDescent="0.2">
      <c r="A33" s="1"/>
      <c r="B33" s="1"/>
      <c r="C33" s="2" t="s">
        <v>95</v>
      </c>
      <c r="D33" s="1"/>
      <c r="E33" s="1" t="s">
        <v>96</v>
      </c>
      <c r="F33" s="9">
        <v>45707.814701000003</v>
      </c>
      <c r="G33" s="10">
        <v>0.98378291500000004</v>
      </c>
      <c r="H33" s="69"/>
    </row>
    <row r="34" spans="1:8" x14ac:dyDescent="0.2">
      <c r="A34" s="1"/>
      <c r="B34" s="1"/>
      <c r="C34" s="11"/>
      <c r="D34" s="1"/>
      <c r="E34" s="1"/>
      <c r="F34" s="12"/>
      <c r="G34" s="12"/>
      <c r="H34" s="69"/>
    </row>
    <row r="35" spans="1:8" x14ac:dyDescent="0.2">
      <c r="A35" s="1"/>
      <c r="B35" s="1"/>
      <c r="C35" s="2" t="s">
        <v>97</v>
      </c>
      <c r="D35" s="1"/>
      <c r="E35" s="1"/>
      <c r="F35" s="1"/>
      <c r="G35" s="1"/>
      <c r="H35" s="69"/>
    </row>
    <row r="36" spans="1:8" x14ac:dyDescent="0.2">
      <c r="A36" s="1"/>
      <c r="B36" s="1"/>
      <c r="C36" s="2" t="s">
        <v>95</v>
      </c>
      <c r="D36" s="1"/>
      <c r="E36" s="1" t="s">
        <v>96</v>
      </c>
      <c r="F36" s="13">
        <v>0</v>
      </c>
      <c r="G36" s="14">
        <v>0</v>
      </c>
      <c r="H36" s="69"/>
    </row>
    <row r="37" spans="1:8" x14ac:dyDescent="0.2">
      <c r="A37" s="1"/>
      <c r="B37" s="1"/>
      <c r="C37" s="11"/>
      <c r="D37" s="1"/>
      <c r="E37" s="1"/>
      <c r="F37" s="12"/>
      <c r="G37" s="12"/>
      <c r="H37" s="69"/>
    </row>
    <row r="38" spans="1:8" x14ac:dyDescent="0.2">
      <c r="A38" s="1"/>
      <c r="B38" s="1"/>
      <c r="C38" s="2" t="s">
        <v>98</v>
      </c>
      <c r="D38" s="1"/>
      <c r="E38" s="1"/>
      <c r="F38" s="1"/>
      <c r="G38" s="1"/>
      <c r="H38" s="69"/>
    </row>
    <row r="39" spans="1:8" x14ac:dyDescent="0.2">
      <c r="A39" s="1"/>
      <c r="B39" s="1"/>
      <c r="C39" s="2" t="s">
        <v>95</v>
      </c>
      <c r="D39" s="1"/>
      <c r="E39" s="1" t="s">
        <v>96</v>
      </c>
      <c r="F39" s="13">
        <v>0</v>
      </c>
      <c r="G39" s="14">
        <v>0</v>
      </c>
      <c r="H39" s="69"/>
    </row>
    <row r="40" spans="1:8" x14ac:dyDescent="0.2">
      <c r="A40" s="1"/>
      <c r="B40" s="1"/>
      <c r="C40" s="11"/>
      <c r="D40" s="1"/>
      <c r="E40" s="1"/>
      <c r="F40" s="12"/>
      <c r="G40" s="12"/>
      <c r="H40" s="69"/>
    </row>
    <row r="41" spans="1:8" x14ac:dyDescent="0.2">
      <c r="A41" s="1"/>
      <c r="B41" s="1"/>
      <c r="C41" s="2" t="s">
        <v>99</v>
      </c>
      <c r="D41" s="1"/>
      <c r="E41" s="1"/>
      <c r="F41" s="1"/>
      <c r="G41" s="1"/>
      <c r="H41" s="69"/>
    </row>
    <row r="42" spans="1:8" x14ac:dyDescent="0.2">
      <c r="A42" s="1"/>
      <c r="B42" s="1"/>
      <c r="C42" s="2" t="s">
        <v>95</v>
      </c>
      <c r="D42" s="1"/>
      <c r="E42" s="1" t="s">
        <v>96</v>
      </c>
      <c r="F42" s="13">
        <v>0</v>
      </c>
      <c r="G42" s="14">
        <v>0</v>
      </c>
      <c r="H42" s="69"/>
    </row>
    <row r="43" spans="1:8" x14ac:dyDescent="0.2">
      <c r="A43" s="1"/>
      <c r="B43" s="1"/>
      <c r="C43" s="11"/>
      <c r="D43" s="1"/>
      <c r="E43" s="1"/>
      <c r="F43" s="12"/>
      <c r="G43" s="12"/>
      <c r="H43" s="69"/>
    </row>
    <row r="44" spans="1:8" x14ac:dyDescent="0.2">
      <c r="A44" s="1"/>
      <c r="B44" s="1"/>
      <c r="C44" s="2" t="s">
        <v>100</v>
      </c>
      <c r="D44" s="1"/>
      <c r="E44" s="1"/>
      <c r="F44" s="12"/>
      <c r="G44" s="12"/>
      <c r="H44" s="69"/>
    </row>
    <row r="45" spans="1:8" x14ac:dyDescent="0.2">
      <c r="A45" s="1"/>
      <c r="B45" s="1"/>
      <c r="C45" s="2" t="s">
        <v>95</v>
      </c>
      <c r="D45" s="1"/>
      <c r="E45" s="1" t="s">
        <v>96</v>
      </c>
      <c r="F45" s="13">
        <v>0</v>
      </c>
      <c r="G45" s="14">
        <v>0</v>
      </c>
      <c r="H45" s="69"/>
    </row>
    <row r="46" spans="1:8" x14ac:dyDescent="0.2">
      <c r="A46" s="1"/>
      <c r="B46" s="1"/>
      <c r="C46" s="11"/>
      <c r="D46" s="1"/>
      <c r="E46" s="1"/>
      <c r="F46" s="12"/>
      <c r="G46" s="12"/>
      <c r="H46" s="69"/>
    </row>
    <row r="47" spans="1:8" x14ac:dyDescent="0.2">
      <c r="A47" s="1"/>
      <c r="B47" s="1"/>
      <c r="C47" s="2" t="s">
        <v>101</v>
      </c>
      <c r="D47" s="1"/>
      <c r="E47" s="1"/>
      <c r="F47" s="12"/>
      <c r="G47" s="12"/>
      <c r="H47" s="69"/>
    </row>
    <row r="48" spans="1:8" x14ac:dyDescent="0.2">
      <c r="A48" s="1"/>
      <c r="B48" s="1"/>
      <c r="C48" s="2" t="s">
        <v>95</v>
      </c>
      <c r="D48" s="1"/>
      <c r="E48" s="1" t="s">
        <v>96</v>
      </c>
      <c r="F48" s="13">
        <v>0</v>
      </c>
      <c r="G48" s="14">
        <v>0</v>
      </c>
      <c r="H48" s="69"/>
    </row>
    <row r="49" spans="1:8" x14ac:dyDescent="0.2">
      <c r="A49" s="1"/>
      <c r="B49" s="1"/>
      <c r="C49" s="11"/>
      <c r="D49" s="1"/>
      <c r="E49" s="1"/>
      <c r="F49" s="12"/>
      <c r="G49" s="12"/>
      <c r="H49" s="69"/>
    </row>
    <row r="50" spans="1:8" x14ac:dyDescent="0.2">
      <c r="A50" s="1"/>
      <c r="B50" s="1"/>
      <c r="C50" s="2" t="s">
        <v>102</v>
      </c>
      <c r="D50" s="1"/>
      <c r="E50" s="1"/>
      <c r="F50" s="9">
        <v>45707.814701000003</v>
      </c>
      <c r="G50" s="10">
        <v>0.98378291500000004</v>
      </c>
      <c r="H50" s="69"/>
    </row>
    <row r="51" spans="1:8" x14ac:dyDescent="0.2">
      <c r="A51" s="1"/>
      <c r="B51" s="1"/>
      <c r="C51" s="11"/>
      <c r="D51" s="1"/>
      <c r="E51" s="1"/>
      <c r="F51" s="12"/>
      <c r="G51" s="12"/>
      <c r="H51" s="69"/>
    </row>
    <row r="52" spans="1:8" x14ac:dyDescent="0.2">
      <c r="A52" s="1"/>
      <c r="B52" s="1"/>
      <c r="C52" s="2" t="s">
        <v>103</v>
      </c>
      <c r="D52" s="1"/>
      <c r="E52" s="1"/>
      <c r="F52" s="12"/>
      <c r="G52" s="12"/>
      <c r="H52" s="69"/>
    </row>
    <row r="53" spans="1:8" ht="25.5" x14ac:dyDescent="0.2">
      <c r="A53" s="1"/>
      <c r="B53" s="1"/>
      <c r="C53" s="2" t="s">
        <v>10</v>
      </c>
      <c r="D53" s="1"/>
      <c r="E53" s="1"/>
      <c r="F53" s="12"/>
      <c r="G53" s="12"/>
      <c r="H53" s="69"/>
    </row>
    <row r="54" spans="1:8" x14ac:dyDescent="0.2">
      <c r="A54" s="1"/>
      <c r="B54" s="1"/>
      <c r="C54" s="2" t="s">
        <v>95</v>
      </c>
      <c r="D54" s="1"/>
      <c r="E54" s="1" t="s">
        <v>96</v>
      </c>
      <c r="F54" s="13">
        <v>0</v>
      </c>
      <c r="G54" s="14">
        <v>0</v>
      </c>
      <c r="H54" s="69"/>
    </row>
    <row r="55" spans="1:8" x14ac:dyDescent="0.2">
      <c r="A55" s="1"/>
      <c r="B55" s="1"/>
      <c r="C55" s="11"/>
      <c r="D55" s="1"/>
      <c r="E55" s="1"/>
      <c r="F55" s="12"/>
      <c r="G55" s="12"/>
      <c r="H55" s="69"/>
    </row>
    <row r="56" spans="1:8" x14ac:dyDescent="0.2">
      <c r="A56" s="1"/>
      <c r="B56" s="1"/>
      <c r="C56" s="2" t="s">
        <v>104</v>
      </c>
      <c r="D56" s="1"/>
      <c r="E56" s="1"/>
      <c r="F56" s="1"/>
      <c r="G56" s="1"/>
      <c r="H56" s="69"/>
    </row>
    <row r="57" spans="1:8" x14ac:dyDescent="0.2">
      <c r="A57" s="1"/>
      <c r="B57" s="1"/>
      <c r="C57" s="2" t="s">
        <v>95</v>
      </c>
      <c r="D57" s="1"/>
      <c r="E57" s="1" t="s">
        <v>96</v>
      </c>
      <c r="F57" s="13">
        <v>0</v>
      </c>
      <c r="G57" s="14">
        <v>0</v>
      </c>
      <c r="H57" s="69"/>
    </row>
    <row r="58" spans="1:8" x14ac:dyDescent="0.2">
      <c r="A58" s="1"/>
      <c r="B58" s="1"/>
      <c r="C58" s="11"/>
      <c r="D58" s="1"/>
      <c r="E58" s="1"/>
      <c r="F58" s="12"/>
      <c r="G58" s="12"/>
      <c r="H58" s="69"/>
    </row>
    <row r="59" spans="1:8" x14ac:dyDescent="0.2">
      <c r="A59" s="1"/>
      <c r="B59" s="1"/>
      <c r="C59" s="2" t="s">
        <v>105</v>
      </c>
      <c r="D59" s="1"/>
      <c r="E59" s="1"/>
      <c r="F59" s="1"/>
      <c r="G59" s="1"/>
      <c r="H59" s="69"/>
    </row>
    <row r="60" spans="1:8" x14ac:dyDescent="0.2">
      <c r="A60" s="1"/>
      <c r="B60" s="1"/>
      <c r="C60" s="2" t="s">
        <v>95</v>
      </c>
      <c r="D60" s="1"/>
      <c r="E60" s="1" t="s">
        <v>96</v>
      </c>
      <c r="F60" s="13">
        <v>0</v>
      </c>
      <c r="G60" s="14">
        <v>0</v>
      </c>
      <c r="H60" s="69"/>
    </row>
    <row r="61" spans="1:8" x14ac:dyDescent="0.2">
      <c r="A61" s="1"/>
      <c r="B61" s="1"/>
      <c r="C61" s="11"/>
      <c r="D61" s="1"/>
      <c r="E61" s="1"/>
      <c r="F61" s="12"/>
      <c r="G61" s="12"/>
      <c r="H61" s="69"/>
    </row>
    <row r="62" spans="1:8" x14ac:dyDescent="0.2">
      <c r="A62" s="1"/>
      <c r="B62" s="1"/>
      <c r="C62" s="2" t="s">
        <v>106</v>
      </c>
      <c r="D62" s="1"/>
      <c r="E62" s="1"/>
      <c r="F62" s="12"/>
      <c r="G62" s="12"/>
      <c r="H62" s="69"/>
    </row>
    <row r="63" spans="1:8" x14ac:dyDescent="0.2">
      <c r="A63" s="1"/>
      <c r="B63" s="1"/>
      <c r="C63" s="2" t="s">
        <v>95</v>
      </c>
      <c r="D63" s="1"/>
      <c r="E63" s="1" t="s">
        <v>96</v>
      </c>
      <c r="F63" s="13">
        <v>0</v>
      </c>
      <c r="G63" s="14">
        <v>0</v>
      </c>
      <c r="H63" s="69"/>
    </row>
    <row r="64" spans="1:8" x14ac:dyDescent="0.2">
      <c r="A64" s="1"/>
      <c r="B64" s="1"/>
      <c r="C64" s="11"/>
      <c r="D64" s="1"/>
      <c r="E64" s="1"/>
      <c r="F64" s="12"/>
      <c r="G64" s="12"/>
      <c r="H64" s="69"/>
    </row>
    <row r="65" spans="1:8" x14ac:dyDescent="0.2">
      <c r="A65" s="1"/>
      <c r="B65" s="1"/>
      <c r="C65" s="2" t="s">
        <v>107</v>
      </c>
      <c r="D65" s="1"/>
      <c r="E65" s="1"/>
      <c r="F65" s="9">
        <v>0</v>
      </c>
      <c r="G65" s="10">
        <v>0</v>
      </c>
      <c r="H65" s="69"/>
    </row>
    <row r="66" spans="1:8" x14ac:dyDescent="0.2">
      <c r="A66" s="1"/>
      <c r="B66" s="1"/>
      <c r="C66" s="11"/>
      <c r="D66" s="1"/>
      <c r="E66" s="1"/>
      <c r="F66" s="12"/>
      <c r="G66" s="12"/>
      <c r="H66" s="69"/>
    </row>
    <row r="67" spans="1:8" x14ac:dyDescent="0.2">
      <c r="A67" s="1"/>
      <c r="B67" s="1"/>
      <c r="C67" s="2" t="s">
        <v>108</v>
      </c>
      <c r="D67" s="1"/>
      <c r="E67" s="1"/>
      <c r="F67" s="12"/>
      <c r="G67" s="12"/>
      <c r="H67" s="69"/>
    </row>
    <row r="68" spans="1:8" x14ac:dyDescent="0.2">
      <c r="A68" s="1"/>
      <c r="B68" s="1"/>
      <c r="C68" s="2" t="s">
        <v>109</v>
      </c>
      <c r="D68" s="1"/>
      <c r="E68" s="1"/>
      <c r="F68" s="12"/>
      <c r="G68" s="12"/>
      <c r="H68" s="69"/>
    </row>
    <row r="69" spans="1:8" x14ac:dyDescent="0.2">
      <c r="A69" s="1"/>
      <c r="B69" s="1"/>
      <c r="C69" s="2" t="s">
        <v>95</v>
      </c>
      <c r="D69" s="1"/>
      <c r="E69" s="1" t="s">
        <v>96</v>
      </c>
      <c r="F69" s="13">
        <v>0</v>
      </c>
      <c r="G69" s="14">
        <v>0</v>
      </c>
      <c r="H69" s="69"/>
    </row>
    <row r="70" spans="1:8" x14ac:dyDescent="0.2">
      <c r="A70" s="1"/>
      <c r="B70" s="1"/>
      <c r="C70" s="11"/>
      <c r="D70" s="1"/>
      <c r="E70" s="1"/>
      <c r="F70" s="12"/>
      <c r="G70" s="12"/>
      <c r="H70" s="69"/>
    </row>
    <row r="71" spans="1:8" x14ac:dyDescent="0.2">
      <c r="A71" s="1"/>
      <c r="B71" s="1"/>
      <c r="C71" s="2" t="s">
        <v>110</v>
      </c>
      <c r="D71" s="1"/>
      <c r="E71" s="1"/>
      <c r="F71" s="12"/>
      <c r="G71" s="12"/>
      <c r="H71" s="69"/>
    </row>
    <row r="72" spans="1:8" x14ac:dyDescent="0.2">
      <c r="A72" s="1"/>
      <c r="B72" s="1"/>
      <c r="C72" s="2" t="s">
        <v>95</v>
      </c>
      <c r="D72" s="1"/>
      <c r="E72" s="1" t="s">
        <v>96</v>
      </c>
      <c r="F72" s="13">
        <v>0</v>
      </c>
      <c r="G72" s="14">
        <v>0</v>
      </c>
      <c r="H72" s="69"/>
    </row>
    <row r="73" spans="1:8" x14ac:dyDescent="0.2">
      <c r="A73" s="1"/>
      <c r="B73" s="1"/>
      <c r="C73" s="11"/>
      <c r="D73" s="1"/>
      <c r="E73" s="1"/>
      <c r="F73" s="12"/>
      <c r="G73" s="12"/>
      <c r="H73" s="69"/>
    </row>
    <row r="74" spans="1:8" x14ac:dyDescent="0.2">
      <c r="A74" s="1"/>
      <c r="B74" s="1"/>
      <c r="C74" s="2" t="s">
        <v>111</v>
      </c>
      <c r="D74" s="1"/>
      <c r="E74" s="1"/>
      <c r="F74" s="12"/>
      <c r="G74" s="12"/>
      <c r="H74" s="69"/>
    </row>
    <row r="75" spans="1:8" x14ac:dyDescent="0.2">
      <c r="A75" s="1"/>
      <c r="B75" s="1"/>
      <c r="C75" s="2" t="s">
        <v>95</v>
      </c>
      <c r="D75" s="1"/>
      <c r="E75" s="1" t="s">
        <v>96</v>
      </c>
      <c r="F75" s="13">
        <v>0</v>
      </c>
      <c r="G75" s="14">
        <v>0</v>
      </c>
      <c r="H75" s="69"/>
    </row>
    <row r="76" spans="1:8" x14ac:dyDescent="0.2">
      <c r="A76" s="1"/>
      <c r="B76" s="1"/>
      <c r="C76" s="11"/>
      <c r="D76" s="1"/>
      <c r="E76" s="1"/>
      <c r="F76" s="12"/>
      <c r="G76" s="12"/>
      <c r="H76" s="69"/>
    </row>
    <row r="77" spans="1:8" x14ac:dyDescent="0.2">
      <c r="A77" s="1"/>
      <c r="B77" s="1"/>
      <c r="C77" s="2" t="s">
        <v>112</v>
      </c>
      <c r="D77" s="1"/>
      <c r="E77" s="1"/>
      <c r="F77" s="12"/>
      <c r="G77" s="12"/>
      <c r="H77" s="69"/>
    </row>
    <row r="78" spans="1:8" x14ac:dyDescent="0.2">
      <c r="A78" s="3">
        <v>1</v>
      </c>
      <c r="B78" s="4"/>
      <c r="C78" s="4" t="s">
        <v>113</v>
      </c>
      <c r="D78" s="4"/>
      <c r="E78" s="8"/>
      <c r="F78" s="6">
        <v>2164.2376015999998</v>
      </c>
      <c r="G78" s="7">
        <v>4.6581531000000002E-2</v>
      </c>
      <c r="H78" s="6">
        <v>3.3628721504199861</v>
      </c>
    </row>
    <row r="79" spans="1:8" x14ac:dyDescent="0.2">
      <c r="A79" s="3">
        <v>2</v>
      </c>
      <c r="B79" s="4"/>
      <c r="C79" s="4" t="s">
        <v>114</v>
      </c>
      <c r="D79" s="4"/>
      <c r="E79" s="8"/>
      <c r="F79" s="6">
        <v>835.80878800000005</v>
      </c>
      <c r="G79" s="7">
        <v>1.7989361999999998E-2</v>
      </c>
      <c r="H79" s="6">
        <v>3.4499999999999966</v>
      </c>
    </row>
    <row r="80" spans="1:8" x14ac:dyDescent="0.2">
      <c r="A80" s="1"/>
      <c r="B80" s="1"/>
      <c r="C80" s="2" t="s">
        <v>95</v>
      </c>
      <c r="D80" s="1"/>
      <c r="E80" s="1" t="s">
        <v>96</v>
      </c>
      <c r="F80" s="9">
        <v>3000.0463896000001</v>
      </c>
      <c r="G80" s="10">
        <v>6.4570893000000004E-2</v>
      </c>
      <c r="H80" s="69"/>
    </row>
    <row r="81" spans="1:8" x14ac:dyDescent="0.2">
      <c r="A81" s="1"/>
      <c r="B81" s="1"/>
      <c r="C81" s="11"/>
      <c r="D81" s="1"/>
      <c r="E81" s="1"/>
      <c r="F81" s="12"/>
      <c r="G81" s="12"/>
      <c r="H81" s="69"/>
    </row>
    <row r="82" spans="1:8" x14ac:dyDescent="0.2">
      <c r="A82" s="1"/>
      <c r="B82" s="1"/>
      <c r="C82" s="2" t="s">
        <v>115</v>
      </c>
      <c r="D82" s="1"/>
      <c r="E82" s="1"/>
      <c r="F82" s="9">
        <v>3000.0463896000001</v>
      </c>
      <c r="G82" s="10">
        <v>6.4570893000000004E-2</v>
      </c>
      <c r="H82" s="69"/>
    </row>
    <row r="83" spans="1:8" x14ac:dyDescent="0.2">
      <c r="A83" s="1"/>
      <c r="B83" s="1"/>
      <c r="C83" s="12"/>
      <c r="D83" s="1"/>
      <c r="E83" s="1"/>
      <c r="F83" s="1"/>
      <c r="G83" s="1"/>
      <c r="H83" s="69"/>
    </row>
    <row r="84" spans="1:8" x14ac:dyDescent="0.2">
      <c r="A84" s="1"/>
      <c r="B84" s="1"/>
      <c r="C84" s="2" t="s">
        <v>116</v>
      </c>
      <c r="D84" s="1"/>
      <c r="E84" s="1"/>
      <c r="F84" s="1"/>
      <c r="G84" s="1"/>
      <c r="H84" s="69"/>
    </row>
    <row r="85" spans="1:8" x14ac:dyDescent="0.2">
      <c r="A85" s="1"/>
      <c r="B85" s="1"/>
      <c r="C85" s="2" t="s">
        <v>117</v>
      </c>
      <c r="D85" s="1"/>
      <c r="E85" s="1"/>
      <c r="F85" s="1"/>
      <c r="G85" s="1"/>
      <c r="H85" s="69"/>
    </row>
    <row r="86" spans="1:8" x14ac:dyDescent="0.2">
      <c r="A86" s="1"/>
      <c r="B86" s="1"/>
      <c r="C86" s="2" t="s">
        <v>95</v>
      </c>
      <c r="D86" s="1"/>
      <c r="E86" s="1" t="s">
        <v>96</v>
      </c>
      <c r="F86" s="13">
        <v>0</v>
      </c>
      <c r="G86" s="14">
        <v>0</v>
      </c>
      <c r="H86" s="69"/>
    </row>
    <row r="87" spans="1:8" x14ac:dyDescent="0.2">
      <c r="A87" s="1"/>
      <c r="B87" s="1"/>
      <c r="C87" s="11"/>
      <c r="D87" s="1"/>
      <c r="E87" s="1"/>
      <c r="F87" s="12"/>
      <c r="G87" s="12"/>
      <c r="H87" s="69"/>
    </row>
    <row r="88" spans="1:8" x14ac:dyDescent="0.2">
      <c r="A88" s="1"/>
      <c r="B88" s="1"/>
      <c r="C88" s="2" t="s">
        <v>118</v>
      </c>
      <c r="D88" s="1"/>
      <c r="E88" s="1"/>
      <c r="F88" s="1"/>
      <c r="G88" s="1"/>
      <c r="H88" s="69"/>
    </row>
    <row r="89" spans="1:8" x14ac:dyDescent="0.2">
      <c r="A89" s="1"/>
      <c r="B89" s="1"/>
      <c r="C89" s="2" t="s">
        <v>119</v>
      </c>
      <c r="D89" s="1"/>
      <c r="E89" s="1"/>
      <c r="F89" s="1"/>
      <c r="G89" s="1"/>
      <c r="H89" s="69"/>
    </row>
    <row r="90" spans="1:8" x14ac:dyDescent="0.2">
      <c r="A90" s="1"/>
      <c r="B90" s="1"/>
      <c r="C90" s="2" t="s">
        <v>95</v>
      </c>
      <c r="D90" s="1"/>
      <c r="E90" s="1" t="s">
        <v>96</v>
      </c>
      <c r="F90" s="13">
        <v>0</v>
      </c>
      <c r="G90" s="14">
        <v>0</v>
      </c>
      <c r="H90" s="69"/>
    </row>
    <row r="91" spans="1:8" x14ac:dyDescent="0.2">
      <c r="A91" s="1"/>
      <c r="B91" s="1"/>
      <c r="C91" s="11"/>
      <c r="D91" s="1"/>
      <c r="E91" s="1"/>
      <c r="F91" s="12"/>
      <c r="G91" s="12"/>
      <c r="H91" s="69"/>
    </row>
    <row r="92" spans="1:8" x14ac:dyDescent="0.2">
      <c r="A92" s="1"/>
      <c r="B92" s="1"/>
      <c r="C92" s="11"/>
      <c r="D92" s="1"/>
      <c r="E92" s="1"/>
      <c r="F92" s="12"/>
      <c r="G92" s="12"/>
      <c r="H92" s="69"/>
    </row>
    <row r="93" spans="1:8" ht="25.5" x14ac:dyDescent="0.2">
      <c r="A93" s="1"/>
      <c r="B93" s="1"/>
      <c r="C93" s="2" t="s">
        <v>120</v>
      </c>
      <c r="D93" s="1"/>
      <c r="E93" s="1"/>
      <c r="F93" s="12"/>
      <c r="G93" s="12"/>
      <c r="H93" s="69"/>
    </row>
    <row r="94" spans="1:8" x14ac:dyDescent="0.2">
      <c r="A94" s="1"/>
      <c r="B94" s="1"/>
      <c r="C94" s="2" t="s">
        <v>95</v>
      </c>
      <c r="D94" s="1"/>
      <c r="E94" s="1" t="s">
        <v>96</v>
      </c>
      <c r="F94" s="13">
        <v>0</v>
      </c>
      <c r="G94" s="14">
        <v>0</v>
      </c>
      <c r="H94" s="69"/>
    </row>
    <row r="95" spans="1:8" x14ac:dyDescent="0.2">
      <c r="A95" s="1"/>
      <c r="B95" s="1"/>
      <c r="C95" s="11"/>
      <c r="D95" s="1"/>
      <c r="E95" s="1"/>
      <c r="F95" s="12"/>
      <c r="G95" s="12"/>
      <c r="H95" s="69"/>
    </row>
    <row r="96" spans="1:8" x14ac:dyDescent="0.2">
      <c r="A96" s="1"/>
      <c r="B96" s="4"/>
      <c r="C96" s="4"/>
      <c r="D96" s="2"/>
      <c r="E96" s="1"/>
      <c r="F96" s="4"/>
      <c r="G96" s="8"/>
      <c r="H96" s="69"/>
    </row>
    <row r="97" spans="1:8" x14ac:dyDescent="0.2">
      <c r="A97" s="8"/>
      <c r="B97" s="4"/>
      <c r="C97" s="4" t="s">
        <v>121</v>
      </c>
      <c r="D97" s="4"/>
      <c r="E97" s="8"/>
      <c r="F97" s="6">
        <v>-2246.5798509299998</v>
      </c>
      <c r="G97" s="7">
        <v>-4.8353807999999998E-2</v>
      </c>
      <c r="H97" s="69"/>
    </row>
    <row r="98" spans="1:8" x14ac:dyDescent="0.2">
      <c r="A98" s="11"/>
      <c r="B98" s="11"/>
      <c r="C98" s="2" t="s">
        <v>122</v>
      </c>
      <c r="D98" s="15"/>
      <c r="E98" s="15"/>
      <c r="F98" s="9">
        <v>46461.281239670003</v>
      </c>
      <c r="G98" s="10">
        <v>1</v>
      </c>
      <c r="H98" s="69"/>
    </row>
    <row r="99" spans="1:8" ht="14.1" customHeight="1" x14ac:dyDescent="0.2">
      <c r="A99" s="16"/>
      <c r="B99" s="16"/>
      <c r="C99" s="16"/>
      <c r="D99" s="17"/>
      <c r="E99" s="17"/>
      <c r="F99" s="17"/>
      <c r="G99" s="17"/>
    </row>
    <row r="100" spans="1:8" ht="14.1" customHeight="1" x14ac:dyDescent="0.2">
      <c r="A100" s="18"/>
      <c r="B100" s="176" t="s">
        <v>96</v>
      </c>
      <c r="C100" s="176"/>
      <c r="D100" s="176"/>
      <c r="E100" s="176"/>
      <c r="F100" s="176"/>
      <c r="G100" s="20"/>
    </row>
    <row r="101" spans="1:8" ht="14.1" customHeight="1" x14ac:dyDescent="0.2">
      <c r="A101" s="18"/>
      <c r="B101" s="176" t="s">
        <v>96</v>
      </c>
      <c r="C101" s="176"/>
      <c r="D101" s="176"/>
      <c r="E101" s="176"/>
      <c r="F101" s="176"/>
      <c r="G101" s="20"/>
    </row>
    <row r="102" spans="1:8" ht="14.1" customHeight="1" x14ac:dyDescent="0.2">
      <c r="A102" s="18"/>
      <c r="B102" s="18"/>
      <c r="C102" s="18"/>
      <c r="D102" s="20"/>
      <c r="E102" s="20"/>
      <c r="F102" s="20"/>
      <c r="G102" s="20"/>
    </row>
    <row r="103" spans="1:8" ht="14.1" customHeight="1" x14ac:dyDescent="0.2">
      <c r="A103" s="18"/>
      <c r="B103" s="174" t="s">
        <v>124</v>
      </c>
      <c r="C103" s="175"/>
      <c r="D103" s="12" t="s">
        <v>96</v>
      </c>
      <c r="E103" s="21"/>
      <c r="F103" s="20"/>
      <c r="G103" s="20"/>
    </row>
    <row r="104" spans="1:8" ht="29.1" customHeight="1" x14ac:dyDescent="0.2">
      <c r="A104" s="18"/>
      <c r="B104" s="172" t="s">
        <v>125</v>
      </c>
      <c r="C104" s="173"/>
      <c r="D104" s="2" t="s">
        <v>126</v>
      </c>
      <c r="E104" s="21"/>
      <c r="F104" s="20"/>
      <c r="G104" s="20"/>
    </row>
    <row r="105" spans="1:8" ht="17.100000000000001" customHeight="1" x14ac:dyDescent="0.2">
      <c r="A105" s="18"/>
      <c r="B105" s="172" t="s">
        <v>127</v>
      </c>
      <c r="C105" s="173"/>
      <c r="D105" s="2" t="s">
        <v>126</v>
      </c>
      <c r="E105" s="21"/>
      <c r="F105" s="20"/>
      <c r="G105" s="20"/>
    </row>
    <row r="106" spans="1:8" ht="17.100000000000001" customHeight="1" x14ac:dyDescent="0.2">
      <c r="A106" s="18"/>
      <c r="B106" s="172" t="s">
        <v>128</v>
      </c>
      <c r="C106" s="173"/>
      <c r="D106" s="12" t="s">
        <v>96</v>
      </c>
      <c r="E106" s="21"/>
      <c r="F106" s="20"/>
      <c r="G106" s="20"/>
    </row>
    <row r="107" spans="1:8" ht="24" customHeight="1" x14ac:dyDescent="0.2">
      <c r="A107" s="22"/>
      <c r="B107" s="23" t="s">
        <v>96</v>
      </c>
      <c r="C107" s="23" t="s">
        <v>129</v>
      </c>
      <c r="D107" s="23" t="s">
        <v>130</v>
      </c>
      <c r="E107" s="22"/>
      <c r="F107" s="22"/>
      <c r="G107" s="22"/>
    </row>
    <row r="108" spans="1:8" ht="18" customHeight="1" x14ac:dyDescent="0.2">
      <c r="A108" s="22"/>
      <c r="B108" s="23" t="s">
        <v>131</v>
      </c>
      <c r="C108" s="23" t="s">
        <v>132</v>
      </c>
      <c r="D108" s="23" t="s">
        <v>133</v>
      </c>
      <c r="E108" s="22"/>
      <c r="F108" s="22"/>
      <c r="G108" s="22"/>
    </row>
    <row r="109" spans="1:8" ht="17.100000000000001" customHeight="1" x14ac:dyDescent="0.2">
      <c r="A109" s="22"/>
      <c r="B109" s="4" t="s">
        <v>134</v>
      </c>
      <c r="C109" s="24">
        <v>66.612200000000001</v>
      </c>
      <c r="D109" s="24">
        <v>62.4666</v>
      </c>
      <c r="E109" s="22"/>
      <c r="F109" s="19"/>
      <c r="G109" s="25"/>
    </row>
    <row r="110" spans="1:8" ht="17.100000000000001" customHeight="1" x14ac:dyDescent="0.2">
      <c r="A110" s="22"/>
      <c r="B110" s="4" t="s">
        <v>983</v>
      </c>
      <c r="C110" s="24">
        <v>26.161100000000001</v>
      </c>
      <c r="D110" s="24">
        <v>24.533000000000001</v>
      </c>
      <c r="E110" s="22"/>
      <c r="F110" s="19"/>
      <c r="G110" s="25"/>
    </row>
    <row r="111" spans="1:8" ht="29.1" customHeight="1" x14ac:dyDescent="0.2">
      <c r="A111" s="22"/>
      <c r="B111" s="4" t="s">
        <v>408</v>
      </c>
      <c r="C111" s="24">
        <v>68.489599999999996</v>
      </c>
      <c r="D111" s="24">
        <v>64.227099999999993</v>
      </c>
      <c r="E111" s="22"/>
      <c r="F111" s="19"/>
      <c r="G111" s="25"/>
    </row>
    <row r="112" spans="1:8" ht="29.1" customHeight="1" x14ac:dyDescent="0.2">
      <c r="A112" s="22"/>
      <c r="B112" s="4" t="s">
        <v>986</v>
      </c>
      <c r="C112" s="24">
        <v>26.623100000000001</v>
      </c>
      <c r="D112" s="24">
        <v>24.965800000000002</v>
      </c>
      <c r="E112" s="22"/>
      <c r="F112" s="19"/>
      <c r="G112" s="25"/>
    </row>
    <row r="113" spans="1:16" ht="17.100000000000001" customHeight="1" x14ac:dyDescent="0.2">
      <c r="A113" s="22"/>
      <c r="B113" s="4" t="s">
        <v>135</v>
      </c>
      <c r="C113" s="24">
        <v>62.246499999999997</v>
      </c>
      <c r="D113" s="24">
        <v>58.305199999999999</v>
      </c>
      <c r="E113" s="22"/>
      <c r="F113" s="19"/>
      <c r="G113" s="25"/>
    </row>
    <row r="114" spans="1:16" ht="17.100000000000001" customHeight="1" x14ac:dyDescent="0.2">
      <c r="A114" s="22"/>
      <c r="B114" s="4" t="s">
        <v>984</v>
      </c>
      <c r="C114" s="24">
        <v>24.049099999999999</v>
      </c>
      <c r="D114" s="24">
        <v>22.526399999999999</v>
      </c>
      <c r="E114" s="22"/>
      <c r="F114" s="19"/>
      <c r="G114" s="25"/>
    </row>
    <row r="115" spans="1:16" ht="14.1" customHeight="1" x14ac:dyDescent="0.2">
      <c r="A115" s="22"/>
      <c r="B115" s="22"/>
      <c r="C115" s="22"/>
      <c r="D115" s="22"/>
      <c r="E115" s="22"/>
      <c r="F115" s="22"/>
      <c r="G115" s="22"/>
    </row>
    <row r="116" spans="1:16" ht="17.100000000000001" customHeight="1" x14ac:dyDescent="0.2">
      <c r="A116" s="22"/>
      <c r="B116" s="172" t="s">
        <v>985</v>
      </c>
      <c r="C116" s="173"/>
      <c r="D116" s="2" t="s">
        <v>126</v>
      </c>
      <c r="E116" s="22"/>
      <c r="F116" s="22"/>
      <c r="G116" s="22"/>
    </row>
    <row r="117" spans="1:16" ht="18" customHeight="1" x14ac:dyDescent="0.2">
      <c r="A117" s="22"/>
      <c r="B117" s="26" t="s">
        <v>136</v>
      </c>
      <c r="C117" s="26" t="s">
        <v>136</v>
      </c>
      <c r="D117" s="26"/>
      <c r="E117" s="22"/>
      <c r="F117" s="22"/>
      <c r="G117" s="22"/>
      <c r="I117" s="82"/>
      <c r="J117" s="82"/>
      <c r="K117" s="82"/>
      <c r="L117" s="82"/>
      <c r="M117" s="82"/>
      <c r="N117" s="82"/>
      <c r="O117" s="82"/>
    </row>
    <row r="118" spans="1:16" s="82" customFormat="1" x14ac:dyDescent="0.2">
      <c r="B118" s="177" t="s">
        <v>936</v>
      </c>
      <c r="C118" s="177"/>
      <c r="D118" s="177"/>
      <c r="E118" s="177"/>
      <c r="F118" s="177"/>
      <c r="I118"/>
      <c r="J118"/>
      <c r="K118"/>
      <c r="L118"/>
      <c r="M118"/>
      <c r="N118"/>
      <c r="O118"/>
      <c r="P118" s="70"/>
    </row>
    <row r="119" spans="1:16" ht="14.1" customHeight="1" x14ac:dyDescent="0.2">
      <c r="A119" s="22"/>
      <c r="B119" s="19"/>
      <c r="C119" s="19"/>
      <c r="D119" s="22"/>
      <c r="E119" s="22"/>
      <c r="F119" s="22"/>
      <c r="G119" s="22"/>
    </row>
    <row r="120" spans="1:16" ht="29.1" customHeight="1" x14ac:dyDescent="0.2">
      <c r="A120" s="22"/>
      <c r="B120" s="172" t="s">
        <v>137</v>
      </c>
      <c r="C120" s="173"/>
      <c r="D120" s="2" t="s">
        <v>126</v>
      </c>
      <c r="E120" s="22"/>
      <c r="F120" s="22"/>
      <c r="G120" s="22"/>
    </row>
    <row r="121" spans="1:16" ht="29.1" customHeight="1" x14ac:dyDescent="0.2">
      <c r="A121" s="22"/>
      <c r="B121" s="172" t="s">
        <v>138</v>
      </c>
      <c r="C121" s="173"/>
      <c r="D121" s="2" t="s">
        <v>126</v>
      </c>
      <c r="E121" s="22"/>
      <c r="F121" s="22"/>
      <c r="G121" s="22"/>
    </row>
    <row r="122" spans="1:16" ht="17.100000000000001" customHeight="1" x14ac:dyDescent="0.2">
      <c r="A122" s="22"/>
      <c r="B122" s="172" t="s">
        <v>139</v>
      </c>
      <c r="C122" s="173"/>
      <c r="D122" s="27">
        <v>0.18525386180212811</v>
      </c>
      <c r="E122" s="22"/>
      <c r="F122" s="19"/>
      <c r="G122" s="25"/>
    </row>
    <row r="123" spans="1:16" ht="17.100000000000001" customHeight="1" x14ac:dyDescent="0.2">
      <c r="A123" s="22"/>
      <c r="B123" s="172" t="s">
        <v>140</v>
      </c>
      <c r="C123" s="173"/>
      <c r="D123" s="2" t="s">
        <v>126</v>
      </c>
      <c r="E123" s="22"/>
      <c r="F123" s="22"/>
      <c r="G123" s="22"/>
    </row>
  </sheetData>
  <mergeCells count="16">
    <mergeCell ref="B123:C123"/>
    <mergeCell ref="B104:C104"/>
    <mergeCell ref="B105:C105"/>
    <mergeCell ref="B106:C106"/>
    <mergeCell ref="B116:C116"/>
    <mergeCell ref="B120:C120"/>
    <mergeCell ref="B121:C121"/>
    <mergeCell ref="B118:F118"/>
    <mergeCell ref="A1:H1"/>
    <mergeCell ref="A2:H2"/>
    <mergeCell ref="A3:H3"/>
    <mergeCell ref="J2:N2"/>
    <mergeCell ref="B122:C122"/>
    <mergeCell ref="B103:C103"/>
    <mergeCell ref="B100:F100"/>
    <mergeCell ref="B101:F101"/>
  </mergeCells>
  <pageMargins left="5.000000074505806E-2" right="5.000000074505806E-2" top="0.30000001192092896" bottom="0.20000000298023224" header="0" footer="0"/>
  <pageSetup paperSize="9" orientation="landscape"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P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67" t="s">
        <v>0</v>
      </c>
      <c r="B1" s="167"/>
      <c r="C1" s="167"/>
      <c r="D1" s="167"/>
      <c r="E1" s="167"/>
      <c r="F1" s="167"/>
      <c r="G1" s="167"/>
      <c r="H1" s="167"/>
    </row>
    <row r="2" spans="1:14" ht="17.100000000000001" customHeight="1" x14ac:dyDescent="0.2">
      <c r="A2" s="168" t="s">
        <v>730</v>
      </c>
      <c r="B2" s="169"/>
      <c r="C2" s="169"/>
      <c r="D2" s="169"/>
      <c r="E2" s="169"/>
      <c r="F2" s="169"/>
      <c r="G2" s="169"/>
      <c r="H2" s="170"/>
      <c r="J2" s="171" t="s">
        <v>1009</v>
      </c>
      <c r="K2" s="171"/>
      <c r="L2" s="171"/>
      <c r="M2" s="171"/>
      <c r="N2" s="171"/>
    </row>
    <row r="3" spans="1:14" ht="21" customHeight="1" x14ac:dyDescent="0.2">
      <c r="A3" s="167" t="s">
        <v>950</v>
      </c>
      <c r="B3" s="167"/>
      <c r="C3" s="167"/>
      <c r="D3" s="167"/>
      <c r="E3" s="167"/>
      <c r="F3" s="167"/>
      <c r="G3" s="167"/>
      <c r="H3" s="167"/>
    </row>
    <row r="4" spans="1:14" s="103" customFormat="1" ht="30.95" customHeight="1" x14ac:dyDescent="0.2">
      <c r="A4" s="92" t="s">
        <v>2</v>
      </c>
      <c r="B4" s="92" t="s">
        <v>3</v>
      </c>
      <c r="C4" s="92" t="s">
        <v>4</v>
      </c>
      <c r="D4" s="92" t="s">
        <v>5</v>
      </c>
      <c r="E4" s="92" t="s">
        <v>6</v>
      </c>
      <c r="F4" s="92" t="s">
        <v>7</v>
      </c>
      <c r="G4" s="92" t="s">
        <v>8</v>
      </c>
      <c r="H4" s="93" t="s">
        <v>949</v>
      </c>
    </row>
    <row r="5" spans="1:14" x14ac:dyDescent="0.2">
      <c r="A5" s="1"/>
      <c r="B5" s="1"/>
      <c r="C5" s="2" t="s">
        <v>9</v>
      </c>
      <c r="D5" s="1"/>
      <c r="E5" s="1"/>
      <c r="F5" s="1"/>
      <c r="G5" s="1"/>
      <c r="H5" s="69"/>
    </row>
    <row r="6" spans="1:14" ht="25.5" x14ac:dyDescent="0.2">
      <c r="A6" s="1"/>
      <c r="B6" s="1"/>
      <c r="C6" s="2" t="s">
        <v>10</v>
      </c>
      <c r="D6" s="1"/>
      <c r="E6" s="1"/>
      <c r="F6" s="1"/>
      <c r="G6" s="1"/>
      <c r="H6" s="69"/>
    </row>
    <row r="7" spans="1:14" x14ac:dyDescent="0.2">
      <c r="A7" s="1"/>
      <c r="B7" s="1"/>
      <c r="C7" s="2" t="s">
        <v>95</v>
      </c>
      <c r="D7" s="1"/>
      <c r="E7" s="1" t="s">
        <v>96</v>
      </c>
      <c r="F7" s="13">
        <v>0</v>
      </c>
      <c r="G7" s="14">
        <v>0</v>
      </c>
      <c r="H7" s="69"/>
    </row>
    <row r="8" spans="1:14" x14ac:dyDescent="0.2">
      <c r="A8" s="1"/>
      <c r="B8" s="1"/>
      <c r="C8" s="11"/>
      <c r="D8" s="1"/>
      <c r="E8" s="1"/>
      <c r="F8" s="12"/>
      <c r="G8" s="12"/>
      <c r="H8" s="69"/>
    </row>
    <row r="9" spans="1:14" x14ac:dyDescent="0.2">
      <c r="A9" s="1"/>
      <c r="B9" s="1"/>
      <c r="C9" s="2" t="s">
        <v>97</v>
      </c>
      <c r="D9" s="1"/>
      <c r="E9" s="1"/>
      <c r="F9" s="1"/>
      <c r="G9" s="1"/>
      <c r="H9" s="69"/>
    </row>
    <row r="10" spans="1:14" x14ac:dyDescent="0.2">
      <c r="A10" s="1"/>
      <c r="B10" s="1"/>
      <c r="C10" s="2" t="s">
        <v>95</v>
      </c>
      <c r="D10" s="1"/>
      <c r="E10" s="1" t="s">
        <v>96</v>
      </c>
      <c r="F10" s="13">
        <v>0</v>
      </c>
      <c r="G10" s="14">
        <v>0</v>
      </c>
      <c r="H10" s="69"/>
    </row>
    <row r="11" spans="1:14" x14ac:dyDescent="0.2">
      <c r="A11" s="1"/>
      <c r="B11" s="1"/>
      <c r="C11" s="11"/>
      <c r="D11" s="1"/>
      <c r="E11" s="1"/>
      <c r="F11" s="12"/>
      <c r="G11" s="12"/>
      <c r="H11" s="69"/>
    </row>
    <row r="12" spans="1:14" x14ac:dyDescent="0.2">
      <c r="A12" s="1"/>
      <c r="B12" s="1"/>
      <c r="C12" s="2" t="s">
        <v>98</v>
      </c>
      <c r="D12" s="1"/>
      <c r="E12" s="1"/>
      <c r="F12" s="1"/>
      <c r="G12" s="1"/>
      <c r="H12" s="69"/>
    </row>
    <row r="13" spans="1:14" x14ac:dyDescent="0.2">
      <c r="A13" s="1"/>
      <c r="B13" s="1"/>
      <c r="C13" s="2" t="s">
        <v>95</v>
      </c>
      <c r="D13" s="1"/>
      <c r="E13" s="1" t="s">
        <v>96</v>
      </c>
      <c r="F13" s="13">
        <v>0</v>
      </c>
      <c r="G13" s="14">
        <v>0</v>
      </c>
      <c r="H13" s="69"/>
    </row>
    <row r="14" spans="1:14" x14ac:dyDescent="0.2">
      <c r="A14" s="1"/>
      <c r="B14" s="1"/>
      <c r="C14" s="11"/>
      <c r="D14" s="1"/>
      <c r="E14" s="1"/>
      <c r="F14" s="12"/>
      <c r="G14" s="12"/>
      <c r="H14" s="69"/>
    </row>
    <row r="15" spans="1:14" ht="15" x14ac:dyDescent="0.2">
      <c r="A15" s="1"/>
      <c r="B15" s="1"/>
      <c r="C15" s="2" t="s">
        <v>99</v>
      </c>
      <c r="D15" s="1"/>
      <c r="E15" s="1"/>
      <c r="F15" s="1"/>
      <c r="G15" s="1"/>
      <c r="H15" s="69"/>
      <c r="J15" s="160" t="s">
        <v>1013</v>
      </c>
    </row>
    <row r="16" spans="1:14" x14ac:dyDescent="0.2">
      <c r="A16" s="1"/>
      <c r="B16" s="1"/>
      <c r="C16" s="2" t="s">
        <v>95</v>
      </c>
      <c r="D16" s="1"/>
      <c r="E16" s="1" t="s">
        <v>96</v>
      </c>
      <c r="F16" s="13">
        <v>0</v>
      </c>
      <c r="G16" s="14">
        <v>0</v>
      </c>
      <c r="H16" s="69"/>
    </row>
    <row r="17" spans="1:8" x14ac:dyDescent="0.2">
      <c r="A17" s="1"/>
      <c r="B17" s="1"/>
      <c r="C17" s="11"/>
      <c r="D17" s="1"/>
      <c r="E17" s="1"/>
      <c r="F17" s="12"/>
      <c r="G17" s="12"/>
      <c r="H17" s="69"/>
    </row>
    <row r="18" spans="1:8" x14ac:dyDescent="0.2">
      <c r="A18" s="1"/>
      <c r="B18" s="1"/>
      <c r="C18" s="2" t="s">
        <v>100</v>
      </c>
      <c r="D18" s="1"/>
      <c r="E18" s="1"/>
      <c r="F18" s="12"/>
      <c r="G18" s="12"/>
      <c r="H18" s="69"/>
    </row>
    <row r="19" spans="1:8" x14ac:dyDescent="0.2">
      <c r="A19" s="1"/>
      <c r="B19" s="1"/>
      <c r="C19" s="2" t="s">
        <v>95</v>
      </c>
      <c r="D19" s="1"/>
      <c r="E19" s="1" t="s">
        <v>96</v>
      </c>
      <c r="F19" s="13">
        <v>0</v>
      </c>
      <c r="G19" s="14">
        <v>0</v>
      </c>
      <c r="H19" s="69"/>
    </row>
    <row r="20" spans="1:8" x14ac:dyDescent="0.2">
      <c r="A20" s="1"/>
      <c r="B20" s="1"/>
      <c r="C20" s="11"/>
      <c r="D20" s="1"/>
      <c r="E20" s="1"/>
      <c r="F20" s="12"/>
      <c r="G20" s="12"/>
      <c r="H20" s="69"/>
    </row>
    <row r="21" spans="1:8" x14ac:dyDescent="0.2">
      <c r="A21" s="1"/>
      <c r="B21" s="1"/>
      <c r="C21" s="2" t="s">
        <v>101</v>
      </c>
      <c r="D21" s="1"/>
      <c r="E21" s="1"/>
      <c r="F21" s="12"/>
      <c r="G21" s="12"/>
      <c r="H21" s="69"/>
    </row>
    <row r="22" spans="1:8" x14ac:dyDescent="0.2">
      <c r="A22" s="1"/>
      <c r="B22" s="1"/>
      <c r="C22" s="2" t="s">
        <v>95</v>
      </c>
      <c r="D22" s="1"/>
      <c r="E22" s="1" t="s">
        <v>96</v>
      </c>
      <c r="F22" s="13">
        <v>0</v>
      </c>
      <c r="G22" s="14">
        <v>0</v>
      </c>
      <c r="H22" s="69"/>
    </row>
    <row r="23" spans="1:8" x14ac:dyDescent="0.2">
      <c r="A23" s="1"/>
      <c r="B23" s="1"/>
      <c r="C23" s="11"/>
      <c r="D23" s="1"/>
      <c r="E23" s="1"/>
      <c r="F23" s="12"/>
      <c r="G23" s="12"/>
      <c r="H23" s="69"/>
    </row>
    <row r="24" spans="1:8" x14ac:dyDescent="0.2">
      <c r="A24" s="1"/>
      <c r="B24" s="1"/>
      <c r="C24" s="2" t="s">
        <v>102</v>
      </c>
      <c r="D24" s="1"/>
      <c r="E24" s="1"/>
      <c r="F24" s="9">
        <v>0</v>
      </c>
      <c r="G24" s="10">
        <v>0</v>
      </c>
      <c r="H24" s="69"/>
    </row>
    <row r="25" spans="1:8" x14ac:dyDescent="0.2">
      <c r="A25" s="1"/>
      <c r="B25" s="1"/>
      <c r="C25" s="11"/>
      <c r="D25" s="1"/>
      <c r="E25" s="1"/>
      <c r="F25" s="12"/>
      <c r="G25" s="12"/>
      <c r="H25" s="69"/>
    </row>
    <row r="26" spans="1:8" x14ac:dyDescent="0.2">
      <c r="A26" s="1"/>
      <c r="B26" s="1"/>
      <c r="C26" s="2" t="s">
        <v>103</v>
      </c>
      <c r="D26" s="1"/>
      <c r="E26" s="1"/>
      <c r="F26" s="12"/>
      <c r="G26" s="12"/>
      <c r="H26" s="69"/>
    </row>
    <row r="27" spans="1:8" ht="25.5" x14ac:dyDescent="0.2">
      <c r="A27" s="1"/>
      <c r="B27" s="1"/>
      <c r="C27" s="2" t="s">
        <v>10</v>
      </c>
      <c r="D27" s="1"/>
      <c r="E27" s="1"/>
      <c r="F27" s="12"/>
      <c r="G27" s="12"/>
      <c r="H27" s="69"/>
    </row>
    <row r="28" spans="1:8" x14ac:dyDescent="0.2">
      <c r="A28" s="1"/>
      <c r="B28" s="1"/>
      <c r="C28" s="2" t="s">
        <v>95</v>
      </c>
      <c r="D28" s="1"/>
      <c r="E28" s="1" t="s">
        <v>96</v>
      </c>
      <c r="F28" s="13">
        <v>0</v>
      </c>
      <c r="G28" s="14">
        <v>0</v>
      </c>
      <c r="H28" s="69"/>
    </row>
    <row r="29" spans="1:8" x14ac:dyDescent="0.2">
      <c r="A29" s="1"/>
      <c r="B29" s="1"/>
      <c r="C29" s="11"/>
      <c r="D29" s="1"/>
      <c r="E29" s="1"/>
      <c r="F29" s="12"/>
      <c r="G29" s="12"/>
      <c r="H29" s="69"/>
    </row>
    <row r="30" spans="1:8" x14ac:dyDescent="0.2">
      <c r="A30" s="1"/>
      <c r="B30" s="1"/>
      <c r="C30" s="2" t="s">
        <v>104</v>
      </c>
      <c r="D30" s="1"/>
      <c r="E30" s="1"/>
      <c r="F30" s="1"/>
      <c r="G30" s="1"/>
      <c r="H30" s="69"/>
    </row>
    <row r="31" spans="1:8" x14ac:dyDescent="0.2">
      <c r="A31" s="1"/>
      <c r="B31" s="1"/>
      <c r="C31" s="2" t="s">
        <v>95</v>
      </c>
      <c r="D31" s="1"/>
      <c r="E31" s="1" t="s">
        <v>96</v>
      </c>
      <c r="F31" s="13">
        <v>0</v>
      </c>
      <c r="G31" s="14">
        <v>0</v>
      </c>
      <c r="H31" s="69"/>
    </row>
    <row r="32" spans="1:8" x14ac:dyDescent="0.2">
      <c r="A32" s="1"/>
      <c r="B32" s="1"/>
      <c r="C32" s="11"/>
      <c r="D32" s="1"/>
      <c r="E32" s="1"/>
      <c r="F32" s="12"/>
      <c r="G32" s="12"/>
      <c r="H32" s="69"/>
    </row>
    <row r="33" spans="1:8" x14ac:dyDescent="0.2">
      <c r="A33" s="1"/>
      <c r="B33" s="1"/>
      <c r="C33" s="2" t="s">
        <v>105</v>
      </c>
      <c r="D33" s="1"/>
      <c r="E33" s="1"/>
      <c r="F33" s="1"/>
      <c r="G33" s="1"/>
      <c r="H33" s="69"/>
    </row>
    <row r="34" spans="1:8" x14ac:dyDescent="0.2">
      <c r="A34" s="1"/>
      <c r="B34" s="1"/>
      <c r="C34" s="2" t="s">
        <v>95</v>
      </c>
      <c r="D34" s="1"/>
      <c r="E34" s="1" t="s">
        <v>96</v>
      </c>
      <c r="F34" s="13">
        <v>0</v>
      </c>
      <c r="G34" s="14">
        <v>0</v>
      </c>
      <c r="H34" s="69"/>
    </row>
    <row r="35" spans="1:8" x14ac:dyDescent="0.2">
      <c r="A35" s="1"/>
      <c r="B35" s="1"/>
      <c r="C35" s="11"/>
      <c r="D35" s="1"/>
      <c r="E35" s="1"/>
      <c r="F35" s="12"/>
      <c r="G35" s="12"/>
      <c r="H35" s="69"/>
    </row>
    <row r="36" spans="1:8" x14ac:dyDescent="0.2">
      <c r="A36" s="1"/>
      <c r="B36" s="1"/>
      <c r="C36" s="2" t="s">
        <v>106</v>
      </c>
      <c r="D36" s="1"/>
      <c r="E36" s="1"/>
      <c r="F36" s="12"/>
      <c r="G36" s="12"/>
      <c r="H36" s="69"/>
    </row>
    <row r="37" spans="1:8" x14ac:dyDescent="0.2">
      <c r="A37" s="1"/>
      <c r="B37" s="1"/>
      <c r="C37" s="2" t="s">
        <v>95</v>
      </c>
      <c r="D37" s="1"/>
      <c r="E37" s="1" t="s">
        <v>96</v>
      </c>
      <c r="F37" s="13">
        <v>0</v>
      </c>
      <c r="G37" s="14">
        <v>0</v>
      </c>
      <c r="H37" s="69"/>
    </row>
    <row r="38" spans="1:8" x14ac:dyDescent="0.2">
      <c r="A38" s="1"/>
      <c r="B38" s="1"/>
      <c r="C38" s="11"/>
      <c r="D38" s="1"/>
      <c r="E38" s="1"/>
      <c r="F38" s="12"/>
      <c r="G38" s="12"/>
      <c r="H38" s="69"/>
    </row>
    <row r="39" spans="1:8" x14ac:dyDescent="0.2">
      <c r="A39" s="1"/>
      <c r="B39" s="1"/>
      <c r="C39" s="2" t="s">
        <v>107</v>
      </c>
      <c r="D39" s="1"/>
      <c r="E39" s="1"/>
      <c r="F39" s="9">
        <v>0</v>
      </c>
      <c r="G39" s="10">
        <v>0</v>
      </c>
      <c r="H39" s="69"/>
    </row>
    <row r="40" spans="1:8" x14ac:dyDescent="0.2">
      <c r="A40" s="1"/>
      <c r="B40" s="1"/>
      <c r="C40" s="11"/>
      <c r="D40" s="1"/>
      <c r="E40" s="1"/>
      <c r="F40" s="12"/>
      <c r="G40" s="12"/>
      <c r="H40" s="69"/>
    </row>
    <row r="41" spans="1:8" x14ac:dyDescent="0.2">
      <c r="A41" s="1"/>
      <c r="B41" s="1"/>
      <c r="C41" s="2" t="s">
        <v>108</v>
      </c>
      <c r="D41" s="1"/>
      <c r="E41" s="1"/>
      <c r="F41" s="12"/>
      <c r="G41" s="12"/>
      <c r="H41" s="69"/>
    </row>
    <row r="42" spans="1:8" x14ac:dyDescent="0.2">
      <c r="A42" s="1"/>
      <c r="B42" s="1"/>
      <c r="C42" s="2" t="s">
        <v>109</v>
      </c>
      <c r="D42" s="1"/>
      <c r="E42" s="1"/>
      <c r="F42" s="12"/>
      <c r="G42" s="12"/>
      <c r="H42" s="69"/>
    </row>
    <row r="43" spans="1:8" x14ac:dyDescent="0.2">
      <c r="A43" s="1"/>
      <c r="B43" s="1"/>
      <c r="C43" s="2" t="s">
        <v>95</v>
      </c>
      <c r="D43" s="1"/>
      <c r="E43" s="1" t="s">
        <v>96</v>
      </c>
      <c r="F43" s="13">
        <v>0</v>
      </c>
      <c r="G43" s="14">
        <v>0</v>
      </c>
      <c r="H43" s="69"/>
    </row>
    <row r="44" spans="1:8" x14ac:dyDescent="0.2">
      <c r="A44" s="1"/>
      <c r="B44" s="1"/>
      <c r="C44" s="11"/>
      <c r="D44" s="1"/>
      <c r="E44" s="1"/>
      <c r="F44" s="12"/>
      <c r="G44" s="12"/>
      <c r="H44" s="69"/>
    </row>
    <row r="45" spans="1:8" x14ac:dyDescent="0.2">
      <c r="A45" s="1"/>
      <c r="B45" s="1"/>
      <c r="C45" s="2" t="s">
        <v>110</v>
      </c>
      <c r="D45" s="1"/>
      <c r="E45" s="1"/>
      <c r="F45" s="12"/>
      <c r="G45" s="12"/>
      <c r="H45" s="69"/>
    </row>
    <row r="46" spans="1:8" x14ac:dyDescent="0.2">
      <c r="A46" s="1"/>
      <c r="B46" s="1"/>
      <c r="C46" s="2" t="s">
        <v>95</v>
      </c>
      <c r="D46" s="1"/>
      <c r="E46" s="1" t="s">
        <v>96</v>
      </c>
      <c r="F46" s="13">
        <v>0</v>
      </c>
      <c r="G46" s="14">
        <v>0</v>
      </c>
      <c r="H46" s="69"/>
    </row>
    <row r="47" spans="1:8" x14ac:dyDescent="0.2">
      <c r="A47" s="1"/>
      <c r="B47" s="1"/>
      <c r="C47" s="11"/>
      <c r="D47" s="1"/>
      <c r="E47" s="1"/>
      <c r="F47" s="12"/>
      <c r="G47" s="12"/>
      <c r="H47" s="69"/>
    </row>
    <row r="48" spans="1:8" x14ac:dyDescent="0.2">
      <c r="A48" s="1"/>
      <c r="B48" s="1"/>
      <c r="C48" s="2" t="s">
        <v>111</v>
      </c>
      <c r="D48" s="1"/>
      <c r="E48" s="1"/>
      <c r="F48" s="12"/>
      <c r="G48" s="12"/>
      <c r="H48" s="69"/>
    </row>
    <row r="49" spans="1:8" x14ac:dyDescent="0.2">
      <c r="A49" s="1"/>
      <c r="B49" s="1"/>
      <c r="C49" s="2" t="s">
        <v>95</v>
      </c>
      <c r="D49" s="1"/>
      <c r="E49" s="1" t="s">
        <v>96</v>
      </c>
      <c r="F49" s="13">
        <v>0</v>
      </c>
      <c r="G49" s="14">
        <v>0</v>
      </c>
      <c r="H49" s="69"/>
    </row>
    <row r="50" spans="1:8" x14ac:dyDescent="0.2">
      <c r="A50" s="1"/>
      <c r="B50" s="1"/>
      <c r="C50" s="11"/>
      <c r="D50" s="1"/>
      <c r="E50" s="1"/>
      <c r="F50" s="12"/>
      <c r="G50" s="12"/>
      <c r="H50" s="69"/>
    </row>
    <row r="51" spans="1:8" x14ac:dyDescent="0.2">
      <c r="A51" s="1"/>
      <c r="B51" s="1"/>
      <c r="C51" s="2" t="s">
        <v>112</v>
      </c>
      <c r="D51" s="1"/>
      <c r="E51" s="1"/>
      <c r="F51" s="12"/>
      <c r="G51" s="12"/>
      <c r="H51" s="69"/>
    </row>
    <row r="52" spans="1:8" x14ac:dyDescent="0.2">
      <c r="A52" s="3">
        <v>1</v>
      </c>
      <c r="B52" s="4"/>
      <c r="C52" s="4" t="s">
        <v>113</v>
      </c>
      <c r="D52" s="4"/>
      <c r="E52" s="8"/>
      <c r="F52" s="6">
        <v>3070.6002954999999</v>
      </c>
      <c r="G52" s="7">
        <v>0.71226313399999996</v>
      </c>
      <c r="H52" s="6">
        <v>3.3628721504199861</v>
      </c>
    </row>
    <row r="53" spans="1:8" x14ac:dyDescent="0.2">
      <c r="A53" s="3">
        <v>2</v>
      </c>
      <c r="B53" s="4"/>
      <c r="C53" s="4" t="s">
        <v>114</v>
      </c>
      <c r="D53" s="4"/>
      <c r="E53" s="8"/>
      <c r="F53" s="6">
        <v>1185.8377127000001</v>
      </c>
      <c r="G53" s="7">
        <v>0.275069499</v>
      </c>
      <c r="H53" s="6">
        <v>3.4499999999999966</v>
      </c>
    </row>
    <row r="54" spans="1:8" x14ac:dyDescent="0.2">
      <c r="A54" s="1"/>
      <c r="B54" s="1"/>
      <c r="C54" s="2" t="s">
        <v>95</v>
      </c>
      <c r="D54" s="1"/>
      <c r="E54" s="1" t="s">
        <v>96</v>
      </c>
      <c r="F54" s="9">
        <v>4256.4380081999998</v>
      </c>
      <c r="G54" s="10">
        <v>0.98733263299999996</v>
      </c>
      <c r="H54" s="69"/>
    </row>
    <row r="55" spans="1:8" x14ac:dyDescent="0.2">
      <c r="A55" s="1"/>
      <c r="B55" s="1"/>
      <c r="C55" s="11"/>
      <c r="D55" s="1"/>
      <c r="E55" s="1"/>
      <c r="F55" s="12"/>
      <c r="G55" s="12"/>
      <c r="H55" s="69"/>
    </row>
    <row r="56" spans="1:8" x14ac:dyDescent="0.2">
      <c r="A56" s="1"/>
      <c r="B56" s="1"/>
      <c r="C56" s="2" t="s">
        <v>115</v>
      </c>
      <c r="D56" s="1"/>
      <c r="E56" s="1"/>
      <c r="F56" s="9">
        <v>4256.4380081999998</v>
      </c>
      <c r="G56" s="10">
        <v>0.98733263299999996</v>
      </c>
      <c r="H56" s="69"/>
    </row>
    <row r="57" spans="1:8" x14ac:dyDescent="0.2">
      <c r="A57" s="1"/>
      <c r="B57" s="1"/>
      <c r="C57" s="12"/>
      <c r="D57" s="1"/>
      <c r="E57" s="1"/>
      <c r="F57" s="1"/>
      <c r="G57" s="1"/>
      <c r="H57" s="69"/>
    </row>
    <row r="58" spans="1:8" x14ac:dyDescent="0.2">
      <c r="A58" s="1"/>
      <c r="B58" s="1"/>
      <c r="C58" s="2" t="s">
        <v>116</v>
      </c>
      <c r="D58" s="1"/>
      <c r="E58" s="1"/>
      <c r="F58" s="1"/>
      <c r="G58" s="1"/>
      <c r="H58" s="69"/>
    </row>
    <row r="59" spans="1:8" x14ac:dyDescent="0.2">
      <c r="A59" s="1"/>
      <c r="B59" s="1"/>
      <c r="C59" s="2" t="s">
        <v>117</v>
      </c>
      <c r="D59" s="1"/>
      <c r="E59" s="1"/>
      <c r="F59" s="1"/>
      <c r="G59" s="1"/>
      <c r="H59" s="69"/>
    </row>
    <row r="60" spans="1:8" x14ac:dyDescent="0.2">
      <c r="A60" s="1"/>
      <c r="B60" s="1"/>
      <c r="C60" s="2" t="s">
        <v>95</v>
      </c>
      <c r="D60" s="1"/>
      <c r="E60" s="1" t="s">
        <v>96</v>
      </c>
      <c r="F60" s="13">
        <v>0</v>
      </c>
      <c r="G60" s="14">
        <v>0</v>
      </c>
      <c r="H60" s="69"/>
    </row>
    <row r="61" spans="1:8" x14ac:dyDescent="0.2">
      <c r="A61" s="1"/>
      <c r="B61" s="1"/>
      <c r="C61" s="11"/>
      <c r="D61" s="1"/>
      <c r="E61" s="1"/>
      <c r="F61" s="12"/>
      <c r="G61" s="12"/>
      <c r="H61" s="69"/>
    </row>
    <row r="62" spans="1:8" x14ac:dyDescent="0.2">
      <c r="A62" s="1"/>
      <c r="B62" s="1"/>
      <c r="C62" s="2" t="s">
        <v>118</v>
      </c>
      <c r="D62" s="1"/>
      <c r="E62" s="1"/>
      <c r="F62" s="1"/>
      <c r="G62" s="1"/>
      <c r="H62" s="69"/>
    </row>
    <row r="63" spans="1:8" x14ac:dyDescent="0.2">
      <c r="A63" s="1"/>
      <c r="B63" s="1"/>
      <c r="C63" s="2" t="s">
        <v>119</v>
      </c>
      <c r="D63" s="1"/>
      <c r="E63" s="1"/>
      <c r="F63" s="1"/>
      <c r="G63" s="1"/>
      <c r="H63" s="69"/>
    </row>
    <row r="64" spans="1:8" x14ac:dyDescent="0.2">
      <c r="A64" s="1"/>
      <c r="B64" s="1"/>
      <c r="C64" s="2" t="s">
        <v>95</v>
      </c>
      <c r="D64" s="1"/>
      <c r="E64" s="1" t="s">
        <v>96</v>
      </c>
      <c r="F64" s="13">
        <v>0</v>
      </c>
      <c r="G64" s="14">
        <v>0</v>
      </c>
      <c r="H64" s="69"/>
    </row>
    <row r="65" spans="1:8" x14ac:dyDescent="0.2">
      <c r="A65" s="1"/>
      <c r="B65" s="1"/>
      <c r="C65" s="11"/>
      <c r="D65" s="1"/>
      <c r="E65" s="1"/>
      <c r="F65" s="12"/>
      <c r="G65" s="12"/>
      <c r="H65" s="69"/>
    </row>
    <row r="66" spans="1:8" x14ac:dyDescent="0.2">
      <c r="A66" s="1"/>
      <c r="B66" s="1"/>
      <c r="C66" s="11"/>
      <c r="D66" s="1"/>
      <c r="E66" s="1"/>
      <c r="F66" s="12"/>
      <c r="G66" s="12"/>
      <c r="H66" s="69"/>
    </row>
    <row r="67" spans="1:8" ht="25.5" x14ac:dyDescent="0.2">
      <c r="A67" s="1"/>
      <c r="B67" s="1"/>
      <c r="C67" s="2" t="s">
        <v>120</v>
      </c>
      <c r="D67" s="1"/>
      <c r="E67" s="1"/>
      <c r="F67" s="12"/>
      <c r="G67" s="12"/>
      <c r="H67" s="69"/>
    </row>
    <row r="68" spans="1:8" x14ac:dyDescent="0.2">
      <c r="A68" s="1"/>
      <c r="B68" s="1"/>
      <c r="C68" s="2" t="s">
        <v>95</v>
      </c>
      <c r="D68" s="1"/>
      <c r="E68" s="1" t="s">
        <v>96</v>
      </c>
      <c r="F68" s="13">
        <v>0</v>
      </c>
      <c r="G68" s="14">
        <v>0</v>
      </c>
      <c r="H68" s="69"/>
    </row>
    <row r="69" spans="1:8" x14ac:dyDescent="0.2">
      <c r="A69" s="1"/>
      <c r="B69" s="1"/>
      <c r="C69" s="11"/>
      <c r="D69" s="1"/>
      <c r="E69" s="1"/>
      <c r="F69" s="12"/>
      <c r="G69" s="12"/>
      <c r="H69" s="69"/>
    </row>
    <row r="70" spans="1:8" x14ac:dyDescent="0.2">
      <c r="A70" s="1"/>
      <c r="B70" s="4"/>
      <c r="C70" s="4"/>
      <c r="D70" s="2"/>
      <c r="E70" s="1"/>
      <c r="F70" s="4"/>
      <c r="G70" s="8"/>
      <c r="H70" s="69"/>
    </row>
    <row r="71" spans="1:8" x14ac:dyDescent="0.2">
      <c r="A71" s="8"/>
      <c r="B71" s="4"/>
      <c r="C71" s="4" t="s">
        <v>121</v>
      </c>
      <c r="D71" s="4"/>
      <c r="E71" s="8"/>
      <c r="F71" s="6">
        <v>54.609622399999999</v>
      </c>
      <c r="G71" s="7">
        <v>1.2667367000000001E-2</v>
      </c>
      <c r="H71" s="69"/>
    </row>
    <row r="72" spans="1:8" x14ac:dyDescent="0.2">
      <c r="A72" s="11"/>
      <c r="B72" s="11"/>
      <c r="C72" s="2" t="s">
        <v>122</v>
      </c>
      <c r="D72" s="15"/>
      <c r="E72" s="15"/>
      <c r="F72" s="9">
        <v>4311.0476306</v>
      </c>
      <c r="G72" s="10">
        <v>1</v>
      </c>
      <c r="H72" s="69"/>
    </row>
    <row r="73" spans="1:8" ht="14.1" customHeight="1" x14ac:dyDescent="0.2">
      <c r="A73" s="16"/>
      <c r="B73" s="16"/>
      <c r="C73" s="16"/>
      <c r="D73" s="17"/>
      <c r="E73" s="17"/>
      <c r="F73" s="17"/>
      <c r="G73" s="17"/>
    </row>
    <row r="74" spans="1:8" ht="14.1" customHeight="1" x14ac:dyDescent="0.2">
      <c r="A74" s="18"/>
      <c r="B74" s="176" t="s">
        <v>96</v>
      </c>
      <c r="C74" s="176"/>
      <c r="D74" s="176"/>
      <c r="E74" s="176"/>
      <c r="F74" s="176"/>
      <c r="G74" s="20"/>
    </row>
    <row r="75" spans="1:8" ht="14.1" customHeight="1" x14ac:dyDescent="0.2">
      <c r="A75" s="18"/>
      <c r="B75" s="176" t="s">
        <v>96</v>
      </c>
      <c r="C75" s="176"/>
      <c r="D75" s="176"/>
      <c r="E75" s="176"/>
      <c r="F75" s="176"/>
      <c r="G75" s="20"/>
    </row>
    <row r="76" spans="1:8" ht="14.1" customHeight="1" x14ac:dyDescent="0.2">
      <c r="A76" s="18"/>
      <c r="B76" s="18"/>
      <c r="C76" s="18"/>
      <c r="D76" s="20"/>
      <c r="E76" s="20"/>
      <c r="F76" s="20"/>
      <c r="G76" s="20"/>
    </row>
    <row r="77" spans="1:8" ht="14.1" customHeight="1" x14ac:dyDescent="0.2">
      <c r="A77" s="18"/>
      <c r="B77" s="174" t="s">
        <v>124</v>
      </c>
      <c r="C77" s="175"/>
      <c r="D77" s="12" t="s">
        <v>96</v>
      </c>
      <c r="E77" s="21"/>
      <c r="F77" s="20"/>
      <c r="G77" s="20"/>
    </row>
    <row r="78" spans="1:8" ht="29.1" customHeight="1" x14ac:dyDescent="0.2">
      <c r="A78" s="18"/>
      <c r="B78" s="172" t="s">
        <v>125</v>
      </c>
      <c r="C78" s="173"/>
      <c r="D78" s="2" t="s">
        <v>126</v>
      </c>
      <c r="E78" s="21"/>
      <c r="F78" s="20"/>
      <c r="G78" s="20"/>
    </row>
    <row r="79" spans="1:8" ht="17.100000000000001" customHeight="1" x14ac:dyDescent="0.2">
      <c r="A79" s="18"/>
      <c r="B79" s="172" t="s">
        <v>127</v>
      </c>
      <c r="C79" s="173"/>
      <c r="D79" s="2" t="s">
        <v>126</v>
      </c>
      <c r="E79" s="21"/>
      <c r="F79" s="20"/>
      <c r="G79" s="20"/>
    </row>
    <row r="80" spans="1:8" ht="17.100000000000001" customHeight="1" x14ac:dyDescent="0.2">
      <c r="A80" s="18"/>
      <c r="B80" s="172" t="s">
        <v>128</v>
      </c>
      <c r="C80" s="173"/>
      <c r="D80" s="12" t="s">
        <v>96</v>
      </c>
      <c r="E80" s="21"/>
      <c r="F80" s="20"/>
      <c r="G80" s="20"/>
    </row>
    <row r="81" spans="1:16" ht="24" customHeight="1" x14ac:dyDescent="0.2">
      <c r="A81" s="22"/>
      <c r="B81" s="23" t="s">
        <v>96</v>
      </c>
      <c r="C81" s="23" t="s">
        <v>129</v>
      </c>
      <c r="D81" s="23" t="s">
        <v>130</v>
      </c>
      <c r="E81" s="22"/>
      <c r="F81" s="22"/>
      <c r="G81" s="22"/>
    </row>
    <row r="82" spans="1:16" ht="18" customHeight="1" x14ac:dyDescent="0.2">
      <c r="A82" s="22"/>
      <c r="B82" s="23" t="s">
        <v>131</v>
      </c>
      <c r="C82" s="23" t="s">
        <v>132</v>
      </c>
      <c r="D82" s="23" t="s">
        <v>133</v>
      </c>
      <c r="E82" s="22"/>
      <c r="F82" s="22"/>
      <c r="G82" s="22"/>
    </row>
    <row r="83" spans="1:16" ht="17.100000000000001" customHeight="1" x14ac:dyDescent="0.2">
      <c r="A83" s="22"/>
      <c r="B83" s="4" t="s">
        <v>134</v>
      </c>
      <c r="C83" s="24">
        <v>15.186</v>
      </c>
      <c r="D83" s="24">
        <v>15.4407</v>
      </c>
      <c r="E83" s="22"/>
      <c r="F83" s="19"/>
      <c r="G83" s="25"/>
    </row>
    <row r="84" spans="1:16" ht="17.100000000000001" customHeight="1" x14ac:dyDescent="0.2">
      <c r="A84" s="22"/>
      <c r="B84" s="4" t="s">
        <v>983</v>
      </c>
      <c r="C84" s="24">
        <v>14.0708</v>
      </c>
      <c r="D84" s="24">
        <v>14.306800000000001</v>
      </c>
      <c r="E84" s="22"/>
      <c r="F84" s="19"/>
      <c r="G84" s="25"/>
    </row>
    <row r="85" spans="1:16" ht="17.100000000000001" customHeight="1" x14ac:dyDescent="0.2">
      <c r="A85" s="22"/>
      <c r="B85" s="4" t="s">
        <v>135</v>
      </c>
      <c r="C85" s="24">
        <v>14.743399999999999</v>
      </c>
      <c r="D85" s="24">
        <v>14.9841</v>
      </c>
      <c r="E85" s="22"/>
      <c r="F85" s="19"/>
      <c r="G85" s="25"/>
    </row>
    <row r="86" spans="1:16" ht="17.100000000000001" customHeight="1" x14ac:dyDescent="0.2">
      <c r="A86" s="22"/>
      <c r="B86" s="4" t="s">
        <v>984</v>
      </c>
      <c r="C86" s="24">
        <v>13.946999999999999</v>
      </c>
      <c r="D86" s="24">
        <v>14.174799999999999</v>
      </c>
      <c r="E86" s="22"/>
      <c r="F86" s="19"/>
      <c r="G86" s="25"/>
    </row>
    <row r="87" spans="1:16" ht="14.1" customHeight="1" x14ac:dyDescent="0.2">
      <c r="A87" s="22"/>
      <c r="B87" s="22"/>
      <c r="C87" s="22"/>
      <c r="D87" s="22"/>
      <c r="E87" s="22"/>
      <c r="F87" s="22"/>
      <c r="G87" s="22"/>
    </row>
    <row r="88" spans="1:16" ht="17.100000000000001" customHeight="1" x14ac:dyDescent="0.2">
      <c r="A88" s="22"/>
      <c r="B88" s="172" t="s">
        <v>985</v>
      </c>
      <c r="C88" s="173"/>
      <c r="D88" s="2" t="s">
        <v>126</v>
      </c>
      <c r="E88" s="22"/>
      <c r="F88" s="22"/>
      <c r="G88" s="22"/>
    </row>
    <row r="89" spans="1:16" ht="18" customHeight="1" x14ac:dyDescent="0.2">
      <c r="A89" s="22"/>
      <c r="B89" s="26" t="s">
        <v>136</v>
      </c>
      <c r="C89" s="26" t="s">
        <v>136</v>
      </c>
      <c r="D89" s="26"/>
      <c r="E89" s="22"/>
      <c r="F89" s="22"/>
      <c r="G89" s="22"/>
    </row>
    <row r="90" spans="1:16" s="82" customFormat="1" x14ac:dyDescent="0.2">
      <c r="B90" s="177" t="s">
        <v>936</v>
      </c>
      <c r="C90" s="177"/>
      <c r="D90" s="177"/>
      <c r="E90" s="177"/>
      <c r="F90" s="177"/>
      <c r="I90"/>
      <c r="J90"/>
      <c r="K90"/>
      <c r="L90"/>
      <c r="M90"/>
      <c r="N90"/>
      <c r="O90"/>
      <c r="P90" s="70"/>
    </row>
    <row r="91" spans="1:16" ht="14.1" customHeight="1" x14ac:dyDescent="0.2">
      <c r="A91" s="22"/>
      <c r="B91" s="19"/>
      <c r="C91" s="19"/>
      <c r="D91" s="22"/>
      <c r="E91" s="22"/>
      <c r="F91" s="22"/>
      <c r="G91" s="22"/>
    </row>
    <row r="92" spans="1:16" ht="29.1" customHeight="1" x14ac:dyDescent="0.2">
      <c r="A92" s="22"/>
      <c r="B92" s="172" t="s">
        <v>137</v>
      </c>
      <c r="C92" s="173"/>
      <c r="D92" s="2" t="s">
        <v>126</v>
      </c>
      <c r="E92" s="22"/>
      <c r="F92" s="22"/>
      <c r="G92" s="22"/>
    </row>
    <row r="93" spans="1:16" ht="29.1" customHeight="1" x14ac:dyDescent="0.2">
      <c r="A93" s="22"/>
      <c r="B93" s="172" t="s">
        <v>138</v>
      </c>
      <c r="C93" s="173"/>
      <c r="D93" s="2" t="s">
        <v>126</v>
      </c>
      <c r="E93" s="22"/>
      <c r="F93" s="22"/>
      <c r="G93" s="22"/>
    </row>
    <row r="94" spans="1:16" ht="17.100000000000001" customHeight="1" x14ac:dyDescent="0.2">
      <c r="A94" s="22"/>
      <c r="B94" s="172" t="s">
        <v>139</v>
      </c>
      <c r="C94" s="173"/>
      <c r="D94" s="27">
        <v>0.76856809831774664</v>
      </c>
      <c r="E94" s="22"/>
      <c r="F94" s="19"/>
      <c r="G94" s="25"/>
    </row>
    <row r="95" spans="1:16" ht="17.100000000000001" customHeight="1" x14ac:dyDescent="0.2">
      <c r="A95" s="22"/>
      <c r="B95" s="172" t="s">
        <v>140</v>
      </c>
      <c r="C95" s="173"/>
      <c r="D95" s="2" t="s">
        <v>126</v>
      </c>
      <c r="E95" s="22"/>
      <c r="F95" s="22"/>
      <c r="G95" s="22"/>
    </row>
    <row r="115" spans="9:15" x14ac:dyDescent="0.2">
      <c r="I115" s="82"/>
      <c r="J115" s="82"/>
      <c r="K115" s="82"/>
      <c r="L115" s="82"/>
      <c r="M115" s="82"/>
      <c r="N115" s="82"/>
      <c r="O115" s="82"/>
    </row>
  </sheetData>
  <mergeCells count="16">
    <mergeCell ref="B95:C95"/>
    <mergeCell ref="B78:C78"/>
    <mergeCell ref="B79:C79"/>
    <mergeCell ref="B80:C80"/>
    <mergeCell ref="B88:C88"/>
    <mergeCell ref="B92:C92"/>
    <mergeCell ref="B93:C93"/>
    <mergeCell ref="B90:F90"/>
    <mergeCell ref="A1:H1"/>
    <mergeCell ref="A2:H2"/>
    <mergeCell ref="A3:H3"/>
    <mergeCell ref="J2:N2"/>
    <mergeCell ref="B94:C94"/>
    <mergeCell ref="B77:C77"/>
    <mergeCell ref="B74:F74"/>
    <mergeCell ref="B75:F75"/>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85C38-6778-4E86-9B4C-A212652B24D3}">
  <dimension ref="A1:O36"/>
  <sheetViews>
    <sheetView workbookViewId="0">
      <selection sqref="A1:H1"/>
    </sheetView>
  </sheetViews>
  <sheetFormatPr defaultRowHeight="15" x14ac:dyDescent="0.25"/>
  <cols>
    <col min="1" max="1" width="5.42578125" style="105" bestFit="1" customWidth="1"/>
    <col min="2" max="2" width="19.7109375" style="105" bestFit="1" customWidth="1"/>
    <col min="3" max="3" width="40.28515625" style="105" bestFit="1" customWidth="1"/>
    <col min="4" max="4" width="15.28515625" style="105" bestFit="1" customWidth="1"/>
    <col min="5" max="5" width="11.42578125" style="105" bestFit="1" customWidth="1"/>
    <col min="6" max="6" width="10.140625" style="105" bestFit="1" customWidth="1"/>
    <col min="7" max="7" width="8.5703125" style="105" bestFit="1" customWidth="1"/>
    <col min="8" max="8" width="8.42578125" style="105" bestFit="1" customWidth="1"/>
    <col min="9" max="10" width="9.140625" style="163"/>
    <col min="11" max="11" width="10.5703125" style="163" bestFit="1" customWidth="1"/>
    <col min="12" max="15" width="9.140625" style="163"/>
    <col min="16" max="250" width="9.140625" style="105"/>
    <col min="251" max="251" width="5.42578125" style="105" bestFit="1" customWidth="1"/>
    <col min="252" max="252" width="20.42578125" style="105" bestFit="1" customWidth="1"/>
    <col min="253" max="253" width="41.42578125" style="105" customWidth="1"/>
    <col min="254" max="254" width="15.28515625" style="105" bestFit="1" customWidth="1"/>
    <col min="255" max="255" width="16.7109375" style="105" bestFit="1" customWidth="1"/>
    <col min="256" max="256" width="11.28515625" style="105" bestFit="1" customWidth="1"/>
    <col min="257" max="257" width="14" style="105" bestFit="1" customWidth="1"/>
    <col min="258" max="258" width="11.85546875" style="105" bestFit="1" customWidth="1"/>
    <col min="259" max="259" width="14.85546875" style="105" bestFit="1" customWidth="1"/>
    <col min="260" max="260" width="9.7109375" style="105" customWidth="1"/>
    <col min="261" max="261" width="4.85546875" style="105" customWidth="1"/>
    <col min="262" max="506" width="9.140625" style="105"/>
    <col min="507" max="507" width="5.42578125" style="105" bestFit="1" customWidth="1"/>
    <col min="508" max="508" width="20.42578125" style="105" bestFit="1" customWidth="1"/>
    <col min="509" max="509" width="41.42578125" style="105" customWidth="1"/>
    <col min="510" max="510" width="15.28515625" style="105" bestFit="1" customWidth="1"/>
    <col min="511" max="511" width="16.7109375" style="105" bestFit="1" customWidth="1"/>
    <col min="512" max="512" width="11.28515625" style="105" bestFit="1" customWidth="1"/>
    <col min="513" max="513" width="14" style="105" bestFit="1" customWidth="1"/>
    <col min="514" max="514" width="11.85546875" style="105" bestFit="1" customWidth="1"/>
    <col min="515" max="515" width="14.85546875" style="105" bestFit="1" customWidth="1"/>
    <col min="516" max="516" width="9.7109375" style="105" customWidth="1"/>
    <col min="517" max="517" width="4.85546875" style="105" customWidth="1"/>
    <col min="518" max="762" width="9.140625" style="105"/>
    <col min="763" max="763" width="5.42578125" style="105" bestFit="1" customWidth="1"/>
    <col min="764" max="764" width="20.42578125" style="105" bestFit="1" customWidth="1"/>
    <col min="765" max="765" width="41.42578125" style="105" customWidth="1"/>
    <col min="766" max="766" width="15.28515625" style="105" bestFit="1" customWidth="1"/>
    <col min="767" max="767" width="16.7109375" style="105" bestFit="1" customWidth="1"/>
    <col min="768" max="768" width="11.28515625" style="105" bestFit="1" customWidth="1"/>
    <col min="769" max="769" width="14" style="105" bestFit="1" customWidth="1"/>
    <col min="770" max="770" width="11.85546875" style="105" bestFit="1" customWidth="1"/>
    <col min="771" max="771" width="14.85546875" style="105" bestFit="1" customWidth="1"/>
    <col min="772" max="772" width="9.7109375" style="105" customWidth="1"/>
    <col min="773" max="773" width="4.85546875" style="105" customWidth="1"/>
    <col min="774" max="1018" width="9.140625" style="105"/>
    <col min="1019" max="1019" width="5.42578125" style="105" bestFit="1" customWidth="1"/>
    <col min="1020" max="1020" width="20.42578125" style="105" bestFit="1" customWidth="1"/>
    <col min="1021" max="1021" width="41.42578125" style="105" customWidth="1"/>
    <col min="1022" max="1022" width="15.28515625" style="105" bestFit="1" customWidth="1"/>
    <col min="1023" max="1023" width="16.7109375" style="105" bestFit="1" customWidth="1"/>
    <col min="1024" max="1024" width="11.28515625" style="105" bestFit="1" customWidth="1"/>
    <col min="1025" max="1025" width="14" style="105" bestFit="1" customWidth="1"/>
    <col min="1026" max="1026" width="11.85546875" style="105" bestFit="1" customWidth="1"/>
    <col min="1027" max="1027" width="14.85546875" style="105" bestFit="1" customWidth="1"/>
    <col min="1028" max="1028" width="9.7109375" style="105" customWidth="1"/>
    <col min="1029" max="1029" width="4.85546875" style="105" customWidth="1"/>
    <col min="1030" max="1274" width="9.140625" style="105"/>
    <col min="1275" max="1275" width="5.42578125" style="105" bestFit="1" customWidth="1"/>
    <col min="1276" max="1276" width="20.42578125" style="105" bestFit="1" customWidth="1"/>
    <col min="1277" max="1277" width="41.42578125" style="105" customWidth="1"/>
    <col min="1278" max="1278" width="15.28515625" style="105" bestFit="1" customWidth="1"/>
    <col min="1279" max="1279" width="16.7109375" style="105" bestFit="1" customWidth="1"/>
    <col min="1280" max="1280" width="11.28515625" style="105" bestFit="1" customWidth="1"/>
    <col min="1281" max="1281" width="14" style="105" bestFit="1" customWidth="1"/>
    <col min="1282" max="1282" width="11.85546875" style="105" bestFit="1" customWidth="1"/>
    <col min="1283" max="1283" width="14.85546875" style="105" bestFit="1" customWidth="1"/>
    <col min="1284" max="1284" width="9.7109375" style="105" customWidth="1"/>
    <col min="1285" max="1285" width="4.85546875" style="105" customWidth="1"/>
    <col min="1286" max="1530" width="9.140625" style="105"/>
    <col min="1531" max="1531" width="5.42578125" style="105" bestFit="1" customWidth="1"/>
    <col min="1532" max="1532" width="20.42578125" style="105" bestFit="1" customWidth="1"/>
    <col min="1533" max="1533" width="41.42578125" style="105" customWidth="1"/>
    <col min="1534" max="1534" width="15.28515625" style="105" bestFit="1" customWidth="1"/>
    <col min="1535" max="1535" width="16.7109375" style="105" bestFit="1" customWidth="1"/>
    <col min="1536" max="1536" width="11.28515625" style="105" bestFit="1" customWidth="1"/>
    <col min="1537" max="1537" width="14" style="105" bestFit="1" customWidth="1"/>
    <col min="1538" max="1538" width="11.85546875" style="105" bestFit="1" customWidth="1"/>
    <col min="1539" max="1539" width="14.85546875" style="105" bestFit="1" customWidth="1"/>
    <col min="1540" max="1540" width="9.7109375" style="105" customWidth="1"/>
    <col min="1541" max="1541" width="4.85546875" style="105" customWidth="1"/>
    <col min="1542" max="1786" width="9.140625" style="105"/>
    <col min="1787" max="1787" width="5.42578125" style="105" bestFit="1" customWidth="1"/>
    <col min="1788" max="1788" width="20.42578125" style="105" bestFit="1" customWidth="1"/>
    <col min="1789" max="1789" width="41.42578125" style="105" customWidth="1"/>
    <col min="1790" max="1790" width="15.28515625" style="105" bestFit="1" customWidth="1"/>
    <col min="1791" max="1791" width="16.7109375" style="105" bestFit="1" customWidth="1"/>
    <col min="1792" max="1792" width="11.28515625" style="105" bestFit="1" customWidth="1"/>
    <col min="1793" max="1793" width="14" style="105" bestFit="1" customWidth="1"/>
    <col min="1794" max="1794" width="11.85546875" style="105" bestFit="1" customWidth="1"/>
    <col min="1795" max="1795" width="14.85546875" style="105" bestFit="1" customWidth="1"/>
    <col min="1796" max="1796" width="9.7109375" style="105" customWidth="1"/>
    <col min="1797" max="1797" width="4.85546875" style="105" customWidth="1"/>
    <col min="1798" max="2042" width="9.140625" style="105"/>
    <col min="2043" max="2043" width="5.42578125" style="105" bestFit="1" customWidth="1"/>
    <col min="2044" max="2044" width="20.42578125" style="105" bestFit="1" customWidth="1"/>
    <col min="2045" max="2045" width="41.42578125" style="105" customWidth="1"/>
    <col min="2046" max="2046" width="15.28515625" style="105" bestFit="1" customWidth="1"/>
    <col min="2047" max="2047" width="16.7109375" style="105" bestFit="1" customWidth="1"/>
    <col min="2048" max="2048" width="11.28515625" style="105" bestFit="1" customWidth="1"/>
    <col min="2049" max="2049" width="14" style="105" bestFit="1" customWidth="1"/>
    <col min="2050" max="2050" width="11.85546875" style="105" bestFit="1" customWidth="1"/>
    <col min="2051" max="2051" width="14.85546875" style="105" bestFit="1" customWidth="1"/>
    <col min="2052" max="2052" width="9.7109375" style="105" customWidth="1"/>
    <col min="2053" max="2053" width="4.85546875" style="105" customWidth="1"/>
    <col min="2054" max="2298" width="9.140625" style="105"/>
    <col min="2299" max="2299" width="5.42578125" style="105" bestFit="1" customWidth="1"/>
    <col min="2300" max="2300" width="20.42578125" style="105" bestFit="1" customWidth="1"/>
    <col min="2301" max="2301" width="41.42578125" style="105" customWidth="1"/>
    <col min="2302" max="2302" width="15.28515625" style="105" bestFit="1" customWidth="1"/>
    <col min="2303" max="2303" width="16.7109375" style="105" bestFit="1" customWidth="1"/>
    <col min="2304" max="2304" width="11.28515625" style="105" bestFit="1" customWidth="1"/>
    <col min="2305" max="2305" width="14" style="105" bestFit="1" customWidth="1"/>
    <col min="2306" max="2306" width="11.85546875" style="105" bestFit="1" customWidth="1"/>
    <col min="2307" max="2307" width="14.85546875" style="105" bestFit="1" customWidth="1"/>
    <col min="2308" max="2308" width="9.7109375" style="105" customWidth="1"/>
    <col min="2309" max="2309" width="4.85546875" style="105" customWidth="1"/>
    <col min="2310" max="2554" width="9.140625" style="105"/>
    <col min="2555" max="2555" width="5.42578125" style="105" bestFit="1" customWidth="1"/>
    <col min="2556" max="2556" width="20.42578125" style="105" bestFit="1" customWidth="1"/>
    <col min="2557" max="2557" width="41.42578125" style="105" customWidth="1"/>
    <col min="2558" max="2558" width="15.28515625" style="105" bestFit="1" customWidth="1"/>
    <col min="2559" max="2559" width="16.7109375" style="105" bestFit="1" customWidth="1"/>
    <col min="2560" max="2560" width="11.28515625" style="105" bestFit="1" customWidth="1"/>
    <col min="2561" max="2561" width="14" style="105" bestFit="1" customWidth="1"/>
    <col min="2562" max="2562" width="11.85546875" style="105" bestFit="1" customWidth="1"/>
    <col min="2563" max="2563" width="14.85546875" style="105" bestFit="1" customWidth="1"/>
    <col min="2564" max="2564" width="9.7109375" style="105" customWidth="1"/>
    <col min="2565" max="2565" width="4.85546875" style="105" customWidth="1"/>
    <col min="2566" max="2810" width="9.140625" style="105"/>
    <col min="2811" max="2811" width="5.42578125" style="105" bestFit="1" customWidth="1"/>
    <col min="2812" max="2812" width="20.42578125" style="105" bestFit="1" customWidth="1"/>
    <col min="2813" max="2813" width="41.42578125" style="105" customWidth="1"/>
    <col min="2814" max="2814" width="15.28515625" style="105" bestFit="1" customWidth="1"/>
    <col min="2815" max="2815" width="16.7109375" style="105" bestFit="1" customWidth="1"/>
    <col min="2816" max="2816" width="11.28515625" style="105" bestFit="1" customWidth="1"/>
    <col min="2817" max="2817" width="14" style="105" bestFit="1" customWidth="1"/>
    <col min="2818" max="2818" width="11.85546875" style="105" bestFit="1" customWidth="1"/>
    <col min="2819" max="2819" width="14.85546875" style="105" bestFit="1" customWidth="1"/>
    <col min="2820" max="2820" width="9.7109375" style="105" customWidth="1"/>
    <col min="2821" max="2821" width="4.85546875" style="105" customWidth="1"/>
    <col min="2822" max="3066" width="9.140625" style="105"/>
    <col min="3067" max="3067" width="5.42578125" style="105" bestFit="1" customWidth="1"/>
    <col min="3068" max="3068" width="20.42578125" style="105" bestFit="1" customWidth="1"/>
    <col min="3069" max="3069" width="41.42578125" style="105" customWidth="1"/>
    <col min="3070" max="3070" width="15.28515625" style="105" bestFit="1" customWidth="1"/>
    <col min="3071" max="3071" width="16.7109375" style="105" bestFit="1" customWidth="1"/>
    <col min="3072" max="3072" width="11.28515625" style="105" bestFit="1" customWidth="1"/>
    <col min="3073" max="3073" width="14" style="105" bestFit="1" customWidth="1"/>
    <col min="3074" max="3074" width="11.85546875" style="105" bestFit="1" customWidth="1"/>
    <col min="3075" max="3075" width="14.85546875" style="105" bestFit="1" customWidth="1"/>
    <col min="3076" max="3076" width="9.7109375" style="105" customWidth="1"/>
    <col min="3077" max="3077" width="4.85546875" style="105" customWidth="1"/>
    <col min="3078" max="3322" width="9.140625" style="105"/>
    <col min="3323" max="3323" width="5.42578125" style="105" bestFit="1" customWidth="1"/>
    <col min="3324" max="3324" width="20.42578125" style="105" bestFit="1" customWidth="1"/>
    <col min="3325" max="3325" width="41.42578125" style="105" customWidth="1"/>
    <col min="3326" max="3326" width="15.28515625" style="105" bestFit="1" customWidth="1"/>
    <col min="3327" max="3327" width="16.7109375" style="105" bestFit="1" customWidth="1"/>
    <col min="3328" max="3328" width="11.28515625" style="105" bestFit="1" customWidth="1"/>
    <col min="3329" max="3329" width="14" style="105" bestFit="1" customWidth="1"/>
    <col min="3330" max="3330" width="11.85546875" style="105" bestFit="1" customWidth="1"/>
    <col min="3331" max="3331" width="14.85546875" style="105" bestFit="1" customWidth="1"/>
    <col min="3332" max="3332" width="9.7109375" style="105" customWidth="1"/>
    <col min="3333" max="3333" width="4.85546875" style="105" customWidth="1"/>
    <col min="3334" max="3578" width="9.140625" style="105"/>
    <col min="3579" max="3579" width="5.42578125" style="105" bestFit="1" customWidth="1"/>
    <col min="3580" max="3580" width="20.42578125" style="105" bestFit="1" customWidth="1"/>
    <col min="3581" max="3581" width="41.42578125" style="105" customWidth="1"/>
    <col min="3582" max="3582" width="15.28515625" style="105" bestFit="1" customWidth="1"/>
    <col min="3583" max="3583" width="16.7109375" style="105" bestFit="1" customWidth="1"/>
    <col min="3584" max="3584" width="11.28515625" style="105" bestFit="1" customWidth="1"/>
    <col min="3585" max="3585" width="14" style="105" bestFit="1" customWidth="1"/>
    <col min="3586" max="3586" width="11.85546875" style="105" bestFit="1" customWidth="1"/>
    <col min="3587" max="3587" width="14.85546875" style="105" bestFit="1" customWidth="1"/>
    <col min="3588" max="3588" width="9.7109375" style="105" customWidth="1"/>
    <col min="3589" max="3589" width="4.85546875" style="105" customWidth="1"/>
    <col min="3590" max="3834" width="9.140625" style="105"/>
    <col min="3835" max="3835" width="5.42578125" style="105" bestFit="1" customWidth="1"/>
    <col min="3836" max="3836" width="20.42578125" style="105" bestFit="1" customWidth="1"/>
    <col min="3837" max="3837" width="41.42578125" style="105" customWidth="1"/>
    <col min="3838" max="3838" width="15.28515625" style="105" bestFit="1" customWidth="1"/>
    <col min="3839" max="3839" width="16.7109375" style="105" bestFit="1" customWidth="1"/>
    <col min="3840" max="3840" width="11.28515625" style="105" bestFit="1" customWidth="1"/>
    <col min="3841" max="3841" width="14" style="105" bestFit="1" customWidth="1"/>
    <col min="3842" max="3842" width="11.85546875" style="105" bestFit="1" customWidth="1"/>
    <col min="3843" max="3843" width="14.85546875" style="105" bestFit="1" customWidth="1"/>
    <col min="3844" max="3844" width="9.7109375" style="105" customWidth="1"/>
    <col min="3845" max="3845" width="4.85546875" style="105" customWidth="1"/>
    <col min="3846" max="4090" width="9.140625" style="105"/>
    <col min="4091" max="4091" width="5.42578125" style="105" bestFit="1" customWidth="1"/>
    <col min="4092" max="4092" width="20.42578125" style="105" bestFit="1" customWidth="1"/>
    <col min="4093" max="4093" width="41.42578125" style="105" customWidth="1"/>
    <col min="4094" max="4094" width="15.28515625" style="105" bestFit="1" customWidth="1"/>
    <col min="4095" max="4095" width="16.7109375" style="105" bestFit="1" customWidth="1"/>
    <col min="4096" max="4096" width="11.28515625" style="105" bestFit="1" customWidth="1"/>
    <col min="4097" max="4097" width="14" style="105" bestFit="1" customWidth="1"/>
    <col min="4098" max="4098" width="11.85546875" style="105" bestFit="1" customWidth="1"/>
    <col min="4099" max="4099" width="14.85546875" style="105" bestFit="1" customWidth="1"/>
    <col min="4100" max="4100" width="9.7109375" style="105" customWidth="1"/>
    <col min="4101" max="4101" width="4.85546875" style="105" customWidth="1"/>
    <col min="4102" max="4346" width="9.140625" style="105"/>
    <col min="4347" max="4347" width="5.42578125" style="105" bestFit="1" customWidth="1"/>
    <col min="4348" max="4348" width="20.42578125" style="105" bestFit="1" customWidth="1"/>
    <col min="4349" max="4349" width="41.42578125" style="105" customWidth="1"/>
    <col min="4350" max="4350" width="15.28515625" style="105" bestFit="1" customWidth="1"/>
    <col min="4351" max="4351" width="16.7109375" style="105" bestFit="1" customWidth="1"/>
    <col min="4352" max="4352" width="11.28515625" style="105" bestFit="1" customWidth="1"/>
    <col min="4353" max="4353" width="14" style="105" bestFit="1" customWidth="1"/>
    <col min="4354" max="4354" width="11.85546875" style="105" bestFit="1" customWidth="1"/>
    <col min="4355" max="4355" width="14.85546875" style="105" bestFit="1" customWidth="1"/>
    <col min="4356" max="4356" width="9.7109375" style="105" customWidth="1"/>
    <col min="4357" max="4357" width="4.85546875" style="105" customWidth="1"/>
    <col min="4358" max="4602" width="9.140625" style="105"/>
    <col min="4603" max="4603" width="5.42578125" style="105" bestFit="1" customWidth="1"/>
    <col min="4604" max="4604" width="20.42578125" style="105" bestFit="1" customWidth="1"/>
    <col min="4605" max="4605" width="41.42578125" style="105" customWidth="1"/>
    <col min="4606" max="4606" width="15.28515625" style="105" bestFit="1" customWidth="1"/>
    <col min="4607" max="4607" width="16.7109375" style="105" bestFit="1" customWidth="1"/>
    <col min="4608" max="4608" width="11.28515625" style="105" bestFit="1" customWidth="1"/>
    <col min="4609" max="4609" width="14" style="105" bestFit="1" customWidth="1"/>
    <col min="4610" max="4610" width="11.85546875" style="105" bestFit="1" customWidth="1"/>
    <col min="4611" max="4611" width="14.85546875" style="105" bestFit="1" customWidth="1"/>
    <col min="4612" max="4612" width="9.7109375" style="105" customWidth="1"/>
    <col min="4613" max="4613" width="4.85546875" style="105" customWidth="1"/>
    <col min="4614" max="4858" width="9.140625" style="105"/>
    <col min="4859" max="4859" width="5.42578125" style="105" bestFit="1" customWidth="1"/>
    <col min="4860" max="4860" width="20.42578125" style="105" bestFit="1" customWidth="1"/>
    <col min="4861" max="4861" width="41.42578125" style="105" customWidth="1"/>
    <col min="4862" max="4862" width="15.28515625" style="105" bestFit="1" customWidth="1"/>
    <col min="4863" max="4863" width="16.7109375" style="105" bestFit="1" customWidth="1"/>
    <col min="4864" max="4864" width="11.28515625" style="105" bestFit="1" customWidth="1"/>
    <col min="4865" max="4865" width="14" style="105" bestFit="1" customWidth="1"/>
    <col min="4866" max="4866" width="11.85546875" style="105" bestFit="1" customWidth="1"/>
    <col min="4867" max="4867" width="14.85546875" style="105" bestFit="1" customWidth="1"/>
    <col min="4868" max="4868" width="9.7109375" style="105" customWidth="1"/>
    <col min="4869" max="4869" width="4.85546875" style="105" customWidth="1"/>
    <col min="4870" max="5114" width="9.140625" style="105"/>
    <col min="5115" max="5115" width="5.42578125" style="105" bestFit="1" customWidth="1"/>
    <col min="5116" max="5116" width="20.42578125" style="105" bestFit="1" customWidth="1"/>
    <col min="5117" max="5117" width="41.42578125" style="105" customWidth="1"/>
    <col min="5118" max="5118" width="15.28515625" style="105" bestFit="1" customWidth="1"/>
    <col min="5119" max="5119" width="16.7109375" style="105" bestFit="1" customWidth="1"/>
    <col min="5120" max="5120" width="11.28515625" style="105" bestFit="1" customWidth="1"/>
    <col min="5121" max="5121" width="14" style="105" bestFit="1" customWidth="1"/>
    <col min="5122" max="5122" width="11.85546875" style="105" bestFit="1" customWidth="1"/>
    <col min="5123" max="5123" width="14.85546875" style="105" bestFit="1" customWidth="1"/>
    <col min="5124" max="5124" width="9.7109375" style="105" customWidth="1"/>
    <col min="5125" max="5125" width="4.85546875" style="105" customWidth="1"/>
    <col min="5126" max="5370" width="9.140625" style="105"/>
    <col min="5371" max="5371" width="5.42578125" style="105" bestFit="1" customWidth="1"/>
    <col min="5372" max="5372" width="20.42578125" style="105" bestFit="1" customWidth="1"/>
    <col min="5373" max="5373" width="41.42578125" style="105" customWidth="1"/>
    <col min="5374" max="5374" width="15.28515625" style="105" bestFit="1" customWidth="1"/>
    <col min="5375" max="5375" width="16.7109375" style="105" bestFit="1" customWidth="1"/>
    <col min="5376" max="5376" width="11.28515625" style="105" bestFit="1" customWidth="1"/>
    <col min="5377" max="5377" width="14" style="105" bestFit="1" customWidth="1"/>
    <col min="5378" max="5378" width="11.85546875" style="105" bestFit="1" customWidth="1"/>
    <col min="5379" max="5379" width="14.85546875" style="105" bestFit="1" customWidth="1"/>
    <col min="5380" max="5380" width="9.7109375" style="105" customWidth="1"/>
    <col min="5381" max="5381" width="4.85546875" style="105" customWidth="1"/>
    <col min="5382" max="5626" width="9.140625" style="105"/>
    <col min="5627" max="5627" width="5.42578125" style="105" bestFit="1" customWidth="1"/>
    <col min="5628" max="5628" width="20.42578125" style="105" bestFit="1" customWidth="1"/>
    <col min="5629" max="5629" width="41.42578125" style="105" customWidth="1"/>
    <col min="5630" max="5630" width="15.28515625" style="105" bestFit="1" customWidth="1"/>
    <col min="5631" max="5631" width="16.7109375" style="105" bestFit="1" customWidth="1"/>
    <col min="5632" max="5632" width="11.28515625" style="105" bestFit="1" customWidth="1"/>
    <col min="5633" max="5633" width="14" style="105" bestFit="1" customWidth="1"/>
    <col min="5634" max="5634" width="11.85546875" style="105" bestFit="1" customWidth="1"/>
    <col min="5635" max="5635" width="14.85546875" style="105" bestFit="1" customWidth="1"/>
    <col min="5636" max="5636" width="9.7109375" style="105" customWidth="1"/>
    <col min="5637" max="5637" width="4.85546875" style="105" customWidth="1"/>
    <col min="5638" max="5882" width="9.140625" style="105"/>
    <col min="5883" max="5883" width="5.42578125" style="105" bestFit="1" customWidth="1"/>
    <col min="5884" max="5884" width="20.42578125" style="105" bestFit="1" customWidth="1"/>
    <col min="5885" max="5885" width="41.42578125" style="105" customWidth="1"/>
    <col min="5886" max="5886" width="15.28515625" style="105" bestFit="1" customWidth="1"/>
    <col min="5887" max="5887" width="16.7109375" style="105" bestFit="1" customWidth="1"/>
    <col min="5888" max="5888" width="11.28515625" style="105" bestFit="1" customWidth="1"/>
    <col min="5889" max="5889" width="14" style="105" bestFit="1" customWidth="1"/>
    <col min="5890" max="5890" width="11.85546875" style="105" bestFit="1" customWidth="1"/>
    <col min="5891" max="5891" width="14.85546875" style="105" bestFit="1" customWidth="1"/>
    <col min="5892" max="5892" width="9.7109375" style="105" customWidth="1"/>
    <col min="5893" max="5893" width="4.85546875" style="105" customWidth="1"/>
    <col min="5894" max="6138" width="9.140625" style="105"/>
    <col min="6139" max="6139" width="5.42578125" style="105" bestFit="1" customWidth="1"/>
    <col min="6140" max="6140" width="20.42578125" style="105" bestFit="1" customWidth="1"/>
    <col min="6141" max="6141" width="41.42578125" style="105" customWidth="1"/>
    <col min="6142" max="6142" width="15.28515625" style="105" bestFit="1" customWidth="1"/>
    <col min="6143" max="6143" width="16.7109375" style="105" bestFit="1" customWidth="1"/>
    <col min="6144" max="6144" width="11.28515625" style="105" bestFit="1" customWidth="1"/>
    <col min="6145" max="6145" width="14" style="105" bestFit="1" customWidth="1"/>
    <col min="6146" max="6146" width="11.85546875" style="105" bestFit="1" customWidth="1"/>
    <col min="6147" max="6147" width="14.85546875" style="105" bestFit="1" customWidth="1"/>
    <col min="6148" max="6148" width="9.7109375" style="105" customWidth="1"/>
    <col min="6149" max="6149" width="4.85546875" style="105" customWidth="1"/>
    <col min="6150" max="6394" width="9.140625" style="105"/>
    <col min="6395" max="6395" width="5.42578125" style="105" bestFit="1" customWidth="1"/>
    <col min="6396" max="6396" width="20.42578125" style="105" bestFit="1" customWidth="1"/>
    <col min="6397" max="6397" width="41.42578125" style="105" customWidth="1"/>
    <col min="6398" max="6398" width="15.28515625" style="105" bestFit="1" customWidth="1"/>
    <col min="6399" max="6399" width="16.7109375" style="105" bestFit="1" customWidth="1"/>
    <col min="6400" max="6400" width="11.28515625" style="105" bestFit="1" customWidth="1"/>
    <col min="6401" max="6401" width="14" style="105" bestFit="1" customWidth="1"/>
    <col min="6402" max="6402" width="11.85546875" style="105" bestFit="1" customWidth="1"/>
    <col min="6403" max="6403" width="14.85546875" style="105" bestFit="1" customWidth="1"/>
    <col min="6404" max="6404" width="9.7109375" style="105" customWidth="1"/>
    <col min="6405" max="6405" width="4.85546875" style="105" customWidth="1"/>
    <col min="6406" max="6650" width="9.140625" style="105"/>
    <col min="6651" max="6651" width="5.42578125" style="105" bestFit="1" customWidth="1"/>
    <col min="6652" max="6652" width="20.42578125" style="105" bestFit="1" customWidth="1"/>
    <col min="6653" max="6653" width="41.42578125" style="105" customWidth="1"/>
    <col min="6654" max="6654" width="15.28515625" style="105" bestFit="1" customWidth="1"/>
    <col min="6655" max="6655" width="16.7109375" style="105" bestFit="1" customWidth="1"/>
    <col min="6656" max="6656" width="11.28515625" style="105" bestFit="1" customWidth="1"/>
    <col min="6657" max="6657" width="14" style="105" bestFit="1" customWidth="1"/>
    <col min="6658" max="6658" width="11.85546875" style="105" bestFit="1" customWidth="1"/>
    <col min="6659" max="6659" width="14.85546875" style="105" bestFit="1" customWidth="1"/>
    <col min="6660" max="6660" width="9.7109375" style="105" customWidth="1"/>
    <col min="6661" max="6661" width="4.85546875" style="105" customWidth="1"/>
    <col min="6662" max="6906" width="9.140625" style="105"/>
    <col min="6907" max="6907" width="5.42578125" style="105" bestFit="1" customWidth="1"/>
    <col min="6908" max="6908" width="20.42578125" style="105" bestFit="1" customWidth="1"/>
    <col min="6909" max="6909" width="41.42578125" style="105" customWidth="1"/>
    <col min="6910" max="6910" width="15.28515625" style="105" bestFit="1" customWidth="1"/>
    <col min="6911" max="6911" width="16.7109375" style="105" bestFit="1" customWidth="1"/>
    <col min="6912" max="6912" width="11.28515625" style="105" bestFit="1" customWidth="1"/>
    <col min="6913" max="6913" width="14" style="105" bestFit="1" customWidth="1"/>
    <col min="6914" max="6914" width="11.85546875" style="105" bestFit="1" customWidth="1"/>
    <col min="6915" max="6915" width="14.85546875" style="105" bestFit="1" customWidth="1"/>
    <col min="6916" max="6916" width="9.7109375" style="105" customWidth="1"/>
    <col min="6917" max="6917" width="4.85546875" style="105" customWidth="1"/>
    <col min="6918" max="7162" width="9.140625" style="105"/>
    <col min="7163" max="7163" width="5.42578125" style="105" bestFit="1" customWidth="1"/>
    <col min="7164" max="7164" width="20.42578125" style="105" bestFit="1" customWidth="1"/>
    <col min="7165" max="7165" width="41.42578125" style="105" customWidth="1"/>
    <col min="7166" max="7166" width="15.28515625" style="105" bestFit="1" customWidth="1"/>
    <col min="7167" max="7167" width="16.7109375" style="105" bestFit="1" customWidth="1"/>
    <col min="7168" max="7168" width="11.28515625" style="105" bestFit="1" customWidth="1"/>
    <col min="7169" max="7169" width="14" style="105" bestFit="1" customWidth="1"/>
    <col min="7170" max="7170" width="11.85546875" style="105" bestFit="1" customWidth="1"/>
    <col min="7171" max="7171" width="14.85546875" style="105" bestFit="1" customWidth="1"/>
    <col min="7172" max="7172" width="9.7109375" style="105" customWidth="1"/>
    <col min="7173" max="7173" width="4.85546875" style="105" customWidth="1"/>
    <col min="7174" max="7418" width="9.140625" style="105"/>
    <col min="7419" max="7419" width="5.42578125" style="105" bestFit="1" customWidth="1"/>
    <col min="7420" max="7420" width="20.42578125" style="105" bestFit="1" customWidth="1"/>
    <col min="7421" max="7421" width="41.42578125" style="105" customWidth="1"/>
    <col min="7422" max="7422" width="15.28515625" style="105" bestFit="1" customWidth="1"/>
    <col min="7423" max="7423" width="16.7109375" style="105" bestFit="1" customWidth="1"/>
    <col min="7424" max="7424" width="11.28515625" style="105" bestFit="1" customWidth="1"/>
    <col min="7425" max="7425" width="14" style="105" bestFit="1" customWidth="1"/>
    <col min="7426" max="7426" width="11.85546875" style="105" bestFit="1" customWidth="1"/>
    <col min="7427" max="7427" width="14.85546875" style="105" bestFit="1" customWidth="1"/>
    <col min="7428" max="7428" width="9.7109375" style="105" customWidth="1"/>
    <col min="7429" max="7429" width="4.85546875" style="105" customWidth="1"/>
    <col min="7430" max="7674" width="9.140625" style="105"/>
    <col min="7675" max="7675" width="5.42578125" style="105" bestFit="1" customWidth="1"/>
    <col min="7676" max="7676" width="20.42578125" style="105" bestFit="1" customWidth="1"/>
    <col min="7677" max="7677" width="41.42578125" style="105" customWidth="1"/>
    <col min="7678" max="7678" width="15.28515625" style="105" bestFit="1" customWidth="1"/>
    <col min="7679" max="7679" width="16.7109375" style="105" bestFit="1" customWidth="1"/>
    <col min="7680" max="7680" width="11.28515625" style="105" bestFit="1" customWidth="1"/>
    <col min="7681" max="7681" width="14" style="105" bestFit="1" customWidth="1"/>
    <col min="7682" max="7682" width="11.85546875" style="105" bestFit="1" customWidth="1"/>
    <col min="7683" max="7683" width="14.85546875" style="105" bestFit="1" customWidth="1"/>
    <col min="7684" max="7684" width="9.7109375" style="105" customWidth="1"/>
    <col min="7685" max="7685" width="4.85546875" style="105" customWidth="1"/>
    <col min="7686" max="7930" width="9.140625" style="105"/>
    <col min="7931" max="7931" width="5.42578125" style="105" bestFit="1" customWidth="1"/>
    <col min="7932" max="7932" width="20.42578125" style="105" bestFit="1" customWidth="1"/>
    <col min="7933" max="7933" width="41.42578125" style="105" customWidth="1"/>
    <col min="7934" max="7934" width="15.28515625" style="105" bestFit="1" customWidth="1"/>
    <col min="7935" max="7935" width="16.7109375" style="105" bestFit="1" customWidth="1"/>
    <col min="7936" max="7936" width="11.28515625" style="105" bestFit="1" customWidth="1"/>
    <col min="7937" max="7937" width="14" style="105" bestFit="1" customWidth="1"/>
    <col min="7938" max="7938" width="11.85546875" style="105" bestFit="1" customWidth="1"/>
    <col min="7939" max="7939" width="14.85546875" style="105" bestFit="1" customWidth="1"/>
    <col min="7940" max="7940" width="9.7109375" style="105" customWidth="1"/>
    <col min="7941" max="7941" width="4.85546875" style="105" customWidth="1"/>
    <col min="7942" max="8186" width="9.140625" style="105"/>
    <col min="8187" max="8187" width="5.42578125" style="105" bestFit="1" customWidth="1"/>
    <col min="8188" max="8188" width="20.42578125" style="105" bestFit="1" customWidth="1"/>
    <col min="8189" max="8189" width="41.42578125" style="105" customWidth="1"/>
    <col min="8190" max="8190" width="15.28515625" style="105" bestFit="1" customWidth="1"/>
    <col min="8191" max="8191" width="16.7109375" style="105" bestFit="1" customWidth="1"/>
    <col min="8192" max="8192" width="11.28515625" style="105" bestFit="1" customWidth="1"/>
    <col min="8193" max="8193" width="14" style="105" bestFit="1" customWidth="1"/>
    <col min="8194" max="8194" width="11.85546875" style="105" bestFit="1" customWidth="1"/>
    <col min="8195" max="8195" width="14.85546875" style="105" bestFit="1" customWidth="1"/>
    <col min="8196" max="8196" width="9.7109375" style="105" customWidth="1"/>
    <col min="8197" max="8197" width="4.85546875" style="105" customWidth="1"/>
    <col min="8198" max="8442" width="9.140625" style="105"/>
    <col min="8443" max="8443" width="5.42578125" style="105" bestFit="1" customWidth="1"/>
    <col min="8444" max="8444" width="20.42578125" style="105" bestFit="1" customWidth="1"/>
    <col min="8445" max="8445" width="41.42578125" style="105" customWidth="1"/>
    <col min="8446" max="8446" width="15.28515625" style="105" bestFit="1" customWidth="1"/>
    <col min="8447" max="8447" width="16.7109375" style="105" bestFit="1" customWidth="1"/>
    <col min="8448" max="8448" width="11.28515625" style="105" bestFit="1" customWidth="1"/>
    <col min="8449" max="8449" width="14" style="105" bestFit="1" customWidth="1"/>
    <col min="8450" max="8450" width="11.85546875" style="105" bestFit="1" customWidth="1"/>
    <col min="8451" max="8451" width="14.85546875" style="105" bestFit="1" customWidth="1"/>
    <col min="8452" max="8452" width="9.7109375" style="105" customWidth="1"/>
    <col min="8453" max="8453" width="4.85546875" style="105" customWidth="1"/>
    <col min="8454" max="8698" width="9.140625" style="105"/>
    <col min="8699" max="8699" width="5.42578125" style="105" bestFit="1" customWidth="1"/>
    <col min="8700" max="8700" width="20.42578125" style="105" bestFit="1" customWidth="1"/>
    <col min="8701" max="8701" width="41.42578125" style="105" customWidth="1"/>
    <col min="8702" max="8702" width="15.28515625" style="105" bestFit="1" customWidth="1"/>
    <col min="8703" max="8703" width="16.7109375" style="105" bestFit="1" customWidth="1"/>
    <col min="8704" max="8704" width="11.28515625" style="105" bestFit="1" customWidth="1"/>
    <col min="8705" max="8705" width="14" style="105" bestFit="1" customWidth="1"/>
    <col min="8706" max="8706" width="11.85546875" style="105" bestFit="1" customWidth="1"/>
    <col min="8707" max="8707" width="14.85546875" style="105" bestFit="1" customWidth="1"/>
    <col min="8708" max="8708" width="9.7109375" style="105" customWidth="1"/>
    <col min="8709" max="8709" width="4.85546875" style="105" customWidth="1"/>
    <col min="8710" max="8954" width="9.140625" style="105"/>
    <col min="8955" max="8955" width="5.42578125" style="105" bestFit="1" customWidth="1"/>
    <col min="8956" max="8956" width="20.42578125" style="105" bestFit="1" customWidth="1"/>
    <col min="8957" max="8957" width="41.42578125" style="105" customWidth="1"/>
    <col min="8958" max="8958" width="15.28515625" style="105" bestFit="1" customWidth="1"/>
    <col min="8959" max="8959" width="16.7109375" style="105" bestFit="1" customWidth="1"/>
    <col min="8960" max="8960" width="11.28515625" style="105" bestFit="1" customWidth="1"/>
    <col min="8961" max="8961" width="14" style="105" bestFit="1" customWidth="1"/>
    <col min="8962" max="8962" width="11.85546875" style="105" bestFit="1" customWidth="1"/>
    <col min="8963" max="8963" width="14.85546875" style="105" bestFit="1" customWidth="1"/>
    <col min="8964" max="8964" width="9.7109375" style="105" customWidth="1"/>
    <col min="8965" max="8965" width="4.85546875" style="105" customWidth="1"/>
    <col min="8966" max="9210" width="9.140625" style="105"/>
    <col min="9211" max="9211" width="5.42578125" style="105" bestFit="1" customWidth="1"/>
    <col min="9212" max="9212" width="20.42578125" style="105" bestFit="1" customWidth="1"/>
    <col min="9213" max="9213" width="41.42578125" style="105" customWidth="1"/>
    <col min="9214" max="9214" width="15.28515625" style="105" bestFit="1" customWidth="1"/>
    <col min="9215" max="9215" width="16.7109375" style="105" bestFit="1" customWidth="1"/>
    <col min="9216" max="9216" width="11.28515625" style="105" bestFit="1" customWidth="1"/>
    <col min="9217" max="9217" width="14" style="105" bestFit="1" customWidth="1"/>
    <col min="9218" max="9218" width="11.85546875" style="105" bestFit="1" customWidth="1"/>
    <col min="9219" max="9219" width="14.85546875" style="105" bestFit="1" customWidth="1"/>
    <col min="9220" max="9220" width="9.7109375" style="105" customWidth="1"/>
    <col min="9221" max="9221" width="4.85546875" style="105" customWidth="1"/>
    <col min="9222" max="9466" width="9.140625" style="105"/>
    <col min="9467" max="9467" width="5.42578125" style="105" bestFit="1" customWidth="1"/>
    <col min="9468" max="9468" width="20.42578125" style="105" bestFit="1" customWidth="1"/>
    <col min="9469" max="9469" width="41.42578125" style="105" customWidth="1"/>
    <col min="9470" max="9470" width="15.28515625" style="105" bestFit="1" customWidth="1"/>
    <col min="9471" max="9471" width="16.7109375" style="105" bestFit="1" customWidth="1"/>
    <col min="9472" max="9472" width="11.28515625" style="105" bestFit="1" customWidth="1"/>
    <col min="9473" max="9473" width="14" style="105" bestFit="1" customWidth="1"/>
    <col min="9474" max="9474" width="11.85546875" style="105" bestFit="1" customWidth="1"/>
    <col min="9475" max="9475" width="14.85546875" style="105" bestFit="1" customWidth="1"/>
    <col min="9476" max="9476" width="9.7109375" style="105" customWidth="1"/>
    <col min="9477" max="9477" width="4.85546875" style="105" customWidth="1"/>
    <col min="9478" max="9722" width="9.140625" style="105"/>
    <col min="9723" max="9723" width="5.42578125" style="105" bestFit="1" customWidth="1"/>
    <col min="9724" max="9724" width="20.42578125" style="105" bestFit="1" customWidth="1"/>
    <col min="9725" max="9725" width="41.42578125" style="105" customWidth="1"/>
    <col min="9726" max="9726" width="15.28515625" style="105" bestFit="1" customWidth="1"/>
    <col min="9727" max="9727" width="16.7109375" style="105" bestFit="1" customWidth="1"/>
    <col min="9728" max="9728" width="11.28515625" style="105" bestFit="1" customWidth="1"/>
    <col min="9729" max="9729" width="14" style="105" bestFit="1" customWidth="1"/>
    <col min="9730" max="9730" width="11.85546875" style="105" bestFit="1" customWidth="1"/>
    <col min="9731" max="9731" width="14.85546875" style="105" bestFit="1" customWidth="1"/>
    <col min="9732" max="9732" width="9.7109375" style="105" customWidth="1"/>
    <col min="9733" max="9733" width="4.85546875" style="105" customWidth="1"/>
    <col min="9734" max="9978" width="9.140625" style="105"/>
    <col min="9979" max="9979" width="5.42578125" style="105" bestFit="1" customWidth="1"/>
    <col min="9980" max="9980" width="20.42578125" style="105" bestFit="1" customWidth="1"/>
    <col min="9981" max="9981" width="41.42578125" style="105" customWidth="1"/>
    <col min="9982" max="9982" width="15.28515625" style="105" bestFit="1" customWidth="1"/>
    <col min="9983" max="9983" width="16.7109375" style="105" bestFit="1" customWidth="1"/>
    <col min="9984" max="9984" width="11.28515625" style="105" bestFit="1" customWidth="1"/>
    <col min="9985" max="9985" width="14" style="105" bestFit="1" customWidth="1"/>
    <col min="9986" max="9986" width="11.85546875" style="105" bestFit="1" customWidth="1"/>
    <col min="9987" max="9987" width="14.85546875" style="105" bestFit="1" customWidth="1"/>
    <col min="9988" max="9988" width="9.7109375" style="105" customWidth="1"/>
    <col min="9989" max="9989" width="4.85546875" style="105" customWidth="1"/>
    <col min="9990" max="10234" width="9.140625" style="105"/>
    <col min="10235" max="10235" width="5.42578125" style="105" bestFit="1" customWidth="1"/>
    <col min="10236" max="10236" width="20.42578125" style="105" bestFit="1" customWidth="1"/>
    <col min="10237" max="10237" width="41.42578125" style="105" customWidth="1"/>
    <col min="10238" max="10238" width="15.28515625" style="105" bestFit="1" customWidth="1"/>
    <col min="10239" max="10239" width="16.7109375" style="105" bestFit="1" customWidth="1"/>
    <col min="10240" max="10240" width="11.28515625" style="105" bestFit="1" customWidth="1"/>
    <col min="10241" max="10241" width="14" style="105" bestFit="1" customWidth="1"/>
    <col min="10242" max="10242" width="11.85546875" style="105" bestFit="1" customWidth="1"/>
    <col min="10243" max="10243" width="14.85546875" style="105" bestFit="1" customWidth="1"/>
    <col min="10244" max="10244" width="9.7109375" style="105" customWidth="1"/>
    <col min="10245" max="10245" width="4.85546875" style="105" customWidth="1"/>
    <col min="10246" max="10490" width="9.140625" style="105"/>
    <col min="10491" max="10491" width="5.42578125" style="105" bestFit="1" customWidth="1"/>
    <col min="10492" max="10492" width="20.42578125" style="105" bestFit="1" customWidth="1"/>
    <col min="10493" max="10493" width="41.42578125" style="105" customWidth="1"/>
    <col min="10494" max="10494" width="15.28515625" style="105" bestFit="1" customWidth="1"/>
    <col min="10495" max="10495" width="16.7109375" style="105" bestFit="1" customWidth="1"/>
    <col min="10496" max="10496" width="11.28515625" style="105" bestFit="1" customWidth="1"/>
    <col min="10497" max="10497" width="14" style="105" bestFit="1" customWidth="1"/>
    <col min="10498" max="10498" width="11.85546875" style="105" bestFit="1" customWidth="1"/>
    <col min="10499" max="10499" width="14.85546875" style="105" bestFit="1" customWidth="1"/>
    <col min="10500" max="10500" width="9.7109375" style="105" customWidth="1"/>
    <col min="10501" max="10501" width="4.85546875" style="105" customWidth="1"/>
    <col min="10502" max="10746" width="9.140625" style="105"/>
    <col min="10747" max="10747" width="5.42578125" style="105" bestFit="1" customWidth="1"/>
    <col min="10748" max="10748" width="20.42578125" style="105" bestFit="1" customWidth="1"/>
    <col min="10749" max="10749" width="41.42578125" style="105" customWidth="1"/>
    <col min="10750" max="10750" width="15.28515625" style="105" bestFit="1" customWidth="1"/>
    <col min="10751" max="10751" width="16.7109375" style="105" bestFit="1" customWidth="1"/>
    <col min="10752" max="10752" width="11.28515625" style="105" bestFit="1" customWidth="1"/>
    <col min="10753" max="10753" width="14" style="105" bestFit="1" customWidth="1"/>
    <col min="10754" max="10754" width="11.85546875" style="105" bestFit="1" customWidth="1"/>
    <col min="10755" max="10755" width="14.85546875" style="105" bestFit="1" customWidth="1"/>
    <col min="10756" max="10756" width="9.7109375" style="105" customWidth="1"/>
    <col min="10757" max="10757" width="4.85546875" style="105" customWidth="1"/>
    <col min="10758" max="11002" width="9.140625" style="105"/>
    <col min="11003" max="11003" width="5.42578125" style="105" bestFit="1" customWidth="1"/>
    <col min="11004" max="11004" width="20.42578125" style="105" bestFit="1" customWidth="1"/>
    <col min="11005" max="11005" width="41.42578125" style="105" customWidth="1"/>
    <col min="11006" max="11006" width="15.28515625" style="105" bestFit="1" customWidth="1"/>
    <col min="11007" max="11007" width="16.7109375" style="105" bestFit="1" customWidth="1"/>
    <col min="11008" max="11008" width="11.28515625" style="105" bestFit="1" customWidth="1"/>
    <col min="11009" max="11009" width="14" style="105" bestFit="1" customWidth="1"/>
    <col min="11010" max="11010" width="11.85546875" style="105" bestFit="1" customWidth="1"/>
    <col min="11011" max="11011" width="14.85546875" style="105" bestFit="1" customWidth="1"/>
    <col min="11012" max="11012" width="9.7109375" style="105" customWidth="1"/>
    <col min="11013" max="11013" width="4.85546875" style="105" customWidth="1"/>
    <col min="11014" max="11258" width="9.140625" style="105"/>
    <col min="11259" max="11259" width="5.42578125" style="105" bestFit="1" customWidth="1"/>
    <col min="11260" max="11260" width="20.42578125" style="105" bestFit="1" customWidth="1"/>
    <col min="11261" max="11261" width="41.42578125" style="105" customWidth="1"/>
    <col min="11262" max="11262" width="15.28515625" style="105" bestFit="1" customWidth="1"/>
    <col min="11263" max="11263" width="16.7109375" style="105" bestFit="1" customWidth="1"/>
    <col min="11264" max="11264" width="11.28515625" style="105" bestFit="1" customWidth="1"/>
    <col min="11265" max="11265" width="14" style="105" bestFit="1" customWidth="1"/>
    <col min="11266" max="11266" width="11.85546875" style="105" bestFit="1" customWidth="1"/>
    <col min="11267" max="11267" width="14.85546875" style="105" bestFit="1" customWidth="1"/>
    <col min="11268" max="11268" width="9.7109375" style="105" customWidth="1"/>
    <col min="11269" max="11269" width="4.85546875" style="105" customWidth="1"/>
    <col min="11270" max="11514" width="9.140625" style="105"/>
    <col min="11515" max="11515" width="5.42578125" style="105" bestFit="1" customWidth="1"/>
    <col min="11516" max="11516" width="20.42578125" style="105" bestFit="1" customWidth="1"/>
    <col min="11517" max="11517" width="41.42578125" style="105" customWidth="1"/>
    <col min="11518" max="11518" width="15.28515625" style="105" bestFit="1" customWidth="1"/>
    <col min="11519" max="11519" width="16.7109375" style="105" bestFit="1" customWidth="1"/>
    <col min="11520" max="11520" width="11.28515625" style="105" bestFit="1" customWidth="1"/>
    <col min="11521" max="11521" width="14" style="105" bestFit="1" customWidth="1"/>
    <col min="11522" max="11522" width="11.85546875" style="105" bestFit="1" customWidth="1"/>
    <col min="11523" max="11523" width="14.85546875" style="105" bestFit="1" customWidth="1"/>
    <col min="11524" max="11524" width="9.7109375" style="105" customWidth="1"/>
    <col min="11525" max="11525" width="4.85546875" style="105" customWidth="1"/>
    <col min="11526" max="11770" width="9.140625" style="105"/>
    <col min="11771" max="11771" width="5.42578125" style="105" bestFit="1" customWidth="1"/>
    <col min="11772" max="11772" width="20.42578125" style="105" bestFit="1" customWidth="1"/>
    <col min="11773" max="11773" width="41.42578125" style="105" customWidth="1"/>
    <col min="11774" max="11774" width="15.28515625" style="105" bestFit="1" customWidth="1"/>
    <col min="11775" max="11775" width="16.7109375" style="105" bestFit="1" customWidth="1"/>
    <col min="11776" max="11776" width="11.28515625" style="105" bestFit="1" customWidth="1"/>
    <col min="11777" max="11777" width="14" style="105" bestFit="1" customWidth="1"/>
    <col min="11778" max="11778" width="11.85546875" style="105" bestFit="1" customWidth="1"/>
    <col min="11779" max="11779" width="14.85546875" style="105" bestFit="1" customWidth="1"/>
    <col min="11780" max="11780" width="9.7109375" style="105" customWidth="1"/>
    <col min="11781" max="11781" width="4.85546875" style="105" customWidth="1"/>
    <col min="11782" max="12026" width="9.140625" style="105"/>
    <col min="12027" max="12027" width="5.42578125" style="105" bestFit="1" customWidth="1"/>
    <col min="12028" max="12028" width="20.42578125" style="105" bestFit="1" customWidth="1"/>
    <col min="12029" max="12029" width="41.42578125" style="105" customWidth="1"/>
    <col min="12030" max="12030" width="15.28515625" style="105" bestFit="1" customWidth="1"/>
    <col min="12031" max="12031" width="16.7109375" style="105" bestFit="1" customWidth="1"/>
    <col min="12032" max="12032" width="11.28515625" style="105" bestFit="1" customWidth="1"/>
    <col min="12033" max="12033" width="14" style="105" bestFit="1" customWidth="1"/>
    <col min="12034" max="12034" width="11.85546875" style="105" bestFit="1" customWidth="1"/>
    <col min="12035" max="12035" width="14.85546875" style="105" bestFit="1" customWidth="1"/>
    <col min="12036" max="12036" width="9.7109375" style="105" customWidth="1"/>
    <col min="12037" max="12037" width="4.85546875" style="105" customWidth="1"/>
    <col min="12038" max="12282" width="9.140625" style="105"/>
    <col min="12283" max="12283" width="5.42578125" style="105" bestFit="1" customWidth="1"/>
    <col min="12284" max="12284" width="20.42578125" style="105" bestFit="1" customWidth="1"/>
    <col min="12285" max="12285" width="41.42578125" style="105" customWidth="1"/>
    <col min="12286" max="12286" width="15.28515625" style="105" bestFit="1" customWidth="1"/>
    <col min="12287" max="12287" width="16.7109375" style="105" bestFit="1" customWidth="1"/>
    <col min="12288" max="12288" width="11.28515625" style="105" bestFit="1" customWidth="1"/>
    <col min="12289" max="12289" width="14" style="105" bestFit="1" customWidth="1"/>
    <col min="12290" max="12290" width="11.85546875" style="105" bestFit="1" customWidth="1"/>
    <col min="12291" max="12291" width="14.85546875" style="105" bestFit="1" customWidth="1"/>
    <col min="12292" max="12292" width="9.7109375" style="105" customWidth="1"/>
    <col min="12293" max="12293" width="4.85546875" style="105" customWidth="1"/>
    <col min="12294" max="12538" width="9.140625" style="105"/>
    <col min="12539" max="12539" width="5.42578125" style="105" bestFit="1" customWidth="1"/>
    <col min="12540" max="12540" width="20.42578125" style="105" bestFit="1" customWidth="1"/>
    <col min="12541" max="12541" width="41.42578125" style="105" customWidth="1"/>
    <col min="12542" max="12542" width="15.28515625" style="105" bestFit="1" customWidth="1"/>
    <col min="12543" max="12543" width="16.7109375" style="105" bestFit="1" customWidth="1"/>
    <col min="12544" max="12544" width="11.28515625" style="105" bestFit="1" customWidth="1"/>
    <col min="12545" max="12545" width="14" style="105" bestFit="1" customWidth="1"/>
    <col min="12546" max="12546" width="11.85546875" style="105" bestFit="1" customWidth="1"/>
    <col min="12547" max="12547" width="14.85546875" style="105" bestFit="1" customWidth="1"/>
    <col min="12548" max="12548" width="9.7109375" style="105" customWidth="1"/>
    <col min="12549" max="12549" width="4.85546875" style="105" customWidth="1"/>
    <col min="12550" max="12794" width="9.140625" style="105"/>
    <col min="12795" max="12795" width="5.42578125" style="105" bestFit="1" customWidth="1"/>
    <col min="12796" max="12796" width="20.42578125" style="105" bestFit="1" customWidth="1"/>
    <col min="12797" max="12797" width="41.42578125" style="105" customWidth="1"/>
    <col min="12798" max="12798" width="15.28515625" style="105" bestFit="1" customWidth="1"/>
    <col min="12799" max="12799" width="16.7109375" style="105" bestFit="1" customWidth="1"/>
    <col min="12800" max="12800" width="11.28515625" style="105" bestFit="1" customWidth="1"/>
    <col min="12801" max="12801" width="14" style="105" bestFit="1" customWidth="1"/>
    <col min="12802" max="12802" width="11.85546875" style="105" bestFit="1" customWidth="1"/>
    <col min="12803" max="12803" width="14.85546875" style="105" bestFit="1" customWidth="1"/>
    <col min="12804" max="12804" width="9.7109375" style="105" customWidth="1"/>
    <col min="12805" max="12805" width="4.85546875" style="105" customWidth="1"/>
    <col min="12806" max="13050" width="9.140625" style="105"/>
    <col min="13051" max="13051" width="5.42578125" style="105" bestFit="1" customWidth="1"/>
    <col min="13052" max="13052" width="20.42578125" style="105" bestFit="1" customWidth="1"/>
    <col min="13053" max="13053" width="41.42578125" style="105" customWidth="1"/>
    <col min="13054" max="13054" width="15.28515625" style="105" bestFit="1" customWidth="1"/>
    <col min="13055" max="13055" width="16.7109375" style="105" bestFit="1" customWidth="1"/>
    <col min="13056" max="13056" width="11.28515625" style="105" bestFit="1" customWidth="1"/>
    <col min="13057" max="13057" width="14" style="105" bestFit="1" customWidth="1"/>
    <col min="13058" max="13058" width="11.85546875" style="105" bestFit="1" customWidth="1"/>
    <col min="13059" max="13059" width="14.85546875" style="105" bestFit="1" customWidth="1"/>
    <col min="13060" max="13060" width="9.7109375" style="105" customWidth="1"/>
    <col min="13061" max="13061" width="4.85546875" style="105" customWidth="1"/>
    <col min="13062" max="13306" width="9.140625" style="105"/>
    <col min="13307" max="13307" width="5.42578125" style="105" bestFit="1" customWidth="1"/>
    <col min="13308" max="13308" width="20.42578125" style="105" bestFit="1" customWidth="1"/>
    <col min="13309" max="13309" width="41.42578125" style="105" customWidth="1"/>
    <col min="13310" max="13310" width="15.28515625" style="105" bestFit="1" customWidth="1"/>
    <col min="13311" max="13311" width="16.7109375" style="105" bestFit="1" customWidth="1"/>
    <col min="13312" max="13312" width="11.28515625" style="105" bestFit="1" customWidth="1"/>
    <col min="13313" max="13313" width="14" style="105" bestFit="1" customWidth="1"/>
    <col min="13314" max="13314" width="11.85546875" style="105" bestFit="1" customWidth="1"/>
    <col min="13315" max="13315" width="14.85546875" style="105" bestFit="1" customWidth="1"/>
    <col min="13316" max="13316" width="9.7109375" style="105" customWidth="1"/>
    <col min="13317" max="13317" width="4.85546875" style="105" customWidth="1"/>
    <col min="13318" max="13562" width="9.140625" style="105"/>
    <col min="13563" max="13563" width="5.42578125" style="105" bestFit="1" customWidth="1"/>
    <col min="13564" max="13564" width="20.42578125" style="105" bestFit="1" customWidth="1"/>
    <col min="13565" max="13565" width="41.42578125" style="105" customWidth="1"/>
    <col min="13566" max="13566" width="15.28515625" style="105" bestFit="1" customWidth="1"/>
    <col min="13567" max="13567" width="16.7109375" style="105" bestFit="1" customWidth="1"/>
    <col min="13568" max="13568" width="11.28515625" style="105" bestFit="1" customWidth="1"/>
    <col min="13569" max="13569" width="14" style="105" bestFit="1" customWidth="1"/>
    <col min="13570" max="13570" width="11.85546875" style="105" bestFit="1" customWidth="1"/>
    <col min="13571" max="13571" width="14.85546875" style="105" bestFit="1" customWidth="1"/>
    <col min="13572" max="13572" width="9.7109375" style="105" customWidth="1"/>
    <col min="13573" max="13573" width="4.85546875" style="105" customWidth="1"/>
    <col min="13574" max="13818" width="9.140625" style="105"/>
    <col min="13819" max="13819" width="5.42578125" style="105" bestFit="1" customWidth="1"/>
    <col min="13820" max="13820" width="20.42578125" style="105" bestFit="1" customWidth="1"/>
    <col min="13821" max="13821" width="41.42578125" style="105" customWidth="1"/>
    <col min="13822" max="13822" width="15.28515625" style="105" bestFit="1" customWidth="1"/>
    <col min="13823" max="13823" width="16.7109375" style="105" bestFit="1" customWidth="1"/>
    <col min="13824" max="13824" width="11.28515625" style="105" bestFit="1" customWidth="1"/>
    <col min="13825" max="13825" width="14" style="105" bestFit="1" customWidth="1"/>
    <col min="13826" max="13826" width="11.85546875" style="105" bestFit="1" customWidth="1"/>
    <col min="13827" max="13827" width="14.85546875" style="105" bestFit="1" customWidth="1"/>
    <col min="13828" max="13828" width="9.7109375" style="105" customWidth="1"/>
    <col min="13829" max="13829" width="4.85546875" style="105" customWidth="1"/>
    <col min="13830" max="14074" width="9.140625" style="105"/>
    <col min="14075" max="14075" width="5.42578125" style="105" bestFit="1" customWidth="1"/>
    <col min="14076" max="14076" width="20.42578125" style="105" bestFit="1" customWidth="1"/>
    <col min="14077" max="14077" width="41.42578125" style="105" customWidth="1"/>
    <col min="14078" max="14078" width="15.28515625" style="105" bestFit="1" customWidth="1"/>
    <col min="14079" max="14079" width="16.7109375" style="105" bestFit="1" customWidth="1"/>
    <col min="14080" max="14080" width="11.28515625" style="105" bestFit="1" customWidth="1"/>
    <col min="14081" max="14081" width="14" style="105" bestFit="1" customWidth="1"/>
    <col min="14082" max="14082" width="11.85546875" style="105" bestFit="1" customWidth="1"/>
    <col min="14083" max="14083" width="14.85546875" style="105" bestFit="1" customWidth="1"/>
    <col min="14084" max="14084" width="9.7109375" style="105" customWidth="1"/>
    <col min="14085" max="14085" width="4.85546875" style="105" customWidth="1"/>
    <col min="14086" max="14330" width="9.140625" style="105"/>
    <col min="14331" max="14331" width="5.42578125" style="105" bestFit="1" customWidth="1"/>
    <col min="14332" max="14332" width="20.42578125" style="105" bestFit="1" customWidth="1"/>
    <col min="14333" max="14333" width="41.42578125" style="105" customWidth="1"/>
    <col min="14334" max="14334" width="15.28515625" style="105" bestFit="1" customWidth="1"/>
    <col min="14335" max="14335" width="16.7109375" style="105" bestFit="1" customWidth="1"/>
    <col min="14336" max="14336" width="11.28515625" style="105" bestFit="1" customWidth="1"/>
    <col min="14337" max="14337" width="14" style="105" bestFit="1" customWidth="1"/>
    <col min="14338" max="14338" width="11.85546875" style="105" bestFit="1" customWidth="1"/>
    <col min="14339" max="14339" width="14.85546875" style="105" bestFit="1" customWidth="1"/>
    <col min="14340" max="14340" width="9.7109375" style="105" customWidth="1"/>
    <col min="14341" max="14341" width="4.85546875" style="105" customWidth="1"/>
    <col min="14342" max="14586" width="9.140625" style="105"/>
    <col min="14587" max="14587" width="5.42578125" style="105" bestFit="1" customWidth="1"/>
    <col min="14588" max="14588" width="20.42578125" style="105" bestFit="1" customWidth="1"/>
    <col min="14589" max="14589" width="41.42578125" style="105" customWidth="1"/>
    <col min="14590" max="14590" width="15.28515625" style="105" bestFit="1" customWidth="1"/>
    <col min="14591" max="14591" width="16.7109375" style="105" bestFit="1" customWidth="1"/>
    <col min="14592" max="14592" width="11.28515625" style="105" bestFit="1" customWidth="1"/>
    <col min="14593" max="14593" width="14" style="105" bestFit="1" customWidth="1"/>
    <col min="14594" max="14594" width="11.85546875" style="105" bestFit="1" customWidth="1"/>
    <col min="14595" max="14595" width="14.85546875" style="105" bestFit="1" customWidth="1"/>
    <col min="14596" max="14596" width="9.7109375" style="105" customWidth="1"/>
    <col min="14597" max="14597" width="4.85546875" style="105" customWidth="1"/>
    <col min="14598" max="14842" width="9.140625" style="105"/>
    <col min="14843" max="14843" width="5.42578125" style="105" bestFit="1" customWidth="1"/>
    <col min="14844" max="14844" width="20.42578125" style="105" bestFit="1" customWidth="1"/>
    <col min="14845" max="14845" width="41.42578125" style="105" customWidth="1"/>
    <col min="14846" max="14846" width="15.28515625" style="105" bestFit="1" customWidth="1"/>
    <col min="14847" max="14847" width="16.7109375" style="105" bestFit="1" customWidth="1"/>
    <col min="14848" max="14848" width="11.28515625" style="105" bestFit="1" customWidth="1"/>
    <col min="14849" max="14849" width="14" style="105" bestFit="1" customWidth="1"/>
    <col min="14850" max="14850" width="11.85546875" style="105" bestFit="1" customWidth="1"/>
    <col min="14851" max="14851" width="14.85546875" style="105" bestFit="1" customWidth="1"/>
    <col min="14852" max="14852" width="9.7109375" style="105" customWidth="1"/>
    <col min="14853" max="14853" width="4.85546875" style="105" customWidth="1"/>
    <col min="14854" max="15098" width="9.140625" style="105"/>
    <col min="15099" max="15099" width="5.42578125" style="105" bestFit="1" customWidth="1"/>
    <col min="15100" max="15100" width="20.42578125" style="105" bestFit="1" customWidth="1"/>
    <col min="15101" max="15101" width="41.42578125" style="105" customWidth="1"/>
    <col min="15102" max="15102" width="15.28515625" style="105" bestFit="1" customWidth="1"/>
    <col min="15103" max="15103" width="16.7109375" style="105" bestFit="1" customWidth="1"/>
    <col min="15104" max="15104" width="11.28515625" style="105" bestFit="1" customWidth="1"/>
    <col min="15105" max="15105" width="14" style="105" bestFit="1" customWidth="1"/>
    <col min="15106" max="15106" width="11.85546875" style="105" bestFit="1" customWidth="1"/>
    <col min="15107" max="15107" width="14.85546875" style="105" bestFit="1" customWidth="1"/>
    <col min="15108" max="15108" width="9.7109375" style="105" customWidth="1"/>
    <col min="15109" max="15109" width="4.85546875" style="105" customWidth="1"/>
    <col min="15110" max="15354" width="9.140625" style="105"/>
    <col min="15355" max="15355" width="5.42578125" style="105" bestFit="1" customWidth="1"/>
    <col min="15356" max="15356" width="20.42578125" style="105" bestFit="1" customWidth="1"/>
    <col min="15357" max="15357" width="41.42578125" style="105" customWidth="1"/>
    <col min="15358" max="15358" width="15.28515625" style="105" bestFit="1" customWidth="1"/>
    <col min="15359" max="15359" width="16.7109375" style="105" bestFit="1" customWidth="1"/>
    <col min="15360" max="15360" width="11.28515625" style="105" bestFit="1" customWidth="1"/>
    <col min="15361" max="15361" width="14" style="105" bestFit="1" customWidth="1"/>
    <col min="15362" max="15362" width="11.85546875" style="105" bestFit="1" customWidth="1"/>
    <col min="15363" max="15363" width="14.85546875" style="105" bestFit="1" customWidth="1"/>
    <col min="15364" max="15364" width="9.7109375" style="105" customWidth="1"/>
    <col min="15365" max="15365" width="4.85546875" style="105" customWidth="1"/>
    <col min="15366" max="15610" width="9.140625" style="105"/>
    <col min="15611" max="15611" width="5.42578125" style="105" bestFit="1" customWidth="1"/>
    <col min="15612" max="15612" width="20.42578125" style="105" bestFit="1" customWidth="1"/>
    <col min="15613" max="15613" width="41.42578125" style="105" customWidth="1"/>
    <col min="15614" max="15614" width="15.28515625" style="105" bestFit="1" customWidth="1"/>
    <col min="15615" max="15615" width="16.7109375" style="105" bestFit="1" customWidth="1"/>
    <col min="15616" max="15616" width="11.28515625" style="105" bestFit="1" customWidth="1"/>
    <col min="15617" max="15617" width="14" style="105" bestFit="1" customWidth="1"/>
    <col min="15618" max="15618" width="11.85546875" style="105" bestFit="1" customWidth="1"/>
    <col min="15619" max="15619" width="14.85546875" style="105" bestFit="1" customWidth="1"/>
    <col min="15620" max="15620" width="9.7109375" style="105" customWidth="1"/>
    <col min="15621" max="15621" width="4.85546875" style="105" customWidth="1"/>
    <col min="15622" max="15866" width="9.140625" style="105"/>
    <col min="15867" max="15867" width="5.42578125" style="105" bestFit="1" customWidth="1"/>
    <col min="15868" max="15868" width="20.42578125" style="105" bestFit="1" customWidth="1"/>
    <col min="15869" max="15869" width="41.42578125" style="105" customWidth="1"/>
    <col min="15870" max="15870" width="15.28515625" style="105" bestFit="1" customWidth="1"/>
    <col min="15871" max="15871" width="16.7109375" style="105" bestFit="1" customWidth="1"/>
    <col min="15872" max="15872" width="11.28515625" style="105" bestFit="1" customWidth="1"/>
    <col min="15873" max="15873" width="14" style="105" bestFit="1" customWidth="1"/>
    <col min="15874" max="15874" width="11.85546875" style="105" bestFit="1" customWidth="1"/>
    <col min="15875" max="15875" width="14.85546875" style="105" bestFit="1" customWidth="1"/>
    <col min="15876" max="15876" width="9.7109375" style="105" customWidth="1"/>
    <col min="15877" max="15877" width="4.85546875" style="105" customWidth="1"/>
    <col min="15878" max="16122" width="9.140625" style="105"/>
    <col min="16123" max="16123" width="5.42578125" style="105" bestFit="1" customWidth="1"/>
    <col min="16124" max="16124" width="20.42578125" style="105" bestFit="1" customWidth="1"/>
    <col min="16125" max="16125" width="41.42578125" style="105" customWidth="1"/>
    <col min="16126" max="16126" width="15.28515625" style="105" bestFit="1" customWidth="1"/>
    <col min="16127" max="16127" width="16.7109375" style="105" bestFit="1" customWidth="1"/>
    <col min="16128" max="16128" width="11.28515625" style="105" bestFit="1" customWidth="1"/>
    <col min="16129" max="16129" width="14" style="105" bestFit="1" customWidth="1"/>
    <col min="16130" max="16130" width="11.85546875" style="105" bestFit="1" customWidth="1"/>
    <col min="16131" max="16131" width="14.85546875" style="105" bestFit="1" customWidth="1"/>
    <col min="16132" max="16132" width="9.7109375" style="105" customWidth="1"/>
    <col min="16133" max="16133" width="4.85546875" style="105" customWidth="1"/>
    <col min="16134" max="16384" width="9.140625" style="105"/>
  </cols>
  <sheetData>
    <row r="1" spans="1:15" x14ac:dyDescent="0.25">
      <c r="A1" s="198" t="s">
        <v>0</v>
      </c>
      <c r="B1" s="198"/>
      <c r="C1" s="198"/>
      <c r="D1" s="198"/>
      <c r="E1" s="198"/>
      <c r="F1" s="198"/>
      <c r="G1" s="198"/>
      <c r="H1" s="198"/>
    </row>
    <row r="2" spans="1:15" x14ac:dyDescent="0.25">
      <c r="A2" s="199" t="s">
        <v>987</v>
      </c>
      <c r="B2" s="199"/>
      <c r="C2" s="199"/>
      <c r="D2" s="199"/>
      <c r="E2" s="199"/>
      <c r="F2" s="199"/>
      <c r="G2" s="199"/>
      <c r="H2" s="199"/>
      <c r="J2" s="171" t="s">
        <v>1009</v>
      </c>
      <c r="K2" s="171"/>
      <c r="L2" s="171"/>
      <c r="M2" s="171"/>
      <c r="N2" s="171"/>
    </row>
    <row r="3" spans="1:15" ht="15" customHeight="1" x14ac:dyDescent="0.25">
      <c r="A3" s="200" t="s">
        <v>988</v>
      </c>
      <c r="B3" s="200"/>
      <c r="C3" s="200"/>
      <c r="D3" s="200"/>
      <c r="E3" s="200"/>
      <c r="F3" s="200"/>
      <c r="G3" s="200"/>
      <c r="H3" s="200"/>
    </row>
    <row r="4" spans="1:15" ht="30" x14ac:dyDescent="0.25">
      <c r="A4" s="106" t="s">
        <v>989</v>
      </c>
      <c r="B4" s="106" t="s">
        <v>990</v>
      </c>
      <c r="C4" s="106" t="s">
        <v>991</v>
      </c>
      <c r="D4" s="106" t="s">
        <v>992</v>
      </c>
      <c r="E4" s="106" t="s">
        <v>6</v>
      </c>
      <c r="F4" s="106" t="s">
        <v>7</v>
      </c>
      <c r="G4" s="106" t="s">
        <v>8</v>
      </c>
      <c r="H4" s="107" t="s">
        <v>949</v>
      </c>
      <c r="I4" s="164"/>
      <c r="J4" s="164"/>
      <c r="K4" s="164"/>
      <c r="L4" s="164"/>
      <c r="M4" s="164"/>
      <c r="N4" s="164"/>
      <c r="O4" s="164"/>
    </row>
    <row r="5" spans="1:15" ht="26.25" x14ac:dyDescent="0.25">
      <c r="A5" s="108"/>
      <c r="B5" s="108"/>
      <c r="C5" s="109" t="s">
        <v>993</v>
      </c>
      <c r="D5" s="108"/>
      <c r="E5" s="108"/>
      <c r="F5" s="110"/>
      <c r="G5" s="110"/>
      <c r="H5" s="111"/>
    </row>
    <row r="6" spans="1:15" ht="26.25" x14ac:dyDescent="0.25">
      <c r="A6" s="108">
        <v>1</v>
      </c>
      <c r="B6" s="108" t="s">
        <v>994</v>
      </c>
      <c r="C6" s="112" t="s">
        <v>995</v>
      </c>
      <c r="D6" s="108" t="s">
        <v>996</v>
      </c>
      <c r="E6" s="113">
        <v>9515682.8670000006</v>
      </c>
      <c r="F6" s="114">
        <v>9388.7711600000002</v>
      </c>
      <c r="G6" s="115">
        <f>F6/$F$18*100</f>
        <v>97.532451319857003</v>
      </c>
      <c r="H6" s="111"/>
      <c r="I6" s="165"/>
      <c r="K6" s="166"/>
    </row>
    <row r="7" spans="1:15" x14ac:dyDescent="0.25">
      <c r="A7" s="116"/>
      <c r="B7" s="111"/>
      <c r="C7" s="111"/>
      <c r="D7" s="111"/>
      <c r="E7" s="111"/>
      <c r="F7" s="111"/>
      <c r="G7" s="111"/>
      <c r="H7" s="117"/>
    </row>
    <row r="8" spans="1:15" ht="25.5" x14ac:dyDescent="0.25">
      <c r="A8" s="118"/>
      <c r="B8" s="118"/>
      <c r="C8" s="119" t="s">
        <v>997</v>
      </c>
      <c r="D8" s="119"/>
      <c r="E8" s="120"/>
      <c r="F8" s="121">
        <f>F6</f>
        <v>9388.7711600000002</v>
      </c>
      <c r="G8" s="122">
        <f>G6</f>
        <v>97.532451319857003</v>
      </c>
      <c r="H8" s="123"/>
    </row>
    <row r="9" spans="1:15" x14ac:dyDescent="0.25">
      <c r="A9" s="118"/>
      <c r="B9" s="118"/>
      <c r="C9" s="118"/>
      <c r="D9" s="118"/>
      <c r="E9" s="118"/>
      <c r="F9" s="124"/>
      <c r="G9" s="118"/>
      <c r="H9" s="111"/>
    </row>
    <row r="10" spans="1:15" x14ac:dyDescent="0.25">
      <c r="A10" s="108"/>
      <c r="B10" s="108"/>
      <c r="C10" s="125" t="s">
        <v>998</v>
      </c>
      <c r="D10" s="125"/>
      <c r="E10" s="125"/>
      <c r="F10" s="126"/>
      <c r="G10" s="118"/>
      <c r="H10" s="111"/>
    </row>
    <row r="11" spans="1:15" x14ac:dyDescent="0.25">
      <c r="A11" s="118"/>
      <c r="B11" s="118"/>
      <c r="C11" s="127" t="s">
        <v>113</v>
      </c>
      <c r="D11" s="125"/>
      <c r="E11" s="125"/>
      <c r="F11" s="128">
        <v>192.700505972</v>
      </c>
      <c r="G11" s="115">
        <f>F11/$F$18*100</f>
        <v>2.0018117810878566</v>
      </c>
      <c r="H11" s="129">
        <v>3.36</v>
      </c>
    </row>
    <row r="12" spans="1:15" x14ac:dyDescent="0.25">
      <c r="A12" s="118"/>
      <c r="B12" s="118"/>
      <c r="C12" s="127" t="s">
        <v>114</v>
      </c>
      <c r="D12" s="125"/>
      <c r="E12" s="125"/>
      <c r="F12" s="128">
        <v>74.419171679999991</v>
      </c>
      <c r="G12" s="128">
        <f>F12/$F$18*100</f>
        <v>0.77308138791015968</v>
      </c>
      <c r="H12" s="129">
        <v>3.4499999999999966</v>
      </c>
    </row>
    <row r="13" spans="1:15" x14ac:dyDescent="0.25">
      <c r="A13" s="118"/>
      <c r="B13" s="118"/>
      <c r="C13" s="127"/>
      <c r="D13" s="125"/>
      <c r="E13" s="125"/>
      <c r="F13" s="128"/>
      <c r="G13" s="115"/>
      <c r="H13" s="111"/>
    </row>
    <row r="14" spans="1:15" x14ac:dyDescent="0.25">
      <c r="A14" s="118"/>
      <c r="B14" s="118"/>
      <c r="C14" s="130" t="s">
        <v>115</v>
      </c>
      <c r="D14" s="118"/>
      <c r="E14" s="118"/>
      <c r="F14" s="131">
        <f>SUM(F11:F12)</f>
        <v>267.11967765200001</v>
      </c>
      <c r="G14" s="122">
        <f>SUM(G11:G13)</f>
        <v>2.7748931689980161</v>
      </c>
      <c r="H14" s="111"/>
      <c r="J14" s="160" t="s">
        <v>1028</v>
      </c>
    </row>
    <row r="15" spans="1:15" x14ac:dyDescent="0.25">
      <c r="A15" s="118"/>
      <c r="B15" s="118"/>
      <c r="C15" s="118"/>
      <c r="D15" s="118"/>
      <c r="E15" s="118"/>
      <c r="F15" s="124"/>
      <c r="G15" s="118"/>
      <c r="H15" s="111"/>
    </row>
    <row r="16" spans="1:15" x14ac:dyDescent="0.25">
      <c r="A16" s="118"/>
      <c r="B16" s="118"/>
      <c r="C16" s="127" t="s">
        <v>999</v>
      </c>
      <c r="D16" s="125"/>
      <c r="E16" s="125"/>
      <c r="F16" s="128">
        <f>F18-F14-F8</f>
        <v>-29.585917651998898</v>
      </c>
      <c r="G16" s="128">
        <f>F16/$F$18*100</f>
        <v>-0.30734448885501225</v>
      </c>
      <c r="H16" s="132"/>
    </row>
    <row r="17" spans="1:9" x14ac:dyDescent="0.25">
      <c r="A17" s="118"/>
      <c r="B17" s="118"/>
      <c r="C17" s="118"/>
      <c r="D17" s="118"/>
      <c r="E17" s="118"/>
      <c r="F17" s="124"/>
      <c r="G17" s="118"/>
      <c r="H17" s="111"/>
    </row>
    <row r="18" spans="1:9" x14ac:dyDescent="0.25">
      <c r="A18" s="118"/>
      <c r="B18" s="118"/>
      <c r="C18" s="130" t="s">
        <v>122</v>
      </c>
      <c r="D18" s="118"/>
      <c r="E18" s="118"/>
      <c r="F18" s="131">
        <v>9626.3049200000005</v>
      </c>
      <c r="G18" s="133">
        <f>G16+G14+G8</f>
        <v>100</v>
      </c>
      <c r="H18" s="134"/>
      <c r="I18" s="165"/>
    </row>
    <row r="19" spans="1:9" x14ac:dyDescent="0.25">
      <c r="F19" s="135"/>
      <c r="H19" s="136"/>
    </row>
    <row r="20" spans="1:9" x14ac:dyDescent="0.25">
      <c r="B20" s="137" t="s">
        <v>124</v>
      </c>
      <c r="C20" s="138"/>
      <c r="D20" s="138"/>
      <c r="E20" s="138"/>
      <c r="F20" s="139"/>
      <c r="G20" s="138"/>
    </row>
    <row r="21" spans="1:9" x14ac:dyDescent="0.25">
      <c r="B21" s="138" t="s">
        <v>1000</v>
      </c>
      <c r="C21" s="138"/>
      <c r="D21" s="138"/>
      <c r="E21" s="138"/>
      <c r="F21" s="140"/>
      <c r="G21" s="140"/>
    </row>
    <row r="22" spans="1:9" x14ac:dyDescent="0.25">
      <c r="B22" s="196" t="s">
        <v>1001</v>
      </c>
      <c r="C22" s="196"/>
      <c r="D22" s="138"/>
      <c r="E22" s="138"/>
      <c r="F22" s="141"/>
      <c r="G22" s="141"/>
    </row>
    <row r="23" spans="1:9" x14ac:dyDescent="0.25">
      <c r="B23" s="196" t="s">
        <v>128</v>
      </c>
      <c r="C23" s="196"/>
      <c r="D23" s="142"/>
      <c r="E23" s="142"/>
      <c r="F23" s="138" t="s">
        <v>136</v>
      </c>
      <c r="G23" s="138"/>
    </row>
    <row r="24" spans="1:9" x14ac:dyDescent="0.25">
      <c r="B24" s="143"/>
      <c r="C24" s="143"/>
      <c r="D24" s="142"/>
      <c r="E24" s="142"/>
      <c r="F24" s="138"/>
      <c r="G24" s="138"/>
    </row>
    <row r="25" spans="1:9" x14ac:dyDescent="0.25">
      <c r="B25" s="144"/>
      <c r="C25" s="145" t="s">
        <v>129</v>
      </c>
      <c r="D25" s="145" t="s">
        <v>130</v>
      </c>
      <c r="E25" s="146"/>
      <c r="F25" s="146"/>
      <c r="G25" s="138"/>
    </row>
    <row r="26" spans="1:9" x14ac:dyDescent="0.25">
      <c r="B26" s="147" t="s">
        <v>1002</v>
      </c>
      <c r="C26" s="148">
        <v>44500</v>
      </c>
      <c r="D26" s="148">
        <v>44530</v>
      </c>
      <c r="E26" s="149"/>
      <c r="F26" s="149"/>
      <c r="G26" s="150"/>
    </row>
    <row r="27" spans="1:9" x14ac:dyDescent="0.25">
      <c r="B27" s="151" t="s">
        <v>134</v>
      </c>
      <c r="C27" s="152">
        <v>27.2136</v>
      </c>
      <c r="D27" s="152">
        <v>26.72</v>
      </c>
      <c r="E27" s="153"/>
      <c r="F27" s="150"/>
      <c r="G27" s="150"/>
    </row>
    <row r="28" spans="1:9" x14ac:dyDescent="0.25">
      <c r="B28" s="154" t="s">
        <v>1003</v>
      </c>
      <c r="C28" s="152">
        <v>24.207599999999999</v>
      </c>
      <c r="D28" s="152">
        <v>23.7684</v>
      </c>
      <c r="E28" s="153"/>
      <c r="F28" s="150"/>
      <c r="G28" s="150"/>
    </row>
    <row r="29" spans="1:9" x14ac:dyDescent="0.25">
      <c r="B29" s="151" t="s">
        <v>135</v>
      </c>
      <c r="C29" s="152">
        <v>25.831199999999999</v>
      </c>
      <c r="D29" s="152">
        <v>25.337199999999999</v>
      </c>
      <c r="E29" s="153"/>
      <c r="F29" s="150"/>
      <c r="G29" s="150"/>
    </row>
    <row r="30" spans="1:9" x14ac:dyDescent="0.25">
      <c r="B30" s="154" t="s">
        <v>1004</v>
      </c>
      <c r="C30" s="152">
        <v>22.135200000000001</v>
      </c>
      <c r="D30" s="152">
        <v>21.7118</v>
      </c>
      <c r="E30" s="153"/>
      <c r="F30" s="150"/>
      <c r="G30" s="150"/>
    </row>
    <row r="31" spans="1:9" ht="15" customHeight="1" x14ac:dyDescent="0.25">
      <c r="B31" s="155" t="s">
        <v>936</v>
      </c>
      <c r="C31" s="156"/>
      <c r="D31" s="156"/>
      <c r="E31" s="156"/>
      <c r="F31" s="156"/>
      <c r="G31" s="138"/>
    </row>
    <row r="32" spans="1:9" ht="15" customHeight="1" x14ac:dyDescent="0.25">
      <c r="B32" s="155"/>
      <c r="C32" s="156"/>
      <c r="D32" s="156"/>
      <c r="E32" s="156"/>
      <c r="F32" s="156"/>
      <c r="G32" s="138"/>
    </row>
    <row r="33" spans="2:7" x14ac:dyDescent="0.25">
      <c r="B33" s="201" t="s">
        <v>1005</v>
      </c>
      <c r="C33" s="201"/>
      <c r="D33" s="201"/>
      <c r="E33" s="157"/>
      <c r="F33" s="157"/>
      <c r="G33" s="150"/>
    </row>
    <row r="34" spans="2:7" x14ac:dyDescent="0.25">
      <c r="B34" s="196" t="s">
        <v>1006</v>
      </c>
      <c r="C34" s="196"/>
      <c r="D34" s="196"/>
      <c r="E34" s="138"/>
      <c r="F34" s="138"/>
      <c r="G34" s="138"/>
    </row>
    <row r="35" spans="2:7" ht="15" customHeight="1" x14ac:dyDescent="0.25">
      <c r="B35" s="158" t="s">
        <v>1007</v>
      </c>
      <c r="C35" s="158"/>
      <c r="D35" s="158"/>
      <c r="E35" s="159"/>
      <c r="F35" s="159"/>
      <c r="G35" s="138"/>
    </row>
    <row r="36" spans="2:7" x14ac:dyDescent="0.25">
      <c r="B36" s="197" t="s">
        <v>1008</v>
      </c>
      <c r="C36" s="197"/>
      <c r="D36" s="197"/>
      <c r="E36" s="150"/>
      <c r="F36" s="150"/>
      <c r="G36" s="150"/>
    </row>
  </sheetData>
  <mergeCells count="9">
    <mergeCell ref="J2:N2"/>
    <mergeCell ref="B34:D34"/>
    <mergeCell ref="B36:D36"/>
    <mergeCell ref="A1:H1"/>
    <mergeCell ref="A2:H2"/>
    <mergeCell ref="A3:H3"/>
    <mergeCell ref="B22:C22"/>
    <mergeCell ref="B23:C23"/>
    <mergeCell ref="B33:D33"/>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45A93-EEFE-41B6-B2C5-71F885DECA12}">
  <dimension ref="B1:L240"/>
  <sheetViews>
    <sheetView workbookViewId="0"/>
  </sheetViews>
  <sheetFormatPr defaultRowHeight="12.75" x14ac:dyDescent="0.2"/>
  <cols>
    <col min="1" max="1" width="7.140625" style="210" customWidth="1"/>
    <col min="2" max="2" width="41.140625" style="210" customWidth="1"/>
    <col min="3" max="3" width="52.140625" style="210" bestFit="1" customWidth="1"/>
    <col min="4" max="4" width="17.28515625" style="210" bestFit="1" customWidth="1"/>
    <col min="5" max="5" width="21.28515625" style="210" customWidth="1"/>
    <col min="6" max="6" width="16.5703125" style="210" customWidth="1"/>
    <col min="7" max="7" width="19" style="210" customWidth="1"/>
    <col min="8" max="8" width="17.5703125" style="210" customWidth="1"/>
    <col min="9" max="9" width="15.5703125" style="210" bestFit="1" customWidth="1"/>
    <col min="10" max="10" width="13.5703125" style="210" customWidth="1"/>
    <col min="11" max="11" width="20.5703125" style="210" customWidth="1"/>
    <col min="12" max="12" width="12.42578125" style="210" bestFit="1" customWidth="1"/>
    <col min="13" max="256" width="9.140625" style="210"/>
    <col min="257" max="257" width="23" style="210" customWidth="1"/>
    <col min="258" max="258" width="41.140625" style="210" customWidth="1"/>
    <col min="259" max="259" width="52.140625" style="210" bestFit="1" customWidth="1"/>
    <col min="260" max="260" width="17.28515625" style="210" bestFit="1" customWidth="1"/>
    <col min="261" max="261" width="21.28515625" style="210" customWidth="1"/>
    <col min="262" max="262" width="16.5703125" style="210" customWidth="1"/>
    <col min="263" max="263" width="19" style="210" customWidth="1"/>
    <col min="264" max="264" width="17.5703125" style="210" customWidth="1"/>
    <col min="265" max="265" width="15.5703125" style="210" bestFit="1" customWidth="1"/>
    <col min="266" max="266" width="13.5703125" style="210" customWidth="1"/>
    <col min="267" max="267" width="20.5703125" style="210" customWidth="1"/>
    <col min="268" max="268" width="12.42578125" style="210" bestFit="1" customWidth="1"/>
    <col min="269" max="512" width="9.140625" style="210"/>
    <col min="513" max="513" width="23" style="210" customWidth="1"/>
    <col min="514" max="514" width="41.140625" style="210" customWidth="1"/>
    <col min="515" max="515" width="52.140625" style="210" bestFit="1" customWidth="1"/>
    <col min="516" max="516" width="17.28515625" style="210" bestFit="1" customWidth="1"/>
    <col min="517" max="517" width="21.28515625" style="210" customWidth="1"/>
    <col min="518" max="518" width="16.5703125" style="210" customWidth="1"/>
    <col min="519" max="519" width="19" style="210" customWidth="1"/>
    <col min="520" max="520" width="17.5703125" style="210" customWidth="1"/>
    <col min="521" max="521" width="15.5703125" style="210" bestFit="1" customWidth="1"/>
    <col min="522" max="522" width="13.5703125" style="210" customWidth="1"/>
    <col min="523" max="523" width="20.5703125" style="210" customWidth="1"/>
    <col min="524" max="524" width="12.42578125" style="210" bestFit="1" customWidth="1"/>
    <col min="525" max="768" width="9.140625" style="210"/>
    <col min="769" max="769" width="23" style="210" customWidth="1"/>
    <col min="770" max="770" width="41.140625" style="210" customWidth="1"/>
    <col min="771" max="771" width="52.140625" style="210" bestFit="1" customWidth="1"/>
    <col min="772" max="772" width="17.28515625" style="210" bestFit="1" customWidth="1"/>
    <col min="773" max="773" width="21.28515625" style="210" customWidth="1"/>
    <col min="774" max="774" width="16.5703125" style="210" customWidth="1"/>
    <col min="775" max="775" width="19" style="210" customWidth="1"/>
    <col min="776" max="776" width="17.5703125" style="210" customWidth="1"/>
    <col min="777" max="777" width="15.5703125" style="210" bestFit="1" customWidth="1"/>
    <col min="778" max="778" width="13.5703125" style="210" customWidth="1"/>
    <col min="779" max="779" width="20.5703125" style="210" customWidth="1"/>
    <col min="780" max="780" width="12.42578125" style="210" bestFit="1" customWidth="1"/>
    <col min="781" max="1024" width="9.140625" style="210"/>
    <col min="1025" max="1025" width="23" style="210" customWidth="1"/>
    <col min="1026" max="1026" width="41.140625" style="210" customWidth="1"/>
    <col min="1027" max="1027" width="52.140625" style="210" bestFit="1" customWidth="1"/>
    <col min="1028" max="1028" width="17.28515625" style="210" bestFit="1" customWidth="1"/>
    <col min="1029" max="1029" width="21.28515625" style="210" customWidth="1"/>
    <col min="1030" max="1030" width="16.5703125" style="210" customWidth="1"/>
    <col min="1031" max="1031" width="19" style="210" customWidth="1"/>
    <col min="1032" max="1032" width="17.5703125" style="210" customWidth="1"/>
    <col min="1033" max="1033" width="15.5703125" style="210" bestFit="1" customWidth="1"/>
    <col min="1034" max="1034" width="13.5703125" style="210" customWidth="1"/>
    <col min="1035" max="1035" width="20.5703125" style="210" customWidth="1"/>
    <col min="1036" max="1036" width="12.42578125" style="210" bestFit="1" customWidth="1"/>
    <col min="1037" max="1280" width="9.140625" style="210"/>
    <col min="1281" max="1281" width="23" style="210" customWidth="1"/>
    <col min="1282" max="1282" width="41.140625" style="210" customWidth="1"/>
    <col min="1283" max="1283" width="52.140625" style="210" bestFit="1" customWidth="1"/>
    <col min="1284" max="1284" width="17.28515625" style="210" bestFit="1" customWidth="1"/>
    <col min="1285" max="1285" width="21.28515625" style="210" customWidth="1"/>
    <col min="1286" max="1286" width="16.5703125" style="210" customWidth="1"/>
    <col min="1287" max="1287" width="19" style="210" customWidth="1"/>
    <col min="1288" max="1288" width="17.5703125" style="210" customWidth="1"/>
    <col min="1289" max="1289" width="15.5703125" style="210" bestFit="1" customWidth="1"/>
    <col min="1290" max="1290" width="13.5703125" style="210" customWidth="1"/>
    <col min="1291" max="1291" width="20.5703125" style="210" customWidth="1"/>
    <col min="1292" max="1292" width="12.42578125" style="210" bestFit="1" customWidth="1"/>
    <col min="1293" max="1536" width="9.140625" style="210"/>
    <col min="1537" max="1537" width="23" style="210" customWidth="1"/>
    <col min="1538" max="1538" width="41.140625" style="210" customWidth="1"/>
    <col min="1539" max="1539" width="52.140625" style="210" bestFit="1" customWidth="1"/>
    <col min="1540" max="1540" width="17.28515625" style="210" bestFit="1" customWidth="1"/>
    <col min="1541" max="1541" width="21.28515625" style="210" customWidth="1"/>
    <col min="1542" max="1542" width="16.5703125" style="210" customWidth="1"/>
    <col min="1543" max="1543" width="19" style="210" customWidth="1"/>
    <col min="1544" max="1544" width="17.5703125" style="210" customWidth="1"/>
    <col min="1545" max="1545" width="15.5703125" style="210" bestFit="1" customWidth="1"/>
    <col min="1546" max="1546" width="13.5703125" style="210" customWidth="1"/>
    <col min="1547" max="1547" width="20.5703125" style="210" customWidth="1"/>
    <col min="1548" max="1548" width="12.42578125" style="210" bestFit="1" customWidth="1"/>
    <col min="1549" max="1792" width="9.140625" style="210"/>
    <col min="1793" max="1793" width="23" style="210" customWidth="1"/>
    <col min="1794" max="1794" width="41.140625" style="210" customWidth="1"/>
    <col min="1795" max="1795" width="52.140625" style="210" bestFit="1" customWidth="1"/>
    <col min="1796" max="1796" width="17.28515625" style="210" bestFit="1" customWidth="1"/>
    <col min="1797" max="1797" width="21.28515625" style="210" customWidth="1"/>
    <col min="1798" max="1798" width="16.5703125" style="210" customWidth="1"/>
    <col min="1799" max="1799" width="19" style="210" customWidth="1"/>
    <col min="1800" max="1800" width="17.5703125" style="210" customWidth="1"/>
    <col min="1801" max="1801" width="15.5703125" style="210" bestFit="1" customWidth="1"/>
    <col min="1802" max="1802" width="13.5703125" style="210" customWidth="1"/>
    <col min="1803" max="1803" width="20.5703125" style="210" customWidth="1"/>
    <col min="1804" max="1804" width="12.42578125" style="210" bestFit="1" customWidth="1"/>
    <col min="1805" max="2048" width="9.140625" style="210"/>
    <col min="2049" max="2049" width="23" style="210" customWidth="1"/>
    <col min="2050" max="2050" width="41.140625" style="210" customWidth="1"/>
    <col min="2051" max="2051" width="52.140625" style="210" bestFit="1" customWidth="1"/>
    <col min="2052" max="2052" width="17.28515625" style="210" bestFit="1" customWidth="1"/>
    <col min="2053" max="2053" width="21.28515625" style="210" customWidth="1"/>
    <col min="2054" max="2054" width="16.5703125" style="210" customWidth="1"/>
    <col min="2055" max="2055" width="19" style="210" customWidth="1"/>
    <col min="2056" max="2056" width="17.5703125" style="210" customWidth="1"/>
    <col min="2057" max="2057" width="15.5703125" style="210" bestFit="1" customWidth="1"/>
    <col min="2058" max="2058" width="13.5703125" style="210" customWidth="1"/>
    <col min="2059" max="2059" width="20.5703125" style="210" customWidth="1"/>
    <col min="2060" max="2060" width="12.42578125" style="210" bestFit="1" customWidth="1"/>
    <col min="2061" max="2304" width="9.140625" style="210"/>
    <col min="2305" max="2305" width="23" style="210" customWidth="1"/>
    <col min="2306" max="2306" width="41.140625" style="210" customWidth="1"/>
    <col min="2307" max="2307" width="52.140625" style="210" bestFit="1" customWidth="1"/>
    <col min="2308" max="2308" width="17.28515625" style="210" bestFit="1" customWidth="1"/>
    <col min="2309" max="2309" width="21.28515625" style="210" customWidth="1"/>
    <col min="2310" max="2310" width="16.5703125" style="210" customWidth="1"/>
    <col min="2311" max="2311" width="19" style="210" customWidth="1"/>
    <col min="2312" max="2312" width="17.5703125" style="210" customWidth="1"/>
    <col min="2313" max="2313" width="15.5703125" style="210" bestFit="1" customWidth="1"/>
    <col min="2314" max="2314" width="13.5703125" style="210" customWidth="1"/>
    <col min="2315" max="2315" width="20.5703125" style="210" customWidth="1"/>
    <col min="2316" max="2316" width="12.42578125" style="210" bestFit="1" customWidth="1"/>
    <col min="2317" max="2560" width="9.140625" style="210"/>
    <col min="2561" max="2561" width="23" style="210" customWidth="1"/>
    <col min="2562" max="2562" width="41.140625" style="210" customWidth="1"/>
    <col min="2563" max="2563" width="52.140625" style="210" bestFit="1" customWidth="1"/>
    <col min="2564" max="2564" width="17.28515625" style="210" bestFit="1" customWidth="1"/>
    <col min="2565" max="2565" width="21.28515625" style="210" customWidth="1"/>
    <col min="2566" max="2566" width="16.5703125" style="210" customWidth="1"/>
    <col min="2567" max="2567" width="19" style="210" customWidth="1"/>
    <col min="2568" max="2568" width="17.5703125" style="210" customWidth="1"/>
    <col min="2569" max="2569" width="15.5703125" style="210" bestFit="1" customWidth="1"/>
    <col min="2570" max="2570" width="13.5703125" style="210" customWidth="1"/>
    <col min="2571" max="2571" width="20.5703125" style="210" customWidth="1"/>
    <col min="2572" max="2572" width="12.42578125" style="210" bestFit="1" customWidth="1"/>
    <col min="2573" max="2816" width="9.140625" style="210"/>
    <col min="2817" max="2817" width="23" style="210" customWidth="1"/>
    <col min="2818" max="2818" width="41.140625" style="210" customWidth="1"/>
    <col min="2819" max="2819" width="52.140625" style="210" bestFit="1" customWidth="1"/>
    <col min="2820" max="2820" width="17.28515625" style="210" bestFit="1" customWidth="1"/>
    <col min="2821" max="2821" width="21.28515625" style="210" customWidth="1"/>
    <col min="2822" max="2822" width="16.5703125" style="210" customWidth="1"/>
    <col min="2823" max="2823" width="19" style="210" customWidth="1"/>
    <col min="2824" max="2824" width="17.5703125" style="210" customWidth="1"/>
    <col min="2825" max="2825" width="15.5703125" style="210" bestFit="1" customWidth="1"/>
    <col min="2826" max="2826" width="13.5703125" style="210" customWidth="1"/>
    <col min="2827" max="2827" width="20.5703125" style="210" customWidth="1"/>
    <col min="2828" max="2828" width="12.42578125" style="210" bestFit="1" customWidth="1"/>
    <col min="2829" max="3072" width="9.140625" style="210"/>
    <col min="3073" max="3073" width="23" style="210" customWidth="1"/>
    <col min="3074" max="3074" width="41.140625" style="210" customWidth="1"/>
    <col min="3075" max="3075" width="52.140625" style="210" bestFit="1" customWidth="1"/>
    <col min="3076" max="3076" width="17.28515625" style="210" bestFit="1" customWidth="1"/>
    <col min="3077" max="3077" width="21.28515625" style="210" customWidth="1"/>
    <col min="3078" max="3078" width="16.5703125" style="210" customWidth="1"/>
    <col min="3079" max="3079" width="19" style="210" customWidth="1"/>
    <col min="3080" max="3080" width="17.5703125" style="210" customWidth="1"/>
    <col min="3081" max="3081" width="15.5703125" style="210" bestFit="1" customWidth="1"/>
    <col min="3082" max="3082" width="13.5703125" style="210" customWidth="1"/>
    <col min="3083" max="3083" width="20.5703125" style="210" customWidth="1"/>
    <col min="3084" max="3084" width="12.42578125" style="210" bestFit="1" customWidth="1"/>
    <col min="3085" max="3328" width="9.140625" style="210"/>
    <col min="3329" max="3329" width="23" style="210" customWidth="1"/>
    <col min="3330" max="3330" width="41.140625" style="210" customWidth="1"/>
    <col min="3331" max="3331" width="52.140625" style="210" bestFit="1" customWidth="1"/>
    <col min="3332" max="3332" width="17.28515625" style="210" bestFit="1" customWidth="1"/>
    <col min="3333" max="3333" width="21.28515625" style="210" customWidth="1"/>
    <col min="3334" max="3334" width="16.5703125" style="210" customWidth="1"/>
    <col min="3335" max="3335" width="19" style="210" customWidth="1"/>
    <col min="3336" max="3336" width="17.5703125" style="210" customWidth="1"/>
    <col min="3337" max="3337" width="15.5703125" style="210" bestFit="1" customWidth="1"/>
    <col min="3338" max="3338" width="13.5703125" style="210" customWidth="1"/>
    <col min="3339" max="3339" width="20.5703125" style="210" customWidth="1"/>
    <col min="3340" max="3340" width="12.42578125" style="210" bestFit="1" customWidth="1"/>
    <col min="3341" max="3584" width="9.140625" style="210"/>
    <col min="3585" max="3585" width="23" style="210" customWidth="1"/>
    <col min="3586" max="3586" width="41.140625" style="210" customWidth="1"/>
    <col min="3587" max="3587" width="52.140625" style="210" bestFit="1" customWidth="1"/>
    <col min="3588" max="3588" width="17.28515625" style="210" bestFit="1" customWidth="1"/>
    <col min="3589" max="3589" width="21.28515625" style="210" customWidth="1"/>
    <col min="3590" max="3590" width="16.5703125" style="210" customWidth="1"/>
    <col min="3591" max="3591" width="19" style="210" customWidth="1"/>
    <col min="3592" max="3592" width="17.5703125" style="210" customWidth="1"/>
    <col min="3593" max="3593" width="15.5703125" style="210" bestFit="1" customWidth="1"/>
    <col min="3594" max="3594" width="13.5703125" style="210" customWidth="1"/>
    <col min="3595" max="3595" width="20.5703125" style="210" customWidth="1"/>
    <col min="3596" max="3596" width="12.42578125" style="210" bestFit="1" customWidth="1"/>
    <col min="3597" max="3840" width="9.140625" style="210"/>
    <col min="3841" max="3841" width="23" style="210" customWidth="1"/>
    <col min="3842" max="3842" width="41.140625" style="210" customWidth="1"/>
    <col min="3843" max="3843" width="52.140625" style="210" bestFit="1" customWidth="1"/>
    <col min="3844" max="3844" width="17.28515625" style="210" bestFit="1" customWidth="1"/>
    <col min="3845" max="3845" width="21.28515625" style="210" customWidth="1"/>
    <col min="3846" max="3846" width="16.5703125" style="210" customWidth="1"/>
    <col min="3847" max="3847" width="19" style="210" customWidth="1"/>
    <col min="3848" max="3848" width="17.5703125" style="210" customWidth="1"/>
    <col min="3849" max="3849" width="15.5703125" style="210" bestFit="1" customWidth="1"/>
    <col min="3850" max="3850" width="13.5703125" style="210" customWidth="1"/>
    <col min="3851" max="3851" width="20.5703125" style="210" customWidth="1"/>
    <col min="3852" max="3852" width="12.42578125" style="210" bestFit="1" customWidth="1"/>
    <col min="3853" max="4096" width="9.140625" style="210"/>
    <col min="4097" max="4097" width="23" style="210" customWidth="1"/>
    <col min="4098" max="4098" width="41.140625" style="210" customWidth="1"/>
    <col min="4099" max="4099" width="52.140625" style="210" bestFit="1" customWidth="1"/>
    <col min="4100" max="4100" width="17.28515625" style="210" bestFit="1" customWidth="1"/>
    <col min="4101" max="4101" width="21.28515625" style="210" customWidth="1"/>
    <col min="4102" max="4102" width="16.5703125" style="210" customWidth="1"/>
    <col min="4103" max="4103" width="19" style="210" customWidth="1"/>
    <col min="4104" max="4104" width="17.5703125" style="210" customWidth="1"/>
    <col min="4105" max="4105" width="15.5703125" style="210" bestFit="1" customWidth="1"/>
    <col min="4106" max="4106" width="13.5703125" style="210" customWidth="1"/>
    <col min="4107" max="4107" width="20.5703125" style="210" customWidth="1"/>
    <col min="4108" max="4108" width="12.42578125" style="210" bestFit="1" customWidth="1"/>
    <col min="4109" max="4352" width="9.140625" style="210"/>
    <col min="4353" max="4353" width="23" style="210" customWidth="1"/>
    <col min="4354" max="4354" width="41.140625" style="210" customWidth="1"/>
    <col min="4355" max="4355" width="52.140625" style="210" bestFit="1" customWidth="1"/>
    <col min="4356" max="4356" width="17.28515625" style="210" bestFit="1" customWidth="1"/>
    <col min="4357" max="4357" width="21.28515625" style="210" customWidth="1"/>
    <col min="4358" max="4358" width="16.5703125" style="210" customWidth="1"/>
    <col min="4359" max="4359" width="19" style="210" customWidth="1"/>
    <col min="4360" max="4360" width="17.5703125" style="210" customWidth="1"/>
    <col min="4361" max="4361" width="15.5703125" style="210" bestFit="1" customWidth="1"/>
    <col min="4362" max="4362" width="13.5703125" style="210" customWidth="1"/>
    <col min="4363" max="4363" width="20.5703125" style="210" customWidth="1"/>
    <col min="4364" max="4364" width="12.42578125" style="210" bestFit="1" customWidth="1"/>
    <col min="4365" max="4608" width="9.140625" style="210"/>
    <col min="4609" max="4609" width="23" style="210" customWidth="1"/>
    <col min="4610" max="4610" width="41.140625" style="210" customWidth="1"/>
    <col min="4611" max="4611" width="52.140625" style="210" bestFit="1" customWidth="1"/>
    <col min="4612" max="4612" width="17.28515625" style="210" bestFit="1" customWidth="1"/>
    <col min="4613" max="4613" width="21.28515625" style="210" customWidth="1"/>
    <col min="4614" max="4614" width="16.5703125" style="210" customWidth="1"/>
    <col min="4615" max="4615" width="19" style="210" customWidth="1"/>
    <col min="4616" max="4616" width="17.5703125" style="210" customWidth="1"/>
    <col min="4617" max="4617" width="15.5703125" style="210" bestFit="1" customWidth="1"/>
    <col min="4618" max="4618" width="13.5703125" style="210" customWidth="1"/>
    <col min="4619" max="4619" width="20.5703125" style="210" customWidth="1"/>
    <col min="4620" max="4620" width="12.42578125" style="210" bestFit="1" customWidth="1"/>
    <col min="4621" max="4864" width="9.140625" style="210"/>
    <col min="4865" max="4865" width="23" style="210" customWidth="1"/>
    <col min="4866" max="4866" width="41.140625" style="210" customWidth="1"/>
    <col min="4867" max="4867" width="52.140625" style="210" bestFit="1" customWidth="1"/>
    <col min="4868" max="4868" width="17.28515625" style="210" bestFit="1" customWidth="1"/>
    <col min="4869" max="4869" width="21.28515625" style="210" customWidth="1"/>
    <col min="4870" max="4870" width="16.5703125" style="210" customWidth="1"/>
    <col min="4871" max="4871" width="19" style="210" customWidth="1"/>
    <col min="4872" max="4872" width="17.5703125" style="210" customWidth="1"/>
    <col min="4873" max="4873" width="15.5703125" style="210" bestFit="1" customWidth="1"/>
    <col min="4874" max="4874" width="13.5703125" style="210" customWidth="1"/>
    <col min="4875" max="4875" width="20.5703125" style="210" customWidth="1"/>
    <col min="4876" max="4876" width="12.42578125" style="210" bestFit="1" customWidth="1"/>
    <col min="4877" max="5120" width="9.140625" style="210"/>
    <col min="5121" max="5121" width="23" style="210" customWidth="1"/>
    <col min="5122" max="5122" width="41.140625" style="210" customWidth="1"/>
    <col min="5123" max="5123" width="52.140625" style="210" bestFit="1" customWidth="1"/>
    <col min="5124" max="5124" width="17.28515625" style="210" bestFit="1" customWidth="1"/>
    <col min="5125" max="5125" width="21.28515625" style="210" customWidth="1"/>
    <col min="5126" max="5126" width="16.5703125" style="210" customWidth="1"/>
    <col min="5127" max="5127" width="19" style="210" customWidth="1"/>
    <col min="5128" max="5128" width="17.5703125" style="210" customWidth="1"/>
    <col min="5129" max="5129" width="15.5703125" style="210" bestFit="1" customWidth="1"/>
    <col min="5130" max="5130" width="13.5703125" style="210" customWidth="1"/>
    <col min="5131" max="5131" width="20.5703125" style="210" customWidth="1"/>
    <col min="5132" max="5132" width="12.42578125" style="210" bestFit="1" customWidth="1"/>
    <col min="5133" max="5376" width="9.140625" style="210"/>
    <col min="5377" max="5377" width="23" style="210" customWidth="1"/>
    <col min="5378" max="5378" width="41.140625" style="210" customWidth="1"/>
    <col min="5379" max="5379" width="52.140625" style="210" bestFit="1" customWidth="1"/>
    <col min="5380" max="5380" width="17.28515625" style="210" bestFit="1" customWidth="1"/>
    <col min="5381" max="5381" width="21.28515625" style="210" customWidth="1"/>
    <col min="5382" max="5382" width="16.5703125" style="210" customWidth="1"/>
    <col min="5383" max="5383" width="19" style="210" customWidth="1"/>
    <col min="5384" max="5384" width="17.5703125" style="210" customWidth="1"/>
    <col min="5385" max="5385" width="15.5703125" style="210" bestFit="1" customWidth="1"/>
    <col min="5386" max="5386" width="13.5703125" style="210" customWidth="1"/>
    <col min="5387" max="5387" width="20.5703125" style="210" customWidth="1"/>
    <col min="5388" max="5388" width="12.42578125" style="210" bestFit="1" customWidth="1"/>
    <col min="5389" max="5632" width="9.140625" style="210"/>
    <col min="5633" max="5633" width="23" style="210" customWidth="1"/>
    <col min="5634" max="5634" width="41.140625" style="210" customWidth="1"/>
    <col min="5635" max="5635" width="52.140625" style="210" bestFit="1" customWidth="1"/>
    <col min="5636" max="5636" width="17.28515625" style="210" bestFit="1" customWidth="1"/>
    <col min="5637" max="5637" width="21.28515625" style="210" customWidth="1"/>
    <col min="5638" max="5638" width="16.5703125" style="210" customWidth="1"/>
    <col min="5639" max="5639" width="19" style="210" customWidth="1"/>
    <col min="5640" max="5640" width="17.5703125" style="210" customWidth="1"/>
    <col min="5641" max="5641" width="15.5703125" style="210" bestFit="1" customWidth="1"/>
    <col min="5642" max="5642" width="13.5703125" style="210" customWidth="1"/>
    <col min="5643" max="5643" width="20.5703125" style="210" customWidth="1"/>
    <col min="5644" max="5644" width="12.42578125" style="210" bestFit="1" customWidth="1"/>
    <col min="5645" max="5888" width="9.140625" style="210"/>
    <col min="5889" max="5889" width="23" style="210" customWidth="1"/>
    <col min="5890" max="5890" width="41.140625" style="210" customWidth="1"/>
    <col min="5891" max="5891" width="52.140625" style="210" bestFit="1" customWidth="1"/>
    <col min="5892" max="5892" width="17.28515625" style="210" bestFit="1" customWidth="1"/>
    <col min="5893" max="5893" width="21.28515625" style="210" customWidth="1"/>
    <col min="5894" max="5894" width="16.5703125" style="210" customWidth="1"/>
    <col min="5895" max="5895" width="19" style="210" customWidth="1"/>
    <col min="5896" max="5896" width="17.5703125" style="210" customWidth="1"/>
    <col min="5897" max="5897" width="15.5703125" style="210" bestFit="1" customWidth="1"/>
    <col min="5898" max="5898" width="13.5703125" style="210" customWidth="1"/>
    <col min="5899" max="5899" width="20.5703125" style="210" customWidth="1"/>
    <col min="5900" max="5900" width="12.42578125" style="210" bestFit="1" customWidth="1"/>
    <col min="5901" max="6144" width="9.140625" style="210"/>
    <col min="6145" max="6145" width="23" style="210" customWidth="1"/>
    <col min="6146" max="6146" width="41.140625" style="210" customWidth="1"/>
    <col min="6147" max="6147" width="52.140625" style="210" bestFit="1" customWidth="1"/>
    <col min="6148" max="6148" width="17.28515625" style="210" bestFit="1" customWidth="1"/>
    <col min="6149" max="6149" width="21.28515625" style="210" customWidth="1"/>
    <col min="6150" max="6150" width="16.5703125" style="210" customWidth="1"/>
    <col min="6151" max="6151" width="19" style="210" customWidth="1"/>
    <col min="6152" max="6152" width="17.5703125" style="210" customWidth="1"/>
    <col min="6153" max="6153" width="15.5703125" style="210" bestFit="1" customWidth="1"/>
    <col min="6154" max="6154" width="13.5703125" style="210" customWidth="1"/>
    <col min="6155" max="6155" width="20.5703125" style="210" customWidth="1"/>
    <col min="6156" max="6156" width="12.42578125" style="210" bestFit="1" customWidth="1"/>
    <col min="6157" max="6400" width="9.140625" style="210"/>
    <col min="6401" max="6401" width="23" style="210" customWidth="1"/>
    <col min="6402" max="6402" width="41.140625" style="210" customWidth="1"/>
    <col min="6403" max="6403" width="52.140625" style="210" bestFit="1" customWidth="1"/>
    <col min="6404" max="6404" width="17.28515625" style="210" bestFit="1" customWidth="1"/>
    <col min="6405" max="6405" width="21.28515625" style="210" customWidth="1"/>
    <col min="6406" max="6406" width="16.5703125" style="210" customWidth="1"/>
    <col min="6407" max="6407" width="19" style="210" customWidth="1"/>
    <col min="6408" max="6408" width="17.5703125" style="210" customWidth="1"/>
    <col min="6409" max="6409" width="15.5703125" style="210" bestFit="1" customWidth="1"/>
    <col min="6410" max="6410" width="13.5703125" style="210" customWidth="1"/>
    <col min="6411" max="6411" width="20.5703125" style="210" customWidth="1"/>
    <col min="6412" max="6412" width="12.42578125" style="210" bestFit="1" customWidth="1"/>
    <col min="6413" max="6656" width="9.140625" style="210"/>
    <col min="6657" max="6657" width="23" style="210" customWidth="1"/>
    <col min="6658" max="6658" width="41.140625" style="210" customWidth="1"/>
    <col min="6659" max="6659" width="52.140625" style="210" bestFit="1" customWidth="1"/>
    <col min="6660" max="6660" width="17.28515625" style="210" bestFit="1" customWidth="1"/>
    <col min="6661" max="6661" width="21.28515625" style="210" customWidth="1"/>
    <col min="6662" max="6662" width="16.5703125" style="210" customWidth="1"/>
    <col min="6663" max="6663" width="19" style="210" customWidth="1"/>
    <col min="6664" max="6664" width="17.5703125" style="210" customWidth="1"/>
    <col min="6665" max="6665" width="15.5703125" style="210" bestFit="1" customWidth="1"/>
    <col min="6666" max="6666" width="13.5703125" style="210" customWidth="1"/>
    <col min="6667" max="6667" width="20.5703125" style="210" customWidth="1"/>
    <col min="6668" max="6668" width="12.42578125" style="210" bestFit="1" customWidth="1"/>
    <col min="6669" max="6912" width="9.140625" style="210"/>
    <col min="6913" max="6913" width="23" style="210" customWidth="1"/>
    <col min="6914" max="6914" width="41.140625" style="210" customWidth="1"/>
    <col min="6915" max="6915" width="52.140625" style="210" bestFit="1" customWidth="1"/>
    <col min="6916" max="6916" width="17.28515625" style="210" bestFit="1" customWidth="1"/>
    <col min="6917" max="6917" width="21.28515625" style="210" customWidth="1"/>
    <col min="6918" max="6918" width="16.5703125" style="210" customWidth="1"/>
    <col min="6919" max="6919" width="19" style="210" customWidth="1"/>
    <col min="6920" max="6920" width="17.5703125" style="210" customWidth="1"/>
    <col min="6921" max="6921" width="15.5703125" style="210" bestFit="1" customWidth="1"/>
    <col min="6922" max="6922" width="13.5703125" style="210" customWidth="1"/>
    <col min="6923" max="6923" width="20.5703125" style="210" customWidth="1"/>
    <col min="6924" max="6924" width="12.42578125" style="210" bestFit="1" customWidth="1"/>
    <col min="6925" max="7168" width="9.140625" style="210"/>
    <col min="7169" max="7169" width="23" style="210" customWidth="1"/>
    <col min="7170" max="7170" width="41.140625" style="210" customWidth="1"/>
    <col min="7171" max="7171" width="52.140625" style="210" bestFit="1" customWidth="1"/>
    <col min="7172" max="7172" width="17.28515625" style="210" bestFit="1" customWidth="1"/>
    <col min="7173" max="7173" width="21.28515625" style="210" customWidth="1"/>
    <col min="7174" max="7174" width="16.5703125" style="210" customWidth="1"/>
    <col min="7175" max="7175" width="19" style="210" customWidth="1"/>
    <col min="7176" max="7176" width="17.5703125" style="210" customWidth="1"/>
    <col min="7177" max="7177" width="15.5703125" style="210" bestFit="1" customWidth="1"/>
    <col min="7178" max="7178" width="13.5703125" style="210" customWidth="1"/>
    <col min="7179" max="7179" width="20.5703125" style="210" customWidth="1"/>
    <col min="7180" max="7180" width="12.42578125" style="210" bestFit="1" customWidth="1"/>
    <col min="7181" max="7424" width="9.140625" style="210"/>
    <col min="7425" max="7425" width="23" style="210" customWidth="1"/>
    <col min="7426" max="7426" width="41.140625" style="210" customWidth="1"/>
    <col min="7427" max="7427" width="52.140625" style="210" bestFit="1" customWidth="1"/>
    <col min="7428" max="7428" width="17.28515625" style="210" bestFit="1" customWidth="1"/>
    <col min="7429" max="7429" width="21.28515625" style="210" customWidth="1"/>
    <col min="7430" max="7430" width="16.5703125" style="210" customWidth="1"/>
    <col min="7431" max="7431" width="19" style="210" customWidth="1"/>
    <col min="7432" max="7432" width="17.5703125" style="210" customWidth="1"/>
    <col min="7433" max="7433" width="15.5703125" style="210" bestFit="1" customWidth="1"/>
    <col min="7434" max="7434" width="13.5703125" style="210" customWidth="1"/>
    <col min="7435" max="7435" width="20.5703125" style="210" customWidth="1"/>
    <col min="7436" max="7436" width="12.42578125" style="210" bestFit="1" customWidth="1"/>
    <col min="7437" max="7680" width="9.140625" style="210"/>
    <col min="7681" max="7681" width="23" style="210" customWidth="1"/>
    <col min="7682" max="7682" width="41.140625" style="210" customWidth="1"/>
    <col min="7683" max="7683" width="52.140625" style="210" bestFit="1" customWidth="1"/>
    <col min="7684" max="7684" width="17.28515625" style="210" bestFit="1" customWidth="1"/>
    <col min="7685" max="7685" width="21.28515625" style="210" customWidth="1"/>
    <col min="7686" max="7686" width="16.5703125" style="210" customWidth="1"/>
    <col min="7687" max="7687" width="19" style="210" customWidth="1"/>
    <col min="7688" max="7688" width="17.5703125" style="210" customWidth="1"/>
    <col min="7689" max="7689" width="15.5703125" style="210" bestFit="1" customWidth="1"/>
    <col min="7690" max="7690" width="13.5703125" style="210" customWidth="1"/>
    <col min="7691" max="7691" width="20.5703125" style="210" customWidth="1"/>
    <col min="7692" max="7692" width="12.42578125" style="210" bestFit="1" customWidth="1"/>
    <col min="7693" max="7936" width="9.140625" style="210"/>
    <col min="7937" max="7937" width="23" style="210" customWidth="1"/>
    <col min="7938" max="7938" width="41.140625" style="210" customWidth="1"/>
    <col min="7939" max="7939" width="52.140625" style="210" bestFit="1" customWidth="1"/>
    <col min="7940" max="7940" width="17.28515625" style="210" bestFit="1" customWidth="1"/>
    <col min="7941" max="7941" width="21.28515625" style="210" customWidth="1"/>
    <col min="7942" max="7942" width="16.5703125" style="210" customWidth="1"/>
    <col min="7943" max="7943" width="19" style="210" customWidth="1"/>
    <col min="7944" max="7944" width="17.5703125" style="210" customWidth="1"/>
    <col min="7945" max="7945" width="15.5703125" style="210" bestFit="1" customWidth="1"/>
    <col min="7946" max="7946" width="13.5703125" style="210" customWidth="1"/>
    <col min="7947" max="7947" width="20.5703125" style="210" customWidth="1"/>
    <col min="7948" max="7948" width="12.42578125" style="210" bestFit="1" customWidth="1"/>
    <col min="7949" max="8192" width="9.140625" style="210"/>
    <col min="8193" max="8193" width="23" style="210" customWidth="1"/>
    <col min="8194" max="8194" width="41.140625" style="210" customWidth="1"/>
    <col min="8195" max="8195" width="52.140625" style="210" bestFit="1" customWidth="1"/>
    <col min="8196" max="8196" width="17.28515625" style="210" bestFit="1" customWidth="1"/>
    <col min="8197" max="8197" width="21.28515625" style="210" customWidth="1"/>
    <col min="8198" max="8198" width="16.5703125" style="210" customWidth="1"/>
    <col min="8199" max="8199" width="19" style="210" customWidth="1"/>
    <col min="8200" max="8200" width="17.5703125" style="210" customWidth="1"/>
    <col min="8201" max="8201" width="15.5703125" style="210" bestFit="1" customWidth="1"/>
    <col min="8202" max="8202" width="13.5703125" style="210" customWidth="1"/>
    <col min="8203" max="8203" width="20.5703125" style="210" customWidth="1"/>
    <col min="8204" max="8204" width="12.42578125" style="210" bestFit="1" customWidth="1"/>
    <col min="8205" max="8448" width="9.140625" style="210"/>
    <col min="8449" max="8449" width="23" style="210" customWidth="1"/>
    <col min="8450" max="8450" width="41.140625" style="210" customWidth="1"/>
    <col min="8451" max="8451" width="52.140625" style="210" bestFit="1" customWidth="1"/>
    <col min="8452" max="8452" width="17.28515625" style="210" bestFit="1" customWidth="1"/>
    <col min="8453" max="8453" width="21.28515625" style="210" customWidth="1"/>
    <col min="8454" max="8454" width="16.5703125" style="210" customWidth="1"/>
    <col min="8455" max="8455" width="19" style="210" customWidth="1"/>
    <col min="8456" max="8456" width="17.5703125" style="210" customWidth="1"/>
    <col min="8457" max="8457" width="15.5703125" style="210" bestFit="1" customWidth="1"/>
    <col min="8458" max="8458" width="13.5703125" style="210" customWidth="1"/>
    <col min="8459" max="8459" width="20.5703125" style="210" customWidth="1"/>
    <col min="8460" max="8460" width="12.42578125" style="210" bestFit="1" customWidth="1"/>
    <col min="8461" max="8704" width="9.140625" style="210"/>
    <col min="8705" max="8705" width="23" style="210" customWidth="1"/>
    <col min="8706" max="8706" width="41.140625" style="210" customWidth="1"/>
    <col min="8707" max="8707" width="52.140625" style="210" bestFit="1" customWidth="1"/>
    <col min="8708" max="8708" width="17.28515625" style="210" bestFit="1" customWidth="1"/>
    <col min="8709" max="8709" width="21.28515625" style="210" customWidth="1"/>
    <col min="8710" max="8710" width="16.5703125" style="210" customWidth="1"/>
    <col min="8711" max="8711" width="19" style="210" customWidth="1"/>
    <col min="8712" max="8712" width="17.5703125" style="210" customWidth="1"/>
    <col min="8713" max="8713" width="15.5703125" style="210" bestFit="1" customWidth="1"/>
    <col min="8714" max="8714" width="13.5703125" style="210" customWidth="1"/>
    <col min="8715" max="8715" width="20.5703125" style="210" customWidth="1"/>
    <col min="8716" max="8716" width="12.42578125" style="210" bestFit="1" customWidth="1"/>
    <col min="8717" max="8960" width="9.140625" style="210"/>
    <col min="8961" max="8961" width="23" style="210" customWidth="1"/>
    <col min="8962" max="8962" width="41.140625" style="210" customWidth="1"/>
    <col min="8963" max="8963" width="52.140625" style="210" bestFit="1" customWidth="1"/>
    <col min="8964" max="8964" width="17.28515625" style="210" bestFit="1" customWidth="1"/>
    <col min="8965" max="8965" width="21.28515625" style="210" customWidth="1"/>
    <col min="8966" max="8966" width="16.5703125" style="210" customWidth="1"/>
    <col min="8967" max="8967" width="19" style="210" customWidth="1"/>
    <col min="8968" max="8968" width="17.5703125" style="210" customWidth="1"/>
    <col min="8969" max="8969" width="15.5703125" style="210" bestFit="1" customWidth="1"/>
    <col min="8970" max="8970" width="13.5703125" style="210" customWidth="1"/>
    <col min="8971" max="8971" width="20.5703125" style="210" customWidth="1"/>
    <col min="8972" max="8972" width="12.42578125" style="210" bestFit="1" customWidth="1"/>
    <col min="8973" max="9216" width="9.140625" style="210"/>
    <col min="9217" max="9217" width="23" style="210" customWidth="1"/>
    <col min="9218" max="9218" width="41.140625" style="210" customWidth="1"/>
    <col min="9219" max="9219" width="52.140625" style="210" bestFit="1" customWidth="1"/>
    <col min="9220" max="9220" width="17.28515625" style="210" bestFit="1" customWidth="1"/>
    <col min="9221" max="9221" width="21.28515625" style="210" customWidth="1"/>
    <col min="9222" max="9222" width="16.5703125" style="210" customWidth="1"/>
    <col min="9223" max="9223" width="19" style="210" customWidth="1"/>
    <col min="9224" max="9224" width="17.5703125" style="210" customWidth="1"/>
    <col min="9225" max="9225" width="15.5703125" style="210" bestFit="1" customWidth="1"/>
    <col min="9226" max="9226" width="13.5703125" style="210" customWidth="1"/>
    <col min="9227" max="9227" width="20.5703125" style="210" customWidth="1"/>
    <col min="9228" max="9228" width="12.42578125" style="210" bestFit="1" customWidth="1"/>
    <col min="9229" max="9472" width="9.140625" style="210"/>
    <col min="9473" max="9473" width="23" style="210" customWidth="1"/>
    <col min="9474" max="9474" width="41.140625" style="210" customWidth="1"/>
    <col min="9475" max="9475" width="52.140625" style="210" bestFit="1" customWidth="1"/>
    <col min="9476" max="9476" width="17.28515625" style="210" bestFit="1" customWidth="1"/>
    <col min="9477" max="9477" width="21.28515625" style="210" customWidth="1"/>
    <col min="9478" max="9478" width="16.5703125" style="210" customWidth="1"/>
    <col min="9479" max="9479" width="19" style="210" customWidth="1"/>
    <col min="9480" max="9480" width="17.5703125" style="210" customWidth="1"/>
    <col min="9481" max="9481" width="15.5703125" style="210" bestFit="1" customWidth="1"/>
    <col min="9482" max="9482" width="13.5703125" style="210" customWidth="1"/>
    <col min="9483" max="9483" width="20.5703125" style="210" customWidth="1"/>
    <col min="9484" max="9484" width="12.42578125" style="210" bestFit="1" customWidth="1"/>
    <col min="9485" max="9728" width="9.140625" style="210"/>
    <col min="9729" max="9729" width="23" style="210" customWidth="1"/>
    <col min="9730" max="9730" width="41.140625" style="210" customWidth="1"/>
    <col min="9731" max="9731" width="52.140625" style="210" bestFit="1" customWidth="1"/>
    <col min="9732" max="9732" width="17.28515625" style="210" bestFit="1" customWidth="1"/>
    <col min="9733" max="9733" width="21.28515625" style="210" customWidth="1"/>
    <col min="9734" max="9734" width="16.5703125" style="210" customWidth="1"/>
    <col min="9735" max="9735" width="19" style="210" customWidth="1"/>
    <col min="9736" max="9736" width="17.5703125" style="210" customWidth="1"/>
    <col min="9737" max="9737" width="15.5703125" style="210" bestFit="1" customWidth="1"/>
    <col min="9738" max="9738" width="13.5703125" style="210" customWidth="1"/>
    <col min="9739" max="9739" width="20.5703125" style="210" customWidth="1"/>
    <col min="9740" max="9740" width="12.42578125" style="210" bestFit="1" customWidth="1"/>
    <col min="9741" max="9984" width="9.140625" style="210"/>
    <col min="9985" max="9985" width="23" style="210" customWidth="1"/>
    <col min="9986" max="9986" width="41.140625" style="210" customWidth="1"/>
    <col min="9987" max="9987" width="52.140625" style="210" bestFit="1" customWidth="1"/>
    <col min="9988" max="9988" width="17.28515625" style="210" bestFit="1" customWidth="1"/>
    <col min="9989" max="9989" width="21.28515625" style="210" customWidth="1"/>
    <col min="9990" max="9990" width="16.5703125" style="210" customWidth="1"/>
    <col min="9991" max="9991" width="19" style="210" customWidth="1"/>
    <col min="9992" max="9992" width="17.5703125" style="210" customWidth="1"/>
    <col min="9993" max="9993" width="15.5703125" style="210" bestFit="1" customWidth="1"/>
    <col min="9994" max="9994" width="13.5703125" style="210" customWidth="1"/>
    <col min="9995" max="9995" width="20.5703125" style="210" customWidth="1"/>
    <col min="9996" max="9996" width="12.42578125" style="210" bestFit="1" customWidth="1"/>
    <col min="9997" max="10240" width="9.140625" style="210"/>
    <col min="10241" max="10241" width="23" style="210" customWidth="1"/>
    <col min="10242" max="10242" width="41.140625" style="210" customWidth="1"/>
    <col min="10243" max="10243" width="52.140625" style="210" bestFit="1" customWidth="1"/>
    <col min="10244" max="10244" width="17.28515625" style="210" bestFit="1" customWidth="1"/>
    <col min="10245" max="10245" width="21.28515625" style="210" customWidth="1"/>
    <col min="10246" max="10246" width="16.5703125" style="210" customWidth="1"/>
    <col min="10247" max="10247" width="19" style="210" customWidth="1"/>
    <col min="10248" max="10248" width="17.5703125" style="210" customWidth="1"/>
    <col min="10249" max="10249" width="15.5703125" style="210" bestFit="1" customWidth="1"/>
    <col min="10250" max="10250" width="13.5703125" style="210" customWidth="1"/>
    <col min="10251" max="10251" width="20.5703125" style="210" customWidth="1"/>
    <col min="10252" max="10252" width="12.42578125" style="210" bestFit="1" customWidth="1"/>
    <col min="10253" max="10496" width="9.140625" style="210"/>
    <col min="10497" max="10497" width="23" style="210" customWidth="1"/>
    <col min="10498" max="10498" width="41.140625" style="210" customWidth="1"/>
    <col min="10499" max="10499" width="52.140625" style="210" bestFit="1" customWidth="1"/>
    <col min="10500" max="10500" width="17.28515625" style="210" bestFit="1" customWidth="1"/>
    <col min="10501" max="10501" width="21.28515625" style="210" customWidth="1"/>
    <col min="10502" max="10502" width="16.5703125" style="210" customWidth="1"/>
    <col min="10503" max="10503" width="19" style="210" customWidth="1"/>
    <col min="10504" max="10504" width="17.5703125" style="210" customWidth="1"/>
    <col min="10505" max="10505" width="15.5703125" style="210" bestFit="1" customWidth="1"/>
    <col min="10506" max="10506" width="13.5703125" style="210" customWidth="1"/>
    <col min="10507" max="10507" width="20.5703125" style="210" customWidth="1"/>
    <col min="10508" max="10508" width="12.42578125" style="210" bestFit="1" customWidth="1"/>
    <col min="10509" max="10752" width="9.140625" style="210"/>
    <col min="10753" max="10753" width="23" style="210" customWidth="1"/>
    <col min="10754" max="10754" width="41.140625" style="210" customWidth="1"/>
    <col min="10755" max="10755" width="52.140625" style="210" bestFit="1" customWidth="1"/>
    <col min="10756" max="10756" width="17.28515625" style="210" bestFit="1" customWidth="1"/>
    <col min="10757" max="10757" width="21.28515625" style="210" customWidth="1"/>
    <col min="10758" max="10758" width="16.5703125" style="210" customWidth="1"/>
    <col min="10759" max="10759" width="19" style="210" customWidth="1"/>
    <col min="10760" max="10760" width="17.5703125" style="210" customWidth="1"/>
    <col min="10761" max="10761" width="15.5703125" style="210" bestFit="1" customWidth="1"/>
    <col min="10762" max="10762" width="13.5703125" style="210" customWidth="1"/>
    <col min="10763" max="10763" width="20.5703125" style="210" customWidth="1"/>
    <col min="10764" max="10764" width="12.42578125" style="210" bestFit="1" customWidth="1"/>
    <col min="10765" max="11008" width="9.140625" style="210"/>
    <col min="11009" max="11009" width="23" style="210" customWidth="1"/>
    <col min="11010" max="11010" width="41.140625" style="210" customWidth="1"/>
    <col min="11011" max="11011" width="52.140625" style="210" bestFit="1" customWidth="1"/>
    <col min="11012" max="11012" width="17.28515625" style="210" bestFit="1" customWidth="1"/>
    <col min="11013" max="11013" width="21.28515625" style="210" customWidth="1"/>
    <col min="11014" max="11014" width="16.5703125" style="210" customWidth="1"/>
    <col min="11015" max="11015" width="19" style="210" customWidth="1"/>
    <col min="11016" max="11016" width="17.5703125" style="210" customWidth="1"/>
    <col min="11017" max="11017" width="15.5703125" style="210" bestFit="1" customWidth="1"/>
    <col min="11018" max="11018" width="13.5703125" style="210" customWidth="1"/>
    <col min="11019" max="11019" width="20.5703125" style="210" customWidth="1"/>
    <col min="11020" max="11020" width="12.42578125" style="210" bestFit="1" customWidth="1"/>
    <col min="11021" max="11264" width="9.140625" style="210"/>
    <col min="11265" max="11265" width="23" style="210" customWidth="1"/>
    <col min="11266" max="11266" width="41.140625" style="210" customWidth="1"/>
    <col min="11267" max="11267" width="52.140625" style="210" bestFit="1" customWidth="1"/>
    <col min="11268" max="11268" width="17.28515625" style="210" bestFit="1" customWidth="1"/>
    <col min="11269" max="11269" width="21.28515625" style="210" customWidth="1"/>
    <col min="11270" max="11270" width="16.5703125" style="210" customWidth="1"/>
    <col min="11271" max="11271" width="19" style="210" customWidth="1"/>
    <col min="11272" max="11272" width="17.5703125" style="210" customWidth="1"/>
    <col min="11273" max="11273" width="15.5703125" style="210" bestFit="1" customWidth="1"/>
    <col min="11274" max="11274" width="13.5703125" style="210" customWidth="1"/>
    <col min="11275" max="11275" width="20.5703125" style="210" customWidth="1"/>
    <col min="11276" max="11276" width="12.42578125" style="210" bestFit="1" customWidth="1"/>
    <col min="11277" max="11520" width="9.140625" style="210"/>
    <col min="11521" max="11521" width="23" style="210" customWidth="1"/>
    <col min="11522" max="11522" width="41.140625" style="210" customWidth="1"/>
    <col min="11523" max="11523" width="52.140625" style="210" bestFit="1" customWidth="1"/>
    <col min="11524" max="11524" width="17.28515625" style="210" bestFit="1" customWidth="1"/>
    <col min="11525" max="11525" width="21.28515625" style="210" customWidth="1"/>
    <col min="11526" max="11526" width="16.5703125" style="210" customWidth="1"/>
    <col min="11527" max="11527" width="19" style="210" customWidth="1"/>
    <col min="11528" max="11528" width="17.5703125" style="210" customWidth="1"/>
    <col min="11529" max="11529" width="15.5703125" style="210" bestFit="1" customWidth="1"/>
    <col min="11530" max="11530" width="13.5703125" style="210" customWidth="1"/>
    <col min="11531" max="11531" width="20.5703125" style="210" customWidth="1"/>
    <col min="11532" max="11532" width="12.42578125" style="210" bestFit="1" customWidth="1"/>
    <col min="11533" max="11776" width="9.140625" style="210"/>
    <col min="11777" max="11777" width="23" style="210" customWidth="1"/>
    <col min="11778" max="11778" width="41.140625" style="210" customWidth="1"/>
    <col min="11779" max="11779" width="52.140625" style="210" bestFit="1" customWidth="1"/>
    <col min="11780" max="11780" width="17.28515625" style="210" bestFit="1" customWidth="1"/>
    <col min="11781" max="11781" width="21.28515625" style="210" customWidth="1"/>
    <col min="11782" max="11782" width="16.5703125" style="210" customWidth="1"/>
    <col min="11783" max="11783" width="19" style="210" customWidth="1"/>
    <col min="11784" max="11784" width="17.5703125" style="210" customWidth="1"/>
    <col min="11785" max="11785" width="15.5703125" style="210" bestFit="1" customWidth="1"/>
    <col min="11786" max="11786" width="13.5703125" style="210" customWidth="1"/>
    <col min="11787" max="11787" width="20.5703125" style="210" customWidth="1"/>
    <col min="11788" max="11788" width="12.42578125" style="210" bestFit="1" customWidth="1"/>
    <col min="11789" max="12032" width="9.140625" style="210"/>
    <col min="12033" max="12033" width="23" style="210" customWidth="1"/>
    <col min="12034" max="12034" width="41.140625" style="210" customWidth="1"/>
    <col min="12035" max="12035" width="52.140625" style="210" bestFit="1" customWidth="1"/>
    <col min="12036" max="12036" width="17.28515625" style="210" bestFit="1" customWidth="1"/>
    <col min="12037" max="12037" width="21.28515625" style="210" customWidth="1"/>
    <col min="12038" max="12038" width="16.5703125" style="210" customWidth="1"/>
    <col min="12039" max="12039" width="19" style="210" customWidth="1"/>
    <col min="12040" max="12040" width="17.5703125" style="210" customWidth="1"/>
    <col min="12041" max="12041" width="15.5703125" style="210" bestFit="1" customWidth="1"/>
    <col min="12042" max="12042" width="13.5703125" style="210" customWidth="1"/>
    <col min="12043" max="12043" width="20.5703125" style="210" customWidth="1"/>
    <col min="12044" max="12044" width="12.42578125" style="210" bestFit="1" customWidth="1"/>
    <col min="12045" max="12288" width="9.140625" style="210"/>
    <col min="12289" max="12289" width="23" style="210" customWidth="1"/>
    <col min="12290" max="12290" width="41.140625" style="210" customWidth="1"/>
    <col min="12291" max="12291" width="52.140625" style="210" bestFit="1" customWidth="1"/>
    <col min="12292" max="12292" width="17.28515625" style="210" bestFit="1" customWidth="1"/>
    <col min="12293" max="12293" width="21.28515625" style="210" customWidth="1"/>
    <col min="12294" max="12294" width="16.5703125" style="210" customWidth="1"/>
    <col min="12295" max="12295" width="19" style="210" customWidth="1"/>
    <col min="12296" max="12296" width="17.5703125" style="210" customWidth="1"/>
    <col min="12297" max="12297" width="15.5703125" style="210" bestFit="1" customWidth="1"/>
    <col min="12298" max="12298" width="13.5703125" style="210" customWidth="1"/>
    <col min="12299" max="12299" width="20.5703125" style="210" customWidth="1"/>
    <col min="12300" max="12300" width="12.42578125" style="210" bestFit="1" customWidth="1"/>
    <col min="12301" max="12544" width="9.140625" style="210"/>
    <col min="12545" max="12545" width="23" style="210" customWidth="1"/>
    <col min="12546" max="12546" width="41.140625" style="210" customWidth="1"/>
    <col min="12547" max="12547" width="52.140625" style="210" bestFit="1" customWidth="1"/>
    <col min="12548" max="12548" width="17.28515625" style="210" bestFit="1" customWidth="1"/>
    <col min="12549" max="12549" width="21.28515625" style="210" customWidth="1"/>
    <col min="12550" max="12550" width="16.5703125" style="210" customWidth="1"/>
    <col min="12551" max="12551" width="19" style="210" customWidth="1"/>
    <col min="12552" max="12552" width="17.5703125" style="210" customWidth="1"/>
    <col min="12553" max="12553" width="15.5703125" style="210" bestFit="1" customWidth="1"/>
    <col min="12554" max="12554" width="13.5703125" style="210" customWidth="1"/>
    <col min="12555" max="12555" width="20.5703125" style="210" customWidth="1"/>
    <col min="12556" max="12556" width="12.42578125" style="210" bestFit="1" customWidth="1"/>
    <col min="12557" max="12800" width="9.140625" style="210"/>
    <col min="12801" max="12801" width="23" style="210" customWidth="1"/>
    <col min="12802" max="12802" width="41.140625" style="210" customWidth="1"/>
    <col min="12803" max="12803" width="52.140625" style="210" bestFit="1" customWidth="1"/>
    <col min="12804" max="12804" width="17.28515625" style="210" bestFit="1" customWidth="1"/>
    <col min="12805" max="12805" width="21.28515625" style="210" customWidth="1"/>
    <col min="12806" max="12806" width="16.5703125" style="210" customWidth="1"/>
    <col min="12807" max="12807" width="19" style="210" customWidth="1"/>
    <col min="12808" max="12808" width="17.5703125" style="210" customWidth="1"/>
    <col min="12809" max="12809" width="15.5703125" style="210" bestFit="1" customWidth="1"/>
    <col min="12810" max="12810" width="13.5703125" style="210" customWidth="1"/>
    <col min="12811" max="12811" width="20.5703125" style="210" customWidth="1"/>
    <col min="12812" max="12812" width="12.42578125" style="210" bestFit="1" customWidth="1"/>
    <col min="12813" max="13056" width="9.140625" style="210"/>
    <col min="13057" max="13057" width="23" style="210" customWidth="1"/>
    <col min="13058" max="13058" width="41.140625" style="210" customWidth="1"/>
    <col min="13059" max="13059" width="52.140625" style="210" bestFit="1" customWidth="1"/>
    <col min="13060" max="13060" width="17.28515625" style="210" bestFit="1" customWidth="1"/>
    <col min="13061" max="13061" width="21.28515625" style="210" customWidth="1"/>
    <col min="13062" max="13062" width="16.5703125" style="210" customWidth="1"/>
    <col min="13063" max="13063" width="19" style="210" customWidth="1"/>
    <col min="13064" max="13064" width="17.5703125" style="210" customWidth="1"/>
    <col min="13065" max="13065" width="15.5703125" style="210" bestFit="1" customWidth="1"/>
    <col min="13066" max="13066" width="13.5703125" style="210" customWidth="1"/>
    <col min="13067" max="13067" width="20.5703125" style="210" customWidth="1"/>
    <col min="13068" max="13068" width="12.42578125" style="210" bestFit="1" customWidth="1"/>
    <col min="13069" max="13312" width="9.140625" style="210"/>
    <col min="13313" max="13313" width="23" style="210" customWidth="1"/>
    <col min="13314" max="13314" width="41.140625" style="210" customWidth="1"/>
    <col min="13315" max="13315" width="52.140625" style="210" bestFit="1" customWidth="1"/>
    <col min="13316" max="13316" width="17.28515625" style="210" bestFit="1" customWidth="1"/>
    <col min="13317" max="13317" width="21.28515625" style="210" customWidth="1"/>
    <col min="13318" max="13318" width="16.5703125" style="210" customWidth="1"/>
    <col min="13319" max="13319" width="19" style="210" customWidth="1"/>
    <col min="13320" max="13320" width="17.5703125" style="210" customWidth="1"/>
    <col min="13321" max="13321" width="15.5703125" style="210" bestFit="1" customWidth="1"/>
    <col min="13322" max="13322" width="13.5703125" style="210" customWidth="1"/>
    <col min="13323" max="13323" width="20.5703125" style="210" customWidth="1"/>
    <col min="13324" max="13324" width="12.42578125" style="210" bestFit="1" customWidth="1"/>
    <col min="13325" max="13568" width="9.140625" style="210"/>
    <col min="13569" max="13569" width="23" style="210" customWidth="1"/>
    <col min="13570" max="13570" width="41.140625" style="210" customWidth="1"/>
    <col min="13571" max="13571" width="52.140625" style="210" bestFit="1" customWidth="1"/>
    <col min="13572" max="13572" width="17.28515625" style="210" bestFit="1" customWidth="1"/>
    <col min="13573" max="13573" width="21.28515625" style="210" customWidth="1"/>
    <col min="13574" max="13574" width="16.5703125" style="210" customWidth="1"/>
    <col min="13575" max="13575" width="19" style="210" customWidth="1"/>
    <col min="13576" max="13576" width="17.5703125" style="210" customWidth="1"/>
    <col min="13577" max="13577" width="15.5703125" style="210" bestFit="1" customWidth="1"/>
    <col min="13578" max="13578" width="13.5703125" style="210" customWidth="1"/>
    <col min="13579" max="13579" width="20.5703125" style="210" customWidth="1"/>
    <col min="13580" max="13580" width="12.42578125" style="210" bestFit="1" customWidth="1"/>
    <col min="13581" max="13824" width="9.140625" style="210"/>
    <col min="13825" max="13825" width="23" style="210" customWidth="1"/>
    <col min="13826" max="13826" width="41.140625" style="210" customWidth="1"/>
    <col min="13827" max="13827" width="52.140625" style="210" bestFit="1" customWidth="1"/>
    <col min="13828" max="13828" width="17.28515625" style="210" bestFit="1" customWidth="1"/>
    <col min="13829" max="13829" width="21.28515625" style="210" customWidth="1"/>
    <col min="13830" max="13830" width="16.5703125" style="210" customWidth="1"/>
    <col min="13831" max="13831" width="19" style="210" customWidth="1"/>
    <col min="13832" max="13832" width="17.5703125" style="210" customWidth="1"/>
    <col min="13833" max="13833" width="15.5703125" style="210" bestFit="1" customWidth="1"/>
    <col min="13834" max="13834" width="13.5703125" style="210" customWidth="1"/>
    <col min="13835" max="13835" width="20.5703125" style="210" customWidth="1"/>
    <col min="13836" max="13836" width="12.42578125" style="210" bestFit="1" customWidth="1"/>
    <col min="13837" max="14080" width="9.140625" style="210"/>
    <col min="14081" max="14081" width="23" style="210" customWidth="1"/>
    <col min="14082" max="14082" width="41.140625" style="210" customWidth="1"/>
    <col min="14083" max="14083" width="52.140625" style="210" bestFit="1" customWidth="1"/>
    <col min="14084" max="14084" width="17.28515625" style="210" bestFit="1" customWidth="1"/>
    <col min="14085" max="14085" width="21.28515625" style="210" customWidth="1"/>
    <col min="14086" max="14086" width="16.5703125" style="210" customWidth="1"/>
    <col min="14087" max="14087" width="19" style="210" customWidth="1"/>
    <col min="14088" max="14088" width="17.5703125" style="210" customWidth="1"/>
    <col min="14089" max="14089" width="15.5703125" style="210" bestFit="1" customWidth="1"/>
    <col min="14090" max="14090" width="13.5703125" style="210" customWidth="1"/>
    <col min="14091" max="14091" width="20.5703125" style="210" customWidth="1"/>
    <col min="14092" max="14092" width="12.42578125" style="210" bestFit="1" customWidth="1"/>
    <col min="14093" max="14336" width="9.140625" style="210"/>
    <col min="14337" max="14337" width="23" style="210" customWidth="1"/>
    <col min="14338" max="14338" width="41.140625" style="210" customWidth="1"/>
    <col min="14339" max="14339" width="52.140625" style="210" bestFit="1" customWidth="1"/>
    <col min="14340" max="14340" width="17.28515625" style="210" bestFit="1" customWidth="1"/>
    <col min="14341" max="14341" width="21.28515625" style="210" customWidth="1"/>
    <col min="14342" max="14342" width="16.5703125" style="210" customWidth="1"/>
    <col min="14343" max="14343" width="19" style="210" customWidth="1"/>
    <col min="14344" max="14344" width="17.5703125" style="210" customWidth="1"/>
    <col min="14345" max="14345" width="15.5703125" style="210" bestFit="1" customWidth="1"/>
    <col min="14346" max="14346" width="13.5703125" style="210" customWidth="1"/>
    <col min="14347" max="14347" width="20.5703125" style="210" customWidth="1"/>
    <col min="14348" max="14348" width="12.42578125" style="210" bestFit="1" customWidth="1"/>
    <col min="14349" max="14592" width="9.140625" style="210"/>
    <col min="14593" max="14593" width="23" style="210" customWidth="1"/>
    <col min="14594" max="14594" width="41.140625" style="210" customWidth="1"/>
    <col min="14595" max="14595" width="52.140625" style="210" bestFit="1" customWidth="1"/>
    <col min="14596" max="14596" width="17.28515625" style="210" bestFit="1" customWidth="1"/>
    <col min="14597" max="14597" width="21.28515625" style="210" customWidth="1"/>
    <col min="14598" max="14598" width="16.5703125" style="210" customWidth="1"/>
    <col min="14599" max="14599" width="19" style="210" customWidth="1"/>
    <col min="14600" max="14600" width="17.5703125" style="210" customWidth="1"/>
    <col min="14601" max="14601" width="15.5703125" style="210" bestFit="1" customWidth="1"/>
    <col min="14602" max="14602" width="13.5703125" style="210" customWidth="1"/>
    <col min="14603" max="14603" width="20.5703125" style="210" customWidth="1"/>
    <col min="14604" max="14604" width="12.42578125" style="210" bestFit="1" customWidth="1"/>
    <col min="14605" max="14848" width="9.140625" style="210"/>
    <col min="14849" max="14849" width="23" style="210" customWidth="1"/>
    <col min="14850" max="14850" width="41.140625" style="210" customWidth="1"/>
    <col min="14851" max="14851" width="52.140625" style="210" bestFit="1" customWidth="1"/>
    <col min="14852" max="14852" width="17.28515625" style="210" bestFit="1" customWidth="1"/>
    <col min="14853" max="14853" width="21.28515625" style="210" customWidth="1"/>
    <col min="14854" max="14854" width="16.5703125" style="210" customWidth="1"/>
    <col min="14855" max="14855" width="19" style="210" customWidth="1"/>
    <col min="14856" max="14856" width="17.5703125" style="210" customWidth="1"/>
    <col min="14857" max="14857" width="15.5703125" style="210" bestFit="1" customWidth="1"/>
    <col min="14858" max="14858" width="13.5703125" style="210" customWidth="1"/>
    <col min="14859" max="14859" width="20.5703125" style="210" customWidth="1"/>
    <col min="14860" max="14860" width="12.42578125" style="210" bestFit="1" customWidth="1"/>
    <col min="14861" max="15104" width="9.140625" style="210"/>
    <col min="15105" max="15105" width="23" style="210" customWidth="1"/>
    <col min="15106" max="15106" width="41.140625" style="210" customWidth="1"/>
    <col min="15107" max="15107" width="52.140625" style="210" bestFit="1" customWidth="1"/>
    <col min="15108" max="15108" width="17.28515625" style="210" bestFit="1" customWidth="1"/>
    <col min="15109" max="15109" width="21.28515625" style="210" customWidth="1"/>
    <col min="15110" max="15110" width="16.5703125" style="210" customWidth="1"/>
    <col min="15111" max="15111" width="19" style="210" customWidth="1"/>
    <col min="15112" max="15112" width="17.5703125" style="210" customWidth="1"/>
    <col min="15113" max="15113" width="15.5703125" style="210" bestFit="1" customWidth="1"/>
    <col min="15114" max="15114" width="13.5703125" style="210" customWidth="1"/>
    <col min="15115" max="15115" width="20.5703125" style="210" customWidth="1"/>
    <col min="15116" max="15116" width="12.42578125" style="210" bestFit="1" customWidth="1"/>
    <col min="15117" max="15360" width="9.140625" style="210"/>
    <col min="15361" max="15361" width="23" style="210" customWidth="1"/>
    <col min="15362" max="15362" width="41.140625" style="210" customWidth="1"/>
    <col min="15363" max="15363" width="52.140625" style="210" bestFit="1" customWidth="1"/>
    <col min="15364" max="15364" width="17.28515625" style="210" bestFit="1" customWidth="1"/>
    <col min="15365" max="15365" width="21.28515625" style="210" customWidth="1"/>
    <col min="15366" max="15366" width="16.5703125" style="210" customWidth="1"/>
    <col min="15367" max="15367" width="19" style="210" customWidth="1"/>
    <col min="15368" max="15368" width="17.5703125" style="210" customWidth="1"/>
    <col min="15369" max="15369" width="15.5703125" style="210" bestFit="1" customWidth="1"/>
    <col min="15370" max="15370" width="13.5703125" style="210" customWidth="1"/>
    <col min="15371" max="15371" width="20.5703125" style="210" customWidth="1"/>
    <col min="15372" max="15372" width="12.42578125" style="210" bestFit="1" customWidth="1"/>
    <col min="15373" max="15616" width="9.140625" style="210"/>
    <col min="15617" max="15617" width="23" style="210" customWidth="1"/>
    <col min="15618" max="15618" width="41.140625" style="210" customWidth="1"/>
    <col min="15619" max="15619" width="52.140625" style="210" bestFit="1" customWidth="1"/>
    <col min="15620" max="15620" width="17.28515625" style="210" bestFit="1" customWidth="1"/>
    <col min="15621" max="15621" width="21.28515625" style="210" customWidth="1"/>
    <col min="15622" max="15622" width="16.5703125" style="210" customWidth="1"/>
    <col min="15623" max="15623" width="19" style="210" customWidth="1"/>
    <col min="15624" max="15624" width="17.5703125" style="210" customWidth="1"/>
    <col min="15625" max="15625" width="15.5703125" style="210" bestFit="1" customWidth="1"/>
    <col min="15626" max="15626" width="13.5703125" style="210" customWidth="1"/>
    <col min="15627" max="15627" width="20.5703125" style="210" customWidth="1"/>
    <col min="15628" max="15628" width="12.42578125" style="210" bestFit="1" customWidth="1"/>
    <col min="15629" max="15872" width="9.140625" style="210"/>
    <col min="15873" max="15873" width="23" style="210" customWidth="1"/>
    <col min="15874" max="15874" width="41.140625" style="210" customWidth="1"/>
    <col min="15875" max="15875" width="52.140625" style="210" bestFit="1" customWidth="1"/>
    <col min="15876" max="15876" width="17.28515625" style="210" bestFit="1" customWidth="1"/>
    <col min="15877" max="15877" width="21.28515625" style="210" customWidth="1"/>
    <col min="15878" max="15878" width="16.5703125" style="210" customWidth="1"/>
    <col min="15879" max="15879" width="19" style="210" customWidth="1"/>
    <col min="15880" max="15880" width="17.5703125" style="210" customWidth="1"/>
    <col min="15881" max="15881" width="15.5703125" style="210" bestFit="1" customWidth="1"/>
    <col min="15882" max="15882" width="13.5703125" style="210" customWidth="1"/>
    <col min="15883" max="15883" width="20.5703125" style="210" customWidth="1"/>
    <col min="15884" max="15884" width="12.42578125" style="210" bestFit="1" customWidth="1"/>
    <col min="15885" max="16128" width="9.140625" style="210"/>
    <col min="16129" max="16129" width="23" style="210" customWidth="1"/>
    <col min="16130" max="16130" width="41.140625" style="210" customWidth="1"/>
    <col min="16131" max="16131" width="52.140625" style="210" bestFit="1" customWidth="1"/>
    <col min="16132" max="16132" width="17.28515625" style="210" bestFit="1" customWidth="1"/>
    <col min="16133" max="16133" width="21.28515625" style="210" customWidth="1"/>
    <col min="16134" max="16134" width="16.5703125" style="210" customWidth="1"/>
    <col min="16135" max="16135" width="19" style="210" customWidth="1"/>
    <col min="16136" max="16136" width="17.5703125" style="210" customWidth="1"/>
    <col min="16137" max="16137" width="15.5703125" style="210" bestFit="1" customWidth="1"/>
    <col min="16138" max="16138" width="13.5703125" style="210" customWidth="1"/>
    <col min="16139" max="16139" width="20.5703125" style="210" customWidth="1"/>
    <col min="16140" max="16140" width="12.42578125" style="210" bestFit="1" customWidth="1"/>
    <col min="16141" max="16384" width="9.140625" style="210"/>
  </cols>
  <sheetData>
    <row r="1" spans="2:7" x14ac:dyDescent="0.2">
      <c r="G1" s="211" t="s">
        <v>1031</v>
      </c>
    </row>
    <row r="2" spans="2:7" x14ac:dyDescent="0.2">
      <c r="B2" s="212" t="s">
        <v>1032</v>
      </c>
      <c r="C2" s="212"/>
      <c r="D2" s="212"/>
      <c r="E2" s="212"/>
      <c r="F2" s="212"/>
      <c r="G2" s="212"/>
    </row>
    <row r="3" spans="2:7" x14ac:dyDescent="0.2">
      <c r="B3" s="212" t="s">
        <v>1033</v>
      </c>
      <c r="C3" s="212"/>
      <c r="D3" s="212"/>
      <c r="E3" s="212"/>
      <c r="F3" s="212"/>
      <c r="G3" s="212"/>
    </row>
    <row r="4" spans="2:7" x14ac:dyDescent="0.2">
      <c r="B4" s="211"/>
      <c r="C4" s="211"/>
      <c r="D4" s="211"/>
      <c r="E4" s="211"/>
      <c r="F4" s="211"/>
      <c r="G4" s="211"/>
    </row>
    <row r="5" spans="2:7" x14ac:dyDescent="0.2">
      <c r="B5" s="212" t="s">
        <v>1034</v>
      </c>
      <c r="C5" s="212"/>
      <c r="D5" s="212"/>
      <c r="E5" s="212"/>
      <c r="F5" s="212"/>
      <c r="G5" s="212"/>
    </row>
    <row r="6" spans="2:7" x14ac:dyDescent="0.2">
      <c r="B6" s="211" t="s">
        <v>1035</v>
      </c>
    </row>
    <row r="8" spans="2:7" ht="25.5" x14ac:dyDescent="0.2">
      <c r="B8" s="213" t="s">
        <v>1036</v>
      </c>
      <c r="C8" s="213" t="s">
        <v>1037</v>
      </c>
      <c r="D8" s="213" t="s">
        <v>1038</v>
      </c>
      <c r="E8" s="214" t="s">
        <v>1039</v>
      </c>
      <c r="F8" s="214" t="s">
        <v>1040</v>
      </c>
      <c r="G8" s="214" t="s">
        <v>1041</v>
      </c>
    </row>
    <row r="9" spans="2:7" x14ac:dyDescent="0.2">
      <c r="B9" s="215" t="s">
        <v>694</v>
      </c>
      <c r="C9" s="216" t="s">
        <v>889</v>
      </c>
      <c r="D9" s="217" t="s">
        <v>1042</v>
      </c>
      <c r="E9" s="218">
        <v>727.11</v>
      </c>
      <c r="F9" s="218">
        <v>686.5</v>
      </c>
      <c r="G9" s="219">
        <v>82.350751200000005</v>
      </c>
    </row>
    <row r="10" spans="2:7" x14ac:dyDescent="0.2">
      <c r="B10" s="215" t="s">
        <v>694</v>
      </c>
      <c r="C10" s="220" t="s">
        <v>897</v>
      </c>
      <c r="D10" s="217" t="s">
        <v>1042</v>
      </c>
      <c r="E10" s="218">
        <v>5468.65</v>
      </c>
      <c r="F10" s="218">
        <v>5705.25</v>
      </c>
      <c r="G10" s="219">
        <v>76.853897400000008</v>
      </c>
    </row>
    <row r="11" spans="2:7" x14ac:dyDescent="0.2">
      <c r="B11" s="215" t="s">
        <v>694</v>
      </c>
      <c r="C11" s="220" t="s">
        <v>883</v>
      </c>
      <c r="D11" s="217" t="s">
        <v>1042</v>
      </c>
      <c r="E11" s="218">
        <v>135.88</v>
      </c>
      <c r="F11" s="218">
        <v>119.8</v>
      </c>
      <c r="G11" s="219">
        <v>52.222050000000003</v>
      </c>
    </row>
    <row r="12" spans="2:7" x14ac:dyDescent="0.2">
      <c r="B12" s="215" t="s">
        <v>694</v>
      </c>
      <c r="C12" s="220" t="s">
        <v>901</v>
      </c>
      <c r="D12" s="217" t="s">
        <v>1042</v>
      </c>
      <c r="E12" s="218">
        <v>700.51</v>
      </c>
      <c r="F12" s="218">
        <v>656.45</v>
      </c>
      <c r="G12" s="219">
        <v>149.73951299999999</v>
      </c>
    </row>
    <row r="13" spans="2:7" x14ac:dyDescent="0.2">
      <c r="B13" s="215" t="s">
        <v>694</v>
      </c>
      <c r="C13" s="220" t="s">
        <v>891</v>
      </c>
      <c r="D13" s="217" t="s">
        <v>1042</v>
      </c>
      <c r="E13" s="218">
        <v>17748.86</v>
      </c>
      <c r="F13" s="218">
        <v>17287.2</v>
      </c>
      <c r="G13" s="219">
        <v>67.054122000000007</v>
      </c>
    </row>
    <row r="14" spans="2:7" x14ac:dyDescent="0.2">
      <c r="B14" s="215" t="s">
        <v>694</v>
      </c>
      <c r="C14" s="220" t="s">
        <v>884</v>
      </c>
      <c r="D14" s="217" t="s">
        <v>1042</v>
      </c>
      <c r="E14" s="218">
        <v>742.41</v>
      </c>
      <c r="F14" s="218">
        <v>696.05</v>
      </c>
      <c r="G14" s="219">
        <v>42.137379199999998</v>
      </c>
    </row>
    <row r="15" spans="2:7" x14ac:dyDescent="0.2">
      <c r="B15" s="215" t="s">
        <v>694</v>
      </c>
      <c r="C15" s="220" t="s">
        <v>882</v>
      </c>
      <c r="D15" s="217" t="s">
        <v>1042</v>
      </c>
      <c r="E15" s="218">
        <v>216.65</v>
      </c>
      <c r="F15" s="218">
        <v>199.35</v>
      </c>
      <c r="G15" s="219">
        <v>36.603738</v>
      </c>
    </row>
    <row r="16" spans="2:7" x14ac:dyDescent="0.2">
      <c r="B16" s="215" t="s">
        <v>694</v>
      </c>
      <c r="C16" s="220" t="s">
        <v>881</v>
      </c>
      <c r="D16" s="217" t="s">
        <v>1042</v>
      </c>
      <c r="E16" s="218">
        <v>613.73</v>
      </c>
      <c r="F16" s="218">
        <v>596.9</v>
      </c>
      <c r="G16" s="219">
        <v>21.1003808</v>
      </c>
    </row>
    <row r="17" spans="2:7" x14ac:dyDescent="0.2">
      <c r="B17" s="215" t="s">
        <v>694</v>
      </c>
      <c r="C17" s="220" t="s">
        <v>887</v>
      </c>
      <c r="D17" s="217" t="s">
        <v>1042</v>
      </c>
      <c r="E17" s="218">
        <v>1164.22</v>
      </c>
      <c r="F17" s="218">
        <v>1142.8499999999999</v>
      </c>
      <c r="G17" s="219">
        <v>41.210362599999996</v>
      </c>
    </row>
    <row r="18" spans="2:7" x14ac:dyDescent="0.2">
      <c r="B18" s="215" t="s">
        <v>694</v>
      </c>
      <c r="C18" s="220" t="s">
        <v>886</v>
      </c>
      <c r="D18" s="217" t="s">
        <v>1042</v>
      </c>
      <c r="E18" s="218">
        <v>2545.46</v>
      </c>
      <c r="F18" s="218">
        <v>2520.5</v>
      </c>
      <c r="G18" s="219">
        <v>33.149149999999999</v>
      </c>
    </row>
    <row r="19" spans="2:7" x14ac:dyDescent="0.2">
      <c r="B19" s="215" t="s">
        <v>694</v>
      </c>
      <c r="C19" s="220" t="s">
        <v>890</v>
      </c>
      <c r="D19" s="217" t="s">
        <v>1042</v>
      </c>
      <c r="E19" s="218">
        <v>699.59</v>
      </c>
      <c r="F19" s="218">
        <v>681.55</v>
      </c>
      <c r="G19" s="219">
        <v>50.300003999999994</v>
      </c>
    </row>
    <row r="20" spans="2:7" x14ac:dyDescent="0.2">
      <c r="B20" s="215" t="s">
        <v>694</v>
      </c>
      <c r="C20" s="220" t="s">
        <v>893</v>
      </c>
      <c r="D20" s="217" t="s">
        <v>1042</v>
      </c>
      <c r="E20" s="218">
        <v>450.71</v>
      </c>
      <c r="F20" s="218">
        <v>413.7</v>
      </c>
      <c r="G20" s="219">
        <v>71.790291400000001</v>
      </c>
    </row>
    <row r="21" spans="2:7" x14ac:dyDescent="0.2">
      <c r="B21" s="215" t="s">
        <v>694</v>
      </c>
      <c r="C21" s="220" t="s">
        <v>895</v>
      </c>
      <c r="D21" s="217" t="s">
        <v>1042</v>
      </c>
      <c r="E21" s="218">
        <v>2393.4499999999998</v>
      </c>
      <c r="F21" s="218">
        <v>2326.0500000000002</v>
      </c>
      <c r="G21" s="219">
        <v>50.553217299999993</v>
      </c>
    </row>
    <row r="22" spans="2:7" x14ac:dyDescent="0.2">
      <c r="B22" s="215" t="s">
        <v>694</v>
      </c>
      <c r="C22" s="220" t="s">
        <v>885</v>
      </c>
      <c r="D22" s="217" t="s">
        <v>1042</v>
      </c>
      <c r="E22" s="218">
        <v>754.35</v>
      </c>
      <c r="F22" s="218">
        <v>715.85</v>
      </c>
      <c r="G22" s="219">
        <v>38.340827599999997</v>
      </c>
    </row>
    <row r="23" spans="2:7" x14ac:dyDescent="0.2">
      <c r="B23" s="221" t="s">
        <v>694</v>
      </c>
      <c r="C23" s="222" t="s">
        <v>894</v>
      </c>
      <c r="D23" s="217" t="s">
        <v>1042</v>
      </c>
      <c r="E23" s="218">
        <v>494.86</v>
      </c>
      <c r="F23" s="218">
        <v>484.7</v>
      </c>
      <c r="G23" s="219">
        <v>61.234075999999995</v>
      </c>
    </row>
    <row r="24" spans="2:7" x14ac:dyDescent="0.2">
      <c r="B24" s="215" t="s">
        <v>694</v>
      </c>
      <c r="C24" s="223" t="s">
        <v>896</v>
      </c>
      <c r="D24" s="217" t="s">
        <v>1042</v>
      </c>
      <c r="E24" s="218">
        <v>236.43</v>
      </c>
      <c r="F24" s="218">
        <v>222</v>
      </c>
      <c r="G24" s="219">
        <v>63.500799999999998</v>
      </c>
    </row>
    <row r="25" spans="2:7" x14ac:dyDescent="0.2">
      <c r="B25" s="215" t="s">
        <v>694</v>
      </c>
      <c r="C25" s="223" t="s">
        <v>898</v>
      </c>
      <c r="D25" s="217" t="s">
        <v>1042</v>
      </c>
      <c r="E25" s="218">
        <v>379.11</v>
      </c>
      <c r="F25" s="218">
        <v>344.75</v>
      </c>
      <c r="G25" s="219">
        <v>142.6398768</v>
      </c>
    </row>
    <row r="26" spans="2:7" x14ac:dyDescent="0.2">
      <c r="B26" s="215" t="s">
        <v>694</v>
      </c>
      <c r="C26" s="224" t="s">
        <v>876</v>
      </c>
      <c r="D26" s="217" t="s">
        <v>1042</v>
      </c>
      <c r="E26" s="218">
        <v>1861</v>
      </c>
      <c r="F26" s="218">
        <v>1769.9</v>
      </c>
      <c r="G26" s="219">
        <v>1.9468723999999999</v>
      </c>
    </row>
    <row r="27" spans="2:7" x14ac:dyDescent="0.2">
      <c r="B27" s="215" t="s">
        <v>694</v>
      </c>
      <c r="C27" s="224" t="s">
        <v>888</v>
      </c>
      <c r="D27" s="217" t="s">
        <v>1042</v>
      </c>
      <c r="E27" s="218">
        <v>408.41</v>
      </c>
      <c r="F27" s="218">
        <v>372.4</v>
      </c>
      <c r="G27" s="219">
        <v>59.193680000000001</v>
      </c>
    </row>
    <row r="28" spans="2:7" x14ac:dyDescent="0.2">
      <c r="B28" s="215" t="s">
        <v>694</v>
      </c>
      <c r="C28" s="224" t="s">
        <v>880</v>
      </c>
      <c r="D28" s="217" t="s">
        <v>1042</v>
      </c>
      <c r="E28" s="218">
        <v>40306.980000000003</v>
      </c>
      <c r="F28" s="218">
        <v>38543.949999999997</v>
      </c>
      <c r="G28" s="219">
        <v>25.393915</v>
      </c>
    </row>
    <row r="29" spans="2:7" x14ac:dyDescent="0.2">
      <c r="B29" s="215" t="s">
        <v>694</v>
      </c>
      <c r="C29" s="224" t="s">
        <v>879</v>
      </c>
      <c r="D29" s="217" t="s">
        <v>1042</v>
      </c>
      <c r="E29" s="218">
        <v>2364.71</v>
      </c>
      <c r="F29" s="218">
        <v>2215.5</v>
      </c>
      <c r="G29" s="219">
        <v>21.166726000000001</v>
      </c>
    </row>
    <row r="30" spans="2:7" x14ac:dyDescent="0.2">
      <c r="B30" s="215" t="s">
        <v>694</v>
      </c>
      <c r="C30" s="224" t="s">
        <v>900</v>
      </c>
      <c r="D30" s="217" t="s">
        <v>1042</v>
      </c>
      <c r="E30" s="218">
        <v>2381.64</v>
      </c>
      <c r="F30" s="218">
        <v>2412.5500000000002</v>
      </c>
      <c r="G30" s="219">
        <v>113.2453385</v>
      </c>
    </row>
    <row r="31" spans="2:7" x14ac:dyDescent="0.2">
      <c r="B31" s="215" t="s">
        <v>694</v>
      </c>
      <c r="C31" s="224" t="s">
        <v>899</v>
      </c>
      <c r="D31" s="217" t="s">
        <v>1042</v>
      </c>
      <c r="E31" s="218">
        <v>496.19</v>
      </c>
      <c r="F31" s="218">
        <v>461.7</v>
      </c>
      <c r="G31" s="219">
        <v>109.43741249999999</v>
      </c>
    </row>
    <row r="32" spans="2:7" x14ac:dyDescent="0.2">
      <c r="B32" s="215" t="s">
        <v>694</v>
      </c>
      <c r="C32" s="224" t="s">
        <v>892</v>
      </c>
      <c r="D32" s="217" t="s">
        <v>1042</v>
      </c>
      <c r="E32" s="218">
        <v>1031.3800000000001</v>
      </c>
      <c r="F32" s="218">
        <v>952.25</v>
      </c>
      <c r="G32" s="219">
        <v>50.03219</v>
      </c>
    </row>
    <row r="33" spans="2:8" x14ac:dyDescent="0.2">
      <c r="B33" s="215" t="s">
        <v>694</v>
      </c>
      <c r="C33" s="224" t="s">
        <v>875</v>
      </c>
      <c r="D33" s="217" t="s">
        <v>1042</v>
      </c>
      <c r="E33" s="218">
        <v>1156.6500000000001</v>
      </c>
      <c r="F33" s="218">
        <v>1162.0999999999999</v>
      </c>
      <c r="G33" s="219">
        <v>2.3906513</v>
      </c>
    </row>
    <row r="34" spans="2:8" x14ac:dyDescent="0.2">
      <c r="B34" s="215" t="s">
        <v>694</v>
      </c>
      <c r="C34" s="224" t="s">
        <v>878</v>
      </c>
      <c r="D34" s="217" t="s">
        <v>1042</v>
      </c>
      <c r="E34" s="218">
        <v>1199.3599999999999</v>
      </c>
      <c r="F34" s="218">
        <v>1075.0999999999999</v>
      </c>
      <c r="G34" s="219">
        <v>34.698266399999994</v>
      </c>
    </row>
    <row r="35" spans="2:8" x14ac:dyDescent="0.2">
      <c r="B35" s="215" t="s">
        <v>694</v>
      </c>
      <c r="C35" s="225" t="s">
        <v>877</v>
      </c>
      <c r="D35" s="217" t="s">
        <v>1042</v>
      </c>
      <c r="E35" s="218">
        <v>3524.4</v>
      </c>
      <c r="F35" s="218">
        <v>3541.55</v>
      </c>
      <c r="G35" s="219">
        <v>12.2422454</v>
      </c>
    </row>
    <row r="36" spans="2:8" x14ac:dyDescent="0.2">
      <c r="B36" s="215" t="s">
        <v>775</v>
      </c>
      <c r="C36" s="226" t="s">
        <v>889</v>
      </c>
      <c r="D36" s="217" t="s">
        <v>1042</v>
      </c>
      <c r="E36" s="218">
        <v>726.8</v>
      </c>
      <c r="F36" s="218">
        <v>686.5</v>
      </c>
      <c r="G36" s="219">
        <v>92.644595100000004</v>
      </c>
    </row>
    <row r="37" spans="2:8" x14ac:dyDescent="0.2">
      <c r="B37" s="215" t="s">
        <v>775</v>
      </c>
      <c r="C37" s="226" t="s">
        <v>883</v>
      </c>
      <c r="D37" s="217" t="s">
        <v>1042</v>
      </c>
      <c r="E37" s="218">
        <v>134.44999999999999</v>
      </c>
      <c r="F37" s="218">
        <v>119.8</v>
      </c>
      <c r="G37" s="219">
        <v>29.592495</v>
      </c>
    </row>
    <row r="38" spans="2:8" x14ac:dyDescent="0.2">
      <c r="B38" s="215" t="s">
        <v>775</v>
      </c>
      <c r="C38" s="226" t="s">
        <v>901</v>
      </c>
      <c r="D38" s="217" t="s">
        <v>1042</v>
      </c>
      <c r="E38" s="218">
        <v>692.36</v>
      </c>
      <c r="F38" s="218">
        <v>656.45</v>
      </c>
      <c r="G38" s="219">
        <v>110.84613299999999</v>
      </c>
    </row>
    <row r="39" spans="2:8" x14ac:dyDescent="0.2">
      <c r="B39" s="215" t="s">
        <v>775</v>
      </c>
      <c r="C39" s="226" t="s">
        <v>914</v>
      </c>
      <c r="D39" s="217" t="s">
        <v>1042</v>
      </c>
      <c r="E39" s="218">
        <v>3455.04</v>
      </c>
      <c r="F39" s="218">
        <v>3254.35</v>
      </c>
      <c r="G39" s="219">
        <v>85.085279999999997</v>
      </c>
    </row>
    <row r="40" spans="2:8" x14ac:dyDescent="0.2">
      <c r="B40" s="215" t="s">
        <v>775</v>
      </c>
      <c r="C40" s="226" t="s">
        <v>905</v>
      </c>
      <c r="D40" s="217" t="s">
        <v>1042</v>
      </c>
      <c r="E40" s="218">
        <v>6955.66</v>
      </c>
      <c r="F40" s="218">
        <v>7024</v>
      </c>
      <c r="G40" s="219">
        <v>30.547440000000002</v>
      </c>
      <c r="H40" s="227"/>
    </row>
    <row r="41" spans="2:8" ht="18" customHeight="1" x14ac:dyDescent="0.2">
      <c r="B41" s="215" t="s">
        <v>775</v>
      </c>
      <c r="C41" s="226" t="s">
        <v>919</v>
      </c>
      <c r="D41" s="217" t="s">
        <v>1042</v>
      </c>
      <c r="E41" s="218">
        <v>737.74</v>
      </c>
      <c r="F41" s="218">
        <v>731</v>
      </c>
      <c r="G41" s="219">
        <v>643.13354279999999</v>
      </c>
      <c r="H41" s="227"/>
    </row>
    <row r="42" spans="2:8" x14ac:dyDescent="0.2">
      <c r="B42" s="215" t="s">
        <v>775</v>
      </c>
      <c r="C42" s="226" t="s">
        <v>909</v>
      </c>
      <c r="D42" s="217" t="s">
        <v>1042</v>
      </c>
      <c r="E42" s="218">
        <v>4726.4399999999996</v>
      </c>
      <c r="F42" s="218">
        <v>4894.75</v>
      </c>
      <c r="G42" s="219">
        <v>47.368315000000003</v>
      </c>
      <c r="H42" s="227"/>
    </row>
    <row r="43" spans="2:8" x14ac:dyDescent="0.2">
      <c r="B43" s="215" t="s">
        <v>775</v>
      </c>
      <c r="C43" s="226" t="s">
        <v>910</v>
      </c>
      <c r="D43" s="217" t="s">
        <v>1042</v>
      </c>
      <c r="E43" s="218">
        <v>1799.66</v>
      </c>
      <c r="F43" s="218">
        <v>1668.8</v>
      </c>
      <c r="G43" s="219">
        <v>77.569361999999998</v>
      </c>
      <c r="H43" s="227"/>
    </row>
    <row r="44" spans="2:8" x14ac:dyDescent="0.2">
      <c r="B44" s="215" t="s">
        <v>775</v>
      </c>
      <c r="C44" s="226" t="s">
        <v>917</v>
      </c>
      <c r="D44" s="217" t="s">
        <v>1042</v>
      </c>
      <c r="E44" s="218">
        <v>2875.8</v>
      </c>
      <c r="F44" s="218">
        <v>2683.95</v>
      </c>
      <c r="G44" s="219">
        <v>449.16007680000001</v>
      </c>
      <c r="H44" s="227"/>
    </row>
    <row r="45" spans="2:8" x14ac:dyDescent="0.2">
      <c r="B45" s="215" t="s">
        <v>775</v>
      </c>
      <c r="C45" s="226" t="s">
        <v>886</v>
      </c>
      <c r="D45" s="217" t="s">
        <v>1042</v>
      </c>
      <c r="E45" s="218">
        <v>2540.2600000000002</v>
      </c>
      <c r="F45" s="218">
        <v>2520.5</v>
      </c>
      <c r="G45" s="219">
        <v>83.847849999999994</v>
      </c>
      <c r="H45" s="227"/>
    </row>
    <row r="46" spans="2:8" x14ac:dyDescent="0.2">
      <c r="B46" s="215" t="s">
        <v>775</v>
      </c>
      <c r="C46" s="226" t="s">
        <v>916</v>
      </c>
      <c r="D46" s="217" t="s">
        <v>1042</v>
      </c>
      <c r="E46" s="218">
        <v>1536.47</v>
      </c>
      <c r="F46" s="218">
        <v>1494.6</v>
      </c>
      <c r="G46" s="219">
        <v>199.45973849999999</v>
      </c>
      <c r="H46" s="227"/>
    </row>
    <row r="47" spans="2:8" x14ac:dyDescent="0.2">
      <c r="B47" s="215" t="s">
        <v>775</v>
      </c>
      <c r="C47" s="226" t="s">
        <v>890</v>
      </c>
      <c r="D47" s="217" t="s">
        <v>1042</v>
      </c>
      <c r="E47" s="218">
        <v>693.92</v>
      </c>
      <c r="F47" s="218">
        <v>681.55</v>
      </c>
      <c r="G47" s="228">
        <v>217.96668399999999</v>
      </c>
      <c r="H47" s="227"/>
    </row>
    <row r="48" spans="2:8" x14ac:dyDescent="0.2">
      <c r="B48" s="215" t="s">
        <v>775</v>
      </c>
      <c r="C48" s="226" t="s">
        <v>893</v>
      </c>
      <c r="D48" s="217" t="s">
        <v>1042</v>
      </c>
      <c r="E48" s="218">
        <v>445.35</v>
      </c>
      <c r="F48" s="218">
        <v>413.7</v>
      </c>
      <c r="G48" s="228">
        <v>265.25904280000003</v>
      </c>
      <c r="H48" s="227"/>
    </row>
    <row r="49" spans="2:8" x14ac:dyDescent="0.2">
      <c r="B49" s="215" t="s">
        <v>775</v>
      </c>
      <c r="C49" s="226" t="s">
        <v>895</v>
      </c>
      <c r="D49" s="217" t="s">
        <v>1042</v>
      </c>
      <c r="E49" s="218">
        <v>2385.2399999999998</v>
      </c>
      <c r="F49" s="218">
        <v>2326.0500000000002</v>
      </c>
      <c r="G49" s="228">
        <v>6.1650265000000006</v>
      </c>
      <c r="H49" s="227"/>
    </row>
    <row r="50" spans="2:8" x14ac:dyDescent="0.2">
      <c r="B50" s="215" t="s">
        <v>775</v>
      </c>
      <c r="C50" s="226" t="s">
        <v>885</v>
      </c>
      <c r="D50" s="217" t="s">
        <v>1042</v>
      </c>
      <c r="E50" s="218">
        <v>751.52</v>
      </c>
      <c r="F50" s="218">
        <v>715.85</v>
      </c>
      <c r="G50" s="228">
        <v>793.88066560000004</v>
      </c>
      <c r="H50" s="227"/>
    </row>
    <row r="51" spans="2:8" x14ac:dyDescent="0.2">
      <c r="B51" s="215" t="s">
        <v>775</v>
      </c>
      <c r="C51" s="226" t="s">
        <v>896</v>
      </c>
      <c r="D51" s="217" t="s">
        <v>1042</v>
      </c>
      <c r="E51" s="218">
        <v>231.92</v>
      </c>
      <c r="F51" s="218">
        <v>222</v>
      </c>
      <c r="G51" s="228">
        <v>15.488</v>
      </c>
      <c r="H51" s="229"/>
    </row>
    <row r="52" spans="2:8" x14ac:dyDescent="0.2">
      <c r="B52" s="215" t="s">
        <v>775</v>
      </c>
      <c r="C52" s="226" t="s">
        <v>876</v>
      </c>
      <c r="D52" s="217" t="s">
        <v>1042</v>
      </c>
      <c r="E52" s="218">
        <v>1861.49</v>
      </c>
      <c r="F52" s="218">
        <v>1769.9</v>
      </c>
      <c r="G52" s="228">
        <v>167.43102639999998</v>
      </c>
      <c r="H52" s="227"/>
    </row>
    <row r="53" spans="2:8" x14ac:dyDescent="0.2">
      <c r="B53" s="215" t="s">
        <v>775</v>
      </c>
      <c r="C53" s="226" t="s">
        <v>911</v>
      </c>
      <c r="D53" s="217" t="s">
        <v>1042</v>
      </c>
      <c r="E53" s="218">
        <v>887.27</v>
      </c>
      <c r="F53" s="218">
        <v>886.25</v>
      </c>
      <c r="G53" s="228">
        <v>78.018091799999993</v>
      </c>
      <c r="H53" s="230"/>
    </row>
    <row r="54" spans="2:8" x14ac:dyDescent="0.2">
      <c r="B54" s="215" t="s">
        <v>775</v>
      </c>
      <c r="C54" s="226" t="s">
        <v>906</v>
      </c>
      <c r="D54" s="217" t="s">
        <v>1042</v>
      </c>
      <c r="E54" s="218">
        <v>7899.51</v>
      </c>
      <c r="F54" s="218">
        <v>7090.3</v>
      </c>
      <c r="G54" s="228">
        <v>35.505309499999996</v>
      </c>
      <c r="H54" s="230"/>
    </row>
    <row r="55" spans="2:8" x14ac:dyDescent="0.2">
      <c r="B55" s="215" t="s">
        <v>775</v>
      </c>
      <c r="C55" s="226" t="s">
        <v>920</v>
      </c>
      <c r="D55" s="217" t="s">
        <v>1042</v>
      </c>
      <c r="E55" s="218">
        <v>925.18</v>
      </c>
      <c r="F55" s="218">
        <v>886.6</v>
      </c>
      <c r="G55" s="228">
        <v>545.10419999999999</v>
      </c>
      <c r="H55" s="230"/>
    </row>
    <row r="56" spans="2:8" x14ac:dyDescent="0.2">
      <c r="B56" s="215" t="s">
        <v>775</v>
      </c>
      <c r="C56" s="226" t="s">
        <v>902</v>
      </c>
      <c r="D56" s="217" t="s">
        <v>1042</v>
      </c>
      <c r="E56" s="218">
        <v>3289</v>
      </c>
      <c r="F56" s="218">
        <v>2904.65</v>
      </c>
      <c r="G56" s="228">
        <v>4.4968478000000003</v>
      </c>
      <c r="H56" s="230"/>
    </row>
    <row r="57" spans="2:8" x14ac:dyDescent="0.2">
      <c r="B57" s="215" t="s">
        <v>775</v>
      </c>
      <c r="C57" s="226" t="s">
        <v>921</v>
      </c>
      <c r="D57" s="217" t="s">
        <v>1042</v>
      </c>
      <c r="E57" s="218">
        <v>17456.52</v>
      </c>
      <c r="F57" s="218">
        <v>17033.599999999999</v>
      </c>
      <c r="G57" s="228">
        <v>708.74720000000002</v>
      </c>
      <c r="H57" s="230"/>
    </row>
    <row r="58" spans="2:8" x14ac:dyDescent="0.2">
      <c r="B58" s="215" t="s">
        <v>775</v>
      </c>
      <c r="C58" s="226" t="s">
        <v>903</v>
      </c>
      <c r="D58" s="217" t="s">
        <v>1042</v>
      </c>
      <c r="E58" s="218">
        <v>135.47999999999999</v>
      </c>
      <c r="F58" s="218">
        <v>132.55000000000001</v>
      </c>
      <c r="G58" s="228">
        <v>23.717498000000003</v>
      </c>
      <c r="H58" s="230"/>
    </row>
    <row r="59" spans="2:8" x14ac:dyDescent="0.2">
      <c r="B59" s="215" t="s">
        <v>775</v>
      </c>
      <c r="C59" s="226" t="s">
        <v>879</v>
      </c>
      <c r="D59" s="217" t="s">
        <v>1042</v>
      </c>
      <c r="E59" s="218">
        <v>2388.54</v>
      </c>
      <c r="F59" s="218">
        <v>2215.5</v>
      </c>
      <c r="G59" s="228">
        <v>226.48396819999999</v>
      </c>
      <c r="H59" s="230"/>
    </row>
    <row r="60" spans="2:8" x14ac:dyDescent="0.2">
      <c r="B60" s="215" t="s">
        <v>775</v>
      </c>
      <c r="C60" s="226" t="s">
        <v>912</v>
      </c>
      <c r="D60" s="217" t="s">
        <v>1042</v>
      </c>
      <c r="E60" s="218">
        <v>40.85</v>
      </c>
      <c r="F60" s="218">
        <v>37.299999999999997</v>
      </c>
      <c r="G60" s="228">
        <v>133.47855999999999</v>
      </c>
      <c r="H60" s="230"/>
    </row>
    <row r="61" spans="2:8" x14ac:dyDescent="0.2">
      <c r="B61" s="215" t="s">
        <v>775</v>
      </c>
      <c r="C61" s="226" t="s">
        <v>900</v>
      </c>
      <c r="D61" s="217" t="s">
        <v>1042</v>
      </c>
      <c r="E61" s="218">
        <v>2389.62</v>
      </c>
      <c r="F61" s="218">
        <v>2412.5500000000002</v>
      </c>
      <c r="G61" s="228">
        <v>413.01241100000004</v>
      </c>
      <c r="H61" s="230"/>
    </row>
    <row r="62" spans="2:8" x14ac:dyDescent="0.2">
      <c r="B62" s="215" t="s">
        <v>775</v>
      </c>
      <c r="C62" s="226" t="s">
        <v>899</v>
      </c>
      <c r="D62" s="217" t="s">
        <v>1042</v>
      </c>
      <c r="E62" s="218">
        <v>494.74</v>
      </c>
      <c r="F62" s="218">
        <v>461.7</v>
      </c>
      <c r="G62" s="228">
        <v>1133.2852049999999</v>
      </c>
      <c r="H62" s="230"/>
    </row>
    <row r="63" spans="2:8" x14ac:dyDescent="0.2">
      <c r="B63" s="215" t="s">
        <v>775</v>
      </c>
      <c r="C63" s="226" t="s">
        <v>875</v>
      </c>
      <c r="D63" s="217" t="s">
        <v>1042</v>
      </c>
      <c r="E63" s="218">
        <v>1157.67</v>
      </c>
      <c r="F63" s="218">
        <v>1162.0999999999999</v>
      </c>
      <c r="G63" s="228">
        <v>81.282144200000005</v>
      </c>
      <c r="H63" s="230"/>
    </row>
    <row r="64" spans="2:8" x14ac:dyDescent="0.2">
      <c r="B64" s="215" t="s">
        <v>775</v>
      </c>
      <c r="C64" s="226" t="s">
        <v>904</v>
      </c>
      <c r="D64" s="217" t="s">
        <v>1042</v>
      </c>
      <c r="E64" s="218">
        <v>753.84</v>
      </c>
      <c r="F64" s="218">
        <v>756.15</v>
      </c>
      <c r="G64" s="228">
        <v>25.354735999999995</v>
      </c>
      <c r="H64" s="230"/>
    </row>
    <row r="65" spans="2:8" x14ac:dyDescent="0.2">
      <c r="B65" s="215" t="s">
        <v>775</v>
      </c>
      <c r="C65" s="226" t="s">
        <v>908</v>
      </c>
      <c r="D65" s="217" t="s">
        <v>1042</v>
      </c>
      <c r="E65" s="218">
        <v>910.31</v>
      </c>
      <c r="F65" s="218">
        <v>873.35</v>
      </c>
      <c r="G65" s="228">
        <v>60.857230000000001</v>
      </c>
      <c r="H65" s="230"/>
    </row>
    <row r="66" spans="2:8" x14ac:dyDescent="0.2">
      <c r="B66" s="215" t="s">
        <v>775</v>
      </c>
      <c r="C66" s="226" t="s">
        <v>907</v>
      </c>
      <c r="D66" s="217" t="s">
        <v>1042</v>
      </c>
      <c r="E66" s="218">
        <v>820.18</v>
      </c>
      <c r="F66" s="218">
        <v>781.25</v>
      </c>
      <c r="G66" s="228">
        <v>47.021049900000001</v>
      </c>
      <c r="H66" s="230"/>
    </row>
    <row r="67" spans="2:8" x14ac:dyDescent="0.2">
      <c r="B67" s="215" t="s">
        <v>775</v>
      </c>
      <c r="C67" s="226" t="s">
        <v>913</v>
      </c>
      <c r="D67" s="217" t="s">
        <v>1042</v>
      </c>
      <c r="E67" s="218">
        <v>498.18</v>
      </c>
      <c r="F67" s="218">
        <v>460.3</v>
      </c>
      <c r="G67" s="228">
        <v>128.54984830000001</v>
      </c>
      <c r="H67" s="230"/>
    </row>
    <row r="68" spans="2:8" x14ac:dyDescent="0.2">
      <c r="B68" s="215" t="s">
        <v>775</v>
      </c>
      <c r="C68" s="226" t="s">
        <v>915</v>
      </c>
      <c r="D68" s="217" t="s">
        <v>1042</v>
      </c>
      <c r="E68" s="218">
        <v>236.76</v>
      </c>
      <c r="F68" s="218">
        <v>217.45</v>
      </c>
      <c r="G68" s="228">
        <v>217.48777999999999</v>
      </c>
      <c r="H68" s="230"/>
    </row>
    <row r="69" spans="2:8" x14ac:dyDescent="0.2">
      <c r="B69" s="215" t="s">
        <v>775</v>
      </c>
      <c r="C69" s="226" t="s">
        <v>878</v>
      </c>
      <c r="D69" s="217" t="s">
        <v>1042</v>
      </c>
      <c r="E69" s="218">
        <v>1116.46</v>
      </c>
      <c r="F69" s="218">
        <v>1075.0999999999999</v>
      </c>
      <c r="G69" s="228">
        <v>448.18594099999996</v>
      </c>
      <c r="H69" s="230"/>
    </row>
    <row r="70" spans="2:8" x14ac:dyDescent="0.2">
      <c r="B70" s="215" t="s">
        <v>775</v>
      </c>
      <c r="C70" s="226" t="s">
        <v>877</v>
      </c>
      <c r="D70" s="217" t="s">
        <v>1042</v>
      </c>
      <c r="E70" s="218">
        <v>3501.61</v>
      </c>
      <c r="F70" s="218">
        <v>3541.55</v>
      </c>
      <c r="G70" s="228">
        <v>231.48973120000002</v>
      </c>
      <c r="H70" s="230"/>
    </row>
    <row r="71" spans="2:8" x14ac:dyDescent="0.2">
      <c r="B71" s="215" t="s">
        <v>775</v>
      </c>
      <c r="C71" s="226" t="s">
        <v>918</v>
      </c>
      <c r="D71" s="217" t="s">
        <v>1042</v>
      </c>
      <c r="E71" s="218">
        <v>1568.98</v>
      </c>
      <c r="F71" s="218">
        <v>1547.8</v>
      </c>
      <c r="G71" s="228">
        <v>412.07741399999998</v>
      </c>
      <c r="H71" s="230"/>
    </row>
    <row r="72" spans="2:8" x14ac:dyDescent="0.2">
      <c r="B72" s="215" t="s">
        <v>712</v>
      </c>
      <c r="C72" s="225" t="s">
        <v>901</v>
      </c>
      <c r="D72" s="217" t="s">
        <v>1042</v>
      </c>
      <c r="E72" s="218">
        <v>691.46</v>
      </c>
      <c r="F72" s="218">
        <v>656.45</v>
      </c>
      <c r="G72" s="228">
        <v>56.395401</v>
      </c>
      <c r="H72" s="230"/>
    </row>
    <row r="73" spans="2:8" x14ac:dyDescent="0.2">
      <c r="B73" s="215" t="s">
        <v>712</v>
      </c>
      <c r="C73" s="225" t="s">
        <v>914</v>
      </c>
      <c r="D73" s="217" t="s">
        <v>1042</v>
      </c>
      <c r="E73" s="218">
        <v>3441.1</v>
      </c>
      <c r="F73" s="218">
        <v>3254.35</v>
      </c>
      <c r="G73" s="228">
        <v>13.613644799999999</v>
      </c>
      <c r="H73" s="230"/>
    </row>
    <row r="74" spans="2:8" x14ac:dyDescent="0.2">
      <c r="B74" s="215" t="s">
        <v>712</v>
      </c>
      <c r="C74" s="225" t="s">
        <v>919</v>
      </c>
      <c r="D74" s="217" t="s">
        <v>1042</v>
      </c>
      <c r="E74" s="218">
        <v>744.01</v>
      </c>
      <c r="F74" s="218">
        <v>731</v>
      </c>
      <c r="G74" s="219">
        <v>61.576615799999999</v>
      </c>
    </row>
    <row r="75" spans="2:8" x14ac:dyDescent="0.2">
      <c r="B75" s="215" t="s">
        <v>712</v>
      </c>
      <c r="C75" s="225" t="s">
        <v>925</v>
      </c>
      <c r="D75" s="217" t="s">
        <v>1042</v>
      </c>
      <c r="E75" s="218">
        <v>92.47</v>
      </c>
      <c r="F75" s="218">
        <v>86.85</v>
      </c>
      <c r="G75" s="219">
        <v>37.934624999999997</v>
      </c>
    </row>
    <row r="76" spans="2:8" x14ac:dyDescent="0.2">
      <c r="B76" s="215" t="s">
        <v>712</v>
      </c>
      <c r="C76" s="225" t="s">
        <v>917</v>
      </c>
      <c r="D76" s="217" t="s">
        <v>1042</v>
      </c>
      <c r="E76" s="218">
        <v>2921.16</v>
      </c>
      <c r="F76" s="218">
        <v>2683.95</v>
      </c>
      <c r="G76" s="219">
        <v>145.561136</v>
      </c>
    </row>
    <row r="77" spans="2:8" x14ac:dyDescent="0.2">
      <c r="B77" s="215" t="s">
        <v>712</v>
      </c>
      <c r="C77" s="225" t="s">
        <v>890</v>
      </c>
      <c r="D77" s="217" t="s">
        <v>1042</v>
      </c>
      <c r="E77" s="218">
        <v>694.12</v>
      </c>
      <c r="F77" s="218">
        <v>681.55</v>
      </c>
      <c r="G77" s="219">
        <v>18.443334799999999</v>
      </c>
    </row>
    <row r="78" spans="2:8" x14ac:dyDescent="0.2">
      <c r="B78" s="215" t="s">
        <v>712</v>
      </c>
      <c r="C78" s="225" t="s">
        <v>924</v>
      </c>
      <c r="D78" s="217" t="s">
        <v>1042</v>
      </c>
      <c r="E78" s="218">
        <v>2643.19</v>
      </c>
      <c r="F78" s="218">
        <v>2451.9</v>
      </c>
      <c r="G78" s="219">
        <v>10.819546500000001</v>
      </c>
    </row>
    <row r="79" spans="2:8" x14ac:dyDescent="0.2">
      <c r="B79" s="215" t="s">
        <v>712</v>
      </c>
      <c r="C79" s="225" t="s">
        <v>893</v>
      </c>
      <c r="D79" s="217" t="s">
        <v>1042</v>
      </c>
      <c r="E79" s="218">
        <v>450.07</v>
      </c>
      <c r="F79" s="218">
        <v>413.7</v>
      </c>
      <c r="G79" s="219">
        <v>12.167846000000001</v>
      </c>
    </row>
    <row r="80" spans="2:8" x14ac:dyDescent="0.2">
      <c r="B80" s="215" t="s">
        <v>712</v>
      </c>
      <c r="C80" s="225" t="s">
        <v>895</v>
      </c>
      <c r="D80" s="217" t="s">
        <v>1042</v>
      </c>
      <c r="E80" s="218">
        <v>2383.4699999999998</v>
      </c>
      <c r="F80" s="218">
        <v>2326.0500000000002</v>
      </c>
      <c r="G80" s="219">
        <v>175.08675260000001</v>
      </c>
    </row>
    <row r="81" spans="2:7" x14ac:dyDescent="0.2">
      <c r="B81" s="215" t="s">
        <v>712</v>
      </c>
      <c r="C81" s="225" t="s">
        <v>885</v>
      </c>
      <c r="D81" s="217" t="s">
        <v>1042</v>
      </c>
      <c r="E81" s="218">
        <v>748.71</v>
      </c>
      <c r="F81" s="218">
        <v>715.85</v>
      </c>
      <c r="G81" s="219">
        <v>76.681655199999994</v>
      </c>
    </row>
    <row r="82" spans="2:7" x14ac:dyDescent="0.2">
      <c r="B82" s="215" t="s">
        <v>712</v>
      </c>
      <c r="C82" s="225" t="s">
        <v>896</v>
      </c>
      <c r="D82" s="217" t="s">
        <v>1042</v>
      </c>
      <c r="E82" s="218">
        <v>234.71</v>
      </c>
      <c r="F82" s="218">
        <v>222</v>
      </c>
      <c r="G82" s="219">
        <v>61.951999999999998</v>
      </c>
    </row>
    <row r="83" spans="2:7" x14ac:dyDescent="0.2">
      <c r="B83" s="215" t="s">
        <v>712</v>
      </c>
      <c r="C83" s="225" t="s">
        <v>898</v>
      </c>
      <c r="D83" s="217" t="s">
        <v>1042</v>
      </c>
      <c r="E83" s="218">
        <v>376.46</v>
      </c>
      <c r="F83" s="218">
        <v>344.75</v>
      </c>
      <c r="G83" s="219">
        <v>95.093251200000012</v>
      </c>
    </row>
    <row r="84" spans="2:7" x14ac:dyDescent="0.2">
      <c r="B84" s="215" t="s">
        <v>712</v>
      </c>
      <c r="C84" s="225" t="s">
        <v>922</v>
      </c>
      <c r="D84" s="217" t="s">
        <v>1042</v>
      </c>
      <c r="E84" s="218">
        <v>1963.8</v>
      </c>
      <c r="F84" s="218">
        <v>1967.55</v>
      </c>
      <c r="G84" s="219">
        <v>8.938148</v>
      </c>
    </row>
    <row r="85" spans="2:7" x14ac:dyDescent="0.2">
      <c r="B85" s="215" t="s">
        <v>712</v>
      </c>
      <c r="C85" s="231" t="s">
        <v>876</v>
      </c>
      <c r="D85" s="217" t="s">
        <v>1042</v>
      </c>
      <c r="E85" s="218">
        <v>1860.09</v>
      </c>
      <c r="F85" s="218">
        <v>1769.9</v>
      </c>
      <c r="G85" s="219">
        <v>27.256213599999999</v>
      </c>
    </row>
    <row r="86" spans="2:7" x14ac:dyDescent="0.2">
      <c r="B86" s="215" t="s">
        <v>712</v>
      </c>
      <c r="C86" s="231" t="s">
        <v>888</v>
      </c>
      <c r="D86" s="217" t="s">
        <v>1042</v>
      </c>
      <c r="E86" s="218">
        <v>398.81</v>
      </c>
      <c r="F86" s="218">
        <v>372.4</v>
      </c>
      <c r="G86" s="219">
        <v>45.5336</v>
      </c>
    </row>
    <row r="87" spans="2:7" x14ac:dyDescent="0.2">
      <c r="B87" s="215" t="s">
        <v>712</v>
      </c>
      <c r="C87" s="231" t="s">
        <v>911</v>
      </c>
      <c r="D87" s="217" t="s">
        <v>1042</v>
      </c>
      <c r="E87" s="218">
        <v>885.14</v>
      </c>
      <c r="F87" s="218">
        <v>886.25</v>
      </c>
      <c r="G87" s="219">
        <v>34.859147400000005</v>
      </c>
    </row>
    <row r="88" spans="2:7" x14ac:dyDescent="0.2">
      <c r="B88" s="215" t="s">
        <v>712</v>
      </c>
      <c r="C88" s="231" t="s">
        <v>920</v>
      </c>
      <c r="D88" s="217" t="s">
        <v>1042</v>
      </c>
      <c r="E88" s="218">
        <v>930.58</v>
      </c>
      <c r="F88" s="218">
        <v>886.6</v>
      </c>
      <c r="G88" s="219">
        <v>72.68056</v>
      </c>
    </row>
    <row r="89" spans="2:7" x14ac:dyDescent="0.2">
      <c r="B89" s="215" t="s">
        <v>712</v>
      </c>
      <c r="C89" s="231" t="s">
        <v>923</v>
      </c>
      <c r="D89" s="217" t="s">
        <v>1042</v>
      </c>
      <c r="E89" s="218">
        <v>19286</v>
      </c>
      <c r="F89" s="218">
        <v>19226.5</v>
      </c>
      <c r="G89" s="219">
        <v>5.9442033000000007</v>
      </c>
    </row>
    <row r="90" spans="2:7" x14ac:dyDescent="0.2">
      <c r="B90" s="215" t="s">
        <v>712</v>
      </c>
      <c r="C90" s="231" t="s">
        <v>900</v>
      </c>
      <c r="D90" s="217" t="s">
        <v>1042</v>
      </c>
      <c r="E90" s="218">
        <v>2390.44</v>
      </c>
      <c r="F90" s="218">
        <v>2412.5500000000002</v>
      </c>
      <c r="G90" s="219">
        <v>53.291924000000002</v>
      </c>
    </row>
    <row r="91" spans="2:7" x14ac:dyDescent="0.2">
      <c r="B91" s="215" t="s">
        <v>712</v>
      </c>
      <c r="C91" s="231" t="s">
        <v>907</v>
      </c>
      <c r="D91" s="217" t="s">
        <v>1042</v>
      </c>
      <c r="E91" s="218">
        <v>826.3</v>
      </c>
      <c r="F91" s="218">
        <v>781.25</v>
      </c>
      <c r="G91" s="219">
        <v>66.969374099999996</v>
      </c>
    </row>
    <row r="92" spans="2:7" x14ac:dyDescent="0.2">
      <c r="B92" s="215" t="s">
        <v>712</v>
      </c>
      <c r="C92" s="223" t="s">
        <v>878</v>
      </c>
      <c r="D92" s="217" t="s">
        <v>1042</v>
      </c>
      <c r="E92" s="218">
        <v>1204.82</v>
      </c>
      <c r="F92" s="218">
        <v>1075.0999999999999</v>
      </c>
      <c r="G92" s="219">
        <v>28.915221999999996</v>
      </c>
    </row>
    <row r="93" spans="2:7" x14ac:dyDescent="0.2">
      <c r="B93" s="215" t="s">
        <v>712</v>
      </c>
      <c r="C93" s="223" t="s">
        <v>918</v>
      </c>
      <c r="D93" s="217" t="s">
        <v>1042</v>
      </c>
      <c r="E93" s="218">
        <v>1561.02</v>
      </c>
      <c r="F93" s="218">
        <v>1547.8</v>
      </c>
      <c r="G93" s="219">
        <v>121.79628</v>
      </c>
    </row>
    <row r="95" spans="2:7" x14ac:dyDescent="0.2">
      <c r="B95" s="211" t="s">
        <v>1043</v>
      </c>
    </row>
    <row r="97" spans="2:11" x14ac:dyDescent="0.2">
      <c r="B97" s="232" t="s">
        <v>1036</v>
      </c>
      <c r="C97" s="232" t="s">
        <v>1044</v>
      </c>
    </row>
    <row r="98" spans="2:11" x14ac:dyDescent="0.2">
      <c r="B98" s="215" t="s">
        <v>694</v>
      </c>
      <c r="C98" s="233">
        <v>68.97</v>
      </c>
    </row>
    <row r="99" spans="2:11" x14ac:dyDescent="0.2">
      <c r="B99" s="215" t="s">
        <v>775</v>
      </c>
      <c r="C99" s="234">
        <v>29.15</v>
      </c>
    </row>
    <row r="100" spans="2:11" x14ac:dyDescent="0.2">
      <c r="B100" s="235" t="s">
        <v>712</v>
      </c>
      <c r="C100" s="233">
        <v>33.24</v>
      </c>
    </row>
    <row r="102" spans="2:11" x14ac:dyDescent="0.2">
      <c r="B102" s="211" t="s">
        <v>1045</v>
      </c>
    </row>
    <row r="103" spans="2:11" x14ac:dyDescent="0.2">
      <c r="B103" s="211"/>
    </row>
    <row r="104" spans="2:11" ht="63.75" x14ac:dyDescent="0.2">
      <c r="B104" s="213" t="s">
        <v>1036</v>
      </c>
      <c r="C104" s="214" t="s">
        <v>1046</v>
      </c>
      <c r="D104" s="214" t="s">
        <v>1047</v>
      </c>
      <c r="E104" s="214" t="s">
        <v>1048</v>
      </c>
      <c r="F104" s="214" t="s">
        <v>1049</v>
      </c>
      <c r="G104" s="214" t="s">
        <v>1050</v>
      </c>
    </row>
    <row r="105" spans="2:11" ht="15" customHeight="1" x14ac:dyDescent="0.2">
      <c r="B105" s="235" t="s">
        <v>744</v>
      </c>
      <c r="C105" s="236">
        <v>500</v>
      </c>
      <c r="D105" s="236">
        <v>500</v>
      </c>
      <c r="E105" s="228">
        <v>3653.5999000000002</v>
      </c>
      <c r="F105" s="228">
        <v>3563.7611000000002</v>
      </c>
      <c r="G105" s="237">
        <v>-89.838799999999992</v>
      </c>
      <c r="H105" s="238"/>
      <c r="I105" s="239"/>
      <c r="J105" s="240"/>
    </row>
    <row r="106" spans="2:11" ht="15" customHeight="1" x14ac:dyDescent="0.2">
      <c r="B106" s="241" t="s">
        <v>495</v>
      </c>
      <c r="C106" s="242">
        <v>250</v>
      </c>
      <c r="D106" s="242">
        <v>250</v>
      </c>
      <c r="E106" s="243">
        <v>2557.9838</v>
      </c>
      <c r="F106" s="243">
        <v>2531.5156999999999</v>
      </c>
      <c r="G106" s="237">
        <v>-26.468100000000049</v>
      </c>
      <c r="H106" s="238"/>
      <c r="I106" s="239"/>
      <c r="J106" s="240"/>
    </row>
    <row r="107" spans="2:11" ht="15" customHeight="1" x14ac:dyDescent="0.2">
      <c r="B107" s="215" t="s">
        <v>694</v>
      </c>
      <c r="C107" s="236">
        <v>5614</v>
      </c>
      <c r="D107" s="236">
        <v>5562</v>
      </c>
      <c r="E107" s="228">
        <v>45598.672579999999</v>
      </c>
      <c r="F107" s="228">
        <v>44713.379445999999</v>
      </c>
      <c r="G107" s="237">
        <v>-920.77513399999953</v>
      </c>
      <c r="H107" s="238"/>
      <c r="I107" s="239"/>
      <c r="J107" s="240"/>
    </row>
    <row r="108" spans="2:11" ht="15" customHeight="1" x14ac:dyDescent="0.2">
      <c r="B108" s="215" t="s">
        <v>775</v>
      </c>
      <c r="C108" s="242">
        <v>26270</v>
      </c>
      <c r="D108" s="242">
        <v>25984</v>
      </c>
      <c r="E108" s="243">
        <v>226047.28439000002</v>
      </c>
      <c r="F108" s="243">
        <v>219564.84879999998</v>
      </c>
      <c r="G108" s="237">
        <v>-6472.6855900000373</v>
      </c>
      <c r="H108" s="238"/>
      <c r="I108" s="239"/>
      <c r="J108" s="239"/>
      <c r="K108" s="240"/>
    </row>
    <row r="109" spans="2:11" ht="15" customHeight="1" x14ac:dyDescent="0.2">
      <c r="B109" s="235" t="s">
        <v>700</v>
      </c>
      <c r="C109" s="236">
        <v>905</v>
      </c>
      <c r="D109" s="236">
        <v>905</v>
      </c>
      <c r="E109" s="228">
        <v>7234.5941000000003</v>
      </c>
      <c r="F109" s="228">
        <v>7175.4412000000002</v>
      </c>
      <c r="G109" s="237">
        <v>-59.152900000000045</v>
      </c>
      <c r="H109" s="238"/>
      <c r="I109" s="239"/>
      <c r="J109" s="240"/>
    </row>
    <row r="110" spans="2:11" x14ac:dyDescent="0.2">
      <c r="B110" s="215" t="s">
        <v>712</v>
      </c>
      <c r="C110" s="242">
        <v>4031</v>
      </c>
      <c r="D110" s="242">
        <v>4021</v>
      </c>
      <c r="E110" s="243">
        <v>33531.721599999997</v>
      </c>
      <c r="F110" s="243">
        <v>32804.798600000002</v>
      </c>
      <c r="G110" s="237">
        <v>-737.36299999999528</v>
      </c>
      <c r="H110" s="238"/>
      <c r="I110" s="244"/>
      <c r="J110" s="244"/>
    </row>
    <row r="111" spans="2:11" x14ac:dyDescent="0.2">
      <c r="B111" s="241" t="s">
        <v>559</v>
      </c>
      <c r="C111" s="242">
        <v>80</v>
      </c>
      <c r="D111" s="242">
        <v>80</v>
      </c>
      <c r="E111" s="243">
        <v>747.92399999999998</v>
      </c>
      <c r="F111" s="243">
        <v>747.24670600000013</v>
      </c>
      <c r="G111" s="237">
        <v>-0.67729399999984707</v>
      </c>
      <c r="H111" s="238"/>
      <c r="I111" s="239"/>
      <c r="J111" s="240"/>
    </row>
    <row r="112" spans="2:11" hidden="1" x14ac:dyDescent="0.2">
      <c r="B112" s="235" t="s">
        <v>777</v>
      </c>
      <c r="C112" s="242"/>
      <c r="D112" s="242"/>
      <c r="E112" s="243"/>
      <c r="F112" s="243"/>
      <c r="G112" s="237">
        <v>0</v>
      </c>
      <c r="H112" s="238"/>
      <c r="I112" s="239"/>
      <c r="J112" s="240"/>
    </row>
    <row r="113" spans="2:10" x14ac:dyDescent="0.2">
      <c r="B113" s="235" t="s">
        <v>305</v>
      </c>
      <c r="C113" s="236">
        <v>350</v>
      </c>
      <c r="D113" s="236">
        <v>350</v>
      </c>
      <c r="E113" s="228">
        <v>3787.0404105000002</v>
      </c>
      <c r="F113" s="228">
        <v>3217.9422599</v>
      </c>
      <c r="G113" s="237">
        <v>-569.09815060000028</v>
      </c>
      <c r="H113" s="238"/>
      <c r="I113" s="239"/>
      <c r="J113" s="240"/>
    </row>
    <row r="114" spans="2:10" ht="15" hidden="1" customHeight="1" x14ac:dyDescent="0.2">
      <c r="B114" s="235" t="str">
        <f>B160</f>
        <v>Sundaram Equity Fund</v>
      </c>
      <c r="C114" s="236"/>
      <c r="D114" s="236"/>
      <c r="E114" s="228"/>
      <c r="F114" s="228"/>
      <c r="G114" s="237">
        <f t="shared" ref="G114:G131" si="0">+F114-E114</f>
        <v>0</v>
      </c>
      <c r="H114" s="238"/>
      <c r="I114" s="239"/>
      <c r="J114" s="240"/>
    </row>
    <row r="115" spans="2:10" ht="15" hidden="1" customHeight="1" x14ac:dyDescent="0.2">
      <c r="B115" s="235" t="str">
        <f>B177</f>
        <v>Sundaram Small Cap Fund</v>
      </c>
      <c r="C115" s="236"/>
      <c r="D115" s="236"/>
      <c r="E115" s="228"/>
      <c r="F115" s="228"/>
      <c r="G115" s="237">
        <f t="shared" si="0"/>
        <v>0</v>
      </c>
      <c r="H115" s="238"/>
      <c r="I115" s="239"/>
      <c r="J115" s="240"/>
    </row>
    <row r="116" spans="2:10" ht="15" hidden="1" customHeight="1" x14ac:dyDescent="0.2">
      <c r="B116" s="215" t="s">
        <v>1051</v>
      </c>
      <c r="C116" s="242"/>
      <c r="D116" s="242"/>
      <c r="E116" s="243"/>
      <c r="F116" s="243"/>
      <c r="G116" s="237">
        <f t="shared" si="0"/>
        <v>0</v>
      </c>
      <c r="H116" s="238"/>
      <c r="I116" s="239"/>
      <c r="J116" s="240"/>
    </row>
    <row r="117" spans="2:10" ht="15" hidden="1" customHeight="1" x14ac:dyDescent="0.2">
      <c r="B117" s="215" t="s">
        <v>1052</v>
      </c>
      <c r="C117" s="242"/>
      <c r="D117" s="242"/>
      <c r="E117" s="243"/>
      <c r="F117" s="243"/>
      <c r="G117" s="237">
        <f t="shared" si="0"/>
        <v>0</v>
      </c>
      <c r="H117" s="238"/>
      <c r="I117" s="239"/>
      <c r="J117" s="240"/>
    </row>
    <row r="118" spans="2:10" ht="15" hidden="1" customHeight="1" x14ac:dyDescent="0.2">
      <c r="B118" s="215" t="s">
        <v>1053</v>
      </c>
      <c r="C118" s="242"/>
      <c r="D118" s="242"/>
      <c r="E118" s="243"/>
      <c r="F118" s="243"/>
      <c r="G118" s="237">
        <f t="shared" si="0"/>
        <v>0</v>
      </c>
      <c r="H118" s="238"/>
      <c r="I118" s="239"/>
      <c r="J118" s="240"/>
    </row>
    <row r="119" spans="2:10" ht="15" hidden="1" customHeight="1" x14ac:dyDescent="0.2">
      <c r="B119" s="215" t="s">
        <v>1054</v>
      </c>
      <c r="C119" s="242"/>
      <c r="D119" s="242"/>
      <c r="E119" s="243"/>
      <c r="F119" s="243"/>
      <c r="G119" s="237">
        <f t="shared" si="0"/>
        <v>0</v>
      </c>
      <c r="H119" s="238"/>
      <c r="I119" s="239"/>
      <c r="J119" s="240"/>
    </row>
    <row r="120" spans="2:10" ht="15" hidden="1" customHeight="1" x14ac:dyDescent="0.2">
      <c r="B120" s="215" t="s">
        <v>460</v>
      </c>
      <c r="C120" s="242"/>
      <c r="D120" s="242"/>
      <c r="E120" s="243"/>
      <c r="F120" s="243"/>
      <c r="G120" s="237">
        <f t="shared" si="0"/>
        <v>0</v>
      </c>
      <c r="H120" s="238"/>
      <c r="I120" s="239"/>
      <c r="J120" s="240"/>
    </row>
    <row r="121" spans="2:10" ht="15" hidden="1" customHeight="1" x14ac:dyDescent="0.2">
      <c r="B121" s="215" t="s">
        <v>475</v>
      </c>
      <c r="C121" s="242"/>
      <c r="D121" s="242"/>
      <c r="E121" s="243"/>
      <c r="F121" s="243"/>
      <c r="G121" s="237">
        <f t="shared" si="0"/>
        <v>0</v>
      </c>
      <c r="H121" s="238"/>
      <c r="I121" s="239"/>
      <c r="J121" s="240"/>
    </row>
    <row r="122" spans="2:10" ht="15" hidden="1" customHeight="1" x14ac:dyDescent="0.2">
      <c r="B122" s="215" t="s">
        <v>476</v>
      </c>
      <c r="C122" s="242"/>
      <c r="D122" s="242"/>
      <c r="E122" s="243"/>
      <c r="F122" s="243"/>
      <c r="G122" s="237">
        <f t="shared" si="0"/>
        <v>0</v>
      </c>
      <c r="H122" s="238"/>
      <c r="I122" s="239"/>
      <c r="J122" s="240"/>
    </row>
    <row r="123" spans="2:10" ht="15" hidden="1" customHeight="1" x14ac:dyDescent="0.2">
      <c r="B123" s="215" t="s">
        <v>479</v>
      </c>
      <c r="C123" s="242"/>
      <c r="D123" s="242"/>
      <c r="E123" s="243"/>
      <c r="F123" s="243"/>
      <c r="G123" s="237">
        <f t="shared" si="0"/>
        <v>0</v>
      </c>
      <c r="H123" s="238"/>
      <c r="I123" s="239"/>
      <c r="J123" s="240"/>
    </row>
    <row r="124" spans="2:10" ht="15" hidden="1" customHeight="1" x14ac:dyDescent="0.2">
      <c r="B124" s="215" t="s">
        <v>482</v>
      </c>
      <c r="C124" s="242"/>
      <c r="D124" s="242"/>
      <c r="E124" s="243"/>
      <c r="F124" s="243"/>
      <c r="G124" s="237">
        <f t="shared" si="0"/>
        <v>0</v>
      </c>
      <c r="H124" s="238"/>
      <c r="I124" s="239"/>
      <c r="J124" s="240"/>
    </row>
    <row r="125" spans="2:10" ht="15" hidden="1" customHeight="1" x14ac:dyDescent="0.2">
      <c r="B125" s="215" t="s">
        <v>480</v>
      </c>
      <c r="C125" s="242"/>
      <c r="D125" s="242"/>
      <c r="E125" s="243"/>
      <c r="F125" s="243"/>
      <c r="G125" s="237">
        <f t="shared" si="0"/>
        <v>0</v>
      </c>
      <c r="H125" s="238"/>
      <c r="I125" s="239"/>
      <c r="J125" s="240"/>
    </row>
    <row r="126" spans="2:10" ht="15" hidden="1" customHeight="1" x14ac:dyDescent="0.2">
      <c r="B126" s="215" t="s">
        <v>481</v>
      </c>
      <c r="C126" s="242"/>
      <c r="D126" s="242"/>
      <c r="E126" s="243"/>
      <c r="F126" s="243"/>
      <c r="G126" s="237">
        <f t="shared" si="0"/>
        <v>0</v>
      </c>
      <c r="H126" s="238"/>
      <c r="I126" s="239"/>
      <c r="J126" s="240"/>
    </row>
    <row r="127" spans="2:10" ht="15" hidden="1" customHeight="1" x14ac:dyDescent="0.2">
      <c r="B127" s="215" t="s">
        <v>300</v>
      </c>
      <c r="C127" s="242"/>
      <c r="D127" s="242"/>
      <c r="E127" s="243"/>
      <c r="F127" s="243"/>
      <c r="G127" s="237">
        <f t="shared" si="0"/>
        <v>0</v>
      </c>
      <c r="H127" s="238"/>
      <c r="I127" s="239"/>
      <c r="J127" s="240"/>
    </row>
    <row r="128" spans="2:10" ht="15" hidden="1" customHeight="1" x14ac:dyDescent="0.2">
      <c r="B128" s="215" t="s">
        <v>297</v>
      </c>
      <c r="C128" s="242"/>
      <c r="D128" s="242"/>
      <c r="E128" s="243"/>
      <c r="F128" s="243"/>
      <c r="G128" s="237">
        <f t="shared" si="0"/>
        <v>0</v>
      </c>
      <c r="H128" s="238"/>
      <c r="I128" s="239"/>
      <c r="J128" s="240"/>
    </row>
    <row r="129" spans="2:12" ht="15" hidden="1" customHeight="1" x14ac:dyDescent="0.2">
      <c r="B129" s="215" t="s">
        <v>141</v>
      </c>
      <c r="C129" s="242"/>
      <c r="D129" s="242"/>
      <c r="E129" s="243"/>
      <c r="F129" s="243"/>
      <c r="G129" s="237">
        <f t="shared" si="0"/>
        <v>0</v>
      </c>
      <c r="H129" s="238"/>
      <c r="I129" s="239"/>
      <c r="J129" s="240"/>
    </row>
    <row r="130" spans="2:12" ht="15" hidden="1" customHeight="1" x14ac:dyDescent="0.2">
      <c r="B130" s="215" t="s">
        <v>282</v>
      </c>
      <c r="C130" s="242"/>
      <c r="D130" s="242"/>
      <c r="E130" s="243"/>
      <c r="F130" s="243"/>
      <c r="G130" s="237">
        <f t="shared" si="0"/>
        <v>0</v>
      </c>
      <c r="H130" s="238"/>
      <c r="I130" s="239"/>
      <c r="J130" s="240"/>
    </row>
    <row r="131" spans="2:12" ht="15" hidden="1" customHeight="1" x14ac:dyDescent="0.2">
      <c r="B131" s="215" t="s">
        <v>1055</v>
      </c>
      <c r="C131" s="242"/>
      <c r="D131" s="242"/>
      <c r="E131" s="243"/>
      <c r="F131" s="243"/>
      <c r="G131" s="237">
        <f t="shared" si="0"/>
        <v>0</v>
      </c>
      <c r="H131" s="238"/>
      <c r="I131" s="239"/>
      <c r="J131" s="240"/>
    </row>
    <row r="132" spans="2:12" ht="15" customHeight="1" x14ac:dyDescent="0.2">
      <c r="H132" s="238"/>
      <c r="I132" s="239"/>
      <c r="J132" s="240"/>
    </row>
    <row r="133" spans="2:12" ht="15" customHeight="1" x14ac:dyDescent="0.2">
      <c r="E133" s="240"/>
      <c r="F133" s="240"/>
      <c r="H133" s="238"/>
      <c r="I133" s="239"/>
      <c r="J133" s="240"/>
    </row>
    <row r="134" spans="2:12" x14ac:dyDescent="0.2">
      <c r="B134" s="211" t="s">
        <v>1056</v>
      </c>
      <c r="F134" s="240"/>
      <c r="G134" s="239"/>
      <c r="H134" s="238"/>
      <c r="I134" s="239"/>
      <c r="L134" s="238"/>
    </row>
    <row r="135" spans="2:12" x14ac:dyDescent="0.2">
      <c r="H135" s="245"/>
      <c r="L135" s="239"/>
    </row>
    <row r="136" spans="2:12" ht="63.75" x14ac:dyDescent="0.2">
      <c r="B136" s="213" t="s">
        <v>1036</v>
      </c>
      <c r="C136" s="213" t="s">
        <v>1037</v>
      </c>
      <c r="D136" s="213" t="s">
        <v>1038</v>
      </c>
      <c r="E136" s="214" t="s">
        <v>1039</v>
      </c>
      <c r="F136" s="214" t="s">
        <v>1040</v>
      </c>
      <c r="G136" s="214" t="s">
        <v>1057</v>
      </c>
    </row>
    <row r="137" spans="2:12" x14ac:dyDescent="0.2">
      <c r="B137" s="265" t="s">
        <v>1068</v>
      </c>
      <c r="C137" s="265" t="s">
        <v>1068</v>
      </c>
      <c r="D137" s="265" t="s">
        <v>1068</v>
      </c>
      <c r="E137" s="265" t="s">
        <v>1068</v>
      </c>
      <c r="F137" s="265" t="s">
        <v>1068</v>
      </c>
      <c r="G137" s="265" t="s">
        <v>1068</v>
      </c>
    </row>
    <row r="138" spans="2:12" x14ac:dyDescent="0.2">
      <c r="D138" s="246"/>
      <c r="E138" s="247"/>
      <c r="F138" s="247"/>
      <c r="G138" s="247"/>
      <c r="I138" s="239"/>
    </row>
    <row r="139" spans="2:12" x14ac:dyDescent="0.2">
      <c r="C139" s="248"/>
      <c r="D139" s="249"/>
      <c r="E139" s="250"/>
      <c r="F139" s="251"/>
      <c r="G139" s="251"/>
      <c r="I139" s="239"/>
    </row>
    <row r="140" spans="2:12" x14ac:dyDescent="0.2">
      <c r="B140" s="211" t="s">
        <v>1058</v>
      </c>
      <c r="I140" s="239"/>
    </row>
    <row r="141" spans="2:12" x14ac:dyDescent="0.2">
      <c r="I141" s="239"/>
      <c r="L141" s="240"/>
    </row>
    <row r="142" spans="2:12" x14ac:dyDescent="0.2">
      <c r="B142" s="232" t="s">
        <v>1036</v>
      </c>
      <c r="C142" s="232" t="s">
        <v>1044</v>
      </c>
    </row>
    <row r="143" spans="2:12" x14ac:dyDescent="0.2">
      <c r="B143" s="265" t="s">
        <v>1068</v>
      </c>
      <c r="C143" s="265" t="s">
        <v>1068</v>
      </c>
    </row>
    <row r="144" spans="2:12" x14ac:dyDescent="0.2">
      <c r="B144" s="216"/>
      <c r="C144" s="252"/>
    </row>
    <row r="145" spans="2:9" x14ac:dyDescent="0.2">
      <c r="B145" s="211" t="s">
        <v>1059</v>
      </c>
    </row>
    <row r="146" spans="2:9" x14ac:dyDescent="0.2">
      <c r="B146" s="211"/>
    </row>
    <row r="147" spans="2:9" ht="63.75" x14ac:dyDescent="0.2">
      <c r="B147" s="213" t="s">
        <v>1036</v>
      </c>
      <c r="C147" s="214" t="s">
        <v>1046</v>
      </c>
      <c r="D147" s="214" t="s">
        <v>1047</v>
      </c>
      <c r="E147" s="214" t="s">
        <v>1048</v>
      </c>
      <c r="F147" s="214" t="s">
        <v>1060</v>
      </c>
      <c r="G147" s="214" t="s">
        <v>1061</v>
      </c>
    </row>
    <row r="148" spans="2:9" ht="15" customHeight="1" x14ac:dyDescent="0.2">
      <c r="B148" s="215" t="s">
        <v>1</v>
      </c>
      <c r="C148" s="242">
        <v>186</v>
      </c>
      <c r="D148" s="242">
        <v>186</v>
      </c>
      <c r="E148" s="243">
        <v>1514.4937</v>
      </c>
      <c r="F148" s="243">
        <v>1546.2087999999999</v>
      </c>
      <c r="G148" s="253">
        <v>31.715099999999893</v>
      </c>
      <c r="H148" s="238"/>
      <c r="I148" s="239"/>
    </row>
    <row r="149" spans="2:9" x14ac:dyDescent="0.2">
      <c r="B149" s="235" t="s">
        <v>1062</v>
      </c>
      <c r="C149" s="234">
        <v>550</v>
      </c>
      <c r="D149" s="234">
        <v>550</v>
      </c>
      <c r="E149" s="254">
        <v>4857.6000000000004</v>
      </c>
      <c r="F149" s="254">
        <v>4759.2</v>
      </c>
      <c r="G149" s="253">
        <v>-98.400000000000546</v>
      </c>
    </row>
    <row r="150" spans="2:9" hidden="1" x14ac:dyDescent="0.2">
      <c r="B150" s="235" t="s">
        <v>495</v>
      </c>
      <c r="C150" s="234"/>
      <c r="D150" s="234"/>
      <c r="E150" s="254"/>
      <c r="F150" s="254"/>
      <c r="G150" s="253">
        <v>0</v>
      </c>
    </row>
    <row r="151" spans="2:9" ht="15" hidden="1" customHeight="1" x14ac:dyDescent="0.2">
      <c r="B151" s="215" t="s">
        <v>694</v>
      </c>
      <c r="C151" s="255"/>
      <c r="D151" s="255"/>
      <c r="E151" s="254"/>
      <c r="F151" s="254"/>
      <c r="G151" s="253">
        <v>0</v>
      </c>
      <c r="H151" s="256"/>
      <c r="I151" s="257"/>
    </row>
    <row r="152" spans="2:9" x14ac:dyDescent="0.2">
      <c r="B152" s="215" t="s">
        <v>775</v>
      </c>
      <c r="C152" s="255">
        <v>1112</v>
      </c>
      <c r="D152" s="255">
        <v>1112</v>
      </c>
      <c r="E152" s="254">
        <v>9526.4601000000002</v>
      </c>
      <c r="F152" s="254">
        <v>9489.619200000001</v>
      </c>
      <c r="G152" s="253">
        <v>-36.840899999999237</v>
      </c>
      <c r="H152" s="256"/>
      <c r="I152" s="239"/>
    </row>
    <row r="153" spans="2:9" x14ac:dyDescent="0.2">
      <c r="B153" s="235" t="s">
        <v>744</v>
      </c>
      <c r="C153" s="255">
        <v>810</v>
      </c>
      <c r="D153" s="255">
        <v>810</v>
      </c>
      <c r="E153" s="254">
        <v>6136.0822131999994</v>
      </c>
      <c r="F153" s="254">
        <v>5953.1981343999996</v>
      </c>
      <c r="G153" s="253">
        <v>-182.88407879999977</v>
      </c>
      <c r="H153" s="256"/>
      <c r="I153" s="239"/>
    </row>
    <row r="154" spans="2:9" x14ac:dyDescent="0.2">
      <c r="B154" s="241" t="s">
        <v>495</v>
      </c>
      <c r="C154" s="234">
        <v>250</v>
      </c>
      <c r="D154" s="234">
        <v>250</v>
      </c>
      <c r="E154" s="254">
        <v>1517.3780769</v>
      </c>
      <c r="F154" s="254">
        <v>1594.5</v>
      </c>
      <c r="G154" s="253">
        <v>77.121923100000004</v>
      </c>
    </row>
    <row r="155" spans="2:9" s="211" customFormat="1" x14ac:dyDescent="0.2">
      <c r="B155" s="241" t="s">
        <v>559</v>
      </c>
      <c r="C155" s="242">
        <v>50</v>
      </c>
      <c r="D155" s="242">
        <v>50</v>
      </c>
      <c r="E155" s="243">
        <v>495.94999039999999</v>
      </c>
      <c r="F155" s="243">
        <v>530.76250000000005</v>
      </c>
      <c r="G155" s="253">
        <v>34.812509600000055</v>
      </c>
      <c r="H155" s="256"/>
      <c r="I155" s="258"/>
    </row>
    <row r="156" spans="2:9" x14ac:dyDescent="0.2">
      <c r="B156" s="235" t="s">
        <v>777</v>
      </c>
      <c r="C156" s="234">
        <v>1900</v>
      </c>
      <c r="D156" s="234">
        <v>1900</v>
      </c>
      <c r="E156" s="254">
        <v>13774.224144200001</v>
      </c>
      <c r="F156" s="254">
        <v>14108.313395899999</v>
      </c>
      <c r="G156" s="253">
        <v>334.08925169999748</v>
      </c>
      <c r="H156" s="259"/>
    </row>
    <row r="157" spans="2:9" x14ac:dyDescent="0.2">
      <c r="B157" s="241" t="s">
        <v>700</v>
      </c>
      <c r="C157" s="255">
        <v>1170</v>
      </c>
      <c r="D157" s="255">
        <v>1170</v>
      </c>
      <c r="E157" s="254">
        <v>10213.3745036</v>
      </c>
      <c r="F157" s="254">
        <v>10097.7222</v>
      </c>
      <c r="G157" s="253">
        <v>-115.65230359999987</v>
      </c>
      <c r="H157" s="256"/>
      <c r="I157" s="259"/>
    </row>
    <row r="158" spans="2:9" x14ac:dyDescent="0.2">
      <c r="B158" s="260" t="s">
        <v>582</v>
      </c>
      <c r="C158" s="255">
        <v>520</v>
      </c>
      <c r="D158" s="255">
        <v>520</v>
      </c>
      <c r="E158" s="254">
        <v>4906.7087700000002</v>
      </c>
      <c r="F158" s="254">
        <v>4985.5249999999996</v>
      </c>
      <c r="G158" s="253">
        <v>78.81622999999945</v>
      </c>
      <c r="H158" s="256"/>
    </row>
    <row r="159" spans="2:9" hidden="1" x14ac:dyDescent="0.2">
      <c r="B159" s="235" t="s">
        <v>777</v>
      </c>
      <c r="C159" s="255"/>
      <c r="D159" s="255"/>
      <c r="E159" s="254"/>
      <c r="F159" s="254"/>
      <c r="G159" s="253">
        <v>0</v>
      </c>
      <c r="H159" s="256"/>
      <c r="I159" s="239"/>
    </row>
    <row r="160" spans="2:9" s="211" customFormat="1" x14ac:dyDescent="0.2">
      <c r="B160" s="215" t="s">
        <v>701</v>
      </c>
      <c r="C160" s="242">
        <v>808</v>
      </c>
      <c r="D160" s="242">
        <v>808</v>
      </c>
      <c r="E160" s="243">
        <v>6441.5020000000004</v>
      </c>
      <c r="F160" s="243">
        <v>6415.01</v>
      </c>
      <c r="G160" s="253">
        <v>-26.492000000000189</v>
      </c>
      <c r="H160" s="256"/>
      <c r="I160" s="258"/>
    </row>
    <row r="161" spans="2:9" s="211" customFormat="1" hidden="1" x14ac:dyDescent="0.2">
      <c r="B161" s="215" t="s">
        <v>723</v>
      </c>
      <c r="C161" s="242"/>
      <c r="D161" s="242"/>
      <c r="E161" s="243"/>
      <c r="F161" s="243"/>
      <c r="G161" s="253">
        <f t="shared" ref="G161:G177" si="1">+F161-E161</f>
        <v>0</v>
      </c>
      <c r="H161" s="256"/>
      <c r="I161" s="258"/>
    </row>
    <row r="162" spans="2:9" hidden="1" x14ac:dyDescent="0.2">
      <c r="B162" s="215" t="s">
        <v>481</v>
      </c>
      <c r="C162" s="242"/>
      <c r="D162" s="242"/>
      <c r="E162" s="243"/>
      <c r="F162" s="243"/>
      <c r="G162" s="253">
        <f t="shared" si="1"/>
        <v>0</v>
      </c>
      <c r="H162" s="238"/>
      <c r="I162" s="239"/>
    </row>
    <row r="163" spans="2:9" hidden="1" x14ac:dyDescent="0.2">
      <c r="B163" s="215" t="s">
        <v>480</v>
      </c>
      <c r="C163" s="242"/>
      <c r="D163" s="242"/>
      <c r="E163" s="243"/>
      <c r="F163" s="243"/>
      <c r="G163" s="253">
        <f t="shared" si="1"/>
        <v>0</v>
      </c>
      <c r="H163" s="238"/>
      <c r="I163" s="239"/>
    </row>
    <row r="164" spans="2:9" hidden="1" x14ac:dyDescent="0.2">
      <c r="B164" s="215" t="s">
        <v>479</v>
      </c>
      <c r="C164" s="242"/>
      <c r="D164" s="242"/>
      <c r="E164" s="243"/>
      <c r="F164" s="243"/>
      <c r="G164" s="253">
        <f t="shared" si="1"/>
        <v>0</v>
      </c>
      <c r="H164" s="238"/>
      <c r="I164" s="239"/>
    </row>
    <row r="165" spans="2:9" hidden="1" x14ac:dyDescent="0.2">
      <c r="B165" s="215" t="s">
        <v>476</v>
      </c>
      <c r="C165" s="242"/>
      <c r="D165" s="242"/>
      <c r="E165" s="243"/>
      <c r="F165" s="243"/>
      <c r="G165" s="253">
        <f t="shared" si="1"/>
        <v>0</v>
      </c>
      <c r="H165" s="238"/>
      <c r="I165" s="239"/>
    </row>
    <row r="166" spans="2:9" hidden="1" x14ac:dyDescent="0.2">
      <c r="B166" s="215" t="s">
        <v>475</v>
      </c>
      <c r="C166" s="242"/>
      <c r="D166" s="242"/>
      <c r="E166" s="243"/>
      <c r="F166" s="243"/>
      <c r="G166" s="253">
        <f t="shared" si="1"/>
        <v>0</v>
      </c>
      <c r="H166" s="238"/>
      <c r="I166" s="239"/>
    </row>
    <row r="167" spans="2:9" hidden="1" x14ac:dyDescent="0.2">
      <c r="B167" s="215" t="s">
        <v>460</v>
      </c>
      <c r="C167" s="242"/>
      <c r="D167" s="242"/>
      <c r="E167" s="243"/>
      <c r="F167" s="243"/>
      <c r="G167" s="253">
        <f t="shared" si="1"/>
        <v>0</v>
      </c>
      <c r="H167" s="238"/>
      <c r="I167" s="239"/>
    </row>
    <row r="168" spans="2:9" hidden="1" x14ac:dyDescent="0.2">
      <c r="B168" s="215" t="s">
        <v>409</v>
      </c>
      <c r="C168" s="242"/>
      <c r="D168" s="242"/>
      <c r="E168" s="243"/>
      <c r="F168" s="243"/>
      <c r="G168" s="253">
        <f t="shared" si="1"/>
        <v>0</v>
      </c>
      <c r="H168" s="238"/>
      <c r="I168" s="239"/>
    </row>
    <row r="169" spans="2:9" hidden="1" x14ac:dyDescent="0.2">
      <c r="B169" s="215" t="s">
        <v>742</v>
      </c>
      <c r="C169" s="242"/>
      <c r="D169" s="242"/>
      <c r="E169" s="243"/>
      <c r="F169" s="243"/>
      <c r="G169" s="253">
        <f t="shared" si="1"/>
        <v>0</v>
      </c>
      <c r="H169" s="238"/>
      <c r="I169" s="239"/>
    </row>
    <row r="170" spans="2:9" hidden="1" x14ac:dyDescent="0.2">
      <c r="B170" s="215" t="s">
        <v>1052</v>
      </c>
      <c r="C170" s="242"/>
      <c r="D170" s="242"/>
      <c r="E170" s="243"/>
      <c r="F170" s="243"/>
      <c r="G170" s="253">
        <f t="shared" si="1"/>
        <v>0</v>
      </c>
      <c r="H170" s="238"/>
      <c r="I170" s="239"/>
    </row>
    <row r="171" spans="2:9" hidden="1" x14ac:dyDescent="0.2">
      <c r="B171" s="215" t="s">
        <v>1051</v>
      </c>
      <c r="C171" s="242"/>
      <c r="D171" s="242"/>
      <c r="E171" s="243"/>
      <c r="F171" s="243"/>
      <c r="G171" s="253">
        <f t="shared" si="1"/>
        <v>0</v>
      </c>
      <c r="H171" s="238"/>
      <c r="I171" s="239"/>
    </row>
    <row r="172" spans="2:9" hidden="1" x14ac:dyDescent="0.2">
      <c r="B172" s="215" t="s">
        <v>300</v>
      </c>
      <c r="C172" s="242"/>
      <c r="D172" s="242"/>
      <c r="E172" s="243"/>
      <c r="F172" s="243"/>
      <c r="G172" s="253">
        <f t="shared" si="1"/>
        <v>0</v>
      </c>
      <c r="H172" s="238"/>
      <c r="I172" s="239"/>
    </row>
    <row r="173" spans="2:9" hidden="1" x14ac:dyDescent="0.2">
      <c r="B173" s="215" t="s">
        <v>297</v>
      </c>
      <c r="C173" s="242"/>
      <c r="D173" s="242"/>
      <c r="E173" s="243"/>
      <c r="F173" s="243"/>
      <c r="G173" s="253">
        <f t="shared" si="1"/>
        <v>0</v>
      </c>
      <c r="H173" s="238"/>
      <c r="I173" s="239"/>
    </row>
    <row r="174" spans="2:9" hidden="1" x14ac:dyDescent="0.2">
      <c r="B174" s="215" t="s">
        <v>1053</v>
      </c>
      <c r="C174" s="242"/>
      <c r="D174" s="242"/>
      <c r="E174" s="243"/>
      <c r="F174" s="243"/>
      <c r="G174" s="253">
        <f t="shared" si="1"/>
        <v>0</v>
      </c>
      <c r="H174" s="238"/>
      <c r="I174" s="239"/>
    </row>
    <row r="175" spans="2:9" hidden="1" x14ac:dyDescent="0.2">
      <c r="B175" s="215" t="s">
        <v>1054</v>
      </c>
      <c r="C175" s="242"/>
      <c r="D175" s="242"/>
      <c r="E175" s="243"/>
      <c r="F175" s="243"/>
      <c r="G175" s="253">
        <f t="shared" si="1"/>
        <v>0</v>
      </c>
      <c r="H175" s="238"/>
      <c r="I175" s="239"/>
    </row>
    <row r="176" spans="2:9" hidden="1" x14ac:dyDescent="0.2">
      <c r="B176" s="215" t="s">
        <v>1055</v>
      </c>
      <c r="C176" s="242"/>
      <c r="D176" s="242"/>
      <c r="E176" s="243"/>
      <c r="F176" s="243"/>
      <c r="G176" s="253">
        <f t="shared" si="1"/>
        <v>0</v>
      </c>
      <c r="H176" s="238"/>
      <c r="I176" s="239"/>
    </row>
    <row r="177" spans="2:9" hidden="1" x14ac:dyDescent="0.2">
      <c r="B177" s="215" t="s">
        <v>512</v>
      </c>
      <c r="C177" s="242"/>
      <c r="D177" s="242"/>
      <c r="E177" s="243"/>
      <c r="F177" s="243"/>
      <c r="G177" s="253">
        <f t="shared" si="1"/>
        <v>0</v>
      </c>
      <c r="H177" s="238"/>
      <c r="I177" s="239"/>
    </row>
    <row r="178" spans="2:9" ht="15" customHeight="1" x14ac:dyDescent="0.2">
      <c r="H178" s="238"/>
      <c r="I178" s="239"/>
    </row>
    <row r="179" spans="2:9" x14ac:dyDescent="0.2">
      <c r="B179" s="261"/>
      <c r="C179" s="262"/>
      <c r="D179" s="262"/>
      <c r="E179" s="263"/>
      <c r="F179" s="263"/>
      <c r="G179" s="263"/>
      <c r="H179" s="239"/>
    </row>
    <row r="180" spans="2:9" x14ac:dyDescent="0.2">
      <c r="B180" s="211" t="s">
        <v>1063</v>
      </c>
      <c r="D180" s="264"/>
    </row>
    <row r="182" spans="2:9" ht="51" x14ac:dyDescent="0.2">
      <c r="B182" s="214" t="s">
        <v>1036</v>
      </c>
      <c r="C182" s="214" t="s">
        <v>1037</v>
      </c>
      <c r="D182" s="214" t="s">
        <v>1064</v>
      </c>
      <c r="E182" s="214" t="s">
        <v>1065</v>
      </c>
      <c r="F182" s="214" t="s">
        <v>1066</v>
      </c>
      <c r="G182" s="214" t="s">
        <v>1067</v>
      </c>
    </row>
    <row r="183" spans="2:9" x14ac:dyDescent="0.2">
      <c r="B183" s="265" t="s">
        <v>1068</v>
      </c>
      <c r="C183" s="265" t="s">
        <v>1068</v>
      </c>
      <c r="D183" s="265" t="s">
        <v>1068</v>
      </c>
      <c r="E183" s="265" t="s">
        <v>1068</v>
      </c>
      <c r="F183" s="265" t="s">
        <v>1068</v>
      </c>
      <c r="G183" s="265" t="s">
        <v>1068</v>
      </c>
    </row>
    <row r="184" spans="2:9" x14ac:dyDescent="0.2">
      <c r="D184" s="264"/>
      <c r="E184" s="264"/>
      <c r="F184" s="266"/>
      <c r="G184" s="266"/>
    </row>
    <row r="185" spans="2:9" x14ac:dyDescent="0.2">
      <c r="D185" s="264"/>
      <c r="E185" s="264"/>
      <c r="F185" s="266"/>
      <c r="G185" s="266"/>
    </row>
    <row r="186" spans="2:9" x14ac:dyDescent="0.2">
      <c r="B186" s="211" t="s">
        <v>1069</v>
      </c>
      <c r="G186" s="210" t="s">
        <v>136</v>
      </c>
    </row>
    <row r="187" spans="2:9" x14ac:dyDescent="0.2">
      <c r="B187" s="211"/>
    </row>
    <row r="188" spans="2:9" x14ac:dyDescent="0.2">
      <c r="B188" s="232" t="s">
        <v>1036</v>
      </c>
      <c r="C188" s="232" t="s">
        <v>1044</v>
      </c>
    </row>
    <row r="189" spans="2:9" x14ac:dyDescent="0.2">
      <c r="B189" s="265" t="s">
        <v>1068</v>
      </c>
      <c r="C189" s="265" t="s">
        <v>1068</v>
      </c>
    </row>
    <row r="190" spans="2:9" x14ac:dyDescent="0.2">
      <c r="C190" s="267"/>
      <c r="D190" s="252"/>
    </row>
    <row r="191" spans="2:9" x14ac:dyDescent="0.2">
      <c r="B191" s="211" t="s">
        <v>1070</v>
      </c>
    </row>
    <row r="193" spans="2:7" ht="38.25" x14ac:dyDescent="0.2">
      <c r="B193" s="213" t="s">
        <v>1036</v>
      </c>
      <c r="C193" s="214" t="s">
        <v>1071</v>
      </c>
      <c r="D193" s="214" t="s">
        <v>1072</v>
      </c>
      <c r="E193" s="214" t="s">
        <v>1073</v>
      </c>
      <c r="F193" s="214" t="s">
        <v>1074</v>
      </c>
    </row>
    <row r="194" spans="2:7" x14ac:dyDescent="0.2">
      <c r="B194" s="265" t="s">
        <v>1068</v>
      </c>
      <c r="C194" s="265" t="s">
        <v>1068</v>
      </c>
      <c r="D194" s="265" t="s">
        <v>1068</v>
      </c>
      <c r="E194" s="265" t="s">
        <v>1068</v>
      </c>
      <c r="F194" s="265" t="s">
        <v>1068</v>
      </c>
    </row>
    <row r="195" spans="2:7" x14ac:dyDescent="0.2">
      <c r="B195" s="268"/>
      <c r="C195" s="269"/>
      <c r="D195" s="270"/>
      <c r="E195" s="270"/>
      <c r="F195" s="271"/>
    </row>
    <row r="196" spans="2:7" x14ac:dyDescent="0.2">
      <c r="B196" s="268"/>
      <c r="C196" s="269"/>
      <c r="D196" s="270"/>
      <c r="E196" s="270"/>
      <c r="F196" s="271"/>
    </row>
    <row r="198" spans="2:7" x14ac:dyDescent="0.2">
      <c r="B198" s="211" t="s">
        <v>1075</v>
      </c>
    </row>
    <row r="200" spans="2:7" ht="51" x14ac:dyDescent="0.2">
      <c r="B200" s="214" t="s">
        <v>1036</v>
      </c>
      <c r="C200" s="214" t="s">
        <v>1037</v>
      </c>
      <c r="D200" s="214" t="s">
        <v>1064</v>
      </c>
      <c r="E200" s="214" t="s">
        <v>1065</v>
      </c>
      <c r="F200" s="214" t="s">
        <v>1066</v>
      </c>
      <c r="G200" s="214" t="s">
        <v>1067</v>
      </c>
    </row>
    <row r="201" spans="2:7" x14ac:dyDescent="0.2">
      <c r="B201" s="215" t="s">
        <v>1068</v>
      </c>
      <c r="C201" s="215" t="s">
        <v>1068</v>
      </c>
      <c r="D201" s="215" t="s">
        <v>1068</v>
      </c>
      <c r="E201" s="215" t="s">
        <v>1068</v>
      </c>
      <c r="F201" s="215" t="s">
        <v>1068</v>
      </c>
      <c r="G201" s="215" t="s">
        <v>1068</v>
      </c>
    </row>
    <row r="202" spans="2:7" x14ac:dyDescent="0.2">
      <c r="C202" s="248"/>
      <c r="D202" s="272"/>
      <c r="E202" s="273"/>
      <c r="F202" s="266"/>
      <c r="G202" s="266"/>
    </row>
    <row r="203" spans="2:7" x14ac:dyDescent="0.2">
      <c r="B203" s="211" t="s">
        <v>1076</v>
      </c>
    </row>
    <row r="204" spans="2:7" x14ac:dyDescent="0.2">
      <c r="B204" s="211"/>
    </row>
    <row r="205" spans="2:7" x14ac:dyDescent="0.2">
      <c r="B205" s="232" t="s">
        <v>1036</v>
      </c>
      <c r="C205" s="232" t="s">
        <v>1044</v>
      </c>
    </row>
    <row r="206" spans="2:7" x14ac:dyDescent="0.2">
      <c r="B206" s="215" t="s">
        <v>1068</v>
      </c>
      <c r="C206" s="215" t="s">
        <v>1068</v>
      </c>
    </row>
    <row r="207" spans="2:7" x14ac:dyDescent="0.2">
      <c r="B207" s="216"/>
      <c r="C207" s="252"/>
    </row>
    <row r="208" spans="2:7" x14ac:dyDescent="0.2">
      <c r="B208" s="211" t="s">
        <v>1077</v>
      </c>
    </row>
    <row r="210" spans="2:7" ht="76.5" x14ac:dyDescent="0.2">
      <c r="B210" s="213" t="s">
        <v>1036</v>
      </c>
      <c r="C210" s="214" t="s">
        <v>1071</v>
      </c>
      <c r="D210" s="214" t="s">
        <v>1078</v>
      </c>
      <c r="E210" s="214" t="s">
        <v>1079</v>
      </c>
      <c r="F210" s="214" t="s">
        <v>1074</v>
      </c>
    </row>
    <row r="211" spans="2:7" x14ac:dyDescent="0.2">
      <c r="B211" s="215" t="s">
        <v>1068</v>
      </c>
      <c r="C211" s="215" t="s">
        <v>1068</v>
      </c>
      <c r="D211" s="215" t="s">
        <v>1068</v>
      </c>
      <c r="E211" s="215" t="s">
        <v>1068</v>
      </c>
      <c r="F211" s="215" t="s">
        <v>1068</v>
      </c>
    </row>
    <row r="212" spans="2:7" x14ac:dyDescent="0.2">
      <c r="G212" s="274"/>
    </row>
    <row r="213" spans="2:7" x14ac:dyDescent="0.2">
      <c r="F213" s="244"/>
      <c r="G213" s="240"/>
    </row>
    <row r="214" spans="2:7" x14ac:dyDescent="0.2">
      <c r="B214" s="211" t="s">
        <v>1080</v>
      </c>
    </row>
    <row r="215" spans="2:7" x14ac:dyDescent="0.2">
      <c r="B215" s="211"/>
    </row>
    <row r="216" spans="2:7" x14ac:dyDescent="0.2">
      <c r="E216" s="240"/>
    </row>
    <row r="217" spans="2:7" x14ac:dyDescent="0.2">
      <c r="B217" s="211" t="s">
        <v>1081</v>
      </c>
      <c r="E217" s="240"/>
    </row>
    <row r="218" spans="2:7" x14ac:dyDescent="0.2">
      <c r="E218" s="240"/>
    </row>
    <row r="219" spans="2:7" ht="25.5" x14ac:dyDescent="0.2">
      <c r="B219" s="213" t="s">
        <v>1036</v>
      </c>
      <c r="C219" s="214" t="s">
        <v>1037</v>
      </c>
      <c r="D219" s="214" t="s">
        <v>1038</v>
      </c>
      <c r="E219" s="214" t="s">
        <v>1082</v>
      </c>
      <c r="F219" s="214" t="s">
        <v>1083</v>
      </c>
      <c r="G219" s="214" t="s">
        <v>1084</v>
      </c>
    </row>
    <row r="220" spans="2:7" x14ac:dyDescent="0.2">
      <c r="B220" s="235" t="s">
        <v>1068</v>
      </c>
      <c r="C220" s="241" t="s">
        <v>1068</v>
      </c>
      <c r="D220" s="275" t="s">
        <v>1068</v>
      </c>
      <c r="E220" s="276" t="s">
        <v>1068</v>
      </c>
      <c r="F220" s="276" t="s">
        <v>1068</v>
      </c>
      <c r="G220" s="276" t="s">
        <v>1068</v>
      </c>
    </row>
    <row r="221" spans="2:7" x14ac:dyDescent="0.2">
      <c r="E221" s="240"/>
    </row>
    <row r="222" spans="2:7" x14ac:dyDescent="0.2">
      <c r="B222" s="211" t="s">
        <v>1085</v>
      </c>
      <c r="E222" s="240"/>
    </row>
    <row r="223" spans="2:7" x14ac:dyDescent="0.2">
      <c r="B223" s="211"/>
      <c r="E223" s="240"/>
    </row>
    <row r="224" spans="2:7" x14ac:dyDescent="0.2">
      <c r="B224" s="232" t="s">
        <v>1036</v>
      </c>
      <c r="C224" s="232" t="s">
        <v>1044</v>
      </c>
      <c r="E224" s="240"/>
    </row>
    <row r="225" spans="2:10" x14ac:dyDescent="0.2">
      <c r="B225" s="265" t="s">
        <v>1068</v>
      </c>
      <c r="C225" s="234" t="s">
        <v>1068</v>
      </c>
      <c r="E225" s="240"/>
    </row>
    <row r="226" spans="2:10" x14ac:dyDescent="0.2">
      <c r="E226" s="240"/>
    </row>
    <row r="227" spans="2:10" x14ac:dyDescent="0.2">
      <c r="B227" s="211" t="s">
        <v>1086</v>
      </c>
      <c r="E227" s="240"/>
    </row>
    <row r="228" spans="2:10" x14ac:dyDescent="0.2">
      <c r="E228" s="240"/>
    </row>
    <row r="229" spans="2:10" ht="63.75" x14ac:dyDescent="0.2">
      <c r="B229" s="213" t="s">
        <v>1036</v>
      </c>
      <c r="C229" s="214" t="s">
        <v>1046</v>
      </c>
      <c r="D229" s="214" t="s">
        <v>1047</v>
      </c>
      <c r="E229" s="214" t="s">
        <v>1048</v>
      </c>
      <c r="F229" s="214" t="s">
        <v>1049</v>
      </c>
      <c r="G229" s="214" t="s">
        <v>1050</v>
      </c>
    </row>
    <row r="230" spans="2:10" x14ac:dyDescent="0.2">
      <c r="B230" s="234"/>
      <c r="C230" s="234"/>
      <c r="D230" s="236"/>
      <c r="E230" s="277"/>
      <c r="F230" s="278"/>
      <c r="G230" s="279"/>
      <c r="I230" s="239"/>
      <c r="J230" s="240"/>
    </row>
    <row r="231" spans="2:10" x14ac:dyDescent="0.2">
      <c r="E231" s="240"/>
    </row>
    <row r="232" spans="2:10" x14ac:dyDescent="0.2">
      <c r="E232" s="240"/>
    </row>
    <row r="233" spans="2:10" x14ac:dyDescent="0.2">
      <c r="B233" s="211" t="s">
        <v>1087</v>
      </c>
      <c r="E233" s="240"/>
    </row>
    <row r="234" spans="2:10" x14ac:dyDescent="0.2">
      <c r="E234" s="240"/>
    </row>
    <row r="235" spans="2:10" ht="63.75" x14ac:dyDescent="0.2">
      <c r="B235" s="213" t="s">
        <v>1036</v>
      </c>
      <c r="C235" s="214" t="s">
        <v>1046</v>
      </c>
      <c r="D235" s="214" t="s">
        <v>1047</v>
      </c>
      <c r="E235" s="214" t="s">
        <v>1048</v>
      </c>
      <c r="F235" s="214" t="s">
        <v>1049</v>
      </c>
      <c r="G235" s="214" t="s">
        <v>1050</v>
      </c>
    </row>
    <row r="236" spans="2:10" x14ac:dyDescent="0.2">
      <c r="B236" s="217"/>
      <c r="C236" s="265"/>
      <c r="D236" s="265"/>
      <c r="E236" s="280"/>
      <c r="F236" s="280"/>
      <c r="G236" s="280"/>
    </row>
    <row r="237" spans="2:10" x14ac:dyDescent="0.2">
      <c r="E237" s="240"/>
    </row>
    <row r="238" spans="2:10" x14ac:dyDescent="0.2">
      <c r="E238" s="240"/>
    </row>
    <row r="239" spans="2:10" x14ac:dyDescent="0.2">
      <c r="E239" s="240"/>
    </row>
    <row r="240" spans="2:10" x14ac:dyDescent="0.2">
      <c r="B240" s="210" t="s">
        <v>1088</v>
      </c>
    </row>
  </sheetData>
  <mergeCells count="3">
    <mergeCell ref="B2:G2"/>
    <mergeCell ref="B3:G3"/>
    <mergeCell ref="B5:G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Index</vt:lpstr>
      <vt:lpstr>CAPEXG</vt:lpstr>
      <vt:lpstr>MICAP14</vt:lpstr>
      <vt:lpstr>MICAP15</vt:lpstr>
      <vt:lpstr>MICAP16</vt:lpstr>
      <vt:lpstr>MICAP17</vt:lpstr>
      <vt:lpstr>MIDCAP</vt:lpstr>
      <vt:lpstr>MULTI1</vt:lpstr>
      <vt:lpstr>MULTI2</vt:lpstr>
      <vt:lpstr>MULTIP</vt:lpstr>
      <vt:lpstr>SESCAP1</vt:lpstr>
      <vt:lpstr>SESCAP2</vt:lpstr>
      <vt:lpstr>SESCAP3</vt:lpstr>
      <vt:lpstr>SESCAP4</vt:lpstr>
      <vt:lpstr>SESCAP5</vt:lpstr>
      <vt:lpstr>SESCAP6</vt:lpstr>
      <vt:lpstr>SESCAP7</vt:lpstr>
      <vt:lpstr>SFOCUS</vt:lpstr>
      <vt:lpstr>SLTADV3</vt:lpstr>
      <vt:lpstr>SLTADV4</vt:lpstr>
      <vt:lpstr>SLTAX1</vt:lpstr>
      <vt:lpstr>SLTAX2</vt:lpstr>
      <vt:lpstr>SLTAX3</vt:lpstr>
      <vt:lpstr>SLTAX4</vt:lpstr>
      <vt:lpstr>SLTAX5</vt:lpstr>
      <vt:lpstr>SLTAX6</vt:lpstr>
      <vt:lpstr>SMILE</vt:lpstr>
      <vt:lpstr>SRURAL</vt:lpstr>
      <vt:lpstr>SSFUND</vt:lpstr>
      <vt:lpstr>SSN100</vt:lpstr>
      <vt:lpstr>STAX</vt:lpstr>
      <vt:lpstr>SUNARF</vt:lpstr>
      <vt:lpstr>SUNBAF</vt:lpstr>
      <vt:lpstr>SUNBAL</vt:lpstr>
      <vt:lpstr>SUNBCF</vt:lpstr>
      <vt:lpstr>SUNEQF</vt:lpstr>
      <vt:lpstr>SUNESF</vt:lpstr>
      <vt:lpstr>SUNFOP</vt:lpstr>
      <vt:lpstr>SUNVALF7</vt:lpstr>
      <vt:lpstr>GLOB</vt:lpstr>
      <vt:lpstr>DERIVATIVE 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2021-12-01T14:44:09Z</dcterms:created>
  <dcterms:modified xsi:type="dcterms:W3CDTF">2021-12-10T06:13:27Z</dcterms:modified>
</cp:coreProperties>
</file>