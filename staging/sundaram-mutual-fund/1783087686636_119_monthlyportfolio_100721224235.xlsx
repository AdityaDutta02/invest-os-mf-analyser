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iew\2021-22\3. Jun 2021\final\"/>
    </mc:Choice>
  </mc:AlternateContent>
  <xr:revisionPtr revIDLastSave="0" documentId="13_ncr:1_{CC755E7F-8B5A-4976-82A6-EE498ABD2F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" sheetId="41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FOCUS" sheetId="17" r:id="rId18"/>
    <sheet name="SLTADV3" sheetId="18" r:id="rId19"/>
    <sheet name="SLTADV4" sheetId="19" r:id="rId20"/>
    <sheet name="SLTAX1" sheetId="20" r:id="rId21"/>
    <sheet name="SLTAX2" sheetId="21" r:id="rId22"/>
    <sheet name="SLTAX3" sheetId="22" r:id="rId23"/>
    <sheet name="SLTAX4" sheetId="23" r:id="rId24"/>
    <sheet name="SLTAX5" sheetId="24" r:id="rId25"/>
    <sheet name="SLTAX6" sheetId="25" r:id="rId26"/>
    <sheet name="SMALL6" sheetId="26" r:id="rId27"/>
    <sheet name="SMILE" sheetId="27" r:id="rId28"/>
    <sheet name="SRURAL" sheetId="28" r:id="rId29"/>
    <sheet name="SSFUND" sheetId="29" r:id="rId30"/>
    <sheet name="SSN100" sheetId="30" r:id="rId31"/>
    <sheet name="STAX" sheetId="31" r:id="rId32"/>
    <sheet name="SUNARF" sheetId="32" r:id="rId33"/>
    <sheet name="SUNBAF" sheetId="43" r:id="rId34"/>
    <sheet name="SUNBAL" sheetId="44" r:id="rId35"/>
    <sheet name="SUNBCF" sheetId="33" r:id="rId36"/>
    <sheet name="SUNEQF" sheetId="34" r:id="rId37"/>
    <sheet name="SUNESF" sheetId="35" r:id="rId38"/>
    <sheet name="SUNFOP" sheetId="36" r:id="rId39"/>
    <sheet name="SUNVALF10" sheetId="37" r:id="rId40"/>
    <sheet name="SUNVALF7" sheetId="38" r:id="rId41"/>
    <sheet name="SUNVALF9" sheetId="39" r:id="rId42"/>
    <sheet name="GLOB" sheetId="42" r:id="rId43"/>
    <sheet name="Annexure A" sheetId="45" r:id="rId44"/>
    <sheet name="Annexure B" sheetId="40" r:id="rId45"/>
  </sheets>
  <definedNames>
    <definedName name="_xlnm._FilterDatabase" localSheetId="1" hidden="1">CAPEXG!#REF!</definedName>
    <definedName name="_xlnm._FilterDatabase" localSheetId="2" hidden="1">MICAP14!#REF!</definedName>
    <definedName name="_xlnm._FilterDatabase" localSheetId="4" hidden="1">MICAP16!#REF!</definedName>
    <definedName name="_xlnm._FilterDatabase" localSheetId="7" hidden="1">MULTI1!#REF!</definedName>
    <definedName name="_xlnm._FilterDatabase" localSheetId="9" hidden="1">MULTIP!#REF!</definedName>
    <definedName name="_xlnm._FilterDatabase" localSheetId="10" hidden="1">SESCAP1!#REF!</definedName>
    <definedName name="_xlnm._FilterDatabase" localSheetId="11" hidden="1">SESCAP2!#REF!</definedName>
    <definedName name="_xlnm._FilterDatabase" localSheetId="12" hidden="1">SESCAP3!#REF!</definedName>
    <definedName name="_xlnm._FilterDatabase" localSheetId="13" hidden="1">SESCAP4!#REF!</definedName>
    <definedName name="_xlnm._FilterDatabase" localSheetId="14" hidden="1">SESCAP5!#REF!</definedName>
    <definedName name="_xlnm._FilterDatabase" localSheetId="15" hidden="1">SESCAP6!#REF!</definedName>
    <definedName name="_xlnm._FilterDatabase" localSheetId="16" hidden="1">SESCAP7!#REF!</definedName>
    <definedName name="_xlnm._FilterDatabase" localSheetId="18" hidden="1">SLTADV3!#REF!</definedName>
    <definedName name="_xlnm._FilterDatabase" localSheetId="20" hidden="1">SLTAX1!#REF!</definedName>
    <definedName name="_xlnm._FilterDatabase" localSheetId="21" hidden="1">SLTAX2!#REF!</definedName>
    <definedName name="_xlnm._FilterDatabase" localSheetId="22" hidden="1">SLTAX3!#REF!</definedName>
    <definedName name="_xlnm._FilterDatabase" localSheetId="29" hidden="1">SSFUND!$A$7:$G$7</definedName>
    <definedName name="_xlnm._FilterDatabase" localSheetId="30" hidden="1">'SSN100'!#REF!</definedName>
    <definedName name="_xlnm._FilterDatabase" localSheetId="31" hidden="1">STAX!#REF!</definedName>
    <definedName name="_xlnm._FilterDatabase" localSheetId="32" hidden="1">SUNARF!#REF!</definedName>
    <definedName name="_xlnm._FilterDatabase" localSheetId="33" hidden="1">SUNBAF!#REF!</definedName>
    <definedName name="_xlnm._FilterDatabase" localSheetId="34" hidden="1">SUNBAL!#REF!</definedName>
    <definedName name="_xlnm._FilterDatabase" localSheetId="35" hidden="1">SUNBCF!#REF!</definedName>
    <definedName name="_xlnm._FilterDatabase" localSheetId="36" hidden="1">SUNEQF!$A$7:$G$7</definedName>
    <definedName name="_xlnm._FilterDatabase" localSheetId="37" hidden="1">SUNESF!#REF!</definedName>
    <definedName name="_xlnm._FilterDatabase" localSheetId="38" hidden="1">SUNFOP!#REF!</definedName>
    <definedName name="_xlnm._FilterDatabase" localSheetId="39" hidden="1">SUNVALF10!#REF!</definedName>
    <definedName name="_xlnm._FilterDatabase" localSheetId="40" hidden="1">SUNVALF7!#REF!</definedName>
    <definedName name="_xlnm._FilterDatabase" localSheetId="41" hidden="1">SUNVALF9!$A$7:$G$139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1" i="45" l="1"/>
  <c r="G144" i="45"/>
  <c r="G143" i="45"/>
  <c r="G142" i="45"/>
  <c r="G141" i="45"/>
  <c r="G140" i="45"/>
  <c r="G139" i="45"/>
  <c r="G138" i="45"/>
  <c r="G137" i="45"/>
  <c r="G136" i="45"/>
  <c r="G135" i="45"/>
  <c r="G134" i="45"/>
  <c r="G133" i="45"/>
  <c r="G132" i="45"/>
  <c r="G131" i="45"/>
  <c r="G130" i="45"/>
  <c r="G129" i="45"/>
  <c r="G128" i="45"/>
  <c r="G97" i="45"/>
  <c r="G96" i="45"/>
  <c r="G95" i="45"/>
  <c r="G94" i="45"/>
  <c r="G93" i="45"/>
  <c r="G92" i="45"/>
  <c r="G91" i="45"/>
  <c r="G90" i="45"/>
  <c r="G89" i="45"/>
  <c r="G88" i="45"/>
  <c r="G87" i="45"/>
  <c r="G86" i="45"/>
  <c r="G85" i="45"/>
  <c r="G84" i="45"/>
  <c r="G83" i="45"/>
  <c r="G82" i="45"/>
  <c r="G81" i="45"/>
  <c r="B81" i="45"/>
  <c r="G80" i="45"/>
  <c r="B80" i="45"/>
  <c r="G79" i="45"/>
  <c r="G78" i="45"/>
  <c r="G77" i="45"/>
  <c r="M173" i="43"/>
  <c r="G113" i="39"/>
  <c r="F113" i="39"/>
  <c r="M175" i="43" l="1"/>
  <c r="F14" i="42" l="1"/>
  <c r="F16" i="42" s="1"/>
  <c r="G16" i="42" s="1"/>
  <c r="G18" i="42" s="1"/>
  <c r="G12" i="42"/>
  <c r="G11" i="42"/>
  <c r="G14" i="42" s="1"/>
  <c r="G8" i="42"/>
  <c r="F8" i="42"/>
  <c r="G6" i="42"/>
</calcChain>
</file>

<file path=xl/sharedStrings.xml><?xml version="1.0" encoding="utf-8"?>
<sst xmlns="http://schemas.openxmlformats.org/spreadsheetml/2006/main" count="30700" uniqueCount="1077">
  <si>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</si>
  <si>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</si>
  <si>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</si>
  <si>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</si>
  <si>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</si>
  <si>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</si>
  <si>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</si>
  <si>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</si>
  <si>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</si>
  <si>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/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</si>
  <si>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</si>
  <si>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</si>
  <si>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</si>
  <si>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</si>
  <si>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</si>
  <si>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</si>
  <si>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</si>
  <si>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</si>
  <si>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INE331A01037</t>
  </si>
  <si>
    <t>The Ramco Cements Ltd</t>
  </si>
  <si>
    <t>INE090A01021</t>
  </si>
  <si>
    <t>ICICI Bank Ltd</t>
  </si>
  <si>
    <t>Banks</t>
  </si>
  <si>
    <t>INE397D01024</t>
  </si>
  <si>
    <t>Bharti Airtel Ltd</t>
  </si>
  <si>
    <t>Telecom - Services</t>
  </si>
  <si>
    <t>INE536A01023</t>
  </si>
  <si>
    <t>Grindwell Norton Ltd</t>
  </si>
  <si>
    <t>Industrial Products</t>
  </si>
  <si>
    <t>INE455K01017</t>
  </si>
  <si>
    <t>Polycab India Ltd</t>
  </si>
  <si>
    <t>INE823G01014</t>
  </si>
  <si>
    <t>JK Cement Ltd</t>
  </si>
  <si>
    <t>INE671A01010</t>
  </si>
  <si>
    <t>Honeywell Automation India Ltd</t>
  </si>
  <si>
    <t>Industrial Capital Goods</t>
  </si>
  <si>
    <t>INE481G01011</t>
  </si>
  <si>
    <t>Ultratech Cement Ltd</t>
  </si>
  <si>
    <t>INE791I01019</t>
  </si>
  <si>
    <t>Brigade Enterprises Ltd</t>
  </si>
  <si>
    <t>Construction</t>
  </si>
  <si>
    <t>INE245A01021</t>
  </si>
  <si>
    <t>Tata Power Company Ltd</t>
  </si>
  <si>
    <t>Power</t>
  </si>
  <si>
    <t>INE386C01029</t>
  </si>
  <si>
    <t>Astra Microwave Products Ltd</t>
  </si>
  <si>
    <t>INE284A01012</t>
  </si>
  <si>
    <t>ESAB India Ltd</t>
  </si>
  <si>
    <t>INE999A01015</t>
  </si>
  <si>
    <t>KSB Ltd</t>
  </si>
  <si>
    <t>INE040A01034</t>
  </si>
  <si>
    <t>HDFC Bank Ltd</t>
  </si>
  <si>
    <t>INE114A01011</t>
  </si>
  <si>
    <t>Steel Authority of India Ltd</t>
  </si>
  <si>
    <t>Ferrous Metals</t>
  </si>
  <si>
    <t>INE858B01029</t>
  </si>
  <si>
    <t>ISGEC Heavy  Engineering Ltd</t>
  </si>
  <si>
    <t>INE029A01011</t>
  </si>
  <si>
    <t>Bharat Petroleum Corporation Ltd</t>
  </si>
  <si>
    <t>INE264T01014</t>
  </si>
  <si>
    <t>Capacite Infraprojects Ltd</t>
  </si>
  <si>
    <t>INE371P01015</t>
  </si>
  <si>
    <t>Amber Enterprises India Ltd</t>
  </si>
  <si>
    <t>Consumer Durables</t>
  </si>
  <si>
    <t>INE074A01025</t>
  </si>
  <si>
    <t>Praj Industries Ltd</t>
  </si>
  <si>
    <t>INE766P01016</t>
  </si>
  <si>
    <t>Mahindra Logistics Ltd</t>
  </si>
  <si>
    <t>Transportation</t>
  </si>
  <si>
    <t>INE541A01023</t>
  </si>
  <si>
    <t>GMM Pfaudler Ltd</t>
  </si>
  <si>
    <t>INE531A01024</t>
  </si>
  <si>
    <t>Kansai Nerolac Paints Ltd</t>
  </si>
  <si>
    <t>Consumer Non Durables</t>
  </si>
  <si>
    <t>INE298A01020</t>
  </si>
  <si>
    <t>Cummins India Ltd</t>
  </si>
  <si>
    <t>INE129A01019</t>
  </si>
  <si>
    <t>GAIL (India) Ltd</t>
  </si>
  <si>
    <t>Gas</t>
  </si>
  <si>
    <t>INE08ZM01014</t>
  </si>
  <si>
    <t>Green Panel Industries Ltd</t>
  </si>
  <si>
    <t>INE868B01028</t>
  </si>
  <si>
    <t>NCC Ltd</t>
  </si>
  <si>
    <t>INE213A01029</t>
  </si>
  <si>
    <t>Oil &amp; Natural Gas Corporation Ltd</t>
  </si>
  <si>
    <t>Oil</t>
  </si>
  <si>
    <t>INE419M01019</t>
  </si>
  <si>
    <t>TD Power Systems Ltd</t>
  </si>
  <si>
    <t>INE347G01014</t>
  </si>
  <si>
    <t>Petronet LNG Ltd</t>
  </si>
  <si>
    <t>INE208A01029</t>
  </si>
  <si>
    <t>Ashok Leyland Ltd</t>
  </si>
  <si>
    <t>Auto</t>
  </si>
  <si>
    <t>INE742F01042</t>
  </si>
  <si>
    <t>Adani Ports and Special Economic Zone Ltd</t>
  </si>
  <si>
    <t>INE811K01011</t>
  </si>
  <si>
    <t>Prestige Estates Projects Ltd</t>
  </si>
  <si>
    <t>INE513A01014</t>
  </si>
  <si>
    <t>Schaeffler India Ltd</t>
  </si>
  <si>
    <t>INE324L01013</t>
  </si>
  <si>
    <t>R.P.P. Infra Projects Ltd</t>
  </si>
  <si>
    <t>INE00R701025</t>
  </si>
  <si>
    <t>Dalmia Cement (Bharat) Ltd.</t>
  </si>
  <si>
    <t>INE203G01027</t>
  </si>
  <si>
    <t>Indraprastha Gas Ltd</t>
  </si>
  <si>
    <t>Sub Total</t>
  </si>
  <si>
    <t>(b) Overseas Security</t>
  </si>
  <si>
    <t>(c) Privately Placed / Unlisted</t>
  </si>
  <si>
    <t>INE551A01022</t>
  </si>
  <si>
    <t>Engineering Services</t>
  </si>
  <si>
    <t>#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</si>
  <si>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</si>
  <si>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</si>
  <si>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</si>
  <si>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</si>
  <si>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</si>
  <si>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</si>
  <si>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</si>
  <si>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</si>
  <si>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</si>
  <si>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</si>
  <si>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</si>
  <si>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</si>
  <si>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</si>
  <si>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</si>
  <si>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Reverse Repo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</si>
  <si>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</si>
  <si>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</si>
  <si>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</si>
  <si>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</si>
  <si>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</si>
  <si>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</si>
  <si>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</si>
  <si>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</si>
  <si>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</si>
  <si>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</si>
  <si>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</si>
  <si>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</si>
  <si>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</si>
  <si>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</si>
  <si>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</si>
  <si>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</si>
  <si>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</si>
  <si>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</si>
  <si>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31/05/2021</t>
  </si>
  <si>
    <t>30/06/2021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</si>
  <si>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</si>
  <si>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</si>
  <si>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</si>
  <si>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</si>
  <si>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</si>
  <si>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</si>
  <si>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</si>
  <si>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INE048G01026</t>
  </si>
  <si>
    <t>Navin Fluorine International Ltd</t>
  </si>
  <si>
    <t>Chemicals</t>
  </si>
  <si>
    <t>INE02A801020</t>
  </si>
  <si>
    <t>Rossari Biotech Ltd</t>
  </si>
  <si>
    <t>INE878B01027</t>
  </si>
  <si>
    <t>KEI Industries Ltd</t>
  </si>
  <si>
    <t>INE227C01017</t>
  </si>
  <si>
    <t>MM Forgings Ltd</t>
  </si>
  <si>
    <t>INE419U01012</t>
  </si>
  <si>
    <t>Happiest Minds Technologies Limited</t>
  </si>
  <si>
    <t>INE988K01017</t>
  </si>
  <si>
    <t>Equitas Holdings Ltd</t>
  </si>
  <si>
    <t>Finance</t>
  </si>
  <si>
    <t>INE04I401011</t>
  </si>
  <si>
    <t>KPIT Technologies Ltd</t>
  </si>
  <si>
    <t>Software</t>
  </si>
  <si>
    <t>INE594H01019</t>
  </si>
  <si>
    <t>Thyrocare Technologies Ltd</t>
  </si>
  <si>
    <t>Healthcare Services</t>
  </si>
  <si>
    <t>INE348B01021</t>
  </si>
  <si>
    <t>Century Plyboards (India) Ltd</t>
  </si>
  <si>
    <t>INE732I01013</t>
  </si>
  <si>
    <t>Angel Broking ltd</t>
  </si>
  <si>
    <t>INE884B01025</t>
  </si>
  <si>
    <t>Kirloskar Ferrous Ind Ltd</t>
  </si>
  <si>
    <t>INE262H01013</t>
  </si>
  <si>
    <t>Persistent Systems Ltd</t>
  </si>
  <si>
    <t>INE578A01017</t>
  </si>
  <si>
    <t>HeidelbergCement India Ltd</t>
  </si>
  <si>
    <t>INE220B01022</t>
  </si>
  <si>
    <t>Kalpataru Power Transmission Ltd</t>
  </si>
  <si>
    <t>INE075I01017</t>
  </si>
  <si>
    <t>Healthcare Global Enterprises Ltd</t>
  </si>
  <si>
    <t>INE312H01016</t>
  </si>
  <si>
    <t>INOX Leisure Ltd</t>
  </si>
  <si>
    <t>INE974X01010</t>
  </si>
  <si>
    <t>Tube Investments of India Ltd</t>
  </si>
  <si>
    <t>Auto Ancillaries</t>
  </si>
  <si>
    <t>INE947Q01028</t>
  </si>
  <si>
    <t>Laurus Labs Ltd</t>
  </si>
  <si>
    <t>INE873D01024</t>
  </si>
  <si>
    <t>Indoco Remedies Ltd</t>
  </si>
  <si>
    <t>Pharmaceuticals</t>
  </si>
  <si>
    <t>INE00WC01019</t>
  </si>
  <si>
    <t>Affle (India) Ltd</t>
  </si>
  <si>
    <t>INE834I01025</t>
  </si>
  <si>
    <t>Khadim India Ltd</t>
  </si>
  <si>
    <t>INE442H01029</t>
  </si>
  <si>
    <t>Ashoka Buildcon Ltd</t>
  </si>
  <si>
    <t>INE296E01026</t>
  </si>
  <si>
    <t>Rajapalayam Mills Ltd</t>
  </si>
  <si>
    <t>Textiles - Cotton</t>
  </si>
  <si>
    <t>INE978A01027</t>
  </si>
  <si>
    <t>Heritage Foods Ltd</t>
  </si>
  <si>
    <t>INE615P01015</t>
  </si>
  <si>
    <t>Quess Corp Ltd</t>
  </si>
  <si>
    <t>INE136B01020</t>
  </si>
  <si>
    <t>Cyient Ltd</t>
  </si>
  <si>
    <t>INE325A01013</t>
  </si>
  <si>
    <t>Timken India Ltd</t>
  </si>
  <si>
    <t>INE782A01015</t>
  </si>
  <si>
    <t>Johnson Controls-Hitachi AirConditioning India Ltd</t>
  </si>
  <si>
    <t>INE056C01010</t>
  </si>
  <si>
    <t>Tata Metaliks Ltd</t>
  </si>
  <si>
    <t>INE00IN01015</t>
  </si>
  <si>
    <t>Stove Kraft Ltd</t>
  </si>
  <si>
    <t>INE934S01014</t>
  </si>
  <si>
    <t>GNA Axles Ltd</t>
  </si>
  <si>
    <t>INE383A01012</t>
  </si>
  <si>
    <t>The India Cements Ltd</t>
  </si>
  <si>
    <t>INE211B01039</t>
  </si>
  <si>
    <t>The Phoenix Mills Ltd</t>
  </si>
  <si>
    <t>INE481N01025</t>
  </si>
  <si>
    <t>Home First Finance Company Ltd</t>
  </si>
  <si>
    <t>INE067A01029</t>
  </si>
  <si>
    <t>CG Power and Industrial Solutions Ltd</t>
  </si>
  <si>
    <t>INE864I01014</t>
  </si>
  <si>
    <t>MTAR Technologies Ltd</t>
  </si>
  <si>
    <t>INE043D01016</t>
  </si>
  <si>
    <t>IDFC Ltd</t>
  </si>
  <si>
    <t>INE126A01031</t>
  </si>
  <si>
    <t>EID Parry India Ltd</t>
  </si>
  <si>
    <t>Fertilisers</t>
  </si>
  <si>
    <t>INE049A01027</t>
  </si>
  <si>
    <t>Himatsingka Seide Ltd</t>
  </si>
  <si>
    <t>Textile Products</t>
  </si>
  <si>
    <t>INE092B01025</t>
  </si>
  <si>
    <t>India Nippon Electricals Ltd</t>
  </si>
  <si>
    <t>INE572A01028</t>
  </si>
  <si>
    <t>JB Chemicals &amp; Pharmaceuticals Ltd</t>
  </si>
  <si>
    <t>INE285J01028</t>
  </si>
  <si>
    <t>SIS Ltd</t>
  </si>
  <si>
    <t>Commercial Services</t>
  </si>
  <si>
    <t>INE477A01020</t>
  </si>
  <si>
    <t>Can Fin Homes Ltd</t>
  </si>
  <si>
    <t>INE421D01022</t>
  </si>
  <si>
    <t>CCL Products (India) Ltd</t>
  </si>
  <si>
    <t>INE113A01013</t>
  </si>
  <si>
    <t>Gujarat Narmada Valley Fertilizers &amp; Chemicals Ltd</t>
  </si>
  <si>
    <t>INE07O001018</t>
  </si>
  <si>
    <t>Easy Trip Planners Ltd</t>
  </si>
  <si>
    <t>INE429E01023</t>
  </si>
  <si>
    <t>Safari Industries (India) Ltd</t>
  </si>
  <si>
    <t>INE060A01024</t>
  </si>
  <si>
    <t>Navneet Education Ltd</t>
  </si>
  <si>
    <t>INE628A01036</t>
  </si>
  <si>
    <t>UPL Ltd</t>
  </si>
  <si>
    <t>Pesticides</t>
  </si>
  <si>
    <t>INE998I01010</t>
  </si>
  <si>
    <t>Mahindra Holidays &amp; Resorts India Ltd</t>
  </si>
  <si>
    <t>INE274F01020</t>
  </si>
  <si>
    <t>Westlife Development Ltd</t>
  </si>
  <si>
    <t>INE384A01010</t>
  </si>
  <si>
    <t>Rane Holdings Ltd</t>
  </si>
  <si>
    <t>INE877F01012</t>
  </si>
  <si>
    <t>PTC India Ltd</t>
  </si>
  <si>
    <t>INE503A01015</t>
  </si>
  <si>
    <t>DCB Bank Ltd</t>
  </si>
  <si>
    <t>INE435A01028</t>
  </si>
  <si>
    <t>International Paper APPM Ltd</t>
  </si>
  <si>
    <t>Paper</t>
  </si>
  <si>
    <t>INE586B01026</t>
  </si>
  <si>
    <t>Taj GVK Hotels &amp; Resorts Ltd</t>
  </si>
  <si>
    <t>INE022I01019</t>
  </si>
  <si>
    <t>Asian Granito India Ltd</t>
  </si>
  <si>
    <t>INE745G01035</t>
  </si>
  <si>
    <t>Multi Commodity Exchange of India Ltd</t>
  </si>
  <si>
    <t>INE565V01010</t>
  </si>
  <si>
    <t>Valiant Organics Ltd</t>
  </si>
  <si>
    <t>INE246B01019</t>
  </si>
  <si>
    <t>Ramco Systems Ltd</t>
  </si>
  <si>
    <t>INE901L01018</t>
  </si>
  <si>
    <t>Alembic Pharmaceuticals Ltd</t>
  </si>
  <si>
    <t>Sundaram Select Micro Cap Series XV</t>
  </si>
  <si>
    <t>INE386A01015</t>
  </si>
  <si>
    <t>Vesuvius India Ltd</t>
  </si>
  <si>
    <t>Sundaram Select Micro Cap Series XVI</t>
  </si>
  <si>
    <t>Sundaram Select Micro Cap Series XVII</t>
  </si>
  <si>
    <t>INE045A01017</t>
  </si>
  <si>
    <t>Ador Welding Ltd</t>
  </si>
  <si>
    <t>INE750A01020</t>
  </si>
  <si>
    <t>Oriental Hotels Ltd</t>
  </si>
  <si>
    <t>Sundaram Mid Cap Fund</t>
  </si>
  <si>
    <t>INE180A01020</t>
  </si>
  <si>
    <t>Max Financial Services Ltd</t>
  </si>
  <si>
    <t>INE018I01017</t>
  </si>
  <si>
    <t>MindTree Ltd</t>
  </si>
  <si>
    <t>INE437A01024</t>
  </si>
  <si>
    <t>Apollo Hospitals Enterprise Ltd</t>
  </si>
  <si>
    <t>INE121A01024</t>
  </si>
  <si>
    <t>Cholamandalam Investment and Finance Company Ltd</t>
  </si>
  <si>
    <t>INE987B01026</t>
  </si>
  <si>
    <t>Natco Pharma Ltd</t>
  </si>
  <si>
    <t>INE949L01017</t>
  </si>
  <si>
    <t>AU Small Finance Bank Ltd</t>
  </si>
  <si>
    <t>INE226A01021</t>
  </si>
  <si>
    <t>Voltas Ltd</t>
  </si>
  <si>
    <t>INE603J01030</t>
  </si>
  <si>
    <t>PI Industries Ltd</t>
  </si>
  <si>
    <t>INE548C01032</t>
  </si>
  <si>
    <t>Emami Ltd</t>
  </si>
  <si>
    <t>INE797F01012</t>
  </si>
  <si>
    <t>Jubilant Foodworks Ltd</t>
  </si>
  <si>
    <t>INE171A01029</t>
  </si>
  <si>
    <t>The Federal Bank  Ltd</t>
  </si>
  <si>
    <t>INE200M01013</t>
  </si>
  <si>
    <t>Varun Beverages Ltd</t>
  </si>
  <si>
    <t>INE299U01018</t>
  </si>
  <si>
    <t>Crompton Greaves Consumer Electricals Ltd</t>
  </si>
  <si>
    <t>INE761H01022</t>
  </si>
  <si>
    <t>Page Industries Ltd</t>
  </si>
  <si>
    <t>INE263A01024</t>
  </si>
  <si>
    <t>Bharat Electronics Ltd</t>
  </si>
  <si>
    <t>INE571A01020</t>
  </si>
  <si>
    <t>IPCA Laboratories Ltd</t>
  </si>
  <si>
    <t>INE105A01035</t>
  </si>
  <si>
    <t>Sundaram Clayton Ltd</t>
  </si>
  <si>
    <t>INE647A01010</t>
  </si>
  <si>
    <t>SRF Ltd</t>
  </si>
  <si>
    <t>INE749A01030</t>
  </si>
  <si>
    <t>Jindal Steel &amp; Power Ltd</t>
  </si>
  <si>
    <t>INE068V01023</t>
  </si>
  <si>
    <t>Gland Pharma Ltd</t>
  </si>
  <si>
    <t>INE115A01026</t>
  </si>
  <si>
    <t>LIC Housing Finance Ltd</t>
  </si>
  <si>
    <t>INE111A01025</t>
  </si>
  <si>
    <t>Container Corporation of India Ltd</t>
  </si>
  <si>
    <t>INE883A01011</t>
  </si>
  <si>
    <t>MRF Ltd</t>
  </si>
  <si>
    <t>INE849A01020</t>
  </si>
  <si>
    <t>Trent Ltd</t>
  </si>
  <si>
    <t>Retailing</t>
  </si>
  <si>
    <t>INE028A01039</t>
  </si>
  <si>
    <t>Bank of Baroda</t>
  </si>
  <si>
    <t>INE465A01025</t>
  </si>
  <si>
    <t>Bharat Forge Ltd</t>
  </si>
  <si>
    <t>INE763G01038</t>
  </si>
  <si>
    <t>ICICI Securities Ltd</t>
  </si>
  <si>
    <t>INE491A01021</t>
  </si>
  <si>
    <t>City Union Bank Ltd</t>
  </si>
  <si>
    <t>INE169A01031</t>
  </si>
  <si>
    <t>Coromandel International Ltd</t>
  </si>
  <si>
    <t>INE238A01034</t>
  </si>
  <si>
    <t>Axis Bank Ltd</t>
  </si>
  <si>
    <t>INE935N01020</t>
  </si>
  <si>
    <t>Dixon Technologies (India) Ltd</t>
  </si>
  <si>
    <t>INE769A01020</t>
  </si>
  <si>
    <t>Aarti Industries Ltd</t>
  </si>
  <si>
    <t>INE721A01013</t>
  </si>
  <si>
    <t>Shriram Transport Finance Company Ltd</t>
  </si>
  <si>
    <t>INE716A01013</t>
  </si>
  <si>
    <t>Whirlpool of India Ltd</t>
  </si>
  <si>
    <t>INE303R01014</t>
  </si>
  <si>
    <t>Kalyan Jewellers India Ltd</t>
  </si>
  <si>
    <t>INE860A01027</t>
  </si>
  <si>
    <t>HCL Technologies Ltd</t>
  </si>
  <si>
    <t>INE092T01019</t>
  </si>
  <si>
    <t>IDFC First Bank Ltd</t>
  </si>
  <si>
    <t>INE216P01012</t>
  </si>
  <si>
    <t>Aavas Financiers Ltd</t>
  </si>
  <si>
    <t>INE010V01017</t>
  </si>
  <si>
    <t>L&amp;T Technology Services Ltd</t>
  </si>
  <si>
    <t>INE335Y01012</t>
  </si>
  <si>
    <t>Indian Railway Catering &amp; Tourism Corporation Ltd</t>
  </si>
  <si>
    <t>INE192A01025</t>
  </si>
  <si>
    <t>TATA Consumer Products Ltd</t>
  </si>
  <si>
    <t>INE885A01032</t>
  </si>
  <si>
    <t>Amar Raja Batteries Ltd</t>
  </si>
  <si>
    <t>INE484J01027</t>
  </si>
  <si>
    <t>Godrej Properties Ltd</t>
  </si>
  <si>
    <t>INE356A01018</t>
  </si>
  <si>
    <t>MphasiS Ltd</t>
  </si>
  <si>
    <t>INE918I01018</t>
  </si>
  <si>
    <t>Bajaj Finserv Ltd</t>
  </si>
  <si>
    <t>INE774D01024</t>
  </si>
  <si>
    <t>Mahindra &amp; Mahindra Financial Services Ltd</t>
  </si>
  <si>
    <t>INE246F01010</t>
  </si>
  <si>
    <t>Gujarat State Petronet Ltd</t>
  </si>
  <si>
    <t>INE342J01019</t>
  </si>
  <si>
    <t>Wabco India Ltd</t>
  </si>
  <si>
    <t>IN9647O01027</t>
  </si>
  <si>
    <t>Aditya Birla Fashion and Retail Ltd</t>
  </si>
  <si>
    <t>Institutional Plan - Growth</t>
  </si>
  <si>
    <t>Sundaram Multi Cap Fund Series I</t>
  </si>
  <si>
    <t>INE009A01021</t>
  </si>
  <si>
    <t>Infosys Ltd</t>
  </si>
  <si>
    <t>INE001A01036</t>
  </si>
  <si>
    <t>Housing Development Finance Corporation Ltd</t>
  </si>
  <si>
    <t>INE062A01020</t>
  </si>
  <si>
    <t>State Bank of India</t>
  </si>
  <si>
    <t>INE123W01016</t>
  </si>
  <si>
    <t>SBI Life Insurance Company Ltd</t>
  </si>
  <si>
    <t>INE030A01027</t>
  </si>
  <si>
    <t>Hindustan UniLever Ltd</t>
  </si>
  <si>
    <t>INE467B01029</t>
  </si>
  <si>
    <t>Tata Consultancy Services Ltd</t>
  </si>
  <si>
    <t>INE075A01022</t>
  </si>
  <si>
    <t>Wipro Ltd</t>
  </si>
  <si>
    <t>INE044A01036</t>
  </si>
  <si>
    <t>Sun Pharmaceutical Industries Ltd</t>
  </si>
  <si>
    <t>INE081A01012</t>
  </si>
  <si>
    <t>Tata Steel Ltd</t>
  </si>
  <si>
    <t>INE101A01026</t>
  </si>
  <si>
    <t>Mahindra &amp; Mahindra Ltd</t>
  </si>
  <si>
    <t>INE361B01024</t>
  </si>
  <si>
    <t>Divi's Laboratories Ltd</t>
  </si>
  <si>
    <t>INE765G01017</t>
  </si>
  <si>
    <t>ICICI Lombard General Insurance Company Ltd</t>
  </si>
  <si>
    <t>INE154A01025</t>
  </si>
  <si>
    <t>ITC Ltd</t>
  </si>
  <si>
    <t>INE466L01020</t>
  </si>
  <si>
    <t>IIFL Wealth Management Ltd</t>
  </si>
  <si>
    <t>INE237A01028</t>
  </si>
  <si>
    <t>Kotak Mahindra Bank Ltd</t>
  </si>
  <si>
    <t>INE073K01018</t>
  </si>
  <si>
    <t>Sona BLW Precision Forgings Ltd</t>
  </si>
  <si>
    <t>INE038A01020</t>
  </si>
  <si>
    <t>Hindalco Industries Ltd</t>
  </si>
  <si>
    <t>Non - Ferrous Metals</t>
  </si>
  <si>
    <t>Sundaram Multi Cap Fund -Series II</t>
  </si>
  <si>
    <t>Sundaram Large and Mid Cap Fund</t>
  </si>
  <si>
    <t>INE006I01046</t>
  </si>
  <si>
    <t>Astral Ltd</t>
  </si>
  <si>
    <t>INE059A01026</t>
  </si>
  <si>
    <t>Cipla Ltd</t>
  </si>
  <si>
    <t>INE149A01033</t>
  </si>
  <si>
    <t>Cholamandalam Financial Holdings Ltd</t>
  </si>
  <si>
    <t>INE089A01023</t>
  </si>
  <si>
    <t>Dr. Reddy's Laboratories Ltd</t>
  </si>
  <si>
    <t>INE494B01023</t>
  </si>
  <si>
    <t>TVS Motor Company Ltd</t>
  </si>
  <si>
    <t>INE775A01035</t>
  </si>
  <si>
    <t>Motherson Sumi Systems Ltd</t>
  </si>
  <si>
    <t>Sundaram Emerging Small Cap Series I</t>
  </si>
  <si>
    <t>INE142Z01019</t>
  </si>
  <si>
    <t>Orient Electric Ltd</t>
  </si>
  <si>
    <t>INE717A01029</t>
  </si>
  <si>
    <t>Kennametal India Ltd</t>
  </si>
  <si>
    <t>INE896L01010</t>
  </si>
  <si>
    <t>Indostar Capital Finance Ltd</t>
  </si>
  <si>
    <t>INE688A01022</t>
  </si>
  <si>
    <t>Transport Corporation of India Ltd</t>
  </si>
  <si>
    <t>INE472A01039</t>
  </si>
  <si>
    <t>Blue Star Ltd</t>
  </si>
  <si>
    <t>INE778U01029</t>
  </si>
  <si>
    <t>TCNS Clothing Co. Ltd</t>
  </si>
  <si>
    <t>INE120A01034</t>
  </si>
  <si>
    <t>Carborundum Universal Ltd</t>
  </si>
  <si>
    <t>INE741K01010</t>
  </si>
  <si>
    <t>Creditaccess Grameen Ltd</t>
  </si>
  <si>
    <t>INE489L01022</t>
  </si>
  <si>
    <t>IIFL Securities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</si>
  <si>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</si>
  <si>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</si>
  <si>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</si>
  <si>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</si>
  <si>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</si>
  <si>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</si>
  <si>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</si>
  <si>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</si>
  <si>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INE287B01021</t>
  </si>
  <si>
    <t>Subros Ltd</t>
  </si>
  <si>
    <t>INE182A01018</t>
  </si>
  <si>
    <t>Pfizer Ltd</t>
  </si>
  <si>
    <t>INE058A01010</t>
  </si>
  <si>
    <t>Sanofi India Ltd</t>
  </si>
  <si>
    <t>INE172A01027</t>
  </si>
  <si>
    <t>Castrol India Ltd</t>
  </si>
  <si>
    <t>INE854D01024</t>
  </si>
  <si>
    <t>United Spirits Ltd</t>
  </si>
  <si>
    <t>INE517F01014</t>
  </si>
  <si>
    <t>Gujarat Pipavav Port Ltd</t>
  </si>
  <si>
    <t>INE686A01026</t>
  </si>
  <si>
    <t>ITD Cementation India Ltd</t>
  </si>
  <si>
    <t>INE179A01014</t>
  </si>
  <si>
    <t>Procter &amp; Gamble Hygiene and Health Care Ltd</t>
  </si>
  <si>
    <t>Sundaram Select Focus</t>
  </si>
  <si>
    <t>INE585B01010</t>
  </si>
  <si>
    <t>Maruti Suzuki India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</si>
  <si>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</si>
  <si>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</si>
  <si>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</si>
  <si>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</si>
  <si>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</si>
  <si>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INE155A01022</t>
  </si>
  <si>
    <t>Tata Motors Ltd</t>
  </si>
  <si>
    <t>INE647O01011</t>
  </si>
  <si>
    <t>INE280A01028</t>
  </si>
  <si>
    <t>Titan Company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</si>
  <si>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</si>
  <si>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</si>
  <si>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</si>
  <si>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</si>
  <si>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</si>
  <si>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Select Small Cap Series VI</t>
  </si>
  <si>
    <t>INE003A01024</t>
  </si>
  <si>
    <t>Siemens Ltd</t>
  </si>
  <si>
    <t>INE214T01019</t>
  </si>
  <si>
    <t>Larsen &amp; Toubro Infotech Ltd</t>
  </si>
  <si>
    <t>INE951I01027</t>
  </si>
  <si>
    <t>V-Guard Industries Ltd</t>
  </si>
  <si>
    <t>INE470A01017</t>
  </si>
  <si>
    <t>3M India Ltd</t>
  </si>
  <si>
    <t>INE498L01015</t>
  </si>
  <si>
    <t>L&amp;T Finance Holdings Ltd</t>
  </si>
  <si>
    <t>INE780C01023</t>
  </si>
  <si>
    <t>JM Financial Ltd</t>
  </si>
  <si>
    <t>INE787D01026</t>
  </si>
  <si>
    <t>Balkrishna Industries Ltd</t>
  </si>
  <si>
    <t>Sundaram Small Cap Fund</t>
  </si>
  <si>
    <t>INE098F01031</t>
  </si>
  <si>
    <t>Amrutanjan Health Care Ltd</t>
  </si>
  <si>
    <t>INE679A01013</t>
  </si>
  <si>
    <t>CSB Bank Ltd</t>
  </si>
  <si>
    <t>INE295F01017</t>
  </si>
  <si>
    <t>Butterfly Gandhimathi Appliances Ltd</t>
  </si>
  <si>
    <t>INE085A01013</t>
  </si>
  <si>
    <t>Chambal Fertilizers &amp; Chemicals Ltd</t>
  </si>
  <si>
    <t>INE199A01012</t>
  </si>
  <si>
    <t>Procter &amp; Gamble Health Ltd</t>
  </si>
  <si>
    <t>INE119A01028</t>
  </si>
  <si>
    <t>Balrampur Chini Mills Ltd</t>
  </si>
  <si>
    <t>INE389H01022</t>
  </si>
  <si>
    <t>KEC International Ltd</t>
  </si>
  <si>
    <t>INE599M01018</t>
  </si>
  <si>
    <t>Just Dial Ltd</t>
  </si>
  <si>
    <t>INE836A01035</t>
  </si>
  <si>
    <t>Birlasoft Ltd</t>
  </si>
  <si>
    <t>INE136S01016</t>
  </si>
  <si>
    <t>Neogen Chemicals Ltd</t>
  </si>
  <si>
    <t>INE217B01036</t>
  </si>
  <si>
    <t>Kajaria Ceramics Ltd</t>
  </si>
  <si>
    <t>INE930P01018</t>
  </si>
  <si>
    <t>Anupam Rasayan India Ltd</t>
  </si>
  <si>
    <t>INE970X01018</t>
  </si>
  <si>
    <t>Lemon Tree Hotels Ltd</t>
  </si>
  <si>
    <t>INE03QK01018</t>
  </si>
  <si>
    <t>Suven Pharmaceuticals Ltd</t>
  </si>
  <si>
    <t>INE702C01027</t>
  </si>
  <si>
    <t>APL Apollo Tubes Ltd</t>
  </si>
  <si>
    <t>INE177F01017</t>
  </si>
  <si>
    <t>Kovai Medical Center &amp; Hospital Ltd</t>
  </si>
  <si>
    <t>INE743M01012</t>
  </si>
  <si>
    <t>Orient Refractories Ltd</t>
  </si>
  <si>
    <t>INE355A01028</t>
  </si>
  <si>
    <t>Somany Ceramics Ltd</t>
  </si>
  <si>
    <t>INE596I01012</t>
  </si>
  <si>
    <t>Computer Age Management Services Ltd</t>
  </si>
  <si>
    <t>INE562A01011</t>
  </si>
  <si>
    <t>Indian Bank</t>
  </si>
  <si>
    <t>INE418L01021</t>
  </si>
  <si>
    <t>Nazara Technologies Ltd</t>
  </si>
  <si>
    <t>Sundaram Rural and Consumption Fund</t>
  </si>
  <si>
    <t>INE021A01026</t>
  </si>
  <si>
    <t>Asian Paints Ltd</t>
  </si>
  <si>
    <t>INE690A01010</t>
  </si>
  <si>
    <t>TTK Prestige Ltd</t>
  </si>
  <si>
    <t>INE296A01024</t>
  </si>
  <si>
    <t>Bajaj Finance Ltd</t>
  </si>
  <si>
    <t>INE544R01013</t>
  </si>
  <si>
    <t>Greenlam Industries Ltd</t>
  </si>
  <si>
    <t>INE239A01016</t>
  </si>
  <si>
    <t>Nestle India Ltd</t>
  </si>
  <si>
    <t>INE176A01028</t>
  </si>
  <si>
    <t>Bata India Ltd</t>
  </si>
  <si>
    <t>INE917I01010</t>
  </si>
  <si>
    <t>Bajaj Auto Ltd</t>
  </si>
  <si>
    <t>Sundaram Services Fund</t>
  </si>
  <si>
    <t>INE07T201019</t>
  </si>
  <si>
    <t>Burger King India Ltd</t>
  </si>
  <si>
    <t>INE112L01020</t>
  </si>
  <si>
    <t>Metropolis Healthcare Ltd</t>
  </si>
  <si>
    <t>INE933S01016</t>
  </si>
  <si>
    <t>Indiamart Intermesh Ltd</t>
  </si>
  <si>
    <t>INE795G01014</t>
  </si>
  <si>
    <t>HDFC Life Insurance Company Ltd</t>
  </si>
  <si>
    <t>INE670A01012</t>
  </si>
  <si>
    <t>Tata Elxsi Ltd</t>
  </si>
  <si>
    <t>INE094J01016</t>
  </si>
  <si>
    <t>UTI Asset Management Co Ltd</t>
  </si>
  <si>
    <t>INE663F01024</t>
  </si>
  <si>
    <t>Info Edge (India) Ltd</t>
  </si>
  <si>
    <t>INE192R01011</t>
  </si>
  <si>
    <t>Avenue Supermarts Ltd</t>
  </si>
  <si>
    <t>MU0295S00016</t>
  </si>
  <si>
    <t>Sundaram Smart NIFTY 100 Equal Weight Fund</t>
  </si>
  <si>
    <t>INE019A01038</t>
  </si>
  <si>
    <t>JSW Steel Ltd</t>
  </si>
  <si>
    <t>INE423A01024</t>
  </si>
  <si>
    <t>Adani Enterprises</t>
  </si>
  <si>
    <t>INE010B01027</t>
  </si>
  <si>
    <t>Cadila Healthcare Ltd</t>
  </si>
  <si>
    <t>INE584A01023</t>
  </si>
  <si>
    <t>NMDC Ltd</t>
  </si>
  <si>
    <t>Minerals/Mining</t>
  </si>
  <si>
    <t>INE726G01019</t>
  </si>
  <si>
    <t>ICICI Prudential Life Insurance Company Ltd</t>
  </si>
  <si>
    <t>INE196A01026</t>
  </si>
  <si>
    <t>Marico Ltd</t>
  </si>
  <si>
    <t>INE140A01024</t>
  </si>
  <si>
    <t>Piramal Enterprises Ltd</t>
  </si>
  <si>
    <t>INE094A01015</t>
  </si>
  <si>
    <t>Hindustan Petroleum Corporation Ltd</t>
  </si>
  <si>
    <t>INE102D01028</t>
  </si>
  <si>
    <t>Godrej Consumer Products Ltd</t>
  </si>
  <si>
    <t>INE931S01010</t>
  </si>
  <si>
    <t>Adani Transmission Ltd</t>
  </si>
  <si>
    <t>INE414G01012</t>
  </si>
  <si>
    <t>Muthoot Finance Ltd</t>
  </si>
  <si>
    <t>INE318A01026</t>
  </si>
  <si>
    <t>Pidilite Industries Ltd</t>
  </si>
  <si>
    <t>INE540L01014</t>
  </si>
  <si>
    <t>Alkem Laboratories Ltd</t>
  </si>
  <si>
    <t>INE686F01025</t>
  </si>
  <si>
    <t>United Breweries Ltd</t>
  </si>
  <si>
    <t>INE160A01022</t>
  </si>
  <si>
    <t>Punjab National Bank</t>
  </si>
  <si>
    <t>INE242A01010</t>
  </si>
  <si>
    <t>Indian Oil Corporation Ltd</t>
  </si>
  <si>
    <t>INE685A01028</t>
  </si>
  <si>
    <t>Torrent Pharmaceuticals Ltd</t>
  </si>
  <si>
    <t>INE205A01025</t>
  </si>
  <si>
    <t>Vedanta Ltd</t>
  </si>
  <si>
    <t>INE079A01024</t>
  </si>
  <si>
    <t>Ambuja Cements Ltd</t>
  </si>
  <si>
    <t>INE326A01037</t>
  </si>
  <si>
    <t>Lupin Ltd</t>
  </si>
  <si>
    <t>INE406A01037</t>
  </si>
  <si>
    <t>Aurobindo Pharma Ltd</t>
  </si>
  <si>
    <t>INE522F01014</t>
  </si>
  <si>
    <t>Coal India Ltd</t>
  </si>
  <si>
    <t>INE669C01036</t>
  </si>
  <si>
    <t>Tech Mahindra Ltd</t>
  </si>
  <si>
    <t>INE733E01010</t>
  </si>
  <si>
    <t>NTPC Ltd</t>
  </si>
  <si>
    <t>INE358A01014</t>
  </si>
  <si>
    <t>Abbott India Ltd</t>
  </si>
  <si>
    <t>INE118A01012</t>
  </si>
  <si>
    <t>Bajaj Holdings &amp; Investment Ltd</t>
  </si>
  <si>
    <t>INE259A01022</t>
  </si>
  <si>
    <t>Colgate Palmolive (India) Ltd</t>
  </si>
  <si>
    <t>INE016A01026</t>
  </si>
  <si>
    <t>Dabur India Ltd</t>
  </si>
  <si>
    <t>INE463A01038</t>
  </si>
  <si>
    <t>Berger Paints (I) Ltd</t>
  </si>
  <si>
    <t>INE047A01021</t>
  </si>
  <si>
    <t>Grasim Industries Ltd</t>
  </si>
  <si>
    <t>INE323A01026</t>
  </si>
  <si>
    <t>Bosch Ltd</t>
  </si>
  <si>
    <t>INE012A01025</t>
  </si>
  <si>
    <t>ACC Ltd</t>
  </si>
  <si>
    <t>INE752E01010</t>
  </si>
  <si>
    <t>Power Grid Corporation of India Ltd</t>
  </si>
  <si>
    <t>INE095A01012</t>
  </si>
  <si>
    <t>IndusInd Bank Ltd</t>
  </si>
  <si>
    <t>INE018E01016</t>
  </si>
  <si>
    <t>SBI Cards and Payment Services Ltd</t>
  </si>
  <si>
    <t>INE216A01030</t>
  </si>
  <si>
    <t>Britannia Industries Ltd</t>
  </si>
  <si>
    <t>INE127D01025</t>
  </si>
  <si>
    <t>HDFC Asset Management Company Ltd</t>
  </si>
  <si>
    <t>INE066A01021</t>
  </si>
  <si>
    <t>Eicher Motors Ltd</t>
  </si>
  <si>
    <t>INE646L01027</t>
  </si>
  <si>
    <t>Interglobe Aviation Ltd</t>
  </si>
  <si>
    <t>INE376G01013</t>
  </si>
  <si>
    <t>Biocon Ltd</t>
  </si>
  <si>
    <t>INE271C01023</t>
  </si>
  <si>
    <t>DLF Ltd</t>
  </si>
  <si>
    <t>INE070A01015</t>
  </si>
  <si>
    <t>Shree Cement Ltd</t>
  </si>
  <si>
    <t>INE158A01026</t>
  </si>
  <si>
    <t>Hero MotoCorp Ltd</t>
  </si>
  <si>
    <t>INE121J01017</t>
  </si>
  <si>
    <t>Indus Towers Ltd (Prev Bharti Infratel Ltd)</t>
  </si>
  <si>
    <t>INE528G01035</t>
  </si>
  <si>
    <t>Yes Bank Ltd</t>
  </si>
  <si>
    <t>INE176B01034</t>
  </si>
  <si>
    <t>Havells India Ltd</t>
  </si>
  <si>
    <t>INE545U01014</t>
  </si>
  <si>
    <t>Bandhan Bank Ltd</t>
  </si>
  <si>
    <t>INE364U01010</t>
  </si>
  <si>
    <t>Adani Green Energy Ltd</t>
  </si>
  <si>
    <t>INE216A08027</t>
  </si>
  <si>
    <t>Britannia Industries Ltd - 5.5% - 03/06/2024**</t>
  </si>
  <si>
    <t xml:space="preserve"> CRISIL AAA </t>
  </si>
  <si>
    <t>** Thinly traded / Non Traded Securities</t>
  </si>
  <si>
    <t>Sundaram Diversified Equity</t>
  </si>
  <si>
    <t>Sundaram Arbitrage Fund</t>
  </si>
  <si>
    <t>INE476A01014</t>
  </si>
  <si>
    <t>Canara Bank</t>
  </si>
  <si>
    <t>Stock Future</t>
  </si>
  <si>
    <t>INF903J01QF2</t>
  </si>
  <si>
    <t>Margin Money For Derivatives</t>
  </si>
  <si>
    <t>Sundaram Bluechip Fund</t>
  </si>
  <si>
    <t>Sundaram Equity Fund</t>
  </si>
  <si>
    <t>INE269B01029</t>
  </si>
  <si>
    <t>Lakshmi Machine Works Ltd</t>
  </si>
  <si>
    <t>INE944F01028</t>
  </si>
  <si>
    <t>Radico Khaitan Ltd</t>
  </si>
  <si>
    <t>INE093I01010</t>
  </si>
  <si>
    <t>Oberoi Realty Ltd</t>
  </si>
  <si>
    <t>Sundaram Equity Savings Fund</t>
  </si>
  <si>
    <t>Index Future</t>
  </si>
  <si>
    <t>INE020B08BF0</t>
  </si>
  <si>
    <t>REC Ltd - 8.45% - 22/03/2022**</t>
  </si>
  <si>
    <t>INE001A07RS3</t>
  </si>
  <si>
    <t>Housing Development Finance Corporation Ltd - 8.58% - 18/03/2022**</t>
  </si>
  <si>
    <t>INE020B08AT3</t>
  </si>
  <si>
    <t>REC Ltd - 7.99% - 23/02/2023**</t>
  </si>
  <si>
    <t>IN0020180488</t>
  </si>
  <si>
    <t>Sovereign</t>
  </si>
  <si>
    <t>Sundaram Financial Services Opportunities Fund</t>
  </si>
  <si>
    <t>INE674K01013</t>
  </si>
  <si>
    <t>Aditya Birla Capital Ltd</t>
  </si>
  <si>
    <t>Sundaram Value Fund Series X</t>
  </si>
  <si>
    <t>INE955V01021</t>
  </si>
  <si>
    <t>Arvind Fashions Ltd</t>
  </si>
  <si>
    <t>INE825A01012</t>
  </si>
  <si>
    <t>Vardhman Textiles Ltd</t>
  </si>
  <si>
    <t>INE614A01028</t>
  </si>
  <si>
    <t>Ramco Industries Ltd</t>
  </si>
  <si>
    <t>INE008A01015</t>
  </si>
  <si>
    <t>IDBI Bank Ltd</t>
  </si>
  <si>
    <t>Sundaram Value Fund Series VII</t>
  </si>
  <si>
    <t>INE805C01028</t>
  </si>
  <si>
    <t>KCP Ltd</t>
  </si>
  <si>
    <t>INE026A01025</t>
  </si>
  <si>
    <t>Gujarat State Fertilizers &amp; Chemicals Ltd</t>
  </si>
  <si>
    <t>INE722A01011</t>
  </si>
  <si>
    <t>Shriram City Union Finance Ltd</t>
  </si>
  <si>
    <t>INE807K01035</t>
  </si>
  <si>
    <t>S Chand and Company Ltd</t>
  </si>
  <si>
    <t>INE036D01028</t>
  </si>
  <si>
    <t>Karur Vysya Bank Ltd</t>
  </si>
  <si>
    <t>Sundaram Value Fund Series IX</t>
  </si>
  <si>
    <t>ANNEXURE - B 
SECURITIES CLASSIFIED AS BELOW INVESTMENT GRADE OR DEFAULT</t>
  </si>
  <si>
    <t>SCHEME: SUNDARAM EQUITY HYBRID FUND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</si>
  <si>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</si>
  <si>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</si>
  <si>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</si>
  <si>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</si>
  <si>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</si>
  <si>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</si>
  <si>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</si>
  <si>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</si>
  <si>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</si>
  <si>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</si>
  <si>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</si>
  <si>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</si>
  <si>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</si>
  <si>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</si>
  <si>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</si>
  <si>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</si>
  <si>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</si>
  <si>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</si>
  <si>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</si>
  <si>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</si>
  <si>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</si>
  <si>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</si>
  <si>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</si>
  <si>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</si>
  <si>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</si>
  <si>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</si>
  <si>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</si>
  <si>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</si>
  <si>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</si>
  <si>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</si>
  <si>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</si>
  <si>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</si>
  <si>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</si>
  <si>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</si>
  <si>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SFOCUS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</si>
  <si>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</si>
  <si>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</si>
  <si>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</si>
  <si>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</si>
  <si>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</si>
  <si>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</si>
  <si>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</si>
  <si>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</si>
  <si>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</si>
  <si>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</si>
  <si>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</si>
  <si>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</si>
  <si>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SMALL6</t>
  </si>
  <si>
    <t>SMILE</t>
  </si>
  <si>
    <t>SRURAL</t>
  </si>
  <si>
    <t>Sundaram Rural And Consumption Fund</t>
  </si>
  <si>
    <t>SSFUND</t>
  </si>
  <si>
    <t>Sundaram Service Fund</t>
  </si>
  <si>
    <t>SSN100</t>
  </si>
  <si>
    <t>Sundaram Smart Nifty 100 Equity Weight Fund</t>
  </si>
  <si>
    <t>STAX</t>
  </si>
  <si>
    <t>SUNARF</t>
  </si>
  <si>
    <t>SUNBAF</t>
  </si>
  <si>
    <t>Sundaram Balanced Advantage Fund</t>
  </si>
  <si>
    <t>SUNBAL</t>
  </si>
  <si>
    <t>Sundaram Equity Hybrid Fund</t>
  </si>
  <si>
    <t>SUNBCF</t>
  </si>
  <si>
    <t>SUNEQF</t>
  </si>
  <si>
    <t>SUNESF</t>
  </si>
  <si>
    <t>SUNFOP</t>
  </si>
  <si>
    <t>SUNVALF10</t>
  </si>
  <si>
    <t>SUNVALF7</t>
  </si>
  <si>
    <t>SUNVALF9</t>
  </si>
  <si>
    <t>GLOB</t>
  </si>
  <si>
    <t>Sundaram Global Brand Fund</t>
  </si>
  <si>
    <t>SUNDARAM GLOBAL BRAND FUND</t>
  </si>
  <si>
    <t>Monthly Portfolio Statement for the period ended 30 Jun 2021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</si>
  <si>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</si>
  <si>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</si>
  <si>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</si>
  <si>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</si>
  <si>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</si>
  <si>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</si>
  <si>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</si>
  <si>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</si>
  <si>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</si>
  <si>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</si>
  <si>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Cash and Other Net Curent Assets</t>
  </si>
  <si>
    <t>a) Total securities below investment grade or default  - Nil</t>
  </si>
  <si>
    <t>b) Total value and percentage of illiquid equity shares - Nil</t>
  </si>
  <si>
    <t xml:space="preserve"> </t>
  </si>
  <si>
    <t>Options</t>
  </si>
  <si>
    <t>Direct Plan - IDCW ^^</t>
  </si>
  <si>
    <t>Regular Plan - IDCW ^^</t>
  </si>
  <si>
    <t>^^ IDCW means Income distribution cum capital withdrawal (Payout/Reinvestment/Transfer)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</si>
  <si>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</si>
  <si>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</si>
  <si>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7,312.14  lacs</t>
  </si>
  <si>
    <t>g) Repo in Corporate Debt - Nil</t>
  </si>
  <si>
    <t>INE261F08CA0</t>
  </si>
  <si>
    <t>National Bank for Agricultural &amp; Rural Development - 6.4% - 31/07/2023**</t>
  </si>
  <si>
    <t>INE115A07OH1</t>
  </si>
  <si>
    <t>LIC Housing Finance Ltd - 7.6% - 22/11/2022**</t>
  </si>
  <si>
    <t>INE020B08CN2</t>
  </si>
  <si>
    <t>REC Ltd - 6.8% - 30/06/2023**</t>
  </si>
  <si>
    <t>INE261F08BW6</t>
  </si>
  <si>
    <t>National Bank for Agricultural &amp; Rural Development - 6.72% - 14/04/2023**</t>
  </si>
  <si>
    <t>INE001A07SH4</t>
  </si>
  <si>
    <t>Housing Development Finance Corporation Ltd - 6.99% - 13/02/2023**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</si>
  <si>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</si>
  <si>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</si>
  <si>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</si>
  <si>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</si>
  <si>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</si>
  <si>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</si>
  <si>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</si>
  <si>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</si>
  <si>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INE020B08CD3</t>
  </si>
  <si>
    <t>REC Ltd - 7.09% - 13/12/2022**</t>
  </si>
  <si>
    <t>INE053F07BZ2</t>
  </si>
  <si>
    <t>Indian Railway Finance Corporation Ltd - 6.59% - 14/04/2023**</t>
  </si>
  <si>
    <t>INE134E08IN2</t>
  </si>
  <si>
    <t>Power Finance Corporation Ltd - 7.27% - 22/12/2021**</t>
  </si>
  <si>
    <t>INE261F08AL1</t>
  </si>
  <si>
    <t>National Bank for Agricultural &amp; Rural Development - 8.39% - 19/07/2021</t>
  </si>
  <si>
    <t>INE115A14DA5</t>
  </si>
  <si>
    <t>LIC Housing Finance Ltd - 14/02/2022**</t>
  </si>
  <si>
    <t xml:space="preserve"> CRISIL A1+ </t>
  </si>
  <si>
    <t>Cash and Other Net Current Assets^</t>
  </si>
  <si>
    <t>**Non Traded Securities</t>
  </si>
  <si>
    <t>^ Net current assets includes interest accrued on fixed income securities</t>
  </si>
  <si>
    <t>Individual &amp; HUF</t>
  </si>
  <si>
    <t>Others</t>
  </si>
  <si>
    <t>i) Repo in corporate debt</t>
  </si>
  <si>
    <t>INE001A07SD3</t>
  </si>
  <si>
    <t>Housing Development Finance Corporation Ltd - 7.21% - 30/12/2022**</t>
  </si>
  <si>
    <t>INE134E08KO6</t>
  </si>
  <si>
    <t>Power Finance Corporation Ltd - 6.83% - 24/04/2023**</t>
  </si>
  <si>
    <t>INE062A08157</t>
  </si>
  <si>
    <t xml:space="preserve"> CRISIL AA+ </t>
  </si>
  <si>
    <t>INE020B08DR1</t>
  </si>
  <si>
    <t>REC Ltd - 5.74% - 20/06/2024</t>
  </si>
  <si>
    <t>INE261F08CS2</t>
  </si>
  <si>
    <t>National Bank for Agricultural &amp; Rural Development - 4.6% - 29/07/2022</t>
  </si>
  <si>
    <t>INE040A08377</t>
  </si>
  <si>
    <t>INE514E08FL5</t>
  </si>
  <si>
    <t>INE062A08140</t>
  </si>
  <si>
    <t>INE028A08158</t>
  </si>
  <si>
    <t xml:space="preserve"> IND AAA </t>
  </si>
  <si>
    <t>INE557F08FG1</t>
  </si>
  <si>
    <t>National Housing Bank  - 7.05% - 18/12/2024</t>
  </si>
  <si>
    <t>INE028A08117</t>
  </si>
  <si>
    <t>INE115A07PE5</t>
  </si>
  <si>
    <t>LIC Housing Finance Ltd - 4.545% - 28/03/2022**</t>
  </si>
  <si>
    <t xml:space="preserve"> CARE AAA </t>
  </si>
  <si>
    <t>INE134E08KD9</t>
  </si>
  <si>
    <t>Power Finance Corporation Ltd - 8.1% - 04/06/2024**</t>
  </si>
  <si>
    <t>INE261F08BK1</t>
  </si>
  <si>
    <t>National Bank for Agricultural &amp; Rural Development - 7.69% - 29/05/2024</t>
  </si>
  <si>
    <t>INE115A07OJ7</t>
  </si>
  <si>
    <t>LIC Housing Finance Ltd - 7.445% - 13/01/2023**</t>
  </si>
  <si>
    <t>INE090A08TW2</t>
  </si>
  <si>
    <t>INE238A08443</t>
  </si>
  <si>
    <t>INE020B08641</t>
  </si>
  <si>
    <t>REC Ltd - 9.75% - 11/11/2021**</t>
  </si>
  <si>
    <t>INE001A07SC5</t>
  </si>
  <si>
    <t>Housing Development Finance Corporation Ltd - 6.99% - 25/11/2021**</t>
  </si>
  <si>
    <t>INE528G08246</t>
  </si>
  <si>
    <t>Yes Bank Ltd - 9.9% - 31/10/2022**</t>
  </si>
  <si>
    <t>INE895D07487</t>
  </si>
  <si>
    <t>Tata Sons Pvt Ltd - 9.3% - 19/06/2024**</t>
  </si>
  <si>
    <t>IN0020130012</t>
  </si>
  <si>
    <t>IN002021Y080</t>
  </si>
  <si>
    <t>182 Days - T Bill - 25112021</t>
  </si>
  <si>
    <t>Bharat Petroleum Corporation Ltd June 2021</t>
  </si>
  <si>
    <t>ITC Ltd June 2021</t>
  </si>
  <si>
    <t>HDFC Life Insurance Company Ltd July 2021</t>
  </si>
  <si>
    <t>Canara Bank July 2021</t>
  </si>
  <si>
    <t>Bank of Baroda July 2021</t>
  </si>
  <si>
    <t>Adani Ports &amp; SEZ Ltd July 2021</t>
  </si>
  <si>
    <t>Apollo Hospitals Enterprise Limited July 2021</t>
  </si>
  <si>
    <t>Hindustan Unilever Ltd July 2021</t>
  </si>
  <si>
    <t>Motherson Sumi Systems Limited July 2021</t>
  </si>
  <si>
    <t>Page Industries Ltd July 2021</t>
  </si>
  <si>
    <t>LIC Housing Finance Ltd July 2021</t>
  </si>
  <si>
    <t>ICICI Bank Ltd July 2021</t>
  </si>
  <si>
    <t>Jindal Steel &amp; Power Ltd July 2021</t>
  </si>
  <si>
    <t>Axis Bank Ltd July 2021</t>
  </si>
  <si>
    <t>Indraprastha Gas Ltd July 2021</t>
  </si>
  <si>
    <t>Bharat Forge Ltd July 2021</t>
  </si>
  <si>
    <t>Federal Bank July 2021</t>
  </si>
  <si>
    <t>TATA Consumer Products Ltd July 2021</t>
  </si>
  <si>
    <t>Bharti Airtel Ltd July 2021</t>
  </si>
  <si>
    <t>Tata Motors Ltd July 2021</t>
  </si>
  <si>
    <t>United Spirits Ltd July 2021</t>
  </si>
  <si>
    <t>Tech Mahindra Ltd July 2021</t>
  </si>
  <si>
    <t>Housing Development Fin Corp Ltd July 2021</t>
  </si>
  <si>
    <t>Punjab National Bank July 2021</t>
  </si>
  <si>
    <t>Steel Authority of India Ltd July 2021</t>
  </si>
  <si>
    <t>TATA Consultancy Services Ltd July 2021</t>
  </si>
  <si>
    <t>Dr.Reddys Laboratories Ltd July 2021</t>
  </si>
  <si>
    <t>Pidilite Industries Ltd July 2021</t>
  </si>
  <si>
    <t>Marico Ltd July 2021</t>
  </si>
  <si>
    <t>Nifty July 2021</t>
  </si>
  <si>
    <t>Vedanta Limited July 2021</t>
  </si>
  <si>
    <t>Bajaj Auto Ltd July 2021</t>
  </si>
  <si>
    <t>State Bank of India July 2021</t>
  </si>
  <si>
    <t>Reliance Industries Ltd July 2021</t>
  </si>
  <si>
    <t>7.16% Central Government Securities 20/05/2023</t>
  </si>
  <si>
    <t>7.32 % Central Government Securities 28/01/2024</t>
  </si>
  <si>
    <t>CEMENT &amp; CEMENT PRODUCTS</t>
  </si>
  <si>
    <t>LEISURE SERVICES</t>
  </si>
  <si>
    <t>SOFTWARE</t>
  </si>
  <si>
    <t>CAPITAL MARKETS</t>
  </si>
  <si>
    <t>ENTERTAINMENT</t>
  </si>
  <si>
    <t>PHARMACEUTICALS</t>
  </si>
  <si>
    <t>CONSTRUCTION</t>
  </si>
  <si>
    <t>OTHER SERVICES</t>
  </si>
  <si>
    <t>CONSUMER DURABLES</t>
  </si>
  <si>
    <t>FINANCE</t>
  </si>
  <si>
    <t>CONSUMER NON DURABLES</t>
  </si>
  <si>
    <t>PRINTING &amp; PUBLICATION</t>
  </si>
  <si>
    <t>AUTO ANCILLARIES</t>
  </si>
  <si>
    <t>CHEMICALS</t>
  </si>
  <si>
    <t>Insurance</t>
  </si>
  <si>
    <t>Cement &amp; Cement Products</t>
  </si>
  <si>
    <t>Entertainment</t>
  </si>
  <si>
    <t>Capital Markets</t>
  </si>
  <si>
    <t>Leisure Services</t>
  </si>
  <si>
    <t>Other Services</t>
  </si>
  <si>
    <t>Printing &amp; Publication</t>
  </si>
  <si>
    <t>Aerospace &amp; Defense</t>
  </si>
  <si>
    <t>INE041025011</t>
  </si>
  <si>
    <t>Embassy Office Parks REIT</t>
  </si>
  <si>
    <t>INE0GGX23010</t>
  </si>
  <si>
    <t>Power Grid Infrastructure Investment Trust(InvIT)</t>
  </si>
  <si>
    <t>Power - Transmission</t>
  </si>
  <si>
    <t xml:space="preserve"> @@ Placed as margin for derivatives</t>
  </si>
  <si>
    <t xml:space="preserve">Sundaram Money Fund - Direct Growth@@ </t>
  </si>
  <si>
    <t>d) IDCW declared during the period (Rupees per unit)</t>
  </si>
  <si>
    <t>% to AUM as on 30.06.2021</t>
  </si>
  <si>
    <t>Refer Annexure B</t>
  </si>
  <si>
    <t>Make My Trip Ltd</t>
  </si>
  <si>
    <t>INE001A13049</t>
  </si>
  <si>
    <t>Housing Development Finance
Corporation Ltd</t>
  </si>
  <si>
    <t>g) Average Maturity - only for Debt portion (years)</t>
  </si>
  <si>
    <t>h) Macaulay Duration - only for Debt portion (years)</t>
  </si>
  <si>
    <t>As Per Annexure-A</t>
  </si>
  <si>
    <t>i) Portfolio Turnover Ratio</t>
  </si>
  <si>
    <t>j) Repo in corporate debt</t>
  </si>
  <si>
    <t>j) Portfolio Turnover Ratio</t>
  </si>
  <si>
    <t>Hindustan Dorr-Oliver Ltd @</t>
  </si>
  <si>
    <t>b) Total value and percentage of illiquid equity shares @</t>
  </si>
  <si>
    <t>0.00 / #</t>
  </si>
  <si>
    <t xml:space="preserve"> ICRA AAA </t>
  </si>
  <si>
    <t xml:space="preserve"> ICRA AA+ </t>
  </si>
  <si>
    <t xml:space="preserve"> ICRA BBB </t>
  </si>
  <si>
    <t>State Bank of India - 8.15% - Call Dt 02/08/2022** (Perpetual Bond under Basel III)</t>
  </si>
  <si>
    <t>HDFC Bank Ltd - 8.85% - Call Dt 12/05/2022** (Perpetual Bond under Basel III)</t>
  </si>
  <si>
    <t>Export Import Bank of India - 8.6% - Call Dt 31/03/2022** (Perpetual Bond under Basel III)</t>
  </si>
  <si>
    <t>State Bank of India - 8.39% - Call Dt 25/10/2021** (Perpetual Bond under Basel III)</t>
  </si>
  <si>
    <t>Bank of Baroda - 8.65% - Call Dt 11/08/2022**  (Perpetual Bond under Basel III)</t>
  </si>
  <si>
    <t>ICICI Bank Ltd - 9.2% - Call Dt 17/03/2022** (Perpetual Bond under Basel III)</t>
  </si>
  <si>
    <t>Axis Bank Ltd - 8.75% - Call Dt 28/06/2022** (Perpetual Bond under Basel III)</t>
  </si>
  <si>
    <t>Yield to call date %</t>
  </si>
  <si>
    <t>Bank of Baroda - 8.55% - Call Dt 14-Feb-2024 (Tier II Bond under Basel III)**</t>
  </si>
  <si>
    <t>d) IDCW ^^ declared during the period (Rupees per unit)</t>
  </si>
  <si>
    <t>Institutional Plan - IDCW ^^</t>
  </si>
  <si>
    <t>Aditya Birla Fashion and Retail Ltd - Partly Paid Right Shares</t>
  </si>
  <si>
    <t>Monthly Portfolio Statement for the month ended 30 June 2021</t>
  </si>
  <si>
    <t>761.03 Lacs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</si>
  <si>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</si>
  <si>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</si>
  <si>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</si>
  <si>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</si>
  <si>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June 30,2021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</si>
  <si>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</si>
  <si>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</si>
  <si>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</si>
  <si>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</si>
  <si>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</si>
  <si>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</si>
  <si>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</si>
  <si>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>Bharat Petroleum Corporation Ltd July 2021</t>
  </si>
  <si>
    <t>ITC Ltd July 2021</t>
  </si>
  <si>
    <t xml:space="preserve">Total percentage of existing assets hedged through futures as a percentage of net assets </t>
  </si>
  <si>
    <t>%</t>
  </si>
  <si>
    <t>For the period ended June 30,2021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</si>
  <si>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</si>
  <si>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</si>
  <si>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</si>
  <si>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</si>
  <si>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</si>
  <si>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Sundaram Select Micro Cap Series IX</t>
  </si>
  <si>
    <t>Sundaram Select Micro Cap Series VIII</t>
  </si>
  <si>
    <t>Sundaram Select Micro Cap Series XII</t>
  </si>
  <si>
    <t>Sundaram Select Micro Cap Series XI</t>
  </si>
  <si>
    <t>Sundaram Select Micro Cap Series X</t>
  </si>
  <si>
    <t>B. Other than hedging positions through futures as on June 30,2021:</t>
  </si>
  <si>
    <t>Margin maintained in       (Rs. in Lakhs) *</t>
  </si>
  <si>
    <t>-</t>
  </si>
  <si>
    <t>Total percentage of existing assets due to non-hedging positions as a percentage of net assets</t>
  </si>
  <si>
    <t>For the period ended June 30,2021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</si>
  <si>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</si>
  <si>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</si>
  <si>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June 30,2021:</t>
  </si>
  <si>
    <t>Call/Put</t>
  </si>
  <si>
    <t>Number of Contracts</t>
  </si>
  <si>
    <t>Option Price when purchased</t>
  </si>
  <si>
    <t>Current Option Price</t>
  </si>
  <si>
    <t>Total % of existing assets hedged through Put Options</t>
  </si>
  <si>
    <t>For the period ended  June 30,2021,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</si>
  <si>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</si>
  <si>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</si>
  <si>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</si>
  <si>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</si>
  <si>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June 30,2021:</t>
  </si>
  <si>
    <t xml:space="preserve">Total Exposure through Options other than hedging as a percentage of net assets </t>
  </si>
  <si>
    <t>For the period ended June 30,2021,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</si>
  <si>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</si>
  <si>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</si>
  <si>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June 30,2021- Nil</t>
  </si>
  <si>
    <t>F. Hedging Positions through Interest Rate Futures as on June 30,2021: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</si>
  <si>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</si>
  <si>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</si>
  <si>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</si>
  <si>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</si>
  <si>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June 30,2021 following were the hedging transactions through Interest Rate Futures which have been squared off/ expired</t>
  </si>
  <si>
    <t>For the period ended June 30,2021 following were the Non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</si>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</sst>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 * #,##0.00_ ;_ * \-#,##0.00_ ;_ * &quot;-&quot;??_ ;_ @_ "/>
    <numFmt numFmtId="164" formatCode="_(* #,##0.00_);_(* \(#,##0.00\);_(* &quot;-&quot;??_);_(@_)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0000;\-#,##0.000000"/>
    <numFmt numFmtId="173" formatCode="0.000"/>
    <numFmt numFmtId="174" formatCode="#,##0.000"/>
    <numFmt numFmtId="175" formatCode="0.00000"/>
    <numFmt numFmtId="176" formatCode="dd\/mm\/yyyy"/>
    <numFmt numFmtId="177" formatCode="0.0000"/>
    <numFmt numFmtId="178" formatCode="[$-1014009]#.0000"/>
    <numFmt numFmtId="179" formatCode="[$-1014009]#,##0.00;\(#,##0.00\)"/>
    <numFmt numFmtId="180" formatCode="0.000000000%"/>
    <numFmt numFmtId="181" formatCode="0.00000000"/>
    <numFmt numFmtId="182" formatCode="0.000000000"/>
    <numFmt numFmtId="183" formatCode="_(* #,##0.0000_);_(* \(#,##0.0000\);_(* &quot;-&quot;??_);_(@_)"/>
    <numFmt numFmtId="184" formatCode="#,##0.0000;\(#,##0.0000\)"/>
    <numFmt numFmtId="185" formatCode="_(* #,##0.000_);_(* \(#,##0.000\);_(* &quot;-&quot;??_);_(@_)"/>
    <numFmt numFmtId="186" formatCode="_(* #,##0_);_(* \(#,##0\);_(* &quot;-&quot;??_);_(@_)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>
      <alignment wrapText="1"/>
    </xf>
    <xf numFmtId="0" fontId="1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0" fontId="6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>
      <alignment wrapText="1"/>
    </xf>
  </cellStyleXfs>
  <cellXfs count="327">
    <xf numFmtId="0" fontId="0" fillId="0" borderId="0" xfId="0">
      <alignment wrapText="1"/>
    </xf>
    <xf numFmtId="0" fontId="2" fillId="2" borderId="4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165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166" fontId="3" fillId="2" borderId="4" xfId="0" applyNumberFormat="1" applyFont="1" applyFill="1" applyBorder="1" applyAlignment="1">
      <alignment horizontal="right" vertical="center" wrapText="1" readingOrder="1"/>
    </xf>
    <xf numFmtId="167" fontId="3" fillId="2" borderId="4" xfId="0" applyNumberFormat="1" applyFont="1" applyFill="1" applyBorder="1" applyAlignment="1">
      <alignment horizontal="right" vertical="center" wrapText="1" readingOrder="1"/>
    </xf>
    <xf numFmtId="168" fontId="3" fillId="2" borderId="4" xfId="0" applyNumberFormat="1" applyFont="1" applyFill="1" applyBorder="1" applyAlignment="1">
      <alignment horizontal="right" vertical="center" wrapText="1" readingOrder="1"/>
    </xf>
    <xf numFmtId="167" fontId="4" fillId="2" borderId="4" xfId="0" applyNumberFormat="1" applyFont="1" applyFill="1" applyBorder="1" applyAlignment="1">
      <alignment horizontal="right" vertical="center" wrapText="1" readingOrder="1"/>
    </xf>
    <xf numFmtId="168" fontId="4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9" fontId="4" fillId="2" borderId="4" xfId="0" applyNumberFormat="1" applyFont="1" applyFill="1" applyBorder="1" applyAlignment="1">
      <alignment horizontal="right" vertical="center" wrapText="1" readingOrder="1"/>
    </xf>
    <xf numFmtId="170" fontId="4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5" fillId="2" borderId="6" xfId="0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right" vertical="top" wrapText="1" readingOrder="1"/>
    </xf>
    <xf numFmtId="171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right" vertical="top" wrapText="1" readingOrder="1"/>
    </xf>
    <xf numFmtId="170" fontId="4" fillId="2" borderId="4" xfId="0" applyNumberFormat="1" applyFont="1" applyFill="1" applyBorder="1" applyAlignment="1">
      <alignment horizontal="left" vertical="center" wrapText="1" readingOrder="1"/>
    </xf>
    <xf numFmtId="0" fontId="0" fillId="2" borderId="0" xfId="0" applyFill="1" applyBorder="1" applyAlignment="1">
      <alignment horizontal="center" vertical="top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1" fillId="0" borderId="0" xfId="1"/>
    <xf numFmtId="0" fontId="7" fillId="0" borderId="0" xfId="1" applyFont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8" fillId="0" borderId="13" xfId="1" applyFont="1" applyBorder="1"/>
    <xf numFmtId="0" fontId="8" fillId="0" borderId="14" xfId="1" applyFont="1" applyBorder="1"/>
    <xf numFmtId="0" fontId="8" fillId="0" borderId="0" xfId="1" applyFont="1"/>
    <xf numFmtId="0" fontId="1" fillId="0" borderId="13" xfId="1" applyBorder="1"/>
    <xf numFmtId="0" fontId="1" fillId="0" borderId="14" xfId="1" applyBorder="1"/>
    <xf numFmtId="0" fontId="1" fillId="0" borderId="15" xfId="1" applyBorder="1"/>
    <xf numFmtId="0" fontId="7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2" fontId="8" fillId="0" borderId="24" xfId="1" applyNumberFormat="1" applyFont="1" applyBorder="1" applyAlignment="1">
      <alignment horizontal="right" vertical="center" wrapText="1"/>
    </xf>
    <xf numFmtId="164" fontId="8" fillId="0" borderId="24" xfId="2" applyFont="1" applyBorder="1" applyAlignment="1">
      <alignment horizontal="right" vertical="center" wrapText="1"/>
    </xf>
    <xf numFmtId="4" fontId="8" fillId="0" borderId="24" xfId="1" applyNumberFormat="1" applyFont="1" applyBorder="1" applyAlignment="1">
      <alignment horizontal="right"/>
    </xf>
    <xf numFmtId="10" fontId="8" fillId="0" borderId="25" xfId="3" applyNumberFormat="1" applyFont="1" applyBorder="1" applyAlignment="1">
      <alignment wrapText="1"/>
    </xf>
    <xf numFmtId="0" fontId="1" fillId="0" borderId="26" xfId="1" applyBorder="1"/>
    <xf numFmtId="0" fontId="1" fillId="0" borderId="27" xfId="1" applyBorder="1"/>
    <xf numFmtId="4" fontId="1" fillId="0" borderId="27" xfId="1" applyNumberFormat="1" applyBorder="1"/>
    <xf numFmtId="2" fontId="1" fillId="0" borderId="27" xfId="1" applyNumberFormat="1" applyBorder="1"/>
    <xf numFmtId="10" fontId="1" fillId="0" borderId="28" xfId="3" applyNumberFormat="1" applyFont="1" applyBorder="1"/>
    <xf numFmtId="14" fontId="1" fillId="0" borderId="0" xfId="1" applyNumberFormat="1"/>
    <xf numFmtId="4" fontId="1" fillId="0" borderId="0" xfId="1" applyNumberFormat="1"/>
    <xf numFmtId="2" fontId="1" fillId="0" borderId="0" xfId="1" applyNumberFormat="1"/>
    <xf numFmtId="2" fontId="7" fillId="0" borderId="0" xfId="1" applyNumberFormat="1" applyFont="1"/>
    <xf numFmtId="0" fontId="10" fillId="0" borderId="1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3" fillId="0" borderId="14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2" fillId="0" borderId="14" xfId="1" applyFont="1" applyBorder="1" applyAlignment="1">
      <alignment vertical="center"/>
    </xf>
    <xf numFmtId="0" fontId="1" fillId="0" borderId="0" xfId="4"/>
    <xf numFmtId="0" fontId="14" fillId="0" borderId="14" xfId="5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 readingOrder="1"/>
    </xf>
    <xf numFmtId="0" fontId="15" fillId="0" borderId="14" xfId="1" applyFont="1" applyBorder="1" applyProtection="1">
      <protection locked="0"/>
    </xf>
    <xf numFmtId="0" fontId="16" fillId="0" borderId="14" xfId="1" applyFont="1" applyBorder="1" applyAlignment="1" applyProtection="1">
      <alignment wrapText="1"/>
      <protection locked="0"/>
    </xf>
    <xf numFmtId="0" fontId="15" fillId="0" borderId="14" xfId="1" applyFont="1" applyBorder="1" applyAlignment="1">
      <alignment horizontal="right"/>
    </xf>
    <xf numFmtId="0" fontId="1" fillId="0" borderId="14" xfId="4" applyBorder="1"/>
    <xf numFmtId="0" fontId="15" fillId="0" borderId="14" xfId="1" applyFont="1" applyBorder="1" applyAlignment="1" applyProtection="1">
      <alignment wrapText="1"/>
      <protection locked="0"/>
    </xf>
    <xf numFmtId="173" fontId="15" fillId="0" borderId="14" xfId="1" applyNumberFormat="1" applyFont="1" applyBorder="1" applyProtection="1">
      <protection locked="0"/>
    </xf>
    <xf numFmtId="164" fontId="15" fillId="0" borderId="14" xfId="6" applyFont="1" applyFill="1" applyBorder="1" applyAlignment="1">
      <alignment horizontal="right"/>
    </xf>
    <xf numFmtId="2" fontId="15" fillId="0" borderId="14" xfId="1" applyNumberFormat="1" applyFont="1" applyBorder="1" applyAlignment="1">
      <alignment horizontal="right"/>
    </xf>
    <xf numFmtId="164" fontId="1" fillId="0" borderId="0" xfId="4" applyNumberFormat="1"/>
    <xf numFmtId="173" fontId="1" fillId="0" borderId="0" xfId="4" applyNumberFormat="1"/>
    <xf numFmtId="0" fontId="15" fillId="0" borderId="14" xfId="1" applyFont="1" applyBorder="1" applyAlignment="1">
      <alignment horizontal="center"/>
    </xf>
    <xf numFmtId="174" fontId="1" fillId="0" borderId="14" xfId="4" applyNumberFormat="1" applyBorder="1"/>
    <xf numFmtId="0" fontId="15" fillId="0" borderId="14" xfId="1" applyFont="1" applyBorder="1"/>
    <xf numFmtId="0" fontId="16" fillId="0" borderId="14" xfId="5" applyFont="1" applyBorder="1" applyAlignment="1">
      <alignment vertical="center" wrapText="1"/>
    </xf>
    <xf numFmtId="173" fontId="16" fillId="0" borderId="14" xfId="5" applyNumberFormat="1" applyFont="1" applyBorder="1" applyAlignment="1">
      <alignment vertical="center" wrapText="1"/>
    </xf>
    <xf numFmtId="164" fontId="16" fillId="0" borderId="14" xfId="7" applyFont="1" applyFill="1" applyBorder="1" applyAlignment="1">
      <alignment vertical="center" wrapText="1"/>
    </xf>
    <xf numFmtId="164" fontId="16" fillId="0" borderId="14" xfId="6" applyFont="1" applyBorder="1" applyAlignment="1">
      <alignment horizontal="right" vertical="center"/>
    </xf>
    <xf numFmtId="10" fontId="1" fillId="0" borderId="14" xfId="4" applyNumberFormat="1" applyBorder="1"/>
    <xf numFmtId="164" fontId="15" fillId="0" borderId="14" xfId="7" applyFont="1" applyFill="1" applyBorder="1" applyAlignment="1">
      <alignment horizontal="right"/>
    </xf>
    <xf numFmtId="0" fontId="16" fillId="0" borderId="14" xfId="1" applyFont="1" applyBorder="1" applyProtection="1">
      <protection locked="0"/>
    </xf>
    <xf numFmtId="164" fontId="15" fillId="0" borderId="14" xfId="7" applyFont="1" applyFill="1" applyBorder="1" applyAlignment="1" applyProtection="1">
      <alignment horizontal="right"/>
      <protection locked="0"/>
    </xf>
    <xf numFmtId="0" fontId="15" fillId="0" borderId="14" xfId="4" applyFont="1" applyBorder="1"/>
    <xf numFmtId="164" fontId="15" fillId="0" borderId="14" xfId="7" applyFont="1" applyFill="1" applyBorder="1"/>
    <xf numFmtId="164" fontId="8" fillId="0" borderId="14" xfId="4" applyNumberFormat="1" applyFont="1" applyBorder="1"/>
    <xf numFmtId="0" fontId="16" fillId="0" borderId="14" xfId="1" applyFont="1" applyBorder="1"/>
    <xf numFmtId="164" fontId="16" fillId="0" borderId="14" xfId="7" applyFont="1" applyFill="1" applyBorder="1" applyAlignment="1">
      <alignment horizontal="right"/>
    </xf>
    <xf numFmtId="164" fontId="1" fillId="0" borderId="14" xfId="4" applyNumberFormat="1" applyBorder="1"/>
    <xf numFmtId="2" fontId="16" fillId="0" borderId="14" xfId="1" applyNumberFormat="1" applyFont="1" applyBorder="1" applyAlignment="1">
      <alignment horizontal="right"/>
    </xf>
    <xf numFmtId="4" fontId="17" fillId="0" borderId="14" xfId="1" applyNumberFormat="1" applyFont="1" applyBorder="1"/>
    <xf numFmtId="4" fontId="1" fillId="0" borderId="0" xfId="4" applyNumberFormat="1"/>
    <xf numFmtId="175" fontId="1" fillId="0" borderId="0" xfId="4" applyNumberFormat="1"/>
    <xf numFmtId="0" fontId="18" fillId="0" borderId="0" xfId="8" applyFont="1" applyAlignment="1">
      <alignment horizontal="left" vertical="center" wrapText="1"/>
    </xf>
    <xf numFmtId="0" fontId="19" fillId="0" borderId="0" xfId="8" applyFont="1" applyAlignment="1">
      <alignment vertical="center"/>
    </xf>
    <xf numFmtId="164" fontId="19" fillId="0" borderId="0" xfId="8" applyNumberFormat="1" applyFont="1" applyAlignment="1">
      <alignment vertical="center"/>
    </xf>
    <xf numFmtId="4" fontId="20" fillId="0" borderId="0" xfId="4" applyNumberFormat="1" applyFont="1"/>
    <xf numFmtId="2" fontId="19" fillId="0" borderId="0" xfId="8" applyNumberFormat="1" applyFont="1" applyAlignment="1">
      <alignment vertical="center"/>
    </xf>
    <xf numFmtId="0" fontId="15" fillId="0" borderId="0" xfId="9" applyFont="1" applyAlignment="1">
      <alignment vertical="center"/>
    </xf>
    <xf numFmtId="0" fontId="19" fillId="0" borderId="0" xfId="8" applyFont="1" applyAlignment="1">
      <alignment horizontal="left" vertical="center"/>
    </xf>
    <xf numFmtId="0" fontId="19" fillId="0" borderId="14" xfId="8" applyFont="1" applyBorder="1" applyAlignment="1">
      <alignment vertical="center"/>
    </xf>
    <xf numFmtId="0" fontId="16" fillId="0" borderId="14" xfId="9" applyFont="1" applyBorder="1" applyAlignment="1">
      <alignment horizontal="center" vertical="center"/>
    </xf>
    <xf numFmtId="0" fontId="18" fillId="0" borderId="0" xfId="8" applyFont="1" applyAlignment="1">
      <alignment vertical="center"/>
    </xf>
    <xf numFmtId="0" fontId="16" fillId="0" borderId="14" xfId="9" applyFont="1" applyBorder="1" applyAlignment="1">
      <alignment vertical="center"/>
    </xf>
    <xf numFmtId="176" fontId="18" fillId="0" borderId="14" xfId="8" applyNumberFormat="1" applyFont="1" applyBorder="1" applyAlignment="1">
      <alignment horizontal="center"/>
    </xf>
    <xf numFmtId="14" fontId="18" fillId="0" borderId="0" xfId="8" applyNumberFormat="1" applyFont="1" applyAlignment="1">
      <alignment horizontal="center"/>
    </xf>
    <xf numFmtId="0" fontId="8" fillId="0" borderId="0" xfId="4" applyFont="1"/>
    <xf numFmtId="0" fontId="19" fillId="0" borderId="14" xfId="8" applyFont="1" applyBorder="1" applyAlignment="1">
      <alignment horizontal="left" vertical="center"/>
    </xf>
    <xf numFmtId="177" fontId="8" fillId="0" borderId="14" xfId="4" applyNumberFormat="1" applyFont="1" applyBorder="1"/>
    <xf numFmtId="177" fontId="8" fillId="0" borderId="0" xfId="4" applyNumberFormat="1" applyFont="1"/>
    <xf numFmtId="0" fontId="3" fillId="0" borderId="4" xfId="1" applyFont="1" applyBorder="1" applyAlignment="1">
      <alignment horizontal="left" vertical="center" wrapText="1" readingOrder="1"/>
    </xf>
    <xf numFmtId="0" fontId="3" fillId="0" borderId="0" xfId="1" applyFont="1" applyAlignment="1">
      <alignment vertical="center" readingOrder="1"/>
    </xf>
    <xf numFmtId="0" fontId="3" fillId="0" borderId="0" xfId="1" applyFont="1" applyAlignment="1">
      <alignment vertical="center" wrapText="1" readingOrder="1"/>
    </xf>
    <xf numFmtId="0" fontId="15" fillId="0" borderId="0" xfId="8" applyFont="1" applyAlignment="1">
      <alignment horizontal="center" vertical="center"/>
    </xf>
    <xf numFmtId="0" fontId="19" fillId="0" borderId="0" xfId="8" quotePrefix="1" applyFont="1" applyAlignment="1">
      <alignment vertical="center"/>
    </xf>
    <xf numFmtId="0" fontId="15" fillId="0" borderId="0" xfId="4" applyFont="1" applyAlignment="1">
      <alignment vertical="center" wrapText="1"/>
    </xf>
    <xf numFmtId="0" fontId="6" fillId="0" borderId="0" xfId="10">
      <alignment wrapText="1"/>
    </xf>
    <xf numFmtId="0" fontId="3" fillId="2" borderId="4" xfId="10" applyFont="1" applyFill="1" applyBorder="1" applyAlignment="1">
      <alignment horizontal="right" vertical="top" wrapText="1" readingOrder="1"/>
    </xf>
    <xf numFmtId="0" fontId="4" fillId="2" borderId="4" xfId="10" applyFont="1" applyFill="1" applyBorder="1" applyAlignment="1">
      <alignment horizontal="left" vertical="center" wrapText="1" readingOrder="1"/>
    </xf>
    <xf numFmtId="165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4" xfId="10" applyFont="1" applyFill="1" applyBorder="1" applyAlignment="1">
      <alignment horizontal="left" vertical="center" wrapText="1" readingOrder="1"/>
    </xf>
    <xf numFmtId="166" fontId="3" fillId="2" borderId="4" xfId="10" applyNumberFormat="1" applyFont="1" applyFill="1" applyBorder="1" applyAlignment="1">
      <alignment horizontal="right" vertical="center" wrapText="1" readingOrder="1"/>
    </xf>
    <xf numFmtId="167" fontId="3" fillId="2" borderId="4" xfId="10" applyNumberFormat="1" applyFont="1" applyFill="1" applyBorder="1" applyAlignment="1">
      <alignment horizontal="right" vertical="center" wrapText="1" readingOrder="1"/>
    </xf>
    <xf numFmtId="168" fontId="3" fillId="2" borderId="4" xfId="10" applyNumberFormat="1" applyFont="1" applyFill="1" applyBorder="1" applyAlignment="1">
      <alignment horizontal="right" vertical="center" wrapText="1" readingOrder="1"/>
    </xf>
    <xf numFmtId="167" fontId="4" fillId="2" borderId="4" xfId="10" applyNumberFormat="1" applyFont="1" applyFill="1" applyBorder="1" applyAlignment="1">
      <alignment horizontal="right" vertical="center" wrapText="1" readingOrder="1"/>
    </xf>
    <xf numFmtId="168" fontId="4" fillId="2" borderId="4" xfId="10" applyNumberFormat="1" applyFont="1" applyFill="1" applyBorder="1" applyAlignment="1">
      <alignment horizontal="right" vertical="center" wrapText="1" readingOrder="1"/>
    </xf>
    <xf numFmtId="0" fontId="5" fillId="2" borderId="4" xfId="10" applyFont="1" applyFill="1" applyBorder="1" applyAlignment="1">
      <alignment horizontal="left" vertical="center" wrapText="1" readingOrder="1"/>
    </xf>
    <xf numFmtId="0" fontId="5" fillId="2" borderId="4" xfId="10" applyFont="1" applyFill="1" applyBorder="1" applyAlignment="1">
      <alignment horizontal="right" vertical="center" wrapText="1" readingOrder="1"/>
    </xf>
    <xf numFmtId="169" fontId="4" fillId="2" borderId="4" xfId="10" applyNumberFormat="1" applyFont="1" applyFill="1" applyBorder="1" applyAlignment="1">
      <alignment horizontal="right" vertical="center" wrapText="1" readingOrder="1"/>
    </xf>
    <xf numFmtId="170" fontId="4" fillId="2" borderId="4" xfId="10" applyNumberFormat="1" applyFont="1" applyFill="1" applyBorder="1" applyAlignment="1">
      <alignment horizontal="right" vertical="center" wrapText="1" readingOrder="1"/>
    </xf>
    <xf numFmtId="0" fontId="3" fillId="2" borderId="4" xfId="10" applyFont="1" applyFill="1" applyBorder="1" applyAlignment="1">
      <alignment horizontal="right" vertical="center" wrapText="1" readingOrder="1"/>
    </xf>
    <xf numFmtId="0" fontId="5" fillId="2" borderId="5" xfId="10" applyFont="1" applyFill="1" applyBorder="1" applyAlignment="1">
      <alignment horizontal="left" vertical="center" wrapText="1" readingOrder="1"/>
    </xf>
    <xf numFmtId="0" fontId="5" fillId="2" borderId="5" xfId="10" applyFont="1" applyFill="1" applyBorder="1" applyAlignment="1">
      <alignment horizontal="right" vertical="center" wrapText="1" readingOrder="1"/>
    </xf>
    <xf numFmtId="0" fontId="5" fillId="2" borderId="0" xfId="10" applyFont="1" applyFill="1" applyAlignment="1">
      <alignment horizontal="left" vertical="center" wrapText="1" readingOrder="1"/>
    </xf>
    <xf numFmtId="0" fontId="5" fillId="2" borderId="0" xfId="10" applyFont="1" applyFill="1" applyAlignment="1">
      <alignment horizontal="right" vertical="center" wrapText="1" readingOrder="1"/>
    </xf>
    <xf numFmtId="0" fontId="5" fillId="2" borderId="6" xfId="10" applyFont="1" applyFill="1" applyBorder="1" applyAlignment="1">
      <alignment horizontal="right" vertical="center" wrapText="1" readingOrder="1"/>
    </xf>
    <xf numFmtId="0" fontId="3" fillId="2" borderId="0" xfId="10" applyFont="1" applyFill="1" applyAlignment="1">
      <alignment horizontal="right" vertical="top" wrapText="1" readingOrder="1"/>
    </xf>
    <xf numFmtId="0" fontId="4" fillId="2" borderId="4" xfId="10" applyFont="1" applyFill="1" applyBorder="1" applyAlignment="1">
      <alignment horizontal="right" vertical="top" wrapText="1" readingOrder="1"/>
    </xf>
    <xf numFmtId="0" fontId="4" fillId="2" borderId="4" xfId="10" applyFont="1" applyFill="1" applyBorder="1" applyAlignment="1">
      <alignment horizontal="left" vertical="top" wrapText="1" readingOrder="1"/>
    </xf>
    <xf numFmtId="178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0" xfId="10" applyFont="1" applyFill="1" applyAlignment="1">
      <alignment horizontal="left" vertical="center" wrapText="1" readingOrder="1"/>
    </xf>
    <xf numFmtId="0" fontId="3" fillId="2" borderId="0" xfId="10" applyFont="1" applyFill="1" applyAlignment="1">
      <alignment horizontal="right" vertical="center" wrapText="1" readingOrder="1"/>
    </xf>
    <xf numFmtId="0" fontId="3" fillId="2" borderId="5" xfId="10" applyFont="1" applyFill="1" applyBorder="1" applyAlignment="1">
      <alignment horizontal="left" vertical="center" wrapText="1" readingOrder="1"/>
    </xf>
    <xf numFmtId="0" fontId="4" fillId="2" borderId="5" xfId="10" applyFont="1" applyFill="1" applyBorder="1" applyAlignment="1">
      <alignment horizontal="left" vertical="center" wrapText="1" readingOrder="1"/>
    </xf>
    <xf numFmtId="0" fontId="3" fillId="2" borderId="6" xfId="10" applyFont="1" applyFill="1" applyBorder="1" applyAlignment="1">
      <alignment horizontal="right" vertical="top" wrapText="1" readingOrder="1"/>
    </xf>
    <xf numFmtId="179" fontId="4" fillId="2" borderId="4" xfId="10" applyNumberFormat="1" applyFont="1" applyFill="1" applyBorder="1" applyAlignment="1">
      <alignment horizontal="left" vertical="center" wrapText="1" readingOrder="1"/>
    </xf>
    <xf numFmtId="170" fontId="4" fillId="2" borderId="4" xfId="10" applyNumberFormat="1" applyFont="1" applyFill="1" applyBorder="1" applyAlignment="1">
      <alignment horizontal="left" vertical="center" wrapText="1" readingOrder="1"/>
    </xf>
    <xf numFmtId="0" fontId="6" fillId="2" borderId="0" xfId="10" applyFill="1" applyAlignment="1">
      <alignment horizontal="center" vertical="top" readingOrder="1"/>
    </xf>
    <xf numFmtId="0" fontId="21" fillId="2" borderId="4" xfId="0" applyFont="1" applyFill="1" applyBorder="1" applyAlignment="1">
      <alignment horizontal="left" vertical="center" wrapText="1" readingOrder="1"/>
    </xf>
    <xf numFmtId="0" fontId="22" fillId="0" borderId="14" xfId="4" applyFont="1" applyBorder="1" applyAlignment="1">
      <alignment vertical="center"/>
    </xf>
    <xf numFmtId="0" fontId="23" fillId="0" borderId="0" xfId="0" applyFont="1">
      <alignment wrapText="1"/>
    </xf>
    <xf numFmtId="180" fontId="6" fillId="0" borderId="0" xfId="10" applyNumberFormat="1">
      <alignment wrapText="1"/>
    </xf>
    <xf numFmtId="180" fontId="0" fillId="0" borderId="0" xfId="0" applyNumberFormat="1">
      <alignment wrapText="1"/>
    </xf>
    <xf numFmtId="0" fontId="4" fillId="2" borderId="14" xfId="0" applyFont="1" applyFill="1" applyBorder="1" applyAlignment="1">
      <alignment horizontal="left" vertical="center" wrapText="1" readingOrder="1"/>
    </xf>
    <xf numFmtId="0" fontId="4" fillId="2" borderId="14" xfId="0" applyFont="1" applyFill="1" applyBorder="1" applyAlignment="1">
      <alignment horizontal="center" vertical="top" readingOrder="1"/>
    </xf>
    <xf numFmtId="0" fontId="3" fillId="2" borderId="14" xfId="0" applyFont="1" applyFill="1" applyBorder="1" applyAlignment="1">
      <alignment horizontal="left" vertical="center" wrapText="1" readingOrder="1"/>
    </xf>
    <xf numFmtId="172" fontId="3" fillId="2" borderId="14" xfId="0" applyNumberFormat="1" applyFont="1" applyFill="1" applyBorder="1" applyAlignment="1">
      <alignment horizontal="right" vertical="center" wrapText="1" readingOrder="1"/>
    </xf>
    <xf numFmtId="172" fontId="3" fillId="2" borderId="14" xfId="0" applyNumberFormat="1" applyFont="1" applyFill="1" applyBorder="1" applyAlignment="1">
      <alignment horizontal="center" vertical="center" wrapText="1" readingOrder="1"/>
    </xf>
    <xf numFmtId="0" fontId="24" fillId="0" borderId="0" xfId="10" applyFont="1" applyAlignment="1">
      <alignment vertical="center" wrapText="1"/>
    </xf>
    <xf numFmtId="0" fontId="13" fillId="0" borderId="0" xfId="10" applyFont="1" applyAlignment="1">
      <alignment vertical="center" wrapText="1"/>
    </xf>
    <xf numFmtId="0" fontId="3" fillId="2" borderId="0" xfId="0" applyFont="1" applyFill="1" applyAlignment="1">
      <alignment horizontal="right" vertical="top" wrapText="1" readingOrder="1"/>
    </xf>
    <xf numFmtId="0" fontId="4" fillId="0" borderId="4" xfId="0" applyFont="1" applyBorder="1" applyAlignment="1">
      <alignment horizontal="left" vertical="center" readingOrder="1"/>
    </xf>
    <xf numFmtId="2" fontId="4" fillId="2" borderId="4" xfId="0" applyNumberFormat="1" applyFont="1" applyFill="1" applyBorder="1" applyAlignment="1">
      <alignment horizontal="left" vertical="center" wrapText="1" readingOrder="1"/>
    </xf>
    <xf numFmtId="165" fontId="3" fillId="0" borderId="4" xfId="0" applyNumberFormat="1" applyFont="1" applyBorder="1" applyAlignment="1">
      <alignment horizontal="righ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166" fontId="3" fillId="0" borderId="4" xfId="0" applyNumberFormat="1" applyFont="1" applyBorder="1" applyAlignment="1">
      <alignment horizontal="right" vertical="center" wrapText="1" readingOrder="1"/>
    </xf>
    <xf numFmtId="167" fontId="3" fillId="0" borderId="4" xfId="0" applyNumberFormat="1" applyFont="1" applyBorder="1" applyAlignment="1">
      <alignment horizontal="right" vertical="center" wrapText="1" readingOrder="1"/>
    </xf>
    <xf numFmtId="168" fontId="3" fillId="0" borderId="4" xfId="10" applyNumberFormat="1" applyFont="1" applyBorder="1" applyAlignment="1">
      <alignment horizontal="right" vertical="center" wrapText="1" readingOrder="1"/>
    </xf>
    <xf numFmtId="0" fontId="13" fillId="0" borderId="0" xfId="0" applyFont="1" applyAlignment="1">
      <alignment vertical="center" wrapText="1"/>
    </xf>
    <xf numFmtId="181" fontId="5" fillId="2" borderId="5" xfId="10" applyNumberFormat="1" applyFont="1" applyFill="1" applyBorder="1" applyAlignment="1">
      <alignment horizontal="right" vertical="center" wrapText="1" readingOrder="1"/>
    </xf>
    <xf numFmtId="167" fontId="4" fillId="0" borderId="4" xfId="0" applyNumberFormat="1" applyFont="1" applyFill="1" applyBorder="1" applyAlignment="1">
      <alignment horizontal="right" vertical="center" wrapText="1" readingOrder="1"/>
    </xf>
    <xf numFmtId="168" fontId="4" fillId="0" borderId="4" xfId="0" applyNumberFormat="1" applyFont="1" applyFill="1" applyBorder="1" applyAlignment="1">
      <alignment horizontal="right" vertical="center" wrapText="1" readingOrder="1"/>
    </xf>
    <xf numFmtId="0" fontId="6" fillId="0" borderId="0" xfId="0" applyFont="1">
      <alignment wrapText="1"/>
    </xf>
    <xf numFmtId="0" fontId="6" fillId="0" borderId="0" xfId="10" applyFont="1">
      <alignment wrapText="1"/>
    </xf>
    <xf numFmtId="179" fontId="4" fillId="2" borderId="4" xfId="10" applyNumberFormat="1" applyFont="1" applyFill="1" applyBorder="1" applyAlignment="1">
      <alignment horizontal="left" vertical="top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3" fillId="2" borderId="0" xfId="10" applyFont="1" applyFill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vertical="top" readingOrder="1"/>
    </xf>
    <xf numFmtId="0" fontId="5" fillId="2" borderId="0" xfId="0" applyFont="1" applyFill="1" applyAlignment="1">
      <alignment horizontal="left" vertical="center" wrapText="1" readingOrder="1"/>
    </xf>
    <xf numFmtId="0" fontId="5" fillId="2" borderId="6" xfId="0" applyFont="1" applyFill="1" applyBorder="1" applyAlignment="1">
      <alignment horizontal="right" vertical="top" wrapText="1" readingOrder="1"/>
    </xf>
    <xf numFmtId="0" fontId="5" fillId="2" borderId="0" xfId="0" applyFont="1" applyFill="1" applyAlignment="1">
      <alignment horizontal="right" vertical="top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24" fillId="0" borderId="0" xfId="0" applyFont="1" applyAlignment="1">
      <alignment vertical="center" wrapText="1"/>
    </xf>
    <xf numFmtId="0" fontId="11" fillId="0" borderId="22" xfId="4" applyFont="1" applyBorder="1" applyAlignment="1">
      <alignment horizontal="center" vertical="center" wrapText="1" readingOrder="1"/>
    </xf>
    <xf numFmtId="2" fontId="22" fillId="0" borderId="14" xfId="4" applyNumberFormat="1" applyFont="1" applyBorder="1" applyAlignment="1">
      <alignment vertical="center"/>
    </xf>
    <xf numFmtId="0" fontId="11" fillId="0" borderId="35" xfId="0" applyFont="1" applyBorder="1" applyAlignment="1">
      <alignment horizontal="center" vertical="center" wrapText="1" readingOrder="1"/>
    </xf>
    <xf numFmtId="0" fontId="2" fillId="2" borderId="35" xfId="0" applyFont="1" applyFill="1" applyBorder="1" applyAlignment="1">
      <alignment horizontal="left" vertical="center" wrapText="1" readingOrder="1"/>
    </xf>
    <xf numFmtId="0" fontId="2" fillId="2" borderId="35" xfId="0" applyFont="1" applyFill="1" applyBorder="1" applyAlignment="1">
      <alignment horizontal="right" vertical="center" wrapText="1" readingOrder="1"/>
    </xf>
    <xf numFmtId="172" fontId="3" fillId="2" borderId="0" xfId="0" applyNumberFormat="1" applyFont="1" applyFill="1" applyBorder="1" applyAlignment="1">
      <alignment horizontal="right" vertical="center" wrapText="1" readingOrder="1"/>
    </xf>
    <xf numFmtId="172" fontId="3" fillId="2" borderId="0" xfId="0" applyNumberFormat="1" applyFont="1" applyFill="1" applyBorder="1" applyAlignment="1">
      <alignment horizontal="center" vertical="center" wrapText="1" readingOrder="1"/>
    </xf>
    <xf numFmtId="0" fontId="0" fillId="0" borderId="0" xfId="0" applyAlignment="1"/>
    <xf numFmtId="0" fontId="4" fillId="2" borderId="1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3" fillId="2" borderId="14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2" fillId="2" borderId="32" xfId="0" applyFont="1" applyFill="1" applyBorder="1" applyAlignment="1">
      <alignment horizontal="center" vertical="center" wrapText="1" readingOrder="1"/>
    </xf>
    <xf numFmtId="0" fontId="2" fillId="2" borderId="33" xfId="0" applyFont="1" applyFill="1" applyBorder="1" applyAlignment="1">
      <alignment horizontal="center" vertical="center" wrapText="1" readingOrder="1"/>
    </xf>
    <xf numFmtId="0" fontId="2" fillId="2" borderId="34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1" xfId="10" applyFont="1" applyFill="1" applyBorder="1" applyAlignment="1">
      <alignment horizontal="left" vertical="center" wrapText="1" readingOrder="1"/>
    </xf>
    <xf numFmtId="0" fontId="3" fillId="2" borderId="3" xfId="10" applyFont="1" applyFill="1" applyBorder="1" applyAlignment="1">
      <alignment horizontal="left" vertical="center" wrapText="1" readingOrder="1"/>
    </xf>
    <xf numFmtId="0" fontId="3" fillId="2" borderId="0" xfId="10" applyFont="1" applyFill="1" applyAlignment="1">
      <alignment horizontal="left" vertical="center" wrapText="1" readingOrder="1"/>
    </xf>
    <xf numFmtId="0" fontId="4" fillId="2" borderId="1" xfId="10" applyFont="1" applyFill="1" applyBorder="1" applyAlignment="1">
      <alignment horizontal="left" vertical="center" wrapText="1" readingOrder="1"/>
    </xf>
    <xf numFmtId="0" fontId="4" fillId="2" borderId="2" xfId="10" applyFont="1" applyFill="1" applyBorder="1" applyAlignment="1">
      <alignment horizontal="left" vertical="center" wrapText="1" readingOrder="1"/>
    </xf>
    <xf numFmtId="0" fontId="4" fillId="2" borderId="3" xfId="10" applyFont="1" applyFill="1" applyBorder="1" applyAlignment="1">
      <alignment horizontal="left" vertical="center" wrapText="1" readingOrder="1"/>
    </xf>
    <xf numFmtId="0" fontId="19" fillId="0" borderId="0" xfId="8" applyFont="1" applyAlignment="1">
      <alignment horizontal="left" vertical="center"/>
    </xf>
    <xf numFmtId="0" fontId="8" fillId="0" borderId="0" xfId="4" applyFont="1" applyAlignment="1">
      <alignment horizontal="left"/>
    </xf>
    <xf numFmtId="0" fontId="7" fillId="0" borderId="14" xfId="4" applyFont="1" applyBorder="1" applyAlignment="1">
      <alignment horizontal="center"/>
    </xf>
    <xf numFmtId="0" fontId="14" fillId="0" borderId="14" xfId="5" applyFont="1" applyBorder="1" applyAlignment="1">
      <alignment horizontal="center" vertical="center"/>
    </xf>
    <xf numFmtId="0" fontId="11" fillId="4" borderId="14" xfId="5" applyFont="1" applyFill="1" applyBorder="1" applyAlignment="1">
      <alignment horizontal="center" vertical="center" wrapText="1"/>
    </xf>
    <xf numFmtId="0" fontId="19" fillId="0" borderId="0" xfId="8" applyFont="1" applyAlignment="1">
      <alignment horizontal="left"/>
    </xf>
    <xf numFmtId="0" fontId="8" fillId="0" borderId="29" xfId="1" applyFont="1" applyBorder="1" applyAlignment="1">
      <alignment horizontal="left" wrapText="1"/>
    </xf>
    <xf numFmtId="0" fontId="8" fillId="0" borderId="30" xfId="1" applyFont="1" applyBorder="1" applyAlignment="1">
      <alignment horizontal="left"/>
    </xf>
    <xf numFmtId="0" fontId="8" fillId="0" borderId="31" xfId="1" applyFont="1" applyBorder="1" applyAlignment="1">
      <alignment horizontal="left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19" xfId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21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3" borderId="7" xfId="1" applyFont="1" applyFill="1" applyBorder="1" applyAlignment="1">
      <alignment horizontal="center" wrapText="1"/>
    </xf>
    <xf numFmtId="0" fontId="7" fillId="3" borderId="8" xfId="1" applyFont="1" applyFill="1" applyBorder="1" applyAlignment="1">
      <alignment horizontal="center" wrapText="1"/>
    </xf>
    <xf numFmtId="0" fontId="7" fillId="3" borderId="9" xfId="1" applyFont="1" applyFill="1" applyBorder="1" applyAlignment="1">
      <alignment horizontal="center" wrapText="1"/>
    </xf>
    <xf numFmtId="0" fontId="7" fillId="0" borderId="10" xfId="1" applyFont="1" applyBorder="1" applyAlignment="1">
      <alignment horizontal="center" wrapText="1"/>
    </xf>
    <xf numFmtId="0" fontId="7" fillId="0" borderId="11" xfId="1" applyFont="1" applyBorder="1" applyAlignment="1">
      <alignment horizontal="center" wrapText="1"/>
    </xf>
    <xf numFmtId="0" fontId="7" fillId="0" borderId="12" xfId="1" applyFont="1" applyBorder="1" applyAlignment="1">
      <alignment horizontal="center" wrapText="1"/>
    </xf>
    <xf numFmtId="0" fontId="7" fillId="0" borderId="14" xfId="1" applyFont="1" applyBorder="1" applyAlignment="1">
      <alignment horizontal="center" wrapText="1"/>
    </xf>
    <xf numFmtId="0" fontId="7" fillId="0" borderId="14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15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14" xfId="0" applyFont="1" applyBorder="1" applyAlignment="1">
      <alignment horizontal="center" vertical="top"/>
    </xf>
    <xf numFmtId="0" fontId="16" fillId="0" borderId="14" xfId="0" applyFont="1" applyBorder="1" applyAlignment="1">
      <alignment horizontal="center" vertical="top" wrapText="1"/>
    </xf>
    <xf numFmtId="0" fontId="15" fillId="0" borderId="1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readingOrder="1"/>
    </xf>
    <xf numFmtId="0" fontId="15" fillId="0" borderId="14" xfId="0" applyFont="1" applyBorder="1" applyAlignment="1">
      <alignment horizontal="center" vertical="top"/>
    </xf>
    <xf numFmtId="179" fontId="3" fillId="2" borderId="4" xfId="0" applyNumberFormat="1" applyFont="1" applyFill="1" applyBorder="1" applyAlignment="1">
      <alignment horizontal="right" vertical="center" readingOrder="1"/>
    </xf>
    <xf numFmtId="2" fontId="15" fillId="0" borderId="14" xfId="0" applyNumberFormat="1" applyFont="1" applyBorder="1" applyAlignment="1">
      <alignment horizontal="right" vertical="top" wrapText="1"/>
    </xf>
    <xf numFmtId="0" fontId="15" fillId="0" borderId="36" xfId="0" applyFont="1" applyBorder="1" applyAlignment="1">
      <alignment horizontal="left" vertical="top"/>
    </xf>
    <xf numFmtId="0" fontId="3" fillId="2" borderId="37" xfId="0" applyFont="1" applyFill="1" applyBorder="1" applyAlignment="1">
      <alignment horizontal="left" vertical="center" readingOrder="1"/>
    </xf>
    <xf numFmtId="0" fontId="3" fillId="2" borderId="14" xfId="0" applyFont="1" applyFill="1" applyBorder="1" applyAlignment="1">
      <alignment horizontal="left" vertical="center" readingOrder="1"/>
    </xf>
    <xf numFmtId="0" fontId="3" fillId="2" borderId="16" xfId="0" applyFont="1" applyFill="1" applyBorder="1" applyAlignment="1">
      <alignment horizontal="left" vertical="center" readingOrder="1"/>
    </xf>
    <xf numFmtId="0" fontId="24" fillId="0" borderId="16" xfId="5" applyFont="1" applyBorder="1" applyAlignment="1">
      <alignment vertical="center" wrapText="1"/>
    </xf>
    <xf numFmtId="2" fontId="15" fillId="0" borderId="38" xfId="0" applyNumberFormat="1" applyFont="1" applyBorder="1" applyAlignment="1">
      <alignment horizontal="right" vertical="top" wrapText="1"/>
    </xf>
    <xf numFmtId="4" fontId="15" fillId="0" borderId="14" xfId="0" applyNumberFormat="1" applyFont="1" applyBorder="1" applyAlignment="1"/>
    <xf numFmtId="0" fontId="15" fillId="0" borderId="38" xfId="0" applyFont="1" applyBorder="1" applyAlignment="1"/>
    <xf numFmtId="2" fontId="15" fillId="0" borderId="0" xfId="0" applyNumberFormat="1" applyFont="1" applyAlignment="1">
      <alignment horizontal="right" vertical="top" wrapText="1"/>
    </xf>
    <xf numFmtId="0" fontId="15" fillId="0" borderId="33" xfId="0" applyFont="1" applyBorder="1" applyAlignment="1">
      <alignment horizontal="center"/>
    </xf>
    <xf numFmtId="0" fontId="15" fillId="0" borderId="33" xfId="0" applyFont="1" applyBorder="1" applyAlignment="1" applyProtection="1">
      <alignment horizontal="center"/>
      <protection locked="0"/>
    </xf>
    <xf numFmtId="164" fontId="15" fillId="0" borderId="33" xfId="2" applyFont="1" applyFill="1" applyBorder="1" applyAlignment="1" applyProtection="1">
      <alignment horizontal="center"/>
      <protection locked="0"/>
    </xf>
    <xf numFmtId="0" fontId="16" fillId="0" borderId="14" xfId="0" applyFont="1" applyBorder="1" applyAlignment="1">
      <alignment horizontal="center"/>
    </xf>
    <xf numFmtId="2" fontId="15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4" xfId="0" applyFont="1" applyBorder="1" applyAlignment="1"/>
    <xf numFmtId="37" fontId="15" fillId="0" borderId="14" xfId="2" applyNumberFormat="1" applyFont="1" applyFill="1" applyBorder="1" applyAlignment="1">
      <alignment horizontal="center"/>
    </xf>
    <xf numFmtId="164" fontId="15" fillId="0" borderId="14" xfId="2" applyFont="1" applyFill="1" applyBorder="1"/>
    <xf numFmtId="164" fontId="15" fillId="0" borderId="0" xfId="2" applyFont="1" applyFill="1" applyBorder="1"/>
    <xf numFmtId="164" fontId="15" fillId="0" borderId="0" xfId="0" applyNumberFormat="1" applyFont="1" applyAlignment="1"/>
    <xf numFmtId="4" fontId="15" fillId="0" borderId="0" xfId="0" applyNumberFormat="1" applyFont="1" applyAlignment="1"/>
    <xf numFmtId="0" fontId="15" fillId="0" borderId="14" xfId="0" applyFont="1" applyBorder="1" applyAlignment="1">
      <alignment vertical="top" wrapText="1"/>
    </xf>
    <xf numFmtId="0" fontId="15" fillId="0" borderId="14" xfId="2" applyNumberFormat="1" applyFont="1" applyFill="1" applyBorder="1" applyAlignment="1">
      <alignment horizontal="center"/>
    </xf>
    <xf numFmtId="4" fontId="15" fillId="0" borderId="14" xfId="2" applyNumberFormat="1" applyFont="1" applyFill="1" applyBorder="1"/>
    <xf numFmtId="4" fontId="15" fillId="0" borderId="0" xfId="2" applyNumberFormat="1" applyFont="1" applyFill="1" applyBorder="1"/>
    <xf numFmtId="182" fontId="15" fillId="0" borderId="0" xfId="0" applyNumberFormat="1" applyFont="1" applyAlignment="1"/>
    <xf numFmtId="2" fontId="15" fillId="0" borderId="0" xfId="0" applyNumberFormat="1" applyFont="1" applyAlignment="1">
      <alignment vertical="top" wrapText="1"/>
    </xf>
    <xf numFmtId="164" fontId="15" fillId="0" borderId="0" xfId="2" applyFont="1" applyFill="1" applyBorder="1" applyAlignment="1"/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Alignment="1">
      <alignment horizontal="center" vertical="top"/>
    </xf>
    <xf numFmtId="164" fontId="15" fillId="0" borderId="0" xfId="2" applyFont="1" applyFill="1" applyBorder="1" applyAlignment="1" applyProtection="1">
      <alignment horizontal="left"/>
      <protection locked="0"/>
    </xf>
    <xf numFmtId="4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top"/>
    </xf>
    <xf numFmtId="10" fontId="15" fillId="0" borderId="0" xfId="0" applyNumberFormat="1" applyFont="1" applyAlignment="1">
      <alignment horizontal="center"/>
    </xf>
    <xf numFmtId="164" fontId="15" fillId="0" borderId="14" xfId="2" applyFont="1" applyFill="1" applyBorder="1" applyAlignment="1">
      <alignment horizontal="center" vertical="top" wrapText="1"/>
    </xf>
    <xf numFmtId="2" fontId="15" fillId="0" borderId="14" xfId="0" applyNumberFormat="1" applyFont="1" applyBorder="1" applyAlignment="1">
      <alignment horizontal="right"/>
    </xf>
    <xf numFmtId="1" fontId="15" fillId="0" borderId="14" xfId="0" applyNumberFormat="1" applyFont="1" applyBorder="1" applyAlignment="1">
      <alignment horizontal="center"/>
    </xf>
    <xf numFmtId="164" fontId="16" fillId="0" borderId="0" xfId="2" applyFont="1" applyFill="1" applyBorder="1"/>
    <xf numFmtId="183" fontId="15" fillId="0" borderId="0" xfId="0" applyNumberFormat="1" applyFont="1" applyAlignment="1"/>
    <xf numFmtId="164" fontId="16" fillId="0" borderId="0" xfId="0" applyNumberFormat="1" applyFont="1" applyAlignment="1"/>
    <xf numFmtId="43" fontId="15" fillId="0" borderId="0" xfId="0" applyNumberFormat="1" applyFont="1" applyAlignment="1"/>
    <xf numFmtId="0" fontId="15" fillId="0" borderId="14" xfId="0" applyFont="1" applyBorder="1" applyAlignment="1">
      <alignment horizontal="left"/>
    </xf>
    <xf numFmtId="0" fontId="16" fillId="0" borderId="0" xfId="0" applyFont="1" applyAlignment="1">
      <alignment vertical="top" wrapText="1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 vertical="top" wrapText="1"/>
    </xf>
    <xf numFmtId="0" fontId="15" fillId="0" borderId="14" xfId="0" applyFont="1" applyBorder="1" applyAlignment="1">
      <alignment horizontal="center" vertical="top" wrapText="1"/>
    </xf>
    <xf numFmtId="184" fontId="15" fillId="0" borderId="0" xfId="0" applyNumberFormat="1" applyFont="1" applyAlignment="1">
      <alignment horizontal="right" vertical="top" wrapText="1"/>
    </xf>
    <xf numFmtId="2" fontId="15" fillId="0" borderId="0" xfId="0" applyNumberFormat="1" applyFont="1" applyAlignment="1">
      <alignment horizontal="center"/>
    </xf>
    <xf numFmtId="2" fontId="15" fillId="0" borderId="14" xfId="0" applyNumberFormat="1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 vertical="top"/>
    </xf>
    <xf numFmtId="2" fontId="15" fillId="0" borderId="0" xfId="0" applyNumberFormat="1" applyFont="1" applyAlignment="1">
      <alignment horizontal="right" vertical="top"/>
    </xf>
    <xf numFmtId="185" fontId="15" fillId="0" borderId="0" xfId="2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186" fontId="15" fillId="0" borderId="0" xfId="2" applyNumberFormat="1" applyFont="1" applyFill="1" applyBorder="1" applyAlignment="1">
      <alignment horizontal="right" vertical="top" wrapText="1"/>
    </xf>
    <xf numFmtId="2" fontId="15" fillId="0" borderId="0" xfId="0" applyNumberFormat="1" applyFont="1" applyAlignment="1"/>
    <xf numFmtId="2" fontId="15" fillId="0" borderId="14" xfId="0" applyNumberFormat="1" applyFont="1" applyBorder="1" applyAlignment="1">
      <alignment vertical="top" wrapText="1"/>
    </xf>
    <xf numFmtId="164" fontId="15" fillId="0" borderId="14" xfId="2" applyFont="1" applyFill="1" applyBorder="1" applyAlignment="1"/>
    <xf numFmtId="4" fontId="15" fillId="0" borderId="14" xfId="0" applyNumberFormat="1" applyFont="1" applyBorder="1" applyAlignment="1">
      <alignment horizontal="center"/>
    </xf>
    <xf numFmtId="4" fontId="15" fillId="0" borderId="14" xfId="2" applyNumberFormat="1" applyFont="1" applyFill="1" applyBorder="1" applyAlignment="1">
      <alignment horizontal="center"/>
    </xf>
    <xf numFmtId="4" fontId="16" fillId="0" borderId="14" xfId="0" applyNumberFormat="1" applyFont="1" applyBorder="1" applyAlignment="1">
      <alignment horizontal="center" vertical="top" wrapText="1"/>
    </xf>
    <xf numFmtId="4" fontId="15" fillId="0" borderId="14" xfId="0" applyNumberFormat="1" applyFont="1" applyBorder="1" applyAlignment="1">
      <alignment horizontal="center" vertical="top" wrapText="1"/>
    </xf>
  </cellXfs>
  <cellStyles count="11">
    <cellStyle name="Comma 10" xfId="7" xr:uid="{87789D8A-787A-4739-B99B-76582714DD6B}"/>
    <cellStyle name="Comma 2" xfId="6" xr:uid="{76F4257D-2EBC-4DC5-BFEF-1F8104ED3E65}"/>
    <cellStyle name="Comma 2 2" xfId="2" xr:uid="{70AC0478-E0FD-4465-8130-DF89190B2567}"/>
    <cellStyle name="Normal" xfId="0" builtinId="0"/>
    <cellStyle name="Normal 2" xfId="10" xr:uid="{1E6A2BC0-0A60-4AF5-AAF6-CDF4E71AE6EC}"/>
    <cellStyle name="Normal 2 2 3" xfId="1" xr:uid="{12A6C790-B715-467F-9329-08BDD3ACAA28}"/>
    <cellStyle name="Normal 4" xfId="4" xr:uid="{C9113AB7-2688-4C38-AF75-B3564FC997CE}"/>
    <cellStyle name="Normal_Bonsaverportfolio 2 2" xfId="5" xr:uid="{B8A1F84F-A29F-4C4C-B25E-DF493A15B39A}"/>
    <cellStyle name="Normal_Halfyearly_Debtholdings_30092011 2" xfId="8" xr:uid="{A254DF81-F08F-4971-B3EF-49420E5A10C7}"/>
    <cellStyle name="Normal_Holdingotherschemes new" xfId="9" xr:uid="{E40B96A6-6C7A-474A-8658-8CB8FB1B9658}"/>
    <cellStyle name="Percent 2" xfId="3" xr:uid="{4A450F8A-19FC-47BC-863B-DD3BB98D9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42A51-D4BF-4586-AB32-9290792DF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D2495E-8D8B-4170-A31C-FD7B2C16B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596253-D837-4943-A15E-424EAC0C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9F667-B1BC-4CB3-8B42-420BEBDE4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49451B-E414-4816-A280-0508BCCA8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B629D6-FE5E-4EDD-A8B5-6E7DF3361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0"/>
          <a:ext cx="2466975" cy="1695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74E616-E60C-4C9F-AFA6-926823D66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B394A-D2B2-4DF4-8D5F-6C607114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9525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D3925-E5DF-4C45-AB8E-3930E82BF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5F7BAA-B7CB-4C14-A256-C859C4413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C94FD5-7B8B-4ED7-93A4-EEB3EC3B2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CFA481-574E-4C03-B407-E2B5A8341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3F8C8-25E1-48D3-9060-6F99520F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82E6D-FD97-4C72-9601-17F900724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0"/>
          <a:ext cx="2466975" cy="16954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D23EF-7DDB-4F53-9934-9ECE58A28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701E25-BBC2-44F3-8DAD-E0BCC65BD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9525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994F13-DFD4-4A26-ACAF-B9CA335E3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F94A27-7D3D-414C-B14E-3408B6564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90C28-9591-4A95-8C83-660115142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E7797-AF82-4BBA-B00A-5DC4D3FA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35ACA-DF51-4FB5-A6F5-8D886550F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942018-8394-4D05-8A17-E1493AB2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417818-94C5-4D6C-A880-579F8C15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40F297-4C5B-4EBC-AFAB-1F805CD83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104C2-0316-4D5B-BB6A-AE4A916C2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08A5A0-3ABE-4CD6-A0EA-D06EE7380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9525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89A76-C4F1-4AA2-A625-7FA45FA21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BB1E6-D4E2-4AB7-A430-055A35F2A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79C6DD-7AF3-4D8C-A9FB-A22EA01E2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C105E-7DA0-4289-8691-6601D1DB3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86E886-90FA-4F83-BDA3-945CB205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542925</xdr:colOff>
      <xdr:row>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F1A3F5-66D8-4D23-A475-768F5E65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0"/>
          <a:ext cx="2743200" cy="18764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0</xdr:row>
      <xdr:rowOff>19050</xdr:rowOff>
    </xdr:from>
    <xdr:to>
      <xdr:col>11</xdr:col>
      <xdr:colOff>419100</xdr:colOff>
      <xdr:row>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4A99E6-2AEE-4703-A0AF-103A20F17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5550" y="19050"/>
          <a:ext cx="2466975" cy="16954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428625</xdr:colOff>
      <xdr:row>0</xdr:row>
      <xdr:rowOff>0</xdr:rowOff>
    </xdr:from>
    <xdr:to>
      <xdr:col>13</xdr:col>
      <xdr:colOff>457200</xdr:colOff>
      <xdr:row>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84E2A-3A7D-4647-9937-A2250295D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5975" y="0"/>
          <a:ext cx="2466975" cy="16954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480B1E-44BD-47E9-B9B8-6BBF9F391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60C93D-45BA-4C8B-A017-4871F4A47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285750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1BF55-2C0C-4470-9912-F981A9264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19C6D1-6A12-4027-B044-E593BB5B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0"/>
          <a:ext cx="2466975" cy="16954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DD1D6F-8708-41F6-8AA6-B21BF8EDE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445C9C-3357-452C-BA9B-BC6353F1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450A0D-49F4-4A68-85A8-6A85945E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0"/>
          <a:ext cx="2466975" cy="16954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542925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DE74E5-8490-4B41-A679-99F530F9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0"/>
          <a:ext cx="2466975" cy="169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1541-99CE-4F3A-B97B-A6550A2FB9AC}">
  <dimension ref="A1:C43"/>
  <sheetViews>
    <sheetView tabSelected="1" workbookViewId="0">
      <pane ySplit="1" topLeftCell="A2" activePane="bottomLeft" state="frozen"/>
      <selection activeCell="H136" sqref="H136"/>
      <selection pane="bottomLeft" activeCell="A2" sqref="A2"/>
    </sheetView>
  </sheetViews>
  <sheetFormatPr defaultColWidth="8.85546875" defaultRowHeight="15" x14ac:dyDescent="0.2"/>
  <cols>
    <col min="1" max="1" width="6" style="61" bestFit="1" customWidth="1"/>
    <col min="2" max="2" width="11.140625" style="64" bestFit="1" customWidth="1"/>
    <col min="3" max="3" width="56.42578125" style="64" bestFit="1" customWidth="1"/>
    <col min="4" max="16384" width="8.85546875" style="64"/>
  </cols>
  <sheetData>
    <row r="1" spans="1:3" s="61" customFormat="1" x14ac:dyDescent="0.2">
      <c r="A1" s="59" t="s">
        <v>765</v>
      </c>
      <c r="B1" s="60" t="s">
        <v>766</v>
      </c>
      <c r="C1" s="60" t="s">
        <v>767</v>
      </c>
    </row>
    <row r="2" spans="1:3" x14ac:dyDescent="0.2">
      <c r="A2" s="62">
        <v>1</v>
      </c>
      <c r="B2" s="63" t="s">
        <v>768</v>
      </c>
      <c r="C2" s="63" t="s">
        <v>1</v>
      </c>
    </row>
    <row r="3" spans="1:3" x14ac:dyDescent="0.2">
      <c r="A3" s="62">
        <v>2</v>
      </c>
      <c r="B3" s="63" t="s">
        <v>769</v>
      </c>
      <c r="C3" s="63" t="s">
        <v>152</v>
      </c>
    </row>
    <row r="4" spans="1:3" x14ac:dyDescent="0.2">
      <c r="A4" s="62">
        <v>3</v>
      </c>
      <c r="B4" s="63" t="s">
        <v>770</v>
      </c>
      <c r="C4" s="65" t="s">
        <v>287</v>
      </c>
    </row>
    <row r="5" spans="1:3" x14ac:dyDescent="0.2">
      <c r="A5" s="62">
        <v>4</v>
      </c>
      <c r="B5" s="63" t="s">
        <v>771</v>
      </c>
      <c r="C5" s="65" t="s">
        <v>290</v>
      </c>
    </row>
    <row r="6" spans="1:3" x14ac:dyDescent="0.2">
      <c r="A6" s="62">
        <v>5</v>
      </c>
      <c r="B6" s="63" t="s">
        <v>772</v>
      </c>
      <c r="C6" s="65" t="s">
        <v>291</v>
      </c>
    </row>
    <row r="7" spans="1:3" x14ac:dyDescent="0.2">
      <c r="A7" s="62">
        <v>6</v>
      </c>
      <c r="B7" s="63" t="s">
        <v>773</v>
      </c>
      <c r="C7" s="63" t="s">
        <v>296</v>
      </c>
    </row>
    <row r="8" spans="1:3" x14ac:dyDescent="0.2">
      <c r="A8" s="62">
        <v>7</v>
      </c>
      <c r="B8" s="63" t="s">
        <v>774</v>
      </c>
      <c r="C8" s="63" t="s">
        <v>397</v>
      </c>
    </row>
    <row r="9" spans="1:3" x14ac:dyDescent="0.2">
      <c r="A9" s="62">
        <v>8</v>
      </c>
      <c r="B9" s="63" t="s">
        <v>775</v>
      </c>
      <c r="C9" s="63" t="s">
        <v>776</v>
      </c>
    </row>
    <row r="10" spans="1:3" x14ac:dyDescent="0.2">
      <c r="A10" s="62">
        <v>9</v>
      </c>
      <c r="B10" s="63" t="s">
        <v>777</v>
      </c>
      <c r="C10" s="63" t="s">
        <v>778</v>
      </c>
    </row>
    <row r="11" spans="1:3" x14ac:dyDescent="0.2">
      <c r="A11" s="62">
        <v>10</v>
      </c>
      <c r="B11" s="63" t="s">
        <v>779</v>
      </c>
      <c r="C11" s="63" t="s">
        <v>447</v>
      </c>
    </row>
    <row r="12" spans="1:3" x14ac:dyDescent="0.2">
      <c r="A12" s="62">
        <v>11</v>
      </c>
      <c r="B12" s="63" t="s">
        <v>780</v>
      </c>
      <c r="C12" s="63" t="s">
        <v>466</v>
      </c>
    </row>
    <row r="13" spans="1:3" x14ac:dyDescent="0.2">
      <c r="A13" s="62">
        <v>12</v>
      </c>
      <c r="B13" s="63" t="s">
        <v>781</v>
      </c>
      <c r="C13" s="63" t="s">
        <v>467</v>
      </c>
    </row>
    <row r="14" spans="1:3" x14ac:dyDescent="0.2">
      <c r="A14" s="62">
        <v>13</v>
      </c>
      <c r="B14" s="63" t="s">
        <v>782</v>
      </c>
      <c r="C14" s="63" t="s">
        <v>470</v>
      </c>
    </row>
    <row r="15" spans="1:3" x14ac:dyDescent="0.2">
      <c r="A15" s="62">
        <v>14</v>
      </c>
      <c r="B15" s="63" t="s">
        <v>783</v>
      </c>
      <c r="C15" s="63" t="s">
        <v>471</v>
      </c>
    </row>
    <row r="16" spans="1:3" x14ac:dyDescent="0.2">
      <c r="A16" s="62">
        <v>15</v>
      </c>
      <c r="B16" s="65" t="s">
        <v>784</v>
      </c>
      <c r="C16" s="65" t="s">
        <v>472</v>
      </c>
    </row>
    <row r="17" spans="1:3" x14ac:dyDescent="0.2">
      <c r="A17" s="62">
        <v>16</v>
      </c>
      <c r="B17" s="65" t="s">
        <v>785</v>
      </c>
      <c r="C17" s="65" t="s">
        <v>473</v>
      </c>
    </row>
    <row r="18" spans="1:3" x14ac:dyDescent="0.2">
      <c r="A18" s="62">
        <v>17</v>
      </c>
      <c r="B18" s="65" t="s">
        <v>786</v>
      </c>
      <c r="C18" s="65" t="s">
        <v>490</v>
      </c>
    </row>
    <row r="19" spans="1:3" x14ac:dyDescent="0.2">
      <c r="A19" s="62">
        <v>18</v>
      </c>
      <c r="B19" s="65" t="s">
        <v>787</v>
      </c>
      <c r="C19" s="65" t="s">
        <v>788</v>
      </c>
    </row>
    <row r="20" spans="1:3" x14ac:dyDescent="0.2">
      <c r="A20" s="62">
        <v>19</v>
      </c>
      <c r="B20" s="65" t="s">
        <v>789</v>
      </c>
      <c r="C20" s="65" t="s">
        <v>790</v>
      </c>
    </row>
    <row r="21" spans="1:3" x14ac:dyDescent="0.2">
      <c r="A21" s="62">
        <v>20</v>
      </c>
      <c r="B21" s="65" t="s">
        <v>791</v>
      </c>
      <c r="C21" s="65" t="s">
        <v>792</v>
      </c>
    </row>
    <row r="22" spans="1:3" x14ac:dyDescent="0.2">
      <c r="A22" s="62">
        <v>21</v>
      </c>
      <c r="B22" s="65" t="s">
        <v>793</v>
      </c>
      <c r="C22" s="65" t="s">
        <v>794</v>
      </c>
    </row>
    <row r="23" spans="1:3" x14ac:dyDescent="0.2">
      <c r="A23" s="62">
        <v>22</v>
      </c>
      <c r="B23" s="65" t="s">
        <v>795</v>
      </c>
      <c r="C23" s="65" t="s">
        <v>504</v>
      </c>
    </row>
    <row r="24" spans="1:3" x14ac:dyDescent="0.2">
      <c r="A24" s="62">
        <v>23</v>
      </c>
      <c r="B24" s="65" t="s">
        <v>796</v>
      </c>
      <c r="C24" s="65" t="s">
        <v>505</v>
      </c>
    </row>
    <row r="25" spans="1:3" x14ac:dyDescent="0.2">
      <c r="A25" s="62">
        <v>24</v>
      </c>
      <c r="B25" s="65" t="s">
        <v>797</v>
      </c>
      <c r="C25" s="65" t="s">
        <v>506</v>
      </c>
    </row>
    <row r="26" spans="1:3" x14ac:dyDescent="0.2">
      <c r="A26" s="62">
        <v>25</v>
      </c>
      <c r="B26" s="65" t="s">
        <v>798</v>
      </c>
      <c r="C26" s="65" t="s">
        <v>507</v>
      </c>
    </row>
    <row r="27" spans="1:3" x14ac:dyDescent="0.2">
      <c r="A27" s="62">
        <v>26</v>
      </c>
      <c r="B27" s="65" t="s">
        <v>799</v>
      </c>
      <c r="C27" s="65" t="s">
        <v>508</v>
      </c>
    </row>
    <row r="28" spans="1:3" x14ac:dyDescent="0.2">
      <c r="A28" s="62">
        <v>27</v>
      </c>
      <c r="B28" s="65" t="s">
        <v>800</v>
      </c>
      <c r="C28" s="65" t="s">
        <v>523</v>
      </c>
    </row>
    <row r="29" spans="1:3" x14ac:dyDescent="0.2">
      <c r="A29" s="62">
        <v>28</v>
      </c>
      <c r="B29" s="65" t="s">
        <v>801</v>
      </c>
      <c r="C29" s="65" t="s">
        <v>802</v>
      </c>
    </row>
    <row r="30" spans="1:3" x14ac:dyDescent="0.2">
      <c r="A30" s="62">
        <v>29</v>
      </c>
      <c r="B30" s="65" t="s">
        <v>803</v>
      </c>
      <c r="C30" s="65" t="s">
        <v>804</v>
      </c>
    </row>
    <row r="31" spans="1:3" x14ac:dyDescent="0.2">
      <c r="A31" s="62">
        <v>30</v>
      </c>
      <c r="B31" s="65" t="s">
        <v>805</v>
      </c>
      <c r="C31" s="65" t="s">
        <v>806</v>
      </c>
    </row>
    <row r="32" spans="1:3" x14ac:dyDescent="0.2">
      <c r="A32" s="62">
        <v>31</v>
      </c>
      <c r="B32" s="65" t="s">
        <v>807</v>
      </c>
      <c r="C32" s="65" t="s">
        <v>701</v>
      </c>
    </row>
    <row r="33" spans="1:3" x14ac:dyDescent="0.2">
      <c r="A33" s="62">
        <v>32</v>
      </c>
      <c r="B33" s="65" t="s">
        <v>808</v>
      </c>
      <c r="C33" s="65" t="s">
        <v>702</v>
      </c>
    </row>
    <row r="34" spans="1:3" x14ac:dyDescent="0.2">
      <c r="A34" s="62">
        <v>33</v>
      </c>
      <c r="B34" s="65" t="s">
        <v>809</v>
      </c>
      <c r="C34" s="65" t="s">
        <v>810</v>
      </c>
    </row>
    <row r="35" spans="1:3" x14ac:dyDescent="0.2">
      <c r="A35" s="62">
        <v>34</v>
      </c>
      <c r="B35" s="65" t="s">
        <v>811</v>
      </c>
      <c r="C35" s="65" t="s">
        <v>812</v>
      </c>
    </row>
    <row r="36" spans="1:3" x14ac:dyDescent="0.2">
      <c r="A36" s="62">
        <v>35</v>
      </c>
      <c r="B36" s="65" t="s">
        <v>813</v>
      </c>
      <c r="C36" s="65" t="s">
        <v>708</v>
      </c>
    </row>
    <row r="37" spans="1:3" x14ac:dyDescent="0.2">
      <c r="A37" s="62">
        <v>36</v>
      </c>
      <c r="B37" s="65" t="s">
        <v>814</v>
      </c>
      <c r="C37" s="65" t="s">
        <v>709</v>
      </c>
    </row>
    <row r="38" spans="1:3" x14ac:dyDescent="0.2">
      <c r="A38" s="62">
        <v>37</v>
      </c>
      <c r="B38" s="65" t="s">
        <v>815</v>
      </c>
      <c r="C38" s="65" t="s">
        <v>716</v>
      </c>
    </row>
    <row r="39" spans="1:3" x14ac:dyDescent="0.2">
      <c r="A39" s="62">
        <v>38</v>
      </c>
      <c r="B39" s="65" t="s">
        <v>816</v>
      </c>
      <c r="C39" s="65" t="s">
        <v>726</v>
      </c>
    </row>
    <row r="40" spans="1:3" x14ac:dyDescent="0.2">
      <c r="A40" s="62">
        <v>39</v>
      </c>
      <c r="B40" s="65" t="s">
        <v>817</v>
      </c>
      <c r="C40" s="65" t="s">
        <v>729</v>
      </c>
    </row>
    <row r="41" spans="1:3" x14ac:dyDescent="0.2">
      <c r="A41" s="62">
        <v>40</v>
      </c>
      <c r="B41" s="65" t="s">
        <v>818</v>
      </c>
      <c r="C41" s="65" t="s">
        <v>738</v>
      </c>
    </row>
    <row r="42" spans="1:3" x14ac:dyDescent="0.2">
      <c r="A42" s="62">
        <v>41</v>
      </c>
      <c r="B42" s="65" t="s">
        <v>819</v>
      </c>
      <c r="C42" s="65" t="s">
        <v>749</v>
      </c>
    </row>
    <row r="43" spans="1:3" x14ac:dyDescent="0.2">
      <c r="A43" s="62">
        <v>42</v>
      </c>
      <c r="B43" s="65" t="s">
        <v>820</v>
      </c>
      <c r="C43" s="65" t="s">
        <v>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8"/>
  <sheetViews>
    <sheetView showGridLines="0" workbookViewId="0">
      <selection activeCell="H4" sqref="H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1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12</v>
      </c>
      <c r="C7" s="6" t="s">
        <v>13</v>
      </c>
      <c r="D7" s="6" t="s">
        <v>14</v>
      </c>
      <c r="E7" s="7">
        <v>321736</v>
      </c>
      <c r="F7" s="8">
        <v>4827.8095480000002</v>
      </c>
      <c r="G7" s="9">
        <v>8.2215075999999998E-2</v>
      </c>
      <c r="H7" s="156"/>
    </row>
    <row r="8" spans="1:8" x14ac:dyDescent="0.2">
      <c r="A8" s="5">
        <v>2</v>
      </c>
      <c r="B8" s="6" t="s">
        <v>15</v>
      </c>
      <c r="C8" s="6" t="s">
        <v>16</v>
      </c>
      <c r="D8" s="6" t="s">
        <v>17</v>
      </c>
      <c r="E8" s="7">
        <v>206442</v>
      </c>
      <c r="F8" s="8">
        <v>4357.2680730000002</v>
      </c>
      <c r="G8" s="9">
        <v>7.4202000000000004E-2</v>
      </c>
      <c r="H8" s="156"/>
    </row>
    <row r="9" spans="1:8" x14ac:dyDescent="0.2">
      <c r="A9" s="5">
        <v>3</v>
      </c>
      <c r="B9" s="6" t="s">
        <v>18</v>
      </c>
      <c r="C9" s="6" t="s">
        <v>19</v>
      </c>
      <c r="D9" s="6" t="s">
        <v>972</v>
      </c>
      <c r="E9" s="7">
        <v>362486</v>
      </c>
      <c r="F9" s="8">
        <v>3718.2001449999998</v>
      </c>
      <c r="G9" s="9">
        <v>6.3319006999999997E-2</v>
      </c>
      <c r="H9" s="156"/>
    </row>
    <row r="10" spans="1:8" x14ac:dyDescent="0.2">
      <c r="A10" s="5">
        <v>4</v>
      </c>
      <c r="B10" s="6" t="s">
        <v>20</v>
      </c>
      <c r="C10" s="6" t="s">
        <v>21</v>
      </c>
      <c r="D10" s="6" t="s">
        <v>22</v>
      </c>
      <c r="E10" s="7">
        <v>498729</v>
      </c>
      <c r="F10" s="8">
        <v>3146.4812609999999</v>
      </c>
      <c r="G10" s="9">
        <v>5.3582932999999999E-2</v>
      </c>
      <c r="H10" s="156"/>
    </row>
    <row r="11" spans="1:8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574661</v>
      </c>
      <c r="F11" s="8">
        <v>3020.7055464999999</v>
      </c>
      <c r="G11" s="9">
        <v>5.1441038000000001E-2</v>
      </c>
      <c r="H11" s="156"/>
    </row>
    <row r="12" spans="1:8" x14ac:dyDescent="0.2">
      <c r="A12" s="5">
        <v>6</v>
      </c>
      <c r="B12" s="6" t="s">
        <v>26</v>
      </c>
      <c r="C12" s="6" t="s">
        <v>27</v>
      </c>
      <c r="D12" s="6" t="s">
        <v>28</v>
      </c>
      <c r="E12" s="7">
        <v>232062</v>
      </c>
      <c r="F12" s="8">
        <v>2882.0940089999999</v>
      </c>
      <c r="G12" s="9">
        <v>4.9080555999999997E-2</v>
      </c>
      <c r="H12" s="156"/>
    </row>
    <row r="13" spans="1:8" x14ac:dyDescent="0.2">
      <c r="A13" s="5">
        <v>7</v>
      </c>
      <c r="B13" s="6" t="s">
        <v>29</v>
      </c>
      <c r="C13" s="6" t="s">
        <v>30</v>
      </c>
      <c r="D13" s="6" t="s">
        <v>28</v>
      </c>
      <c r="E13" s="7">
        <v>118332</v>
      </c>
      <c r="F13" s="8">
        <v>2337.1161659999998</v>
      </c>
      <c r="G13" s="9">
        <v>3.9799868000000002E-2</v>
      </c>
      <c r="H13" s="156"/>
    </row>
    <row r="14" spans="1:8" x14ac:dyDescent="0.2">
      <c r="A14" s="5">
        <v>8</v>
      </c>
      <c r="B14" s="6" t="s">
        <v>31</v>
      </c>
      <c r="C14" s="6" t="s">
        <v>32</v>
      </c>
      <c r="D14" s="6" t="s">
        <v>972</v>
      </c>
      <c r="E14" s="7">
        <v>70820</v>
      </c>
      <c r="F14" s="8">
        <v>2019.4322999999999</v>
      </c>
      <c r="G14" s="9">
        <v>3.4389877999999999E-2</v>
      </c>
      <c r="H14" s="156"/>
    </row>
    <row r="15" spans="1:8" x14ac:dyDescent="0.2">
      <c r="A15" s="5">
        <v>9</v>
      </c>
      <c r="B15" s="6" t="s">
        <v>33</v>
      </c>
      <c r="C15" s="6" t="s">
        <v>34</v>
      </c>
      <c r="D15" s="6" t="s">
        <v>35</v>
      </c>
      <c r="E15" s="7">
        <v>4685</v>
      </c>
      <c r="F15" s="8">
        <v>1959.7987475</v>
      </c>
      <c r="G15" s="9">
        <v>3.3374348999999998E-2</v>
      </c>
      <c r="H15" s="156"/>
    </row>
    <row r="16" spans="1:8" x14ac:dyDescent="0.2">
      <c r="A16" s="5">
        <v>10</v>
      </c>
      <c r="B16" s="6" t="s">
        <v>36</v>
      </c>
      <c r="C16" s="6" t="s">
        <v>37</v>
      </c>
      <c r="D16" s="6" t="s">
        <v>972</v>
      </c>
      <c r="E16" s="7">
        <v>28500</v>
      </c>
      <c r="F16" s="8">
        <v>1931.16</v>
      </c>
      <c r="G16" s="9">
        <v>3.2886646999999998E-2</v>
      </c>
      <c r="H16" s="156"/>
    </row>
    <row r="17" spans="1:8" x14ac:dyDescent="0.2">
      <c r="A17" s="5">
        <v>11</v>
      </c>
      <c r="B17" s="6" t="s">
        <v>38</v>
      </c>
      <c r="C17" s="6" t="s">
        <v>39</v>
      </c>
      <c r="D17" s="6" t="s">
        <v>40</v>
      </c>
      <c r="E17" s="7">
        <v>622845</v>
      </c>
      <c r="F17" s="8">
        <v>1742.0974650000001</v>
      </c>
      <c r="G17" s="9">
        <v>2.9667010000000001E-2</v>
      </c>
      <c r="H17" s="156"/>
    </row>
    <row r="18" spans="1:8" x14ac:dyDescent="0.2">
      <c r="A18" s="5">
        <v>12</v>
      </c>
      <c r="B18" s="6" t="s">
        <v>41</v>
      </c>
      <c r="C18" s="6" t="s">
        <v>42</v>
      </c>
      <c r="D18" s="6" t="s">
        <v>43</v>
      </c>
      <c r="E18" s="7">
        <v>1356087</v>
      </c>
      <c r="F18" s="8">
        <v>1655.7822269999999</v>
      </c>
      <c r="G18" s="9">
        <v>2.8197106999999999E-2</v>
      </c>
      <c r="H18" s="156"/>
    </row>
    <row r="19" spans="1:8" x14ac:dyDescent="0.2">
      <c r="A19" s="5">
        <v>13</v>
      </c>
      <c r="B19" s="6" t="s">
        <v>44</v>
      </c>
      <c r="C19" s="6" t="s">
        <v>45</v>
      </c>
      <c r="D19" s="6" t="s">
        <v>978</v>
      </c>
      <c r="E19" s="7">
        <v>964843</v>
      </c>
      <c r="F19" s="8">
        <v>1617.0768680000001</v>
      </c>
      <c r="G19" s="9">
        <v>2.7537974999999999E-2</v>
      </c>
      <c r="H19" s="156"/>
    </row>
    <row r="20" spans="1:8" x14ac:dyDescent="0.2">
      <c r="A20" s="5">
        <v>14</v>
      </c>
      <c r="B20" s="6" t="s">
        <v>46</v>
      </c>
      <c r="C20" s="6" t="s">
        <v>47</v>
      </c>
      <c r="D20" s="6" t="s">
        <v>28</v>
      </c>
      <c r="E20" s="7">
        <v>86944</v>
      </c>
      <c r="F20" s="8">
        <v>1599.5087679999999</v>
      </c>
      <c r="G20" s="9">
        <v>2.7238799000000001E-2</v>
      </c>
      <c r="H20" s="156"/>
    </row>
    <row r="21" spans="1:8" x14ac:dyDescent="0.2">
      <c r="A21" s="5">
        <v>15</v>
      </c>
      <c r="B21" s="6" t="s">
        <v>48</v>
      </c>
      <c r="C21" s="6" t="s">
        <v>49</v>
      </c>
      <c r="D21" s="6" t="s">
        <v>28</v>
      </c>
      <c r="E21" s="7">
        <v>152664</v>
      </c>
      <c r="F21" s="8">
        <v>1544.5780199999999</v>
      </c>
      <c r="G21" s="9">
        <v>2.6303356999999999E-2</v>
      </c>
      <c r="H21" s="156"/>
    </row>
    <row r="22" spans="1:8" x14ac:dyDescent="0.2">
      <c r="A22" s="5">
        <v>16</v>
      </c>
      <c r="B22" s="6" t="s">
        <v>50</v>
      </c>
      <c r="C22" s="6" t="s">
        <v>51</v>
      </c>
      <c r="D22" s="6" t="s">
        <v>22</v>
      </c>
      <c r="E22" s="7">
        <v>90000</v>
      </c>
      <c r="F22" s="8">
        <v>1348.11</v>
      </c>
      <c r="G22" s="9">
        <v>2.2957609E-2</v>
      </c>
      <c r="H22" s="156"/>
    </row>
    <row r="23" spans="1:8" x14ac:dyDescent="0.2">
      <c r="A23" s="5">
        <v>17</v>
      </c>
      <c r="B23" s="6" t="s">
        <v>52</v>
      </c>
      <c r="C23" s="6" t="s">
        <v>53</v>
      </c>
      <c r="D23" s="6" t="s">
        <v>54</v>
      </c>
      <c r="E23" s="7">
        <v>1000000</v>
      </c>
      <c r="F23" s="8">
        <v>1306</v>
      </c>
      <c r="G23" s="9">
        <v>2.2240498000000001E-2</v>
      </c>
      <c r="H23" s="156"/>
    </row>
    <row r="24" spans="1:8" x14ac:dyDescent="0.2">
      <c r="A24" s="5">
        <v>18</v>
      </c>
      <c r="B24" s="6" t="s">
        <v>55</v>
      </c>
      <c r="C24" s="6" t="s">
        <v>56</v>
      </c>
      <c r="D24" s="6" t="s">
        <v>35</v>
      </c>
      <c r="E24" s="7">
        <v>162156</v>
      </c>
      <c r="F24" s="8">
        <v>1244.5473</v>
      </c>
      <c r="G24" s="9">
        <v>2.1193990999999999E-2</v>
      </c>
      <c r="H24" s="156"/>
    </row>
    <row r="25" spans="1:8" x14ac:dyDescent="0.2">
      <c r="A25" s="5">
        <v>19</v>
      </c>
      <c r="B25" s="6" t="s">
        <v>57</v>
      </c>
      <c r="C25" s="6" t="s">
        <v>58</v>
      </c>
      <c r="D25" s="6" t="s">
        <v>17</v>
      </c>
      <c r="E25" s="7">
        <v>260339</v>
      </c>
      <c r="F25" s="8">
        <v>1218.6468589999999</v>
      </c>
      <c r="G25" s="9">
        <v>2.0752920000000001E-2</v>
      </c>
      <c r="H25" s="156"/>
    </row>
    <row r="26" spans="1:8" x14ac:dyDescent="0.2">
      <c r="A26" s="5">
        <v>20</v>
      </c>
      <c r="B26" s="6" t="s">
        <v>59</v>
      </c>
      <c r="C26" s="6" t="s">
        <v>60</v>
      </c>
      <c r="D26" s="6" t="s">
        <v>40</v>
      </c>
      <c r="E26" s="7">
        <v>621209</v>
      </c>
      <c r="F26" s="8">
        <v>1205.14546</v>
      </c>
      <c r="G26" s="9">
        <v>2.0522998000000001E-2</v>
      </c>
      <c r="H26" s="156"/>
    </row>
    <row r="27" spans="1:8" x14ac:dyDescent="0.2">
      <c r="A27" s="5">
        <v>21</v>
      </c>
      <c r="B27" s="6" t="s">
        <v>61</v>
      </c>
      <c r="C27" s="6" t="s">
        <v>62</v>
      </c>
      <c r="D27" s="6" t="s">
        <v>63</v>
      </c>
      <c r="E27" s="7">
        <v>40750</v>
      </c>
      <c r="F27" s="8">
        <v>1192.4265</v>
      </c>
      <c r="G27" s="9">
        <v>2.0306401000000002E-2</v>
      </c>
      <c r="H27" s="156"/>
    </row>
    <row r="28" spans="1:8" x14ac:dyDescent="0.2">
      <c r="A28" s="5">
        <v>22</v>
      </c>
      <c r="B28" s="6" t="s">
        <v>64</v>
      </c>
      <c r="C28" s="6" t="s">
        <v>65</v>
      </c>
      <c r="D28" s="6" t="s">
        <v>35</v>
      </c>
      <c r="E28" s="7">
        <v>315302</v>
      </c>
      <c r="F28" s="8">
        <v>1166.4597490000001</v>
      </c>
      <c r="G28" s="9">
        <v>1.9864201000000001E-2</v>
      </c>
      <c r="H28" s="156"/>
    </row>
    <row r="29" spans="1:8" x14ac:dyDescent="0.2">
      <c r="A29" s="5">
        <v>23</v>
      </c>
      <c r="B29" s="6" t="s">
        <v>66</v>
      </c>
      <c r="C29" s="6" t="s">
        <v>67</v>
      </c>
      <c r="D29" s="6" t="s">
        <v>68</v>
      </c>
      <c r="E29" s="7">
        <v>208993</v>
      </c>
      <c r="F29" s="8">
        <v>1153.5368635</v>
      </c>
      <c r="G29" s="9">
        <v>1.9644130999999999E-2</v>
      </c>
      <c r="H29" s="156"/>
    </row>
    <row r="30" spans="1:8" x14ac:dyDescent="0.2">
      <c r="A30" s="5">
        <v>24</v>
      </c>
      <c r="B30" s="6" t="s">
        <v>69</v>
      </c>
      <c r="C30" s="6" t="s">
        <v>70</v>
      </c>
      <c r="D30" s="6" t="s">
        <v>35</v>
      </c>
      <c r="E30" s="7">
        <v>23847</v>
      </c>
      <c r="F30" s="8">
        <v>1116.8980919999999</v>
      </c>
      <c r="G30" s="9">
        <v>1.9020190999999999E-2</v>
      </c>
      <c r="H30" s="156"/>
    </row>
    <row r="31" spans="1:8" x14ac:dyDescent="0.2">
      <c r="A31" s="5">
        <v>25</v>
      </c>
      <c r="B31" s="6" t="s">
        <v>71</v>
      </c>
      <c r="C31" s="6" t="s">
        <v>72</v>
      </c>
      <c r="D31" s="6" t="s">
        <v>73</v>
      </c>
      <c r="E31" s="7">
        <v>187344</v>
      </c>
      <c r="F31" s="8">
        <v>1077.6026879999999</v>
      </c>
      <c r="G31" s="9">
        <v>1.8351011E-2</v>
      </c>
      <c r="H31" s="156"/>
    </row>
    <row r="32" spans="1:8" x14ac:dyDescent="0.2">
      <c r="A32" s="5">
        <v>26</v>
      </c>
      <c r="B32" s="6" t="s">
        <v>74</v>
      </c>
      <c r="C32" s="6" t="s">
        <v>75</v>
      </c>
      <c r="D32" s="6" t="s">
        <v>28</v>
      </c>
      <c r="E32" s="7">
        <v>119317</v>
      </c>
      <c r="F32" s="8">
        <v>1073.2564150000001</v>
      </c>
      <c r="G32" s="9">
        <v>1.8276996E-2</v>
      </c>
      <c r="H32" s="156"/>
    </row>
    <row r="33" spans="1:8" x14ac:dyDescent="0.2">
      <c r="A33" s="5">
        <v>27</v>
      </c>
      <c r="B33" s="6" t="s">
        <v>76</v>
      </c>
      <c r="C33" s="6" t="s">
        <v>77</v>
      </c>
      <c r="D33" s="6" t="s">
        <v>78</v>
      </c>
      <c r="E33" s="7">
        <v>716249</v>
      </c>
      <c r="F33" s="8">
        <v>1071.8666284999999</v>
      </c>
      <c r="G33" s="9">
        <v>1.8253328999999999E-2</v>
      </c>
      <c r="H33" s="156"/>
    </row>
    <row r="34" spans="1:8" x14ac:dyDescent="0.2">
      <c r="A34" s="5">
        <v>28</v>
      </c>
      <c r="B34" s="6" t="s">
        <v>79</v>
      </c>
      <c r="C34" s="6" t="s">
        <v>80</v>
      </c>
      <c r="D34" s="6" t="s">
        <v>63</v>
      </c>
      <c r="E34" s="7">
        <v>380216</v>
      </c>
      <c r="F34" s="8">
        <v>887.23403599999995</v>
      </c>
      <c r="G34" s="9">
        <v>1.5109132000000001E-2</v>
      </c>
      <c r="H34" s="156"/>
    </row>
    <row r="35" spans="1:8" x14ac:dyDescent="0.2">
      <c r="A35" s="5">
        <v>29</v>
      </c>
      <c r="B35" s="6" t="s">
        <v>81</v>
      </c>
      <c r="C35" s="6" t="s">
        <v>82</v>
      </c>
      <c r="D35" s="6" t="s">
        <v>14</v>
      </c>
      <c r="E35" s="7">
        <v>978673</v>
      </c>
      <c r="F35" s="8">
        <v>849.97750050000002</v>
      </c>
      <c r="G35" s="9">
        <v>1.4474673E-2</v>
      </c>
      <c r="H35" s="156"/>
    </row>
    <row r="36" spans="1:8" x14ac:dyDescent="0.2">
      <c r="A36" s="5">
        <v>30</v>
      </c>
      <c r="B36" s="6" t="s">
        <v>83</v>
      </c>
      <c r="C36" s="6" t="s">
        <v>84</v>
      </c>
      <c r="D36" s="6" t="s">
        <v>85</v>
      </c>
      <c r="E36" s="7">
        <v>716100</v>
      </c>
      <c r="F36" s="8">
        <v>842.84969999999998</v>
      </c>
      <c r="G36" s="9">
        <v>1.4353289999999999E-2</v>
      </c>
      <c r="H36" s="156"/>
    </row>
    <row r="37" spans="1:8" x14ac:dyDescent="0.2">
      <c r="A37" s="5">
        <v>31</v>
      </c>
      <c r="B37" s="6" t="s">
        <v>86</v>
      </c>
      <c r="C37" s="6" t="s">
        <v>87</v>
      </c>
      <c r="D37" s="6" t="s">
        <v>35</v>
      </c>
      <c r="E37" s="7">
        <v>322925</v>
      </c>
      <c r="F37" s="8">
        <v>595.95808750000003</v>
      </c>
      <c r="G37" s="9">
        <v>1.0148855E-2</v>
      </c>
      <c r="H37" s="156"/>
    </row>
    <row r="38" spans="1:8" x14ac:dyDescent="0.2">
      <c r="A38" s="5">
        <v>32</v>
      </c>
      <c r="B38" s="6" t="s">
        <v>88</v>
      </c>
      <c r="C38" s="6" t="s">
        <v>89</v>
      </c>
      <c r="D38" s="6" t="s">
        <v>78</v>
      </c>
      <c r="E38" s="7">
        <v>199331</v>
      </c>
      <c r="F38" s="8">
        <v>450.08939800000002</v>
      </c>
      <c r="G38" s="9">
        <v>7.6647870000000002E-3</v>
      </c>
      <c r="H38" s="156"/>
    </row>
    <row r="39" spans="1:8" x14ac:dyDescent="0.2">
      <c r="A39" s="5">
        <v>33</v>
      </c>
      <c r="B39" s="6" t="s">
        <v>90</v>
      </c>
      <c r="C39" s="6" t="s">
        <v>91</v>
      </c>
      <c r="D39" s="6" t="s">
        <v>92</v>
      </c>
      <c r="E39" s="7">
        <v>350000</v>
      </c>
      <c r="F39" s="8">
        <v>429.1</v>
      </c>
      <c r="G39" s="9">
        <v>7.3073490000000003E-3</v>
      </c>
      <c r="H39" s="156"/>
    </row>
    <row r="40" spans="1:8" x14ac:dyDescent="0.2">
      <c r="A40" s="5">
        <v>34</v>
      </c>
      <c r="B40" s="6" t="s">
        <v>93</v>
      </c>
      <c r="C40" s="6" t="s">
        <v>94</v>
      </c>
      <c r="D40" s="6" t="s">
        <v>68</v>
      </c>
      <c r="E40" s="7">
        <v>57455</v>
      </c>
      <c r="F40" s="8">
        <v>404.310835</v>
      </c>
      <c r="G40" s="9">
        <v>6.885202E-3</v>
      </c>
      <c r="H40" s="156"/>
    </row>
    <row r="41" spans="1:8" x14ac:dyDescent="0.2">
      <c r="A41" s="5">
        <v>35</v>
      </c>
      <c r="B41" s="6" t="s">
        <v>95</v>
      </c>
      <c r="C41" s="6" t="s">
        <v>96</v>
      </c>
      <c r="D41" s="6" t="s">
        <v>40</v>
      </c>
      <c r="E41" s="7">
        <v>128986</v>
      </c>
      <c r="F41" s="8">
        <v>373.47896300000002</v>
      </c>
      <c r="G41" s="9">
        <v>6.360152E-3</v>
      </c>
      <c r="H41" s="156"/>
    </row>
    <row r="42" spans="1:8" x14ac:dyDescent="0.2">
      <c r="A42" s="5">
        <v>36</v>
      </c>
      <c r="B42" s="6" t="s">
        <v>97</v>
      </c>
      <c r="C42" s="6" t="s">
        <v>98</v>
      </c>
      <c r="D42" s="6" t="s">
        <v>28</v>
      </c>
      <c r="E42" s="7">
        <v>5649</v>
      </c>
      <c r="F42" s="8">
        <v>318.28725600000001</v>
      </c>
      <c r="G42" s="9">
        <v>5.420266E-3</v>
      </c>
      <c r="H42" s="156"/>
    </row>
    <row r="43" spans="1:8" x14ac:dyDescent="0.2">
      <c r="A43" s="5">
        <v>37</v>
      </c>
      <c r="B43" s="6" t="s">
        <v>99</v>
      </c>
      <c r="C43" s="6" t="s">
        <v>100</v>
      </c>
      <c r="D43" s="6" t="s">
        <v>40</v>
      </c>
      <c r="E43" s="7">
        <v>397500</v>
      </c>
      <c r="F43" s="8">
        <v>266.92124999999999</v>
      </c>
      <c r="G43" s="9">
        <v>4.5455299999999999E-3</v>
      </c>
      <c r="H43" s="156"/>
    </row>
    <row r="44" spans="1:8" x14ac:dyDescent="0.2">
      <c r="A44" s="5">
        <v>38</v>
      </c>
      <c r="B44" s="6" t="s">
        <v>101</v>
      </c>
      <c r="C44" s="6" t="s">
        <v>102</v>
      </c>
      <c r="D44" s="6" t="s">
        <v>972</v>
      </c>
      <c r="E44" s="7">
        <v>6000</v>
      </c>
      <c r="F44" s="8">
        <v>113.46899999999999</v>
      </c>
      <c r="G44" s="9">
        <v>1.9323179999999999E-3</v>
      </c>
      <c r="H44" s="156"/>
    </row>
    <row r="45" spans="1:8" x14ac:dyDescent="0.2">
      <c r="A45" s="5">
        <v>39</v>
      </c>
      <c r="B45" s="6" t="s">
        <v>103</v>
      </c>
      <c r="C45" s="6" t="s">
        <v>104</v>
      </c>
      <c r="D45" s="6" t="s">
        <v>78</v>
      </c>
      <c r="E45" s="7">
        <v>20000</v>
      </c>
      <c r="F45" s="8">
        <v>111.55</v>
      </c>
      <c r="G45" s="9">
        <v>1.8996379999999999E-3</v>
      </c>
      <c r="H45" s="156"/>
    </row>
    <row r="46" spans="1:8" x14ac:dyDescent="0.2">
      <c r="A46" s="3" t="s">
        <v>9</v>
      </c>
      <c r="B46" s="3" t="s">
        <v>9</v>
      </c>
      <c r="C46" s="4" t="s">
        <v>105</v>
      </c>
      <c r="D46" s="3" t="s">
        <v>9</v>
      </c>
      <c r="E46" s="3" t="s">
        <v>9</v>
      </c>
      <c r="F46" s="10">
        <v>58176.831724999996</v>
      </c>
      <c r="G46" s="11">
        <v>0.99072106800000004</v>
      </c>
      <c r="H46" s="156"/>
    </row>
    <row r="47" spans="1:8" x14ac:dyDescent="0.2">
      <c r="A47" s="3" t="s">
        <v>9</v>
      </c>
      <c r="B47" s="3" t="s">
        <v>9</v>
      </c>
      <c r="C47" s="12" t="s">
        <v>9</v>
      </c>
      <c r="D47" s="3" t="s">
        <v>9</v>
      </c>
      <c r="E47" s="3" t="s">
        <v>9</v>
      </c>
      <c r="F47" s="13" t="s">
        <v>9</v>
      </c>
      <c r="G47" s="13" t="s">
        <v>9</v>
      </c>
      <c r="H47" s="156"/>
    </row>
    <row r="48" spans="1:8" x14ac:dyDescent="0.2">
      <c r="A48" s="3" t="s">
        <v>9</v>
      </c>
      <c r="B48" s="3" t="s">
        <v>9</v>
      </c>
      <c r="C48" s="4" t="s">
        <v>106</v>
      </c>
      <c r="D48" s="3" t="s">
        <v>9</v>
      </c>
      <c r="E48" s="3" t="s">
        <v>9</v>
      </c>
      <c r="F48" s="3" t="s">
        <v>9</v>
      </c>
      <c r="G48" s="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105</v>
      </c>
      <c r="D49" s="3" t="s">
        <v>9</v>
      </c>
      <c r="E49" s="3" t="s">
        <v>9</v>
      </c>
      <c r="F49" s="14">
        <v>0</v>
      </c>
      <c r="G49" s="15">
        <v>0</v>
      </c>
      <c r="H49" s="156"/>
    </row>
    <row r="50" spans="1:8" x14ac:dyDescent="0.2">
      <c r="A50" s="3" t="s">
        <v>9</v>
      </c>
      <c r="B50" s="3" t="s">
        <v>9</v>
      </c>
      <c r="C50" s="12" t="s">
        <v>9</v>
      </c>
      <c r="D50" s="3" t="s">
        <v>9</v>
      </c>
      <c r="E50" s="3" t="s">
        <v>9</v>
      </c>
      <c r="F50" s="13" t="s">
        <v>9</v>
      </c>
      <c r="G50" s="13" t="s">
        <v>9</v>
      </c>
      <c r="H50" s="156"/>
    </row>
    <row r="51" spans="1:8" x14ac:dyDescent="0.2">
      <c r="A51" s="3" t="s">
        <v>9</v>
      </c>
      <c r="B51" s="3" t="s">
        <v>9</v>
      </c>
      <c r="C51" s="4" t="s">
        <v>107</v>
      </c>
      <c r="D51" s="3" t="s">
        <v>9</v>
      </c>
      <c r="E51" s="3" t="s">
        <v>9</v>
      </c>
      <c r="F51" s="3" t="s">
        <v>9</v>
      </c>
      <c r="G51" s="3" t="s">
        <v>9</v>
      </c>
      <c r="H51" s="156"/>
    </row>
    <row r="52" spans="1:8" x14ac:dyDescent="0.2">
      <c r="A52" s="5">
        <v>1</v>
      </c>
      <c r="B52" s="6" t="s">
        <v>108</v>
      </c>
      <c r="C52" s="6" t="s">
        <v>998</v>
      </c>
      <c r="D52" s="6" t="s">
        <v>109</v>
      </c>
      <c r="E52" s="7">
        <v>559425</v>
      </c>
      <c r="F52" s="8">
        <v>1.1189000000000001E-5</v>
      </c>
      <c r="G52" s="16" t="s">
        <v>110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0">
        <v>1.1189000000000001E-5</v>
      </c>
      <c r="G53" s="11">
        <v>0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111</v>
      </c>
      <c r="D55" s="3" t="s">
        <v>9</v>
      </c>
      <c r="E55" s="3" t="s">
        <v>9</v>
      </c>
      <c r="F55" s="3" t="s">
        <v>9</v>
      </c>
      <c r="G55" s="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105</v>
      </c>
      <c r="D56" s="3" t="s">
        <v>9</v>
      </c>
      <c r="E56" s="3" t="s">
        <v>9</v>
      </c>
      <c r="F56" s="14">
        <v>0</v>
      </c>
      <c r="G56" s="15">
        <v>0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112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105</v>
      </c>
      <c r="D59" s="3" t="s">
        <v>9</v>
      </c>
      <c r="E59" s="3" t="s">
        <v>9</v>
      </c>
      <c r="F59" s="14">
        <v>0</v>
      </c>
      <c r="G59" s="15">
        <v>0</v>
      </c>
      <c r="H59" s="156"/>
    </row>
    <row r="60" spans="1:8" x14ac:dyDescent="0.2">
      <c r="A60" s="3" t="s">
        <v>9</v>
      </c>
      <c r="B60" s="3" t="s">
        <v>9</v>
      </c>
      <c r="C60" s="12" t="s">
        <v>9</v>
      </c>
      <c r="D60" s="3" t="s">
        <v>9</v>
      </c>
      <c r="E60" s="3" t="s">
        <v>9</v>
      </c>
      <c r="F60" s="13" t="s">
        <v>9</v>
      </c>
      <c r="G60" s="1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113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105</v>
      </c>
      <c r="D62" s="3" t="s">
        <v>9</v>
      </c>
      <c r="E62" s="3" t="s">
        <v>9</v>
      </c>
      <c r="F62" s="14">
        <v>0</v>
      </c>
      <c r="G62" s="15">
        <v>0</v>
      </c>
      <c r="H62" s="156"/>
    </row>
    <row r="63" spans="1:8" x14ac:dyDescent="0.2">
      <c r="A63" s="3" t="s">
        <v>9</v>
      </c>
      <c r="B63" s="3" t="s">
        <v>9</v>
      </c>
      <c r="C63" s="12" t="s">
        <v>9</v>
      </c>
      <c r="D63" s="3" t="s">
        <v>9</v>
      </c>
      <c r="E63" s="3" t="s">
        <v>9</v>
      </c>
      <c r="F63" s="13" t="s">
        <v>9</v>
      </c>
      <c r="G63" s="1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114</v>
      </c>
      <c r="D64" s="3" t="s">
        <v>9</v>
      </c>
      <c r="E64" s="3" t="s">
        <v>9</v>
      </c>
      <c r="F64" s="10">
        <v>58176.831736189</v>
      </c>
      <c r="G64" s="11">
        <v>0.99072106800000004</v>
      </c>
      <c r="H64" s="156"/>
    </row>
    <row r="65" spans="1:8" x14ac:dyDescent="0.2">
      <c r="A65" s="3" t="s">
        <v>9</v>
      </c>
      <c r="B65" s="3" t="s">
        <v>9</v>
      </c>
      <c r="C65" s="12" t="s">
        <v>9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115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11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105</v>
      </c>
      <c r="D68" s="3" t="s">
        <v>9</v>
      </c>
      <c r="E68" s="3" t="s">
        <v>9</v>
      </c>
      <c r="F68" s="14">
        <v>0</v>
      </c>
      <c r="G68" s="15">
        <v>0</v>
      </c>
      <c r="H68" s="156"/>
    </row>
    <row r="69" spans="1:8" x14ac:dyDescent="0.2">
      <c r="A69" s="3" t="s">
        <v>9</v>
      </c>
      <c r="B69" s="3" t="s">
        <v>9</v>
      </c>
      <c r="C69" s="12" t="s">
        <v>9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116</v>
      </c>
      <c r="D70" s="3" t="s">
        <v>9</v>
      </c>
      <c r="E70" s="3" t="s">
        <v>9</v>
      </c>
      <c r="F70" s="3" t="s">
        <v>9</v>
      </c>
      <c r="G70" s="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4">
        <v>0</v>
      </c>
      <c r="G71" s="15">
        <v>0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117</v>
      </c>
      <c r="D73" s="3" t="s">
        <v>9</v>
      </c>
      <c r="E73" s="3" t="s">
        <v>9</v>
      </c>
      <c r="F73" s="3" t="s">
        <v>9</v>
      </c>
      <c r="G73" s="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105</v>
      </c>
      <c r="D74" s="3" t="s">
        <v>9</v>
      </c>
      <c r="E74" s="3" t="s">
        <v>9</v>
      </c>
      <c r="F74" s="14">
        <v>0</v>
      </c>
      <c r="G74" s="15">
        <v>0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118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105</v>
      </c>
      <c r="D77" s="3" t="s">
        <v>9</v>
      </c>
      <c r="E77" s="3" t="s">
        <v>9</v>
      </c>
      <c r="F77" s="14">
        <v>0</v>
      </c>
      <c r="G77" s="15">
        <v>0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119</v>
      </c>
      <c r="D79" s="3" t="s">
        <v>9</v>
      </c>
      <c r="E79" s="3" t="s">
        <v>9</v>
      </c>
      <c r="F79" s="10">
        <v>0</v>
      </c>
      <c r="G79" s="11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120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121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122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105</v>
      </c>
      <c r="D86" s="3" t="s">
        <v>9</v>
      </c>
      <c r="E86" s="3" t="s">
        <v>9</v>
      </c>
      <c r="F86" s="14">
        <v>0</v>
      </c>
      <c r="G86" s="15">
        <v>0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123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105</v>
      </c>
      <c r="D89" s="3" t="s">
        <v>9</v>
      </c>
      <c r="E89" s="3" t="s">
        <v>9</v>
      </c>
      <c r="F89" s="14">
        <v>0</v>
      </c>
      <c r="G89" s="15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124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5">
        <v>1</v>
      </c>
      <c r="B92" s="6"/>
      <c r="C92" s="6" t="s">
        <v>125</v>
      </c>
      <c r="D92" s="6"/>
      <c r="E92" s="16" t="s">
        <v>9</v>
      </c>
      <c r="F92" s="8">
        <v>149.62424759999999</v>
      </c>
      <c r="G92" s="9">
        <v>2.548023E-3</v>
      </c>
      <c r="H92" s="8">
        <v>3.3326163573085874</v>
      </c>
    </row>
    <row r="93" spans="1:8" x14ac:dyDescent="0.2">
      <c r="A93" s="5">
        <v>2</v>
      </c>
      <c r="B93" s="6"/>
      <c r="C93" s="6" t="s">
        <v>126</v>
      </c>
      <c r="D93" s="6"/>
      <c r="E93" s="16" t="s">
        <v>9</v>
      </c>
      <c r="F93" s="8">
        <v>106.8690319</v>
      </c>
      <c r="G93" s="9">
        <v>1.8199240000000001E-3</v>
      </c>
      <c r="H93" s="8">
        <v>3.2337849550915885</v>
      </c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0">
        <v>256.49327950000003</v>
      </c>
      <c r="G94" s="11">
        <v>4.3679469999999996E-3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127</v>
      </c>
      <c r="D96" s="3" t="s">
        <v>9</v>
      </c>
      <c r="E96" s="3" t="s">
        <v>9</v>
      </c>
      <c r="F96" s="10">
        <v>256.49327950000003</v>
      </c>
      <c r="G96" s="11">
        <v>4.3679469999999996E-3</v>
      </c>
      <c r="H96" s="156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3" t="s">
        <v>9</v>
      </c>
      <c r="G97" s="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128</v>
      </c>
      <c r="D98" s="3" t="s">
        <v>9</v>
      </c>
      <c r="E98" s="3" t="s">
        <v>9</v>
      </c>
      <c r="F98" s="3" t="s">
        <v>9</v>
      </c>
      <c r="G98" s="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129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130</v>
      </c>
      <c r="D102" s="3" t="s">
        <v>9</v>
      </c>
      <c r="E102" s="3" t="s">
        <v>9</v>
      </c>
      <c r="F102" s="3" t="s">
        <v>9</v>
      </c>
      <c r="G102" s="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131</v>
      </c>
      <c r="D103" s="3" t="s">
        <v>9</v>
      </c>
      <c r="E103" s="3" t="s">
        <v>9</v>
      </c>
      <c r="F103" s="3" t="s">
        <v>9</v>
      </c>
      <c r="G103" s="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105</v>
      </c>
      <c r="D104" s="3" t="s">
        <v>9</v>
      </c>
      <c r="E104" s="3" t="s">
        <v>9</v>
      </c>
      <c r="F104" s="14">
        <v>0</v>
      </c>
      <c r="G104" s="15">
        <v>0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132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6" t="s">
        <v>9</v>
      </c>
      <c r="C110" s="6" t="s">
        <v>9</v>
      </c>
      <c r="D110" s="4" t="s">
        <v>9</v>
      </c>
      <c r="E110" s="3" t="s">
        <v>9</v>
      </c>
      <c r="F110" s="6" t="s">
        <v>9</v>
      </c>
      <c r="G110" s="16" t="s">
        <v>9</v>
      </c>
      <c r="H110" s="156"/>
    </row>
    <row r="111" spans="1:8" x14ac:dyDescent="0.2">
      <c r="A111" s="16" t="s">
        <v>9</v>
      </c>
      <c r="B111" s="6" t="s">
        <v>9</v>
      </c>
      <c r="C111" s="6" t="s">
        <v>133</v>
      </c>
      <c r="D111" s="6" t="s">
        <v>9</v>
      </c>
      <c r="E111" s="16" t="s">
        <v>9</v>
      </c>
      <c r="F111" s="8">
        <v>288.38123100000001</v>
      </c>
      <c r="G111" s="9">
        <v>4.9109820000000004E-3</v>
      </c>
      <c r="H111" s="156"/>
    </row>
    <row r="112" spans="1:8" x14ac:dyDescent="0.2">
      <c r="A112" s="12" t="s">
        <v>9</v>
      </c>
      <c r="B112" s="12" t="s">
        <v>9</v>
      </c>
      <c r="C112" s="4" t="s">
        <v>134</v>
      </c>
      <c r="D112" s="17" t="s">
        <v>9</v>
      </c>
      <c r="E112" s="17" t="s">
        <v>9</v>
      </c>
      <c r="F112" s="10">
        <v>58721.706235499994</v>
      </c>
      <c r="G112" s="11">
        <v>0.99999999699999997</v>
      </c>
      <c r="H112" s="156"/>
    </row>
    <row r="113" spans="1:7" ht="14.1" customHeight="1" x14ac:dyDescent="0.2">
      <c r="A113" s="18" t="s">
        <v>9</v>
      </c>
      <c r="B113" s="18" t="s">
        <v>9</v>
      </c>
      <c r="C113" s="18" t="s">
        <v>9</v>
      </c>
      <c r="D113" s="19" t="s">
        <v>9</v>
      </c>
      <c r="E113" s="19" t="s">
        <v>9</v>
      </c>
      <c r="F113" s="19" t="s">
        <v>9</v>
      </c>
      <c r="G113" s="19" t="s">
        <v>9</v>
      </c>
    </row>
    <row r="114" spans="1:7" ht="14.1" customHeight="1" x14ac:dyDescent="0.2">
      <c r="A114" s="20" t="s">
        <v>9</v>
      </c>
      <c r="B114" s="200" t="s">
        <v>9</v>
      </c>
      <c r="C114" s="200"/>
      <c r="D114" s="200"/>
      <c r="E114" s="200"/>
      <c r="F114" s="200"/>
      <c r="G114" s="22" t="s">
        <v>9</v>
      </c>
    </row>
    <row r="115" spans="1:7" ht="17.100000000000001" customHeight="1" x14ac:dyDescent="0.2">
      <c r="A115" s="20" t="s">
        <v>9</v>
      </c>
      <c r="B115" s="200" t="s">
        <v>135</v>
      </c>
      <c r="C115" s="200"/>
      <c r="D115" s="200"/>
      <c r="E115" s="200"/>
      <c r="F115" s="200"/>
      <c r="G115" s="22" t="s">
        <v>9</v>
      </c>
    </row>
    <row r="116" spans="1:7" ht="14.1" customHeight="1" x14ac:dyDescent="0.2">
      <c r="A116" s="20" t="s">
        <v>9</v>
      </c>
      <c r="B116" s="20" t="s">
        <v>9</v>
      </c>
      <c r="C116" s="20" t="s">
        <v>9</v>
      </c>
      <c r="D116" s="22" t="s">
        <v>9</v>
      </c>
      <c r="E116" s="22" t="s">
        <v>9</v>
      </c>
      <c r="F116" s="22" t="s">
        <v>9</v>
      </c>
      <c r="G116" s="22" t="s">
        <v>9</v>
      </c>
    </row>
    <row r="117" spans="1:7" ht="14.1" customHeight="1" x14ac:dyDescent="0.2">
      <c r="A117" s="20" t="s">
        <v>9</v>
      </c>
      <c r="B117" s="198" t="s">
        <v>136</v>
      </c>
      <c r="C117" s="199"/>
      <c r="D117" s="13" t="s">
        <v>9</v>
      </c>
      <c r="E117" s="23" t="s">
        <v>9</v>
      </c>
      <c r="F117" s="22" t="s">
        <v>9</v>
      </c>
      <c r="G117" s="22" t="s">
        <v>9</v>
      </c>
    </row>
    <row r="118" spans="1:7" ht="29.1" customHeight="1" x14ac:dyDescent="0.2">
      <c r="A118" s="20" t="s">
        <v>9</v>
      </c>
      <c r="B118" s="205" t="s">
        <v>137</v>
      </c>
      <c r="C118" s="206"/>
      <c r="D118" s="4" t="s">
        <v>138</v>
      </c>
      <c r="E118" s="23" t="s">
        <v>9</v>
      </c>
      <c r="F118" s="22" t="s">
        <v>9</v>
      </c>
      <c r="G118" s="22" t="s">
        <v>9</v>
      </c>
    </row>
    <row r="119" spans="1:7" ht="17.100000000000001" customHeight="1" x14ac:dyDescent="0.2">
      <c r="A119" s="20" t="s">
        <v>9</v>
      </c>
      <c r="B119" s="205" t="s">
        <v>999</v>
      </c>
      <c r="C119" s="206"/>
      <c r="D119" s="184" t="s">
        <v>1000</v>
      </c>
      <c r="E119" s="23" t="s">
        <v>9</v>
      </c>
      <c r="F119" s="22" t="s">
        <v>9</v>
      </c>
      <c r="G119" s="22" t="s">
        <v>9</v>
      </c>
    </row>
    <row r="120" spans="1:7" ht="17.100000000000001" customHeight="1" x14ac:dyDescent="0.2">
      <c r="A120" s="20" t="s">
        <v>9</v>
      </c>
      <c r="B120" s="205" t="s">
        <v>140</v>
      </c>
      <c r="C120" s="206"/>
      <c r="D120" s="13" t="s">
        <v>9</v>
      </c>
      <c r="E120" s="23" t="s">
        <v>9</v>
      </c>
      <c r="F120" s="22" t="s">
        <v>9</v>
      </c>
      <c r="G120" s="22" t="s">
        <v>9</v>
      </c>
    </row>
    <row r="121" spans="1:7" ht="24" customHeight="1" x14ac:dyDescent="0.2">
      <c r="A121" s="24" t="s">
        <v>9</v>
      </c>
      <c r="B121" s="25" t="s">
        <v>9</v>
      </c>
      <c r="C121" s="25" t="s">
        <v>141</v>
      </c>
      <c r="D121" s="25" t="s">
        <v>142</v>
      </c>
      <c r="E121" s="24" t="s">
        <v>9</v>
      </c>
      <c r="F121" s="24" t="s">
        <v>9</v>
      </c>
      <c r="G121" s="24" t="s">
        <v>9</v>
      </c>
    </row>
    <row r="122" spans="1:7" ht="18" customHeight="1" x14ac:dyDescent="0.2">
      <c r="A122" s="24" t="s">
        <v>9</v>
      </c>
      <c r="B122" s="25" t="s">
        <v>143</v>
      </c>
      <c r="C122" s="25" t="s">
        <v>144</v>
      </c>
      <c r="D122" s="25" t="s">
        <v>145</v>
      </c>
      <c r="E122" s="24" t="s">
        <v>9</v>
      </c>
      <c r="F122" s="24" t="s">
        <v>9</v>
      </c>
      <c r="G122" s="24" t="s">
        <v>9</v>
      </c>
    </row>
    <row r="123" spans="1:7" ht="17.100000000000001" customHeight="1" x14ac:dyDescent="0.2">
      <c r="A123" s="24" t="s">
        <v>9</v>
      </c>
      <c r="B123" s="6" t="s">
        <v>146</v>
      </c>
      <c r="C123" s="26">
        <v>44.987299999999998</v>
      </c>
      <c r="D123" s="26">
        <v>46.3217</v>
      </c>
      <c r="E123" s="24" t="s">
        <v>9</v>
      </c>
      <c r="F123" s="21" t="s">
        <v>9</v>
      </c>
      <c r="G123" s="27" t="s">
        <v>9</v>
      </c>
    </row>
    <row r="124" spans="1:7" ht="17.100000000000001" customHeight="1" x14ac:dyDescent="0.2">
      <c r="A124" s="24" t="s">
        <v>9</v>
      </c>
      <c r="B124" s="6" t="s">
        <v>839</v>
      </c>
      <c r="C124" s="26">
        <v>37.2896</v>
      </c>
      <c r="D124" s="26">
        <v>35.738599999999998</v>
      </c>
      <c r="E124" s="24" t="s">
        <v>9</v>
      </c>
      <c r="F124" s="21" t="s">
        <v>9</v>
      </c>
      <c r="G124" s="27" t="s">
        <v>9</v>
      </c>
    </row>
    <row r="125" spans="1:7" ht="17.100000000000001" customHeight="1" x14ac:dyDescent="0.2">
      <c r="A125" s="24" t="s">
        <v>9</v>
      </c>
      <c r="B125" s="6" t="s">
        <v>147</v>
      </c>
      <c r="C125" s="26">
        <v>43.066200000000002</v>
      </c>
      <c r="D125" s="26">
        <v>44.325499999999998</v>
      </c>
      <c r="E125" s="24" t="s">
        <v>9</v>
      </c>
      <c r="F125" s="21" t="s">
        <v>9</v>
      </c>
      <c r="G125" s="27" t="s">
        <v>9</v>
      </c>
    </row>
    <row r="126" spans="1:7" ht="17.100000000000001" customHeight="1" x14ac:dyDescent="0.2">
      <c r="A126" s="24" t="s">
        <v>9</v>
      </c>
      <c r="B126" s="6" t="s">
        <v>840</v>
      </c>
      <c r="C126" s="26">
        <v>35.517000000000003</v>
      </c>
      <c r="D126" s="26">
        <v>34.025599999999997</v>
      </c>
      <c r="E126" s="24" t="s">
        <v>9</v>
      </c>
      <c r="F126" s="21" t="s">
        <v>9</v>
      </c>
      <c r="G126" s="27" t="s">
        <v>9</v>
      </c>
    </row>
    <row r="127" spans="1:7" ht="14.1" customHeight="1" x14ac:dyDescent="0.2">
      <c r="A127" s="24" t="s">
        <v>9</v>
      </c>
      <c r="B127" s="24" t="s">
        <v>9</v>
      </c>
      <c r="C127" s="24" t="s">
        <v>9</v>
      </c>
      <c r="D127" s="24" t="s">
        <v>9</v>
      </c>
      <c r="E127" s="24" t="s">
        <v>9</v>
      </c>
      <c r="F127" s="24" t="s">
        <v>9</v>
      </c>
      <c r="G127" s="24" t="s">
        <v>9</v>
      </c>
    </row>
    <row r="128" spans="1:7" ht="29.1" customHeight="1" x14ac:dyDescent="0.2">
      <c r="A128" s="24" t="s">
        <v>9</v>
      </c>
      <c r="B128" s="207" t="s">
        <v>1013</v>
      </c>
      <c r="C128" s="207"/>
      <c r="D128" s="160"/>
      <c r="E128" s="24" t="s">
        <v>9</v>
      </c>
      <c r="F128" s="24" t="s">
        <v>9</v>
      </c>
      <c r="G128" s="24" t="s">
        <v>9</v>
      </c>
    </row>
    <row r="129" spans="1:8" s="166" customFormat="1" ht="15" x14ac:dyDescent="0.2">
      <c r="A129" s="148" t="s">
        <v>9</v>
      </c>
      <c r="B129" s="161" t="s">
        <v>143</v>
      </c>
      <c r="C129" s="161" t="s">
        <v>878</v>
      </c>
      <c r="D129" s="161" t="s">
        <v>879</v>
      </c>
      <c r="E129" s="148" t="s">
        <v>9</v>
      </c>
      <c r="F129" s="148" t="s">
        <v>9</v>
      </c>
      <c r="G129" s="148" t="s">
        <v>9</v>
      </c>
      <c r="H129" s="165"/>
    </row>
    <row r="130" spans="1:8" ht="17.100000000000001" customHeight="1" x14ac:dyDescent="0.2">
      <c r="A130" s="24" t="s">
        <v>9</v>
      </c>
      <c r="B130" s="162" t="s">
        <v>839</v>
      </c>
      <c r="C130" s="163">
        <v>2.657</v>
      </c>
      <c r="D130" s="164">
        <v>2.657</v>
      </c>
      <c r="E130" s="24" t="s">
        <v>9</v>
      </c>
      <c r="F130" s="21" t="s">
        <v>9</v>
      </c>
      <c r="G130" s="27" t="s">
        <v>9</v>
      </c>
    </row>
    <row r="131" spans="1:8" ht="17.100000000000001" customHeight="1" x14ac:dyDescent="0.2">
      <c r="A131" s="24" t="s">
        <v>9</v>
      </c>
      <c r="B131" s="162" t="s">
        <v>840</v>
      </c>
      <c r="C131" s="163">
        <v>2.5299999999999998</v>
      </c>
      <c r="D131" s="164">
        <v>2.5299999999999998</v>
      </c>
      <c r="E131" s="24" t="s">
        <v>9</v>
      </c>
      <c r="F131" s="21" t="s">
        <v>9</v>
      </c>
      <c r="G131" s="27" t="s">
        <v>9</v>
      </c>
    </row>
    <row r="132" spans="1:8" ht="14.1" customHeight="1" x14ac:dyDescent="0.2">
      <c r="A132" s="24" t="s">
        <v>9</v>
      </c>
      <c r="B132" s="21" t="s">
        <v>9</v>
      </c>
      <c r="C132" s="21" t="s">
        <v>9</v>
      </c>
      <c r="D132" s="24" t="s">
        <v>9</v>
      </c>
      <c r="E132" s="24" t="s">
        <v>9</v>
      </c>
      <c r="F132" s="24" t="s">
        <v>9</v>
      </c>
      <c r="G132" s="24" t="s">
        <v>9</v>
      </c>
    </row>
    <row r="133" spans="1:8" s="197" customFormat="1" x14ac:dyDescent="0.2">
      <c r="B133" s="208" t="s">
        <v>841</v>
      </c>
      <c r="C133" s="208"/>
      <c r="D133" s="208"/>
      <c r="E133" s="208"/>
      <c r="F133" s="208"/>
    </row>
    <row r="134" spans="1:8" ht="14.1" customHeight="1" x14ac:dyDescent="0.2">
      <c r="A134" s="24"/>
      <c r="B134" s="182"/>
      <c r="C134" s="182"/>
      <c r="D134" s="24"/>
      <c r="E134" s="24"/>
      <c r="F134" s="24"/>
      <c r="G134" s="24"/>
    </row>
    <row r="135" spans="1:8" ht="29.1" customHeight="1" x14ac:dyDescent="0.2">
      <c r="A135" s="24" t="s">
        <v>9</v>
      </c>
      <c r="B135" s="205" t="s">
        <v>148</v>
      </c>
      <c r="C135" s="206"/>
      <c r="D135" s="4" t="s">
        <v>138</v>
      </c>
      <c r="E135" s="24" t="s">
        <v>9</v>
      </c>
      <c r="F135" s="24" t="s">
        <v>9</v>
      </c>
      <c r="G135" s="24" t="s">
        <v>9</v>
      </c>
    </row>
    <row r="136" spans="1:8" ht="29.1" customHeight="1" x14ac:dyDescent="0.2">
      <c r="A136" s="24" t="s">
        <v>9</v>
      </c>
      <c r="B136" s="205" t="s">
        <v>149</v>
      </c>
      <c r="C136" s="206"/>
      <c r="D136" s="4" t="s">
        <v>138</v>
      </c>
      <c r="E136" s="24" t="s">
        <v>9</v>
      </c>
      <c r="F136" s="24" t="s">
        <v>9</v>
      </c>
      <c r="G136" s="24" t="s">
        <v>9</v>
      </c>
    </row>
    <row r="137" spans="1:8" ht="17.100000000000001" customHeight="1" x14ac:dyDescent="0.2">
      <c r="A137" s="24" t="s">
        <v>9</v>
      </c>
      <c r="B137" s="205" t="s">
        <v>150</v>
      </c>
      <c r="C137" s="206"/>
      <c r="D137" s="29">
        <v>0.38591702751013091</v>
      </c>
      <c r="E137" s="24" t="s">
        <v>9</v>
      </c>
      <c r="F137" s="21" t="s">
        <v>9</v>
      </c>
      <c r="G137" s="27" t="s">
        <v>9</v>
      </c>
    </row>
    <row r="138" spans="1:8" ht="17.100000000000001" customHeight="1" x14ac:dyDescent="0.2">
      <c r="A138" s="24" t="s">
        <v>9</v>
      </c>
      <c r="B138" s="205" t="s">
        <v>151</v>
      </c>
      <c r="C138" s="206"/>
      <c r="D138" s="4" t="s">
        <v>138</v>
      </c>
      <c r="E138" s="24" t="s">
        <v>9</v>
      </c>
      <c r="F138" s="24" t="s">
        <v>9</v>
      </c>
      <c r="G138" s="24" t="s">
        <v>9</v>
      </c>
    </row>
  </sheetData>
  <mergeCells count="15">
    <mergeCell ref="B137:C137"/>
    <mergeCell ref="B138:C138"/>
    <mergeCell ref="B118:C118"/>
    <mergeCell ref="B119:C119"/>
    <mergeCell ref="B120:C120"/>
    <mergeCell ref="B128:C128"/>
    <mergeCell ref="B135:C135"/>
    <mergeCell ref="B136:C136"/>
    <mergeCell ref="B133:F133"/>
    <mergeCell ref="B117:C117"/>
    <mergeCell ref="B114:F114"/>
    <mergeCell ref="B115:F11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5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152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17709</v>
      </c>
      <c r="F7" s="8">
        <v>663.95468249999999</v>
      </c>
      <c r="G7" s="9">
        <v>3.6303485000000003E-2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52058</v>
      </c>
      <c r="F8" s="8">
        <v>646.53433099999995</v>
      </c>
      <c r="G8" s="9">
        <v>3.5350980999999997E-2</v>
      </c>
      <c r="H8" s="156"/>
    </row>
    <row r="9" spans="1:8" x14ac:dyDescent="0.2">
      <c r="A9" s="5">
        <v>3</v>
      </c>
      <c r="B9" s="6" t="s">
        <v>44</v>
      </c>
      <c r="C9" s="6" t="s">
        <v>45</v>
      </c>
      <c r="D9" s="6" t="s">
        <v>978</v>
      </c>
      <c r="E9" s="7">
        <v>278377</v>
      </c>
      <c r="F9" s="8">
        <v>466.55985199999998</v>
      </c>
      <c r="G9" s="9">
        <v>2.5510399E-2</v>
      </c>
      <c r="H9" s="156"/>
    </row>
    <row r="10" spans="1:8" x14ac:dyDescent="0.2">
      <c r="A10" s="5">
        <v>4</v>
      </c>
      <c r="B10" s="6" t="s">
        <v>156</v>
      </c>
      <c r="C10" s="6" t="s">
        <v>157</v>
      </c>
      <c r="D10" s="6" t="s">
        <v>155</v>
      </c>
      <c r="E10" s="7">
        <v>37887</v>
      </c>
      <c r="F10" s="8">
        <v>452.105571</v>
      </c>
      <c r="G10" s="9">
        <v>2.4720071999999999E-2</v>
      </c>
      <c r="H10" s="156"/>
    </row>
    <row r="11" spans="1:8" x14ac:dyDescent="0.2">
      <c r="A11" s="5">
        <v>5</v>
      </c>
      <c r="B11" s="6" t="s">
        <v>158</v>
      </c>
      <c r="C11" s="6" t="s">
        <v>159</v>
      </c>
      <c r="D11" s="6" t="s">
        <v>28</v>
      </c>
      <c r="E11" s="7">
        <v>62322</v>
      </c>
      <c r="F11" s="8">
        <v>432.17190900000003</v>
      </c>
      <c r="G11" s="9">
        <v>2.3630147000000001E-2</v>
      </c>
      <c r="H11" s="156"/>
    </row>
    <row r="12" spans="1:8" x14ac:dyDescent="0.2">
      <c r="A12" s="5">
        <v>6</v>
      </c>
      <c r="B12" s="6" t="s">
        <v>160</v>
      </c>
      <c r="C12" s="6" t="s">
        <v>161</v>
      </c>
      <c r="D12" s="6" t="s">
        <v>28</v>
      </c>
      <c r="E12" s="7">
        <v>61176</v>
      </c>
      <c r="F12" s="8">
        <v>412.93799999999999</v>
      </c>
      <c r="G12" s="9">
        <v>2.2578482E-2</v>
      </c>
      <c r="H12" s="156"/>
    </row>
    <row r="13" spans="1:8" x14ac:dyDescent="0.2">
      <c r="A13" s="5">
        <v>7</v>
      </c>
      <c r="B13" s="6" t="s">
        <v>162</v>
      </c>
      <c r="C13" s="6" t="s">
        <v>163</v>
      </c>
      <c r="D13" s="6" t="s">
        <v>169</v>
      </c>
      <c r="E13" s="7">
        <v>40958</v>
      </c>
      <c r="F13" s="8">
        <v>411.25927799999999</v>
      </c>
      <c r="G13" s="9">
        <v>2.2486692999999999E-2</v>
      </c>
      <c r="H13" s="156"/>
    </row>
    <row r="14" spans="1:8" x14ac:dyDescent="0.2">
      <c r="A14" s="5">
        <v>8</v>
      </c>
      <c r="B14" s="6" t="s">
        <v>164</v>
      </c>
      <c r="C14" s="6" t="s">
        <v>165</v>
      </c>
      <c r="D14" s="6" t="s">
        <v>166</v>
      </c>
      <c r="E14" s="7">
        <v>428006</v>
      </c>
      <c r="F14" s="8">
        <v>402.32564000000002</v>
      </c>
      <c r="G14" s="9">
        <v>2.1998223000000001E-2</v>
      </c>
      <c r="H14" s="156"/>
    </row>
    <row r="15" spans="1:8" x14ac:dyDescent="0.2">
      <c r="A15" s="5">
        <v>9</v>
      </c>
      <c r="B15" s="6" t="s">
        <v>31</v>
      </c>
      <c r="C15" s="6" t="s">
        <v>32</v>
      </c>
      <c r="D15" s="6" t="s">
        <v>972</v>
      </c>
      <c r="E15" s="7">
        <v>13549</v>
      </c>
      <c r="F15" s="8">
        <v>386.34973500000001</v>
      </c>
      <c r="G15" s="9">
        <v>2.1124698000000001E-2</v>
      </c>
      <c r="H15" s="156"/>
    </row>
    <row r="16" spans="1:8" x14ac:dyDescent="0.2">
      <c r="A16" s="5">
        <v>10</v>
      </c>
      <c r="B16" s="6" t="s">
        <v>167</v>
      </c>
      <c r="C16" s="6" t="s">
        <v>168</v>
      </c>
      <c r="D16" s="6" t="s">
        <v>169</v>
      </c>
      <c r="E16" s="7">
        <v>143948</v>
      </c>
      <c r="F16" s="8">
        <v>373.83295600000002</v>
      </c>
      <c r="G16" s="9">
        <v>2.0440309E-2</v>
      </c>
      <c r="H16" s="156"/>
    </row>
    <row r="17" spans="1:8" x14ac:dyDescent="0.2">
      <c r="A17" s="5">
        <v>11</v>
      </c>
      <c r="B17" s="6" t="s">
        <v>170</v>
      </c>
      <c r="C17" s="6" t="s">
        <v>171</v>
      </c>
      <c r="D17" s="6" t="s">
        <v>172</v>
      </c>
      <c r="E17" s="7">
        <v>27282</v>
      </c>
      <c r="F17" s="8">
        <v>358.13081399999999</v>
      </c>
      <c r="G17" s="9">
        <v>1.9581753E-2</v>
      </c>
      <c r="H17" s="156"/>
    </row>
    <row r="18" spans="1:8" x14ac:dyDescent="0.2">
      <c r="A18" s="5">
        <v>12</v>
      </c>
      <c r="B18" s="6" t="s">
        <v>173</v>
      </c>
      <c r="C18" s="6" t="s">
        <v>174</v>
      </c>
      <c r="D18" s="6" t="s">
        <v>63</v>
      </c>
      <c r="E18" s="7">
        <v>87154</v>
      </c>
      <c r="F18" s="8">
        <v>352.58150699999999</v>
      </c>
      <c r="G18" s="9">
        <v>1.927833E-2</v>
      </c>
      <c r="H18" s="156"/>
    </row>
    <row r="19" spans="1:8" x14ac:dyDescent="0.2">
      <c r="A19" s="5">
        <v>13</v>
      </c>
      <c r="B19" s="6" t="s">
        <v>55</v>
      </c>
      <c r="C19" s="6" t="s">
        <v>56</v>
      </c>
      <c r="D19" s="6" t="s">
        <v>35</v>
      </c>
      <c r="E19" s="7">
        <v>45520</v>
      </c>
      <c r="F19" s="8">
        <v>349.36599999999999</v>
      </c>
      <c r="G19" s="9">
        <v>1.9102514000000001E-2</v>
      </c>
      <c r="H19" s="156"/>
    </row>
    <row r="20" spans="1:8" x14ac:dyDescent="0.2">
      <c r="A20" s="5">
        <v>14</v>
      </c>
      <c r="B20" s="6" t="s">
        <v>175</v>
      </c>
      <c r="C20" s="6" t="s">
        <v>176</v>
      </c>
      <c r="D20" s="6" t="s">
        <v>974</v>
      </c>
      <c r="E20" s="7">
        <v>38759</v>
      </c>
      <c r="F20" s="8">
        <v>332.590979</v>
      </c>
      <c r="G20" s="9">
        <v>1.8185295000000001E-2</v>
      </c>
      <c r="H20" s="156"/>
    </row>
    <row r="21" spans="1:8" x14ac:dyDescent="0.2">
      <c r="A21" s="5">
        <v>15</v>
      </c>
      <c r="B21" s="6" t="s">
        <v>177</v>
      </c>
      <c r="C21" s="6" t="s">
        <v>178</v>
      </c>
      <c r="D21" s="6" t="s">
        <v>54</v>
      </c>
      <c r="E21" s="7">
        <v>116346</v>
      </c>
      <c r="F21" s="8">
        <v>326.23418400000003</v>
      </c>
      <c r="G21" s="9">
        <v>1.7837720000000001E-2</v>
      </c>
      <c r="H21" s="156"/>
    </row>
    <row r="22" spans="1:8" x14ac:dyDescent="0.2">
      <c r="A22" s="5">
        <v>16</v>
      </c>
      <c r="B22" s="6" t="s">
        <v>179</v>
      </c>
      <c r="C22" s="6" t="s">
        <v>180</v>
      </c>
      <c r="D22" s="6" t="s">
        <v>169</v>
      </c>
      <c r="E22" s="7">
        <v>10880</v>
      </c>
      <c r="F22" s="8">
        <v>319.74687999999998</v>
      </c>
      <c r="G22" s="9">
        <v>1.748301E-2</v>
      </c>
      <c r="H22" s="156"/>
    </row>
    <row r="23" spans="1:8" x14ac:dyDescent="0.2">
      <c r="A23" s="5">
        <v>17</v>
      </c>
      <c r="B23" s="6" t="s">
        <v>181</v>
      </c>
      <c r="C23" s="6" t="s">
        <v>182</v>
      </c>
      <c r="D23" s="6" t="s">
        <v>972</v>
      </c>
      <c r="E23" s="7">
        <v>125135</v>
      </c>
      <c r="F23" s="8">
        <v>316.15357749999998</v>
      </c>
      <c r="G23" s="9">
        <v>1.7286536000000002E-2</v>
      </c>
      <c r="H23" s="156"/>
    </row>
    <row r="24" spans="1:8" x14ac:dyDescent="0.2">
      <c r="A24" s="5">
        <v>18</v>
      </c>
      <c r="B24" s="6" t="s">
        <v>183</v>
      </c>
      <c r="C24" s="6" t="s">
        <v>184</v>
      </c>
      <c r="D24" s="6" t="s">
        <v>43</v>
      </c>
      <c r="E24" s="7">
        <v>73119</v>
      </c>
      <c r="F24" s="8">
        <v>311.34070200000002</v>
      </c>
      <c r="G24" s="9">
        <v>1.7023379000000002E-2</v>
      </c>
      <c r="H24" s="156"/>
    </row>
    <row r="25" spans="1:8" x14ac:dyDescent="0.2">
      <c r="A25" s="5">
        <v>19</v>
      </c>
      <c r="B25" s="6" t="s">
        <v>185</v>
      </c>
      <c r="C25" s="6" t="s">
        <v>186</v>
      </c>
      <c r="D25" s="6" t="s">
        <v>172</v>
      </c>
      <c r="E25" s="7">
        <v>137606</v>
      </c>
      <c r="F25" s="8">
        <v>308.23743999999999</v>
      </c>
      <c r="G25" s="9">
        <v>1.6853699999999999E-2</v>
      </c>
      <c r="H25" s="156"/>
    </row>
    <row r="26" spans="1:8" x14ac:dyDescent="0.2">
      <c r="A26" s="5">
        <v>20</v>
      </c>
      <c r="B26" s="6" t="s">
        <v>187</v>
      </c>
      <c r="C26" s="6" t="s">
        <v>188</v>
      </c>
      <c r="D26" s="6" t="s">
        <v>973</v>
      </c>
      <c r="E26" s="7">
        <v>92489</v>
      </c>
      <c r="F26" s="8">
        <v>285.51354300000003</v>
      </c>
      <c r="G26" s="9">
        <v>1.5611211E-2</v>
      </c>
      <c r="H26" s="156"/>
    </row>
    <row r="27" spans="1:8" x14ac:dyDescent="0.2">
      <c r="A27" s="5">
        <v>21</v>
      </c>
      <c r="B27" s="6" t="s">
        <v>189</v>
      </c>
      <c r="C27" s="6" t="s">
        <v>190</v>
      </c>
      <c r="D27" s="6" t="s">
        <v>191</v>
      </c>
      <c r="E27" s="7">
        <v>24077</v>
      </c>
      <c r="F27" s="8">
        <v>281.36382200000003</v>
      </c>
      <c r="G27" s="9">
        <v>1.5384314E-2</v>
      </c>
      <c r="H27" s="156"/>
    </row>
    <row r="28" spans="1:8" x14ac:dyDescent="0.2">
      <c r="A28" s="5">
        <v>22</v>
      </c>
      <c r="B28" s="6" t="s">
        <v>192</v>
      </c>
      <c r="C28" s="6" t="s">
        <v>193</v>
      </c>
      <c r="D28" s="6" t="s">
        <v>196</v>
      </c>
      <c r="E28" s="7">
        <v>40455</v>
      </c>
      <c r="F28" s="8">
        <v>278.59335750000002</v>
      </c>
      <c r="G28" s="9">
        <v>1.5232831E-2</v>
      </c>
      <c r="H28" s="156"/>
    </row>
    <row r="29" spans="1:8" x14ac:dyDescent="0.2">
      <c r="A29" s="5">
        <v>23</v>
      </c>
      <c r="B29" s="6" t="s">
        <v>194</v>
      </c>
      <c r="C29" s="6" t="s">
        <v>195</v>
      </c>
      <c r="D29" s="6" t="s">
        <v>196</v>
      </c>
      <c r="E29" s="7">
        <v>66638</v>
      </c>
      <c r="F29" s="8">
        <v>275.01502599999998</v>
      </c>
      <c r="G29" s="9">
        <v>1.5037177000000001E-2</v>
      </c>
      <c r="H29" s="156"/>
    </row>
    <row r="30" spans="1:8" x14ac:dyDescent="0.2">
      <c r="A30" s="5">
        <v>24</v>
      </c>
      <c r="B30" s="6" t="s">
        <v>197</v>
      </c>
      <c r="C30" s="6" t="s">
        <v>198</v>
      </c>
      <c r="D30" s="6" t="s">
        <v>169</v>
      </c>
      <c r="E30" s="7">
        <v>6366</v>
      </c>
      <c r="F30" s="8">
        <v>273.95126099999999</v>
      </c>
      <c r="G30" s="9">
        <v>1.4979012999999999E-2</v>
      </c>
      <c r="H30" s="156"/>
    </row>
    <row r="31" spans="1:8" x14ac:dyDescent="0.2">
      <c r="A31" s="5">
        <v>25</v>
      </c>
      <c r="B31" s="6" t="s">
        <v>48</v>
      </c>
      <c r="C31" s="6" t="s">
        <v>49</v>
      </c>
      <c r="D31" s="6" t="s">
        <v>28</v>
      </c>
      <c r="E31" s="7">
        <v>26435</v>
      </c>
      <c r="F31" s="8">
        <v>267.45611250000002</v>
      </c>
      <c r="G31" s="9">
        <v>1.4623873000000001E-2</v>
      </c>
      <c r="H31" s="156"/>
    </row>
    <row r="32" spans="1:8" x14ac:dyDescent="0.2">
      <c r="A32" s="5">
        <v>26</v>
      </c>
      <c r="B32" s="6" t="s">
        <v>199</v>
      </c>
      <c r="C32" s="6" t="s">
        <v>200</v>
      </c>
      <c r="D32" s="6" t="s">
        <v>63</v>
      </c>
      <c r="E32" s="7">
        <v>76732</v>
      </c>
      <c r="F32" s="8">
        <v>265.10906</v>
      </c>
      <c r="G32" s="9">
        <v>1.4495542E-2</v>
      </c>
      <c r="H32" s="156"/>
    </row>
    <row r="33" spans="1:8" x14ac:dyDescent="0.2">
      <c r="A33" s="5">
        <v>27</v>
      </c>
      <c r="B33" s="6" t="s">
        <v>201</v>
      </c>
      <c r="C33" s="6" t="s">
        <v>202</v>
      </c>
      <c r="D33" s="6" t="s">
        <v>40</v>
      </c>
      <c r="E33" s="7">
        <v>234660</v>
      </c>
      <c r="F33" s="8">
        <v>259.65129000000002</v>
      </c>
      <c r="G33" s="9">
        <v>1.4197124E-2</v>
      </c>
      <c r="H33" s="156"/>
    </row>
    <row r="34" spans="1:8" x14ac:dyDescent="0.2">
      <c r="A34" s="5">
        <v>28</v>
      </c>
      <c r="B34" s="6" t="s">
        <v>203</v>
      </c>
      <c r="C34" s="6" t="s">
        <v>204</v>
      </c>
      <c r="D34" s="6" t="s">
        <v>205</v>
      </c>
      <c r="E34" s="7">
        <v>32673</v>
      </c>
      <c r="F34" s="8">
        <v>258.01868100000002</v>
      </c>
      <c r="G34" s="9">
        <v>1.4107856E-2</v>
      </c>
      <c r="H34" s="156"/>
    </row>
    <row r="35" spans="1:8" x14ac:dyDescent="0.2">
      <c r="A35" s="5">
        <v>29</v>
      </c>
      <c r="B35" s="6" t="s">
        <v>206</v>
      </c>
      <c r="C35" s="6" t="s">
        <v>207</v>
      </c>
      <c r="D35" s="6" t="s">
        <v>73</v>
      </c>
      <c r="E35" s="7">
        <v>59268</v>
      </c>
      <c r="F35" s="8">
        <v>255.77105399999999</v>
      </c>
      <c r="G35" s="9">
        <v>1.3984961000000001E-2</v>
      </c>
      <c r="H35" s="156"/>
    </row>
    <row r="36" spans="1:8" x14ac:dyDescent="0.2">
      <c r="A36" s="5">
        <v>30</v>
      </c>
      <c r="B36" s="6" t="s">
        <v>208</v>
      </c>
      <c r="C36" s="6" t="s">
        <v>209</v>
      </c>
      <c r="D36" s="6" t="s">
        <v>976</v>
      </c>
      <c r="E36" s="7">
        <v>31000</v>
      </c>
      <c r="F36" s="8">
        <v>253.56450000000001</v>
      </c>
      <c r="G36" s="9">
        <v>1.3864312E-2</v>
      </c>
      <c r="H36" s="156"/>
    </row>
    <row r="37" spans="1:8" x14ac:dyDescent="0.2">
      <c r="A37" s="5">
        <v>31</v>
      </c>
      <c r="B37" s="6" t="s">
        <v>210</v>
      </c>
      <c r="C37" s="6" t="s">
        <v>211</v>
      </c>
      <c r="D37" s="6" t="s">
        <v>169</v>
      </c>
      <c r="E37" s="7">
        <v>29067</v>
      </c>
      <c r="F37" s="8">
        <v>249.85993199999999</v>
      </c>
      <c r="G37" s="9">
        <v>1.3661754999999999E-2</v>
      </c>
      <c r="H37" s="156"/>
    </row>
    <row r="38" spans="1:8" x14ac:dyDescent="0.2">
      <c r="A38" s="5">
        <v>32</v>
      </c>
      <c r="B38" s="6" t="s">
        <v>212</v>
      </c>
      <c r="C38" s="6" t="s">
        <v>213</v>
      </c>
      <c r="D38" s="6" t="s">
        <v>28</v>
      </c>
      <c r="E38" s="7">
        <v>16344</v>
      </c>
      <c r="F38" s="8">
        <v>240.150564</v>
      </c>
      <c r="G38" s="9">
        <v>1.3130869999999999E-2</v>
      </c>
      <c r="H38" s="156"/>
    </row>
    <row r="39" spans="1:8" ht="25.5" x14ac:dyDescent="0.2">
      <c r="A39" s="5">
        <v>33</v>
      </c>
      <c r="B39" s="6" t="s">
        <v>214</v>
      </c>
      <c r="C39" s="6" t="s">
        <v>215</v>
      </c>
      <c r="D39" s="6" t="s">
        <v>63</v>
      </c>
      <c r="E39" s="7">
        <v>10523</v>
      </c>
      <c r="F39" s="8">
        <v>234.57871599999999</v>
      </c>
      <c r="G39" s="9">
        <v>1.2826214000000001E-2</v>
      </c>
      <c r="H39" s="156"/>
    </row>
    <row r="40" spans="1:8" x14ac:dyDescent="0.2">
      <c r="A40" s="5">
        <v>34</v>
      </c>
      <c r="B40" s="6" t="s">
        <v>216</v>
      </c>
      <c r="C40" s="6" t="s">
        <v>217</v>
      </c>
      <c r="D40" s="6" t="s">
        <v>54</v>
      </c>
      <c r="E40" s="7">
        <v>20943</v>
      </c>
      <c r="F40" s="8">
        <v>232.72908749999999</v>
      </c>
      <c r="G40" s="9">
        <v>1.2725080999999999E-2</v>
      </c>
      <c r="H40" s="156"/>
    </row>
    <row r="41" spans="1:8" x14ac:dyDescent="0.2">
      <c r="A41" s="5">
        <v>35</v>
      </c>
      <c r="B41" s="6" t="s">
        <v>79</v>
      </c>
      <c r="C41" s="6" t="s">
        <v>80</v>
      </c>
      <c r="D41" s="6" t="s">
        <v>63</v>
      </c>
      <c r="E41" s="7">
        <v>99459</v>
      </c>
      <c r="F41" s="8">
        <v>232.08757650000001</v>
      </c>
      <c r="G41" s="9">
        <v>1.2690004E-2</v>
      </c>
      <c r="H41" s="156"/>
    </row>
    <row r="42" spans="1:8" x14ac:dyDescent="0.2">
      <c r="A42" s="5">
        <v>36</v>
      </c>
      <c r="B42" s="6" t="s">
        <v>218</v>
      </c>
      <c r="C42" s="6" t="s">
        <v>219</v>
      </c>
      <c r="D42" s="6" t="s">
        <v>63</v>
      </c>
      <c r="E42" s="7">
        <v>30856</v>
      </c>
      <c r="F42" s="8">
        <v>226.745316</v>
      </c>
      <c r="G42" s="9">
        <v>1.2397902000000001E-2</v>
      </c>
      <c r="H42" s="156"/>
    </row>
    <row r="43" spans="1:8" x14ac:dyDescent="0.2">
      <c r="A43" s="5">
        <v>37</v>
      </c>
      <c r="B43" s="6" t="s">
        <v>220</v>
      </c>
      <c r="C43" s="6" t="s">
        <v>221</v>
      </c>
      <c r="D43" s="6" t="s">
        <v>191</v>
      </c>
      <c r="E43" s="7">
        <v>49328</v>
      </c>
      <c r="F43" s="8">
        <v>212.89964800000001</v>
      </c>
      <c r="G43" s="9">
        <v>1.1640854000000001E-2</v>
      </c>
      <c r="H43" s="156"/>
    </row>
    <row r="44" spans="1:8" x14ac:dyDescent="0.2">
      <c r="A44" s="5">
        <v>38</v>
      </c>
      <c r="B44" s="6" t="s">
        <v>222</v>
      </c>
      <c r="C44" s="6" t="s">
        <v>223</v>
      </c>
      <c r="D44" s="6" t="s">
        <v>972</v>
      </c>
      <c r="E44" s="7">
        <v>110156</v>
      </c>
      <c r="F44" s="8">
        <v>211.44444200000001</v>
      </c>
      <c r="G44" s="9">
        <v>1.1561286E-2</v>
      </c>
      <c r="H44" s="156"/>
    </row>
    <row r="45" spans="1:8" x14ac:dyDescent="0.2">
      <c r="A45" s="5">
        <v>39</v>
      </c>
      <c r="B45" s="6" t="s">
        <v>38</v>
      </c>
      <c r="C45" s="6" t="s">
        <v>39</v>
      </c>
      <c r="D45" s="6" t="s">
        <v>40</v>
      </c>
      <c r="E45" s="7">
        <v>74785</v>
      </c>
      <c r="F45" s="8">
        <v>209.17364499999999</v>
      </c>
      <c r="G45" s="9">
        <v>1.1437124E-2</v>
      </c>
      <c r="H45" s="156"/>
    </row>
    <row r="46" spans="1:8" x14ac:dyDescent="0.2">
      <c r="A46" s="5">
        <v>40</v>
      </c>
      <c r="B46" s="6" t="s">
        <v>224</v>
      </c>
      <c r="C46" s="6" t="s">
        <v>225</v>
      </c>
      <c r="D46" s="6" t="s">
        <v>40</v>
      </c>
      <c r="E46" s="7">
        <v>25501</v>
      </c>
      <c r="F46" s="8">
        <v>207.87140149999999</v>
      </c>
      <c r="G46" s="9">
        <v>1.1365920999999999E-2</v>
      </c>
      <c r="H46" s="156"/>
    </row>
    <row r="47" spans="1:8" x14ac:dyDescent="0.2">
      <c r="A47" s="5">
        <v>41</v>
      </c>
      <c r="B47" s="6" t="s">
        <v>226</v>
      </c>
      <c r="C47" s="6" t="s">
        <v>227</v>
      </c>
      <c r="D47" s="6" t="s">
        <v>166</v>
      </c>
      <c r="E47" s="7">
        <v>38143</v>
      </c>
      <c r="F47" s="8">
        <v>206.44898749999999</v>
      </c>
      <c r="G47" s="9">
        <v>1.1288147E-2</v>
      </c>
      <c r="H47" s="156"/>
    </row>
    <row r="48" spans="1:8" x14ac:dyDescent="0.2">
      <c r="A48" s="5">
        <v>42</v>
      </c>
      <c r="B48" s="6" t="s">
        <v>228</v>
      </c>
      <c r="C48" s="6" t="s">
        <v>229</v>
      </c>
      <c r="D48" s="6" t="s">
        <v>35</v>
      </c>
      <c r="E48" s="7">
        <v>260091</v>
      </c>
      <c r="F48" s="8">
        <v>205.73198099999999</v>
      </c>
      <c r="G48" s="9">
        <v>1.1248942E-2</v>
      </c>
      <c r="H48" s="156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978</v>
      </c>
      <c r="E49" s="7">
        <v>17937</v>
      </c>
      <c r="F49" s="8">
        <v>202.18586400000001</v>
      </c>
      <c r="G49" s="9">
        <v>1.1055049000000001E-2</v>
      </c>
      <c r="H49" s="156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166</v>
      </c>
      <c r="E50" s="7">
        <v>369714</v>
      </c>
      <c r="F50" s="8">
        <v>199.275846</v>
      </c>
      <c r="G50" s="9">
        <v>1.0895936E-2</v>
      </c>
      <c r="H50" s="156"/>
    </row>
    <row r="51" spans="1:8" x14ac:dyDescent="0.2">
      <c r="A51" s="5">
        <v>45</v>
      </c>
      <c r="B51" s="6" t="s">
        <v>234</v>
      </c>
      <c r="C51" s="6" t="s">
        <v>235</v>
      </c>
      <c r="D51" s="6" t="s">
        <v>73</v>
      </c>
      <c r="E51" s="7">
        <v>46200</v>
      </c>
      <c r="F51" s="8">
        <v>197.01990000000001</v>
      </c>
      <c r="G51" s="9">
        <v>1.0772586000000001E-2</v>
      </c>
      <c r="H51" s="156"/>
    </row>
    <row r="52" spans="1:8" x14ac:dyDescent="0.2">
      <c r="A52" s="5">
        <v>46</v>
      </c>
      <c r="B52" s="6" t="s">
        <v>237</v>
      </c>
      <c r="C52" s="6" t="s">
        <v>238</v>
      </c>
      <c r="D52" s="6" t="s">
        <v>239</v>
      </c>
      <c r="E52" s="7">
        <v>103185</v>
      </c>
      <c r="F52" s="8">
        <v>192.02728500000001</v>
      </c>
      <c r="G52" s="9">
        <v>1.0499602E-2</v>
      </c>
      <c r="H52" s="156"/>
    </row>
    <row r="53" spans="1:8" x14ac:dyDescent="0.2">
      <c r="A53" s="5">
        <v>47</v>
      </c>
      <c r="B53" s="6" t="s">
        <v>240</v>
      </c>
      <c r="C53" s="6" t="s">
        <v>241</v>
      </c>
      <c r="D53" s="6" t="s">
        <v>191</v>
      </c>
      <c r="E53" s="7">
        <v>51255</v>
      </c>
      <c r="F53" s="8">
        <v>189.89977500000001</v>
      </c>
      <c r="G53" s="9">
        <v>1.0383274E-2</v>
      </c>
      <c r="H53" s="156"/>
    </row>
    <row r="54" spans="1:8" x14ac:dyDescent="0.2">
      <c r="A54" s="5">
        <v>48</v>
      </c>
      <c r="B54" s="6" t="s">
        <v>242</v>
      </c>
      <c r="C54" s="6" t="s">
        <v>243</v>
      </c>
      <c r="D54" s="6" t="s">
        <v>196</v>
      </c>
      <c r="E54" s="7">
        <v>11356</v>
      </c>
      <c r="F54" s="8">
        <v>189.100112</v>
      </c>
      <c r="G54" s="9">
        <v>1.0339551000000001E-2</v>
      </c>
      <c r="H54" s="156"/>
    </row>
    <row r="55" spans="1:8" x14ac:dyDescent="0.2">
      <c r="A55" s="5">
        <v>49</v>
      </c>
      <c r="B55" s="6" t="s">
        <v>244</v>
      </c>
      <c r="C55" s="6" t="s">
        <v>245</v>
      </c>
      <c r="D55" s="6" t="s">
        <v>246</v>
      </c>
      <c r="E55" s="7">
        <v>41913</v>
      </c>
      <c r="F55" s="8">
        <v>180.2259</v>
      </c>
      <c r="G55" s="9">
        <v>9.8543299999999997E-3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34197</v>
      </c>
      <c r="F56" s="8">
        <v>179.03839350000001</v>
      </c>
      <c r="G56" s="9">
        <v>9.7894000000000002E-3</v>
      </c>
      <c r="H56" s="156"/>
    </row>
    <row r="57" spans="1:8" x14ac:dyDescent="0.2">
      <c r="A57" s="5">
        <v>51</v>
      </c>
      <c r="B57" s="6" t="s">
        <v>249</v>
      </c>
      <c r="C57" s="6" t="s">
        <v>250</v>
      </c>
      <c r="D57" s="6" t="s">
        <v>73</v>
      </c>
      <c r="E57" s="7">
        <v>48460</v>
      </c>
      <c r="F57" s="8">
        <v>175.25559000000001</v>
      </c>
      <c r="G57" s="9">
        <v>9.5825649999999995E-3</v>
      </c>
      <c r="H57" s="156"/>
    </row>
    <row r="58" spans="1:8" ht="25.5" x14ac:dyDescent="0.2">
      <c r="A58" s="5">
        <v>52</v>
      </c>
      <c r="B58" s="6" t="s">
        <v>251</v>
      </c>
      <c r="C58" s="6" t="s">
        <v>252</v>
      </c>
      <c r="D58" s="6" t="s">
        <v>155</v>
      </c>
      <c r="E58" s="7">
        <v>46362</v>
      </c>
      <c r="F58" s="8">
        <v>174.877464</v>
      </c>
      <c r="G58" s="9">
        <v>9.56189E-3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44235</v>
      </c>
      <c r="F59" s="8">
        <v>174.2859</v>
      </c>
      <c r="G59" s="9">
        <v>9.5295439999999992E-3</v>
      </c>
      <c r="H59" s="156"/>
    </row>
    <row r="60" spans="1:8" x14ac:dyDescent="0.2">
      <c r="A60" s="5">
        <v>54</v>
      </c>
      <c r="B60" s="6" t="s">
        <v>255</v>
      </c>
      <c r="C60" s="6" t="s">
        <v>256</v>
      </c>
      <c r="D60" s="6" t="s">
        <v>63</v>
      </c>
      <c r="E60" s="7">
        <v>26372</v>
      </c>
      <c r="F60" s="8">
        <v>173.62006199999999</v>
      </c>
      <c r="G60" s="9">
        <v>9.4931379999999999E-3</v>
      </c>
      <c r="H60" s="156"/>
    </row>
    <row r="61" spans="1:8" x14ac:dyDescent="0.2">
      <c r="A61" s="5">
        <v>55</v>
      </c>
      <c r="B61" s="6" t="s">
        <v>257</v>
      </c>
      <c r="C61" s="6" t="s">
        <v>258</v>
      </c>
      <c r="D61" s="6" t="s">
        <v>977</v>
      </c>
      <c r="E61" s="7">
        <v>185657</v>
      </c>
      <c r="F61" s="8">
        <v>170.52595450000001</v>
      </c>
      <c r="G61" s="9">
        <v>9.3239589999999997E-3</v>
      </c>
      <c r="H61" s="156"/>
    </row>
    <row r="62" spans="1:8" x14ac:dyDescent="0.2">
      <c r="A62" s="5">
        <v>56</v>
      </c>
      <c r="B62" s="6" t="s">
        <v>259</v>
      </c>
      <c r="C62" s="6" t="s">
        <v>260</v>
      </c>
      <c r="D62" s="6" t="s">
        <v>261</v>
      </c>
      <c r="E62" s="7">
        <v>21457</v>
      </c>
      <c r="F62" s="8">
        <v>170.1218245</v>
      </c>
      <c r="G62" s="9">
        <v>9.3018619999999993E-3</v>
      </c>
      <c r="H62" s="156"/>
    </row>
    <row r="63" spans="1:8" x14ac:dyDescent="0.2">
      <c r="A63" s="5">
        <v>57</v>
      </c>
      <c r="B63" s="6" t="s">
        <v>61</v>
      </c>
      <c r="C63" s="6" t="s">
        <v>62</v>
      </c>
      <c r="D63" s="6" t="s">
        <v>63</v>
      </c>
      <c r="E63" s="7">
        <v>5800</v>
      </c>
      <c r="F63" s="8">
        <v>169.71960000000001</v>
      </c>
      <c r="G63" s="9">
        <v>9.2798700000000008E-3</v>
      </c>
      <c r="H63" s="156"/>
    </row>
    <row r="64" spans="1:8" x14ac:dyDescent="0.2">
      <c r="A64" s="5">
        <v>58</v>
      </c>
      <c r="B64" s="6" t="s">
        <v>262</v>
      </c>
      <c r="C64" s="6" t="s">
        <v>263</v>
      </c>
      <c r="D64" s="6" t="s">
        <v>975</v>
      </c>
      <c r="E64" s="7">
        <v>66656</v>
      </c>
      <c r="F64" s="8">
        <v>166.673328</v>
      </c>
      <c r="G64" s="9">
        <v>9.1133069999999993E-3</v>
      </c>
      <c r="H64" s="156"/>
    </row>
    <row r="65" spans="1:8" x14ac:dyDescent="0.2">
      <c r="A65" s="5">
        <v>59</v>
      </c>
      <c r="B65" s="6" t="s">
        <v>264</v>
      </c>
      <c r="C65" s="6" t="s">
        <v>265</v>
      </c>
      <c r="D65" s="6" t="s">
        <v>975</v>
      </c>
      <c r="E65" s="7">
        <v>33060</v>
      </c>
      <c r="F65" s="8">
        <v>165.16775999999999</v>
      </c>
      <c r="G65" s="9">
        <v>9.0309859999999995E-3</v>
      </c>
      <c r="H65" s="156"/>
    </row>
    <row r="66" spans="1:8" x14ac:dyDescent="0.2">
      <c r="A66" s="5">
        <v>60</v>
      </c>
      <c r="B66" s="6" t="s">
        <v>266</v>
      </c>
      <c r="C66" s="6" t="s">
        <v>267</v>
      </c>
      <c r="D66" s="6" t="s">
        <v>191</v>
      </c>
      <c r="E66" s="7">
        <v>23266</v>
      </c>
      <c r="F66" s="8">
        <v>149.34445400000001</v>
      </c>
      <c r="G66" s="9">
        <v>8.1658049999999999E-3</v>
      </c>
      <c r="H66" s="156"/>
    </row>
    <row r="67" spans="1:8" x14ac:dyDescent="0.2">
      <c r="A67" s="5">
        <v>61</v>
      </c>
      <c r="B67" s="6" t="s">
        <v>268</v>
      </c>
      <c r="C67" s="6" t="s">
        <v>269</v>
      </c>
      <c r="D67" s="6" t="s">
        <v>43</v>
      </c>
      <c r="E67" s="7">
        <v>143614</v>
      </c>
      <c r="F67" s="8">
        <v>148.64049</v>
      </c>
      <c r="G67" s="9">
        <v>8.1273130000000006E-3</v>
      </c>
      <c r="H67" s="156"/>
    </row>
    <row r="68" spans="1:8" x14ac:dyDescent="0.2">
      <c r="A68" s="5">
        <v>62</v>
      </c>
      <c r="B68" s="6" t="s">
        <v>270</v>
      </c>
      <c r="C68" s="6" t="s">
        <v>271</v>
      </c>
      <c r="D68" s="6" t="s">
        <v>22</v>
      </c>
      <c r="E68" s="7">
        <v>139624</v>
      </c>
      <c r="F68" s="8">
        <v>144.51084</v>
      </c>
      <c r="G68" s="9">
        <v>7.9015140000000001E-3</v>
      </c>
      <c r="H68" s="156"/>
    </row>
    <row r="69" spans="1:8" x14ac:dyDescent="0.2">
      <c r="A69" s="5">
        <v>63</v>
      </c>
      <c r="B69" s="6" t="s">
        <v>272</v>
      </c>
      <c r="C69" s="6" t="s">
        <v>273</v>
      </c>
      <c r="D69" s="6" t="s">
        <v>274</v>
      </c>
      <c r="E69" s="7">
        <v>56338</v>
      </c>
      <c r="F69" s="8">
        <v>142.197112</v>
      </c>
      <c r="G69" s="9">
        <v>7.7750049999999998E-3</v>
      </c>
      <c r="H69" s="156"/>
    </row>
    <row r="70" spans="1:8" x14ac:dyDescent="0.2">
      <c r="A70" s="5">
        <v>64</v>
      </c>
      <c r="B70" s="6" t="s">
        <v>275</v>
      </c>
      <c r="C70" s="6" t="s">
        <v>276</v>
      </c>
      <c r="D70" s="6" t="s">
        <v>975</v>
      </c>
      <c r="E70" s="7">
        <v>96898</v>
      </c>
      <c r="F70" s="8">
        <v>134.05838299999999</v>
      </c>
      <c r="G70" s="9">
        <v>7.3299979999999999E-3</v>
      </c>
      <c r="H70" s="156"/>
    </row>
    <row r="71" spans="1:8" x14ac:dyDescent="0.2">
      <c r="A71" s="5">
        <v>65</v>
      </c>
      <c r="B71" s="6" t="s">
        <v>277</v>
      </c>
      <c r="C71" s="6" t="s">
        <v>278</v>
      </c>
      <c r="D71" s="6" t="s">
        <v>63</v>
      </c>
      <c r="E71" s="7">
        <v>65000</v>
      </c>
      <c r="F71" s="8">
        <v>120.6725</v>
      </c>
      <c r="G71" s="9">
        <v>6.5980889999999997E-3</v>
      </c>
      <c r="H71" s="156"/>
    </row>
    <row r="72" spans="1:8" x14ac:dyDescent="0.2">
      <c r="A72" s="5">
        <v>66</v>
      </c>
      <c r="B72" s="6" t="s">
        <v>279</v>
      </c>
      <c r="C72" s="6" t="s">
        <v>280</v>
      </c>
      <c r="D72" s="6" t="s">
        <v>974</v>
      </c>
      <c r="E72" s="7">
        <v>7069</v>
      </c>
      <c r="F72" s="8">
        <v>107.5583695</v>
      </c>
      <c r="G72" s="9">
        <v>5.8810390000000002E-3</v>
      </c>
      <c r="H72" s="156"/>
    </row>
    <row r="73" spans="1:8" x14ac:dyDescent="0.2">
      <c r="A73" s="5">
        <v>67</v>
      </c>
      <c r="B73" s="6" t="s">
        <v>281</v>
      </c>
      <c r="C73" s="6" t="s">
        <v>282</v>
      </c>
      <c r="D73" s="6" t="s">
        <v>155</v>
      </c>
      <c r="E73" s="7">
        <v>6312</v>
      </c>
      <c r="F73" s="8">
        <v>98.808047999999999</v>
      </c>
      <c r="G73" s="9">
        <v>5.4025920000000003E-3</v>
      </c>
      <c r="H73" s="156"/>
    </row>
    <row r="74" spans="1:8" x14ac:dyDescent="0.2">
      <c r="A74" s="5">
        <v>68</v>
      </c>
      <c r="B74" s="6" t="s">
        <v>283</v>
      </c>
      <c r="C74" s="6" t="s">
        <v>284</v>
      </c>
      <c r="D74" s="6" t="s">
        <v>169</v>
      </c>
      <c r="E74" s="7">
        <v>15744</v>
      </c>
      <c r="F74" s="8">
        <v>95.794368000000006</v>
      </c>
      <c r="G74" s="9">
        <v>5.2378110000000002E-3</v>
      </c>
      <c r="H74" s="156"/>
    </row>
    <row r="75" spans="1:8" x14ac:dyDescent="0.2">
      <c r="A75" s="5">
        <v>69</v>
      </c>
      <c r="B75" s="6" t="s">
        <v>59</v>
      </c>
      <c r="C75" s="6" t="s">
        <v>60</v>
      </c>
      <c r="D75" s="6" t="s">
        <v>40</v>
      </c>
      <c r="E75" s="7">
        <v>45310</v>
      </c>
      <c r="F75" s="8">
        <v>87.901399999999995</v>
      </c>
      <c r="G75" s="9">
        <v>4.8062419999999996E-3</v>
      </c>
      <c r="H75" s="156"/>
    </row>
    <row r="76" spans="1:8" x14ac:dyDescent="0.2">
      <c r="A76" s="5">
        <v>70</v>
      </c>
      <c r="B76" s="6" t="s">
        <v>285</v>
      </c>
      <c r="C76" s="6" t="s">
        <v>286</v>
      </c>
      <c r="D76" s="6" t="s">
        <v>196</v>
      </c>
      <c r="E76" s="7">
        <v>8123</v>
      </c>
      <c r="F76" s="8">
        <v>79.946566000000004</v>
      </c>
      <c r="G76" s="9">
        <v>4.3712910000000002E-3</v>
      </c>
      <c r="H76" s="156"/>
    </row>
    <row r="77" spans="1:8" x14ac:dyDescent="0.2">
      <c r="A77" s="3" t="s">
        <v>9</v>
      </c>
      <c r="B77" s="3" t="s">
        <v>9</v>
      </c>
      <c r="C77" s="4" t="s">
        <v>105</v>
      </c>
      <c r="D77" s="3" t="s">
        <v>9</v>
      </c>
      <c r="E77" s="3" t="s">
        <v>9</v>
      </c>
      <c r="F77" s="10">
        <v>17624.596130999998</v>
      </c>
      <c r="G77" s="11">
        <v>0.96367158799999997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106</v>
      </c>
      <c r="D79" s="3" t="s">
        <v>9</v>
      </c>
      <c r="E79" s="3" t="s">
        <v>9</v>
      </c>
      <c r="F79" s="3" t="s">
        <v>9</v>
      </c>
      <c r="G79" s="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105</v>
      </c>
      <c r="D80" s="3" t="s">
        <v>9</v>
      </c>
      <c r="E80" s="3" t="s">
        <v>9</v>
      </c>
      <c r="F80" s="14">
        <v>0</v>
      </c>
      <c r="G80" s="15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107</v>
      </c>
      <c r="D82" s="3" t="s">
        <v>9</v>
      </c>
      <c r="E82" s="3" t="s">
        <v>9</v>
      </c>
      <c r="F82" s="3" t="s">
        <v>9</v>
      </c>
      <c r="G82" s="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111</v>
      </c>
      <c r="D85" s="3" t="s">
        <v>9</v>
      </c>
      <c r="E85" s="3" t="s">
        <v>9</v>
      </c>
      <c r="F85" s="3" t="s">
        <v>9</v>
      </c>
      <c r="G85" s="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105</v>
      </c>
      <c r="D86" s="3" t="s">
        <v>9</v>
      </c>
      <c r="E86" s="3" t="s">
        <v>9</v>
      </c>
      <c r="F86" s="14">
        <v>0</v>
      </c>
      <c r="G86" s="15">
        <v>0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112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105</v>
      </c>
      <c r="D89" s="3" t="s">
        <v>9</v>
      </c>
      <c r="E89" s="3" t="s">
        <v>9</v>
      </c>
      <c r="F89" s="14">
        <v>0</v>
      </c>
      <c r="G89" s="15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113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105</v>
      </c>
      <c r="D92" s="3" t="s">
        <v>9</v>
      </c>
      <c r="E92" s="3" t="s">
        <v>9</v>
      </c>
      <c r="F92" s="14">
        <v>0</v>
      </c>
      <c r="G92" s="15">
        <v>0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114</v>
      </c>
      <c r="D94" s="3" t="s">
        <v>9</v>
      </c>
      <c r="E94" s="3" t="s">
        <v>9</v>
      </c>
      <c r="F94" s="10">
        <v>17624.596130999998</v>
      </c>
      <c r="G94" s="11">
        <v>0.96367158799999997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115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105</v>
      </c>
      <c r="D98" s="3" t="s">
        <v>9</v>
      </c>
      <c r="E98" s="3" t="s">
        <v>9</v>
      </c>
      <c r="F98" s="14">
        <v>0</v>
      </c>
      <c r="G98" s="15">
        <v>0</v>
      </c>
      <c r="H98" s="156"/>
    </row>
    <row r="99" spans="1:8" x14ac:dyDescent="0.2">
      <c r="A99" s="3" t="s">
        <v>9</v>
      </c>
      <c r="B99" s="3" t="s">
        <v>9</v>
      </c>
      <c r="C99" s="12" t="s">
        <v>9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116</v>
      </c>
      <c r="D100" s="3" t="s">
        <v>9</v>
      </c>
      <c r="E100" s="3" t="s">
        <v>9</v>
      </c>
      <c r="F100" s="3" t="s">
        <v>9</v>
      </c>
      <c r="G100" s="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4">
        <v>0</v>
      </c>
      <c r="G101" s="15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117</v>
      </c>
      <c r="D103" s="3" t="s">
        <v>9</v>
      </c>
      <c r="E103" s="3" t="s">
        <v>9</v>
      </c>
      <c r="F103" s="3" t="s">
        <v>9</v>
      </c>
      <c r="G103" s="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105</v>
      </c>
      <c r="D104" s="3" t="s">
        <v>9</v>
      </c>
      <c r="E104" s="3" t="s">
        <v>9</v>
      </c>
      <c r="F104" s="14">
        <v>0</v>
      </c>
      <c r="G104" s="15">
        <v>0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118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4">
        <v>0</v>
      </c>
      <c r="G107" s="15">
        <v>0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119</v>
      </c>
      <c r="D109" s="3" t="s">
        <v>9</v>
      </c>
      <c r="E109" s="3" t="s">
        <v>9</v>
      </c>
      <c r="F109" s="10">
        <v>0</v>
      </c>
      <c r="G109" s="11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120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121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105</v>
      </c>
      <c r="D113" s="3" t="s">
        <v>9</v>
      </c>
      <c r="E113" s="3" t="s">
        <v>9</v>
      </c>
      <c r="F113" s="14">
        <v>0</v>
      </c>
      <c r="G113" s="15">
        <v>0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122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4">
        <v>0</v>
      </c>
      <c r="G116" s="15">
        <v>0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123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105</v>
      </c>
      <c r="D119" s="3" t="s">
        <v>9</v>
      </c>
      <c r="E119" s="3" t="s">
        <v>9</v>
      </c>
      <c r="F119" s="14">
        <v>0</v>
      </c>
      <c r="G119" s="15">
        <v>0</v>
      </c>
      <c r="H119" s="156"/>
    </row>
    <row r="120" spans="1:8" x14ac:dyDescent="0.2">
      <c r="A120" s="3" t="s">
        <v>9</v>
      </c>
      <c r="B120" s="3" t="s">
        <v>9</v>
      </c>
      <c r="C120" s="12" t="s">
        <v>9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124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5">
        <v>1</v>
      </c>
      <c r="B122" s="6"/>
      <c r="C122" s="6" t="s">
        <v>125</v>
      </c>
      <c r="D122" s="6"/>
      <c r="E122" s="16" t="s">
        <v>9</v>
      </c>
      <c r="F122" s="8">
        <v>384.99068440000002</v>
      </c>
      <c r="G122" s="9">
        <v>2.1050388E-2</v>
      </c>
      <c r="H122" s="8">
        <v>3.3326163573085874</v>
      </c>
    </row>
    <row r="123" spans="1:8" x14ac:dyDescent="0.2">
      <c r="A123" s="5">
        <v>2</v>
      </c>
      <c r="B123" s="6"/>
      <c r="C123" s="6" t="s">
        <v>126</v>
      </c>
      <c r="D123" s="6"/>
      <c r="E123" s="16" t="s">
        <v>9</v>
      </c>
      <c r="F123" s="8">
        <v>274.97913770000002</v>
      </c>
      <c r="G123" s="9">
        <v>1.5035214E-2</v>
      </c>
      <c r="H123" s="8">
        <v>3.2337849550915885</v>
      </c>
    </row>
    <row r="124" spans="1:8" x14ac:dyDescent="0.2">
      <c r="A124" s="3" t="s">
        <v>9</v>
      </c>
      <c r="B124" s="3" t="s">
        <v>9</v>
      </c>
      <c r="C124" s="4" t="s">
        <v>105</v>
      </c>
      <c r="D124" s="3" t="s">
        <v>9</v>
      </c>
      <c r="E124" s="3" t="s">
        <v>9</v>
      </c>
      <c r="F124" s="10">
        <v>659.96982209999999</v>
      </c>
      <c r="G124" s="11">
        <v>3.6085602000000001E-2</v>
      </c>
      <c r="H124" s="156"/>
    </row>
    <row r="125" spans="1:8" x14ac:dyDescent="0.2">
      <c r="A125" s="3" t="s">
        <v>9</v>
      </c>
      <c r="B125" s="3" t="s">
        <v>9</v>
      </c>
      <c r="C125" s="12" t="s">
        <v>9</v>
      </c>
      <c r="D125" s="3" t="s">
        <v>9</v>
      </c>
      <c r="E125" s="3" t="s">
        <v>9</v>
      </c>
      <c r="F125" s="13" t="s">
        <v>9</v>
      </c>
      <c r="G125" s="1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127</v>
      </c>
      <c r="D126" s="3" t="s">
        <v>9</v>
      </c>
      <c r="E126" s="3" t="s">
        <v>9</v>
      </c>
      <c r="F126" s="10">
        <v>659.96982209999999</v>
      </c>
      <c r="G126" s="11">
        <v>3.6085602000000001E-2</v>
      </c>
      <c r="H126" s="156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3" t="s">
        <v>9</v>
      </c>
      <c r="G127" s="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128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129</v>
      </c>
      <c r="D129" s="3" t="s">
        <v>9</v>
      </c>
      <c r="E129" s="3" t="s">
        <v>9</v>
      </c>
      <c r="F129" s="3" t="s">
        <v>9</v>
      </c>
      <c r="G129" s="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105</v>
      </c>
      <c r="D130" s="3" t="s">
        <v>9</v>
      </c>
      <c r="E130" s="3" t="s">
        <v>9</v>
      </c>
      <c r="F130" s="14">
        <v>0</v>
      </c>
      <c r="G130" s="15">
        <v>0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130</v>
      </c>
      <c r="D132" s="3" t="s">
        <v>9</v>
      </c>
      <c r="E132" s="3" t="s">
        <v>9</v>
      </c>
      <c r="F132" s="3" t="s">
        <v>9</v>
      </c>
      <c r="G132" s="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131</v>
      </c>
      <c r="D133" s="3" t="s">
        <v>9</v>
      </c>
      <c r="E133" s="3" t="s">
        <v>9</v>
      </c>
      <c r="F133" s="3" t="s">
        <v>9</v>
      </c>
      <c r="G133" s="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105</v>
      </c>
      <c r="D134" s="3" t="s">
        <v>9</v>
      </c>
      <c r="E134" s="3" t="s">
        <v>9</v>
      </c>
      <c r="F134" s="14">
        <v>0</v>
      </c>
      <c r="G134" s="15">
        <v>0</v>
      </c>
      <c r="H134" s="156"/>
    </row>
    <row r="135" spans="1:8" x14ac:dyDescent="0.2">
      <c r="A135" s="3" t="s">
        <v>9</v>
      </c>
      <c r="B135" s="3" t="s">
        <v>9</v>
      </c>
      <c r="C135" s="12" t="s">
        <v>9</v>
      </c>
      <c r="D135" s="3" t="s">
        <v>9</v>
      </c>
      <c r="E135" s="3" t="s">
        <v>9</v>
      </c>
      <c r="F135" s="13" t="s">
        <v>9</v>
      </c>
      <c r="G135" s="13" t="s">
        <v>9</v>
      </c>
      <c r="H135" s="156"/>
    </row>
    <row r="136" spans="1:8" x14ac:dyDescent="0.2">
      <c r="A136" s="3" t="s">
        <v>9</v>
      </c>
      <c r="B136" s="3" t="s">
        <v>9</v>
      </c>
      <c r="C136" s="12" t="s">
        <v>9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4" t="s">
        <v>132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4" t="s">
        <v>105</v>
      </c>
      <c r="D138" s="3" t="s">
        <v>9</v>
      </c>
      <c r="E138" s="3" t="s">
        <v>9</v>
      </c>
      <c r="F138" s="14">
        <v>0</v>
      </c>
      <c r="G138" s="15">
        <v>0</v>
      </c>
      <c r="H138" s="156"/>
    </row>
    <row r="139" spans="1:8" x14ac:dyDescent="0.2">
      <c r="A139" s="3" t="s">
        <v>9</v>
      </c>
      <c r="B139" s="3" t="s">
        <v>9</v>
      </c>
      <c r="C139" s="12" t="s">
        <v>9</v>
      </c>
      <c r="D139" s="3" t="s">
        <v>9</v>
      </c>
      <c r="E139" s="3" t="s">
        <v>9</v>
      </c>
      <c r="F139" s="13" t="s">
        <v>9</v>
      </c>
      <c r="G139" s="13" t="s">
        <v>9</v>
      </c>
      <c r="H139" s="156"/>
    </row>
    <row r="140" spans="1:8" x14ac:dyDescent="0.2">
      <c r="A140" s="3" t="s">
        <v>9</v>
      </c>
      <c r="B140" s="6" t="s">
        <v>9</v>
      </c>
      <c r="C140" s="6" t="s">
        <v>9</v>
      </c>
      <c r="D140" s="4" t="s">
        <v>9</v>
      </c>
      <c r="E140" s="3" t="s">
        <v>9</v>
      </c>
      <c r="F140" s="6" t="s">
        <v>9</v>
      </c>
      <c r="G140" s="16" t="s">
        <v>9</v>
      </c>
      <c r="H140" s="156"/>
    </row>
    <row r="141" spans="1:8" x14ac:dyDescent="0.2">
      <c r="A141" s="16" t="s">
        <v>9</v>
      </c>
      <c r="B141" s="6" t="s">
        <v>9</v>
      </c>
      <c r="C141" s="6" t="s">
        <v>133</v>
      </c>
      <c r="D141" s="6" t="s">
        <v>9</v>
      </c>
      <c r="E141" s="16" t="s">
        <v>9</v>
      </c>
      <c r="F141" s="8">
        <v>4.4407702100000002</v>
      </c>
      <c r="G141" s="9">
        <v>2.42811E-4</v>
      </c>
      <c r="H141" s="156"/>
    </row>
    <row r="142" spans="1:8" x14ac:dyDescent="0.2">
      <c r="A142" s="12" t="s">
        <v>9</v>
      </c>
      <c r="B142" s="12" t="s">
        <v>9</v>
      </c>
      <c r="C142" s="4" t="s">
        <v>134</v>
      </c>
      <c r="D142" s="17" t="s">
        <v>9</v>
      </c>
      <c r="E142" s="17" t="s">
        <v>9</v>
      </c>
      <c r="F142" s="10">
        <v>18289.006723310002</v>
      </c>
      <c r="G142" s="11">
        <v>1.0000000010000001</v>
      </c>
      <c r="H142" s="156"/>
    </row>
    <row r="143" spans="1:8" ht="14.1" customHeight="1" x14ac:dyDescent="0.2">
      <c r="A143" s="18" t="s">
        <v>9</v>
      </c>
      <c r="B143" s="18" t="s">
        <v>9</v>
      </c>
      <c r="C143" s="18" t="s">
        <v>9</v>
      </c>
      <c r="D143" s="19" t="s">
        <v>9</v>
      </c>
      <c r="E143" s="19" t="s">
        <v>9</v>
      </c>
      <c r="F143" s="19" t="s">
        <v>9</v>
      </c>
      <c r="G143" s="19" t="s">
        <v>9</v>
      </c>
    </row>
    <row r="144" spans="1:8" ht="14.1" customHeight="1" x14ac:dyDescent="0.2">
      <c r="A144" s="20" t="s">
        <v>9</v>
      </c>
      <c r="B144" s="200" t="s">
        <v>9</v>
      </c>
      <c r="C144" s="200"/>
      <c r="D144" s="200"/>
      <c r="E144" s="200"/>
      <c r="F144" s="200"/>
      <c r="G144" s="22" t="s">
        <v>9</v>
      </c>
    </row>
    <row r="145" spans="1:7" ht="14.1" customHeight="1" x14ac:dyDescent="0.2">
      <c r="A145" s="20" t="s">
        <v>9</v>
      </c>
      <c r="B145" s="200" t="s">
        <v>9</v>
      </c>
      <c r="C145" s="200"/>
      <c r="D145" s="200"/>
      <c r="E145" s="200"/>
      <c r="F145" s="200"/>
      <c r="G145" s="22" t="s">
        <v>9</v>
      </c>
    </row>
    <row r="146" spans="1:7" ht="14.1" customHeight="1" x14ac:dyDescent="0.2">
      <c r="A146" s="20" t="s">
        <v>9</v>
      </c>
      <c r="B146" s="20" t="s">
        <v>9</v>
      </c>
      <c r="C146" s="20" t="s">
        <v>9</v>
      </c>
      <c r="D146" s="22" t="s">
        <v>9</v>
      </c>
      <c r="E146" s="22" t="s">
        <v>9</v>
      </c>
      <c r="F146" s="22" t="s">
        <v>9</v>
      </c>
      <c r="G146" s="22" t="s">
        <v>9</v>
      </c>
    </row>
    <row r="147" spans="1:7" ht="14.1" customHeight="1" x14ac:dyDescent="0.2">
      <c r="A147" s="20" t="s">
        <v>9</v>
      </c>
      <c r="B147" s="198" t="s">
        <v>136</v>
      </c>
      <c r="C147" s="199"/>
      <c r="D147" s="13" t="s">
        <v>9</v>
      </c>
      <c r="E147" s="23" t="s">
        <v>9</v>
      </c>
      <c r="F147" s="22" t="s">
        <v>9</v>
      </c>
      <c r="G147" s="22" t="s">
        <v>9</v>
      </c>
    </row>
    <row r="148" spans="1:7" ht="29.1" customHeight="1" x14ac:dyDescent="0.2">
      <c r="A148" s="20" t="s">
        <v>9</v>
      </c>
      <c r="B148" s="205" t="s">
        <v>137</v>
      </c>
      <c r="C148" s="206"/>
      <c r="D148" s="4" t="s">
        <v>138</v>
      </c>
      <c r="E148" s="23" t="s">
        <v>9</v>
      </c>
      <c r="F148" s="22" t="s">
        <v>9</v>
      </c>
      <c r="G148" s="22" t="s">
        <v>9</v>
      </c>
    </row>
    <row r="149" spans="1:7" ht="17.100000000000001" customHeight="1" x14ac:dyDescent="0.2">
      <c r="A149" s="20" t="s">
        <v>9</v>
      </c>
      <c r="B149" s="205" t="s">
        <v>139</v>
      </c>
      <c r="C149" s="206"/>
      <c r="D149" s="4" t="s">
        <v>138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05" t="s">
        <v>140</v>
      </c>
      <c r="C150" s="206"/>
      <c r="D150" s="13" t="s">
        <v>9</v>
      </c>
      <c r="E150" s="23" t="s">
        <v>9</v>
      </c>
      <c r="F150" s="22" t="s">
        <v>9</v>
      </c>
      <c r="G150" s="22" t="s">
        <v>9</v>
      </c>
    </row>
    <row r="151" spans="1:7" ht="24" customHeight="1" x14ac:dyDescent="0.2">
      <c r="A151" s="24" t="s">
        <v>9</v>
      </c>
      <c r="B151" s="25" t="s">
        <v>9</v>
      </c>
      <c r="C151" s="25" t="s">
        <v>141</v>
      </c>
      <c r="D151" s="25" t="s">
        <v>142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25" t="s">
        <v>143</v>
      </c>
      <c r="C152" s="25" t="s">
        <v>144</v>
      </c>
      <c r="D152" s="25" t="s">
        <v>145</v>
      </c>
      <c r="E152" s="24" t="s">
        <v>9</v>
      </c>
      <c r="F152" s="24" t="s">
        <v>9</v>
      </c>
      <c r="G152" s="24" t="s">
        <v>9</v>
      </c>
    </row>
    <row r="153" spans="1:7" ht="17.100000000000001" customHeight="1" x14ac:dyDescent="0.2">
      <c r="A153" s="24" t="s">
        <v>9</v>
      </c>
      <c r="B153" s="6" t="s">
        <v>146</v>
      </c>
      <c r="C153" s="26">
        <v>13.050700000000001</v>
      </c>
      <c r="D153" s="26">
        <v>14.1275</v>
      </c>
      <c r="E153" s="24" t="s">
        <v>9</v>
      </c>
      <c r="F153" s="21" t="s">
        <v>9</v>
      </c>
      <c r="G153" s="27" t="s">
        <v>9</v>
      </c>
    </row>
    <row r="154" spans="1:7" ht="17.100000000000001" customHeight="1" x14ac:dyDescent="0.2">
      <c r="A154" s="24" t="s">
        <v>9</v>
      </c>
      <c r="B154" s="6" t="s">
        <v>839</v>
      </c>
      <c r="C154" s="26">
        <v>13.050700000000001</v>
      </c>
      <c r="D154" s="26">
        <v>14.1275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147</v>
      </c>
      <c r="C155" s="26">
        <v>12.7233</v>
      </c>
      <c r="D155" s="26">
        <v>13.766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840</v>
      </c>
      <c r="C156" s="26">
        <v>12.7233</v>
      </c>
      <c r="D156" s="26">
        <v>13.766</v>
      </c>
      <c r="E156" s="24" t="s">
        <v>9</v>
      </c>
      <c r="F156" s="21" t="s">
        <v>9</v>
      </c>
      <c r="G156" s="27" t="s">
        <v>9</v>
      </c>
    </row>
    <row r="157" spans="1:7" ht="14.1" customHeight="1" x14ac:dyDescent="0.2">
      <c r="A157" s="24" t="s">
        <v>9</v>
      </c>
      <c r="B157" s="24" t="s">
        <v>9</v>
      </c>
      <c r="C157" s="24" t="s">
        <v>9</v>
      </c>
      <c r="D157" s="24" t="s">
        <v>9</v>
      </c>
      <c r="E157" s="24" t="s">
        <v>9</v>
      </c>
      <c r="F157" s="24" t="s">
        <v>9</v>
      </c>
      <c r="G157" s="24" t="s">
        <v>9</v>
      </c>
    </row>
    <row r="158" spans="1:7" ht="17.100000000000001" customHeight="1" x14ac:dyDescent="0.2">
      <c r="A158" s="24" t="s">
        <v>9</v>
      </c>
      <c r="B158" s="205" t="s">
        <v>1013</v>
      </c>
      <c r="C158" s="206"/>
      <c r="D158" s="4" t="s">
        <v>138</v>
      </c>
      <c r="E158" s="24" t="s">
        <v>9</v>
      </c>
      <c r="F158" s="24" t="s">
        <v>9</v>
      </c>
      <c r="G158" s="24" t="s">
        <v>9</v>
      </c>
    </row>
    <row r="159" spans="1:7" ht="18" customHeight="1" x14ac:dyDescent="0.2">
      <c r="A159" s="24" t="s">
        <v>9</v>
      </c>
      <c r="B159" s="30"/>
      <c r="C159" s="30"/>
      <c r="D159" s="28" t="s">
        <v>9</v>
      </c>
      <c r="E159" s="24" t="s">
        <v>9</v>
      </c>
      <c r="F159" s="24" t="s">
        <v>9</v>
      </c>
      <c r="G159" s="24" t="s">
        <v>9</v>
      </c>
    </row>
    <row r="160" spans="1:7" s="197" customFormat="1" x14ac:dyDescent="0.2">
      <c r="B160" s="208" t="s">
        <v>841</v>
      </c>
      <c r="C160" s="208"/>
      <c r="D160" s="208"/>
      <c r="E160" s="208"/>
      <c r="F160" s="208"/>
    </row>
    <row r="161" spans="1:7" ht="14.1" customHeight="1" x14ac:dyDescent="0.2">
      <c r="A161" s="24" t="s">
        <v>9</v>
      </c>
      <c r="B161" s="21" t="s">
        <v>9</v>
      </c>
      <c r="C161" s="21" t="s">
        <v>9</v>
      </c>
      <c r="D161" s="24" t="s">
        <v>9</v>
      </c>
      <c r="E161" s="24" t="s">
        <v>9</v>
      </c>
      <c r="F161" s="24" t="s">
        <v>9</v>
      </c>
      <c r="G161" s="24" t="s">
        <v>9</v>
      </c>
    </row>
    <row r="162" spans="1:7" ht="29.1" customHeight="1" x14ac:dyDescent="0.2">
      <c r="A162" s="24" t="s">
        <v>9</v>
      </c>
      <c r="B162" s="205" t="s">
        <v>148</v>
      </c>
      <c r="C162" s="206"/>
      <c r="D162" s="4" t="s">
        <v>138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05" t="s">
        <v>149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  <row r="164" spans="1:7" ht="17.100000000000001" customHeight="1" x14ac:dyDescent="0.2">
      <c r="A164" s="24" t="s">
        <v>9</v>
      </c>
      <c r="B164" s="205" t="s">
        <v>150</v>
      </c>
      <c r="C164" s="206"/>
      <c r="D164" s="29">
        <v>0.52826733269476978</v>
      </c>
      <c r="E164" s="24" t="s">
        <v>9</v>
      </c>
      <c r="F164" s="21" t="s">
        <v>9</v>
      </c>
      <c r="G164" s="27" t="s">
        <v>9</v>
      </c>
    </row>
    <row r="165" spans="1:7" ht="17.100000000000001" customHeight="1" x14ac:dyDescent="0.2">
      <c r="A165" s="24" t="s">
        <v>9</v>
      </c>
      <c r="B165" s="205" t="s">
        <v>151</v>
      </c>
      <c r="C165" s="206"/>
      <c r="D165" s="4" t="s">
        <v>138</v>
      </c>
      <c r="E165" s="24" t="s">
        <v>9</v>
      </c>
      <c r="F165" s="24" t="s">
        <v>9</v>
      </c>
      <c r="G165" s="24" t="s">
        <v>9</v>
      </c>
    </row>
  </sheetData>
  <mergeCells count="15">
    <mergeCell ref="B164:C164"/>
    <mergeCell ref="B165:C165"/>
    <mergeCell ref="B148:C148"/>
    <mergeCell ref="B149:C149"/>
    <mergeCell ref="B150:C150"/>
    <mergeCell ref="B158:C158"/>
    <mergeCell ref="B162:C162"/>
    <mergeCell ref="B163:C163"/>
    <mergeCell ref="B160:F160"/>
    <mergeCell ref="B147:C147"/>
    <mergeCell ref="B144:F144"/>
    <mergeCell ref="B145:F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4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287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17009</v>
      </c>
      <c r="F7" s="8">
        <v>637.70993250000004</v>
      </c>
      <c r="G7" s="9">
        <v>3.6488719000000003E-2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49881</v>
      </c>
      <c r="F8" s="8">
        <v>619.49707950000004</v>
      </c>
      <c r="G8" s="9">
        <v>3.5446610000000003E-2</v>
      </c>
      <c r="H8" s="156"/>
    </row>
    <row r="9" spans="1:8" x14ac:dyDescent="0.2">
      <c r="A9" s="5">
        <v>3</v>
      </c>
      <c r="B9" s="6" t="s">
        <v>156</v>
      </c>
      <c r="C9" s="6" t="s">
        <v>157</v>
      </c>
      <c r="D9" s="6" t="s">
        <v>155</v>
      </c>
      <c r="E9" s="7">
        <v>42588</v>
      </c>
      <c r="F9" s="8">
        <v>508.20260400000001</v>
      </c>
      <c r="G9" s="9">
        <v>2.9078521999999999E-2</v>
      </c>
      <c r="H9" s="156"/>
    </row>
    <row r="10" spans="1:8" x14ac:dyDescent="0.2">
      <c r="A10" s="5">
        <v>4</v>
      </c>
      <c r="B10" s="6" t="s">
        <v>44</v>
      </c>
      <c r="C10" s="6" t="s">
        <v>45</v>
      </c>
      <c r="D10" s="6" t="s">
        <v>978</v>
      </c>
      <c r="E10" s="7">
        <v>273864</v>
      </c>
      <c r="F10" s="8">
        <v>458.99606399999999</v>
      </c>
      <c r="G10" s="9">
        <v>2.6263004E-2</v>
      </c>
      <c r="H10" s="156"/>
    </row>
    <row r="11" spans="1:8" x14ac:dyDescent="0.2">
      <c r="A11" s="5">
        <v>5</v>
      </c>
      <c r="B11" s="6" t="s">
        <v>158</v>
      </c>
      <c r="C11" s="6" t="s">
        <v>159</v>
      </c>
      <c r="D11" s="6" t="s">
        <v>28</v>
      </c>
      <c r="E11" s="7">
        <v>61203</v>
      </c>
      <c r="F11" s="8">
        <v>424.41220349999998</v>
      </c>
      <c r="G11" s="9">
        <v>2.4284172E-2</v>
      </c>
      <c r="H11" s="156"/>
    </row>
    <row r="12" spans="1:8" x14ac:dyDescent="0.2">
      <c r="A12" s="5">
        <v>6</v>
      </c>
      <c r="B12" s="6" t="s">
        <v>160</v>
      </c>
      <c r="C12" s="6" t="s">
        <v>161</v>
      </c>
      <c r="D12" s="6" t="s">
        <v>28</v>
      </c>
      <c r="E12" s="7">
        <v>60820</v>
      </c>
      <c r="F12" s="8">
        <v>410.53500000000003</v>
      </c>
      <c r="G12" s="9">
        <v>2.3490140999999999E-2</v>
      </c>
      <c r="H12" s="156"/>
    </row>
    <row r="13" spans="1:8" x14ac:dyDescent="0.2">
      <c r="A13" s="5">
        <v>7</v>
      </c>
      <c r="B13" s="6" t="s">
        <v>162</v>
      </c>
      <c r="C13" s="6" t="s">
        <v>163</v>
      </c>
      <c r="D13" s="6" t="s">
        <v>169</v>
      </c>
      <c r="E13" s="7">
        <v>39489</v>
      </c>
      <c r="F13" s="8">
        <v>396.509049</v>
      </c>
      <c r="G13" s="9">
        <v>2.2687598999999999E-2</v>
      </c>
      <c r="H13" s="156"/>
    </row>
    <row r="14" spans="1:8" x14ac:dyDescent="0.2">
      <c r="A14" s="5">
        <v>8</v>
      </c>
      <c r="B14" s="6" t="s">
        <v>164</v>
      </c>
      <c r="C14" s="6" t="s">
        <v>165</v>
      </c>
      <c r="D14" s="6" t="s">
        <v>166</v>
      </c>
      <c r="E14" s="7">
        <v>410889</v>
      </c>
      <c r="F14" s="8">
        <v>386.23566</v>
      </c>
      <c r="G14" s="9">
        <v>2.2099773E-2</v>
      </c>
      <c r="H14" s="156"/>
    </row>
    <row r="15" spans="1:8" x14ac:dyDescent="0.2">
      <c r="A15" s="5">
        <v>9</v>
      </c>
      <c r="B15" s="6" t="s">
        <v>31</v>
      </c>
      <c r="C15" s="6" t="s">
        <v>32</v>
      </c>
      <c r="D15" s="6" t="s">
        <v>972</v>
      </c>
      <c r="E15" s="7">
        <v>13083</v>
      </c>
      <c r="F15" s="8">
        <v>373.06174499999997</v>
      </c>
      <c r="G15" s="9">
        <v>2.1345982999999999E-2</v>
      </c>
      <c r="H15" s="156"/>
    </row>
    <row r="16" spans="1:8" x14ac:dyDescent="0.2">
      <c r="A16" s="5">
        <v>10</v>
      </c>
      <c r="B16" s="6" t="s">
        <v>167</v>
      </c>
      <c r="C16" s="6" t="s">
        <v>168</v>
      </c>
      <c r="D16" s="6" t="s">
        <v>169</v>
      </c>
      <c r="E16" s="7">
        <v>138923</v>
      </c>
      <c r="F16" s="8">
        <v>360.78303099999999</v>
      </c>
      <c r="G16" s="9">
        <v>2.0643414999999998E-2</v>
      </c>
      <c r="H16" s="156"/>
    </row>
    <row r="17" spans="1:8" x14ac:dyDescent="0.2">
      <c r="A17" s="5">
        <v>11</v>
      </c>
      <c r="B17" s="6" t="s">
        <v>55</v>
      </c>
      <c r="C17" s="6" t="s">
        <v>56</v>
      </c>
      <c r="D17" s="6" t="s">
        <v>35</v>
      </c>
      <c r="E17" s="7">
        <v>44780</v>
      </c>
      <c r="F17" s="8">
        <v>343.68650000000002</v>
      </c>
      <c r="G17" s="9">
        <v>1.9665179000000001E-2</v>
      </c>
      <c r="H17" s="156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172</v>
      </c>
      <c r="E18" s="7">
        <v>26113</v>
      </c>
      <c r="F18" s="8">
        <v>342.78535099999999</v>
      </c>
      <c r="G18" s="9">
        <v>1.9613617E-2</v>
      </c>
      <c r="H18" s="156"/>
    </row>
    <row r="19" spans="1:8" x14ac:dyDescent="0.2">
      <c r="A19" s="5">
        <v>13</v>
      </c>
      <c r="B19" s="6" t="s">
        <v>173</v>
      </c>
      <c r="C19" s="6" t="s">
        <v>174</v>
      </c>
      <c r="D19" s="6" t="s">
        <v>63</v>
      </c>
      <c r="E19" s="7">
        <v>84039</v>
      </c>
      <c r="F19" s="8">
        <v>339.97977450000002</v>
      </c>
      <c r="G19" s="9">
        <v>1.9453087000000001E-2</v>
      </c>
      <c r="H19" s="156"/>
    </row>
    <row r="20" spans="1:8" x14ac:dyDescent="0.2">
      <c r="A20" s="5">
        <v>14</v>
      </c>
      <c r="B20" s="6" t="s">
        <v>175</v>
      </c>
      <c r="C20" s="6" t="s">
        <v>176</v>
      </c>
      <c r="D20" s="6" t="s">
        <v>974</v>
      </c>
      <c r="E20" s="7">
        <v>37436</v>
      </c>
      <c r="F20" s="8">
        <v>321.238316</v>
      </c>
      <c r="G20" s="9">
        <v>1.8380731000000001E-2</v>
      </c>
      <c r="H20" s="156"/>
    </row>
    <row r="21" spans="1:8" x14ac:dyDescent="0.2">
      <c r="A21" s="5">
        <v>15</v>
      </c>
      <c r="B21" s="6" t="s">
        <v>179</v>
      </c>
      <c r="C21" s="6" t="s">
        <v>180</v>
      </c>
      <c r="D21" s="6" t="s">
        <v>169</v>
      </c>
      <c r="E21" s="7">
        <v>10499</v>
      </c>
      <c r="F21" s="8">
        <v>308.54986150000002</v>
      </c>
      <c r="G21" s="9">
        <v>1.7654718E-2</v>
      </c>
      <c r="H21" s="156"/>
    </row>
    <row r="22" spans="1:8" x14ac:dyDescent="0.2">
      <c r="A22" s="5">
        <v>16</v>
      </c>
      <c r="B22" s="6" t="s">
        <v>181</v>
      </c>
      <c r="C22" s="6" t="s">
        <v>182</v>
      </c>
      <c r="D22" s="6" t="s">
        <v>972</v>
      </c>
      <c r="E22" s="7">
        <v>120862</v>
      </c>
      <c r="F22" s="8">
        <v>305.357843</v>
      </c>
      <c r="G22" s="9">
        <v>1.7472076E-2</v>
      </c>
      <c r="H22" s="156"/>
    </row>
    <row r="23" spans="1:8" x14ac:dyDescent="0.2">
      <c r="A23" s="5">
        <v>17</v>
      </c>
      <c r="B23" s="6" t="s">
        <v>183</v>
      </c>
      <c r="C23" s="6" t="s">
        <v>184</v>
      </c>
      <c r="D23" s="6" t="s">
        <v>43</v>
      </c>
      <c r="E23" s="7">
        <v>70480</v>
      </c>
      <c r="F23" s="8">
        <v>300.10383999999999</v>
      </c>
      <c r="G23" s="9">
        <v>1.7171451000000001E-2</v>
      </c>
      <c r="H23" s="156"/>
    </row>
    <row r="24" spans="1:8" x14ac:dyDescent="0.2">
      <c r="A24" s="5">
        <v>18</v>
      </c>
      <c r="B24" s="6" t="s">
        <v>185</v>
      </c>
      <c r="C24" s="6" t="s">
        <v>186</v>
      </c>
      <c r="D24" s="6" t="s">
        <v>172</v>
      </c>
      <c r="E24" s="7">
        <v>132103</v>
      </c>
      <c r="F24" s="8">
        <v>295.91072000000003</v>
      </c>
      <c r="G24" s="9">
        <v>1.6931526999999998E-2</v>
      </c>
      <c r="H24" s="156"/>
    </row>
    <row r="25" spans="1:8" x14ac:dyDescent="0.2">
      <c r="A25" s="5">
        <v>19</v>
      </c>
      <c r="B25" s="6" t="s">
        <v>187</v>
      </c>
      <c r="C25" s="6" t="s">
        <v>188</v>
      </c>
      <c r="D25" s="6" t="s">
        <v>973</v>
      </c>
      <c r="E25" s="7">
        <v>88565</v>
      </c>
      <c r="F25" s="8">
        <v>273.40015499999998</v>
      </c>
      <c r="G25" s="9">
        <v>1.5643509999999999E-2</v>
      </c>
      <c r="H25" s="156"/>
    </row>
    <row r="26" spans="1:8" x14ac:dyDescent="0.2">
      <c r="A26" s="5">
        <v>20</v>
      </c>
      <c r="B26" s="6" t="s">
        <v>189</v>
      </c>
      <c r="C26" s="6" t="s">
        <v>190</v>
      </c>
      <c r="D26" s="6" t="s">
        <v>191</v>
      </c>
      <c r="E26" s="7">
        <v>23138</v>
      </c>
      <c r="F26" s="8">
        <v>270.39066800000001</v>
      </c>
      <c r="G26" s="9">
        <v>1.5471311999999999E-2</v>
      </c>
      <c r="H26" s="156"/>
    </row>
    <row r="27" spans="1:8" x14ac:dyDescent="0.2">
      <c r="A27" s="5">
        <v>21</v>
      </c>
      <c r="B27" s="6" t="s">
        <v>197</v>
      </c>
      <c r="C27" s="6" t="s">
        <v>198</v>
      </c>
      <c r="D27" s="6" t="s">
        <v>169</v>
      </c>
      <c r="E27" s="7">
        <v>6240</v>
      </c>
      <c r="F27" s="8">
        <v>268.52904000000001</v>
      </c>
      <c r="G27" s="9">
        <v>1.5364792E-2</v>
      </c>
      <c r="H27" s="156"/>
    </row>
    <row r="28" spans="1:8" x14ac:dyDescent="0.2">
      <c r="A28" s="5">
        <v>22</v>
      </c>
      <c r="B28" s="6" t="s">
        <v>192</v>
      </c>
      <c r="C28" s="6" t="s">
        <v>193</v>
      </c>
      <c r="D28" s="6" t="s">
        <v>196</v>
      </c>
      <c r="E28" s="7">
        <v>38836</v>
      </c>
      <c r="F28" s="8">
        <v>267.44411400000001</v>
      </c>
      <c r="G28" s="9">
        <v>1.5302715E-2</v>
      </c>
      <c r="H28" s="156"/>
    </row>
    <row r="29" spans="1:8" x14ac:dyDescent="0.2">
      <c r="A29" s="5">
        <v>23</v>
      </c>
      <c r="B29" s="6" t="s">
        <v>194</v>
      </c>
      <c r="C29" s="6" t="s">
        <v>195</v>
      </c>
      <c r="D29" s="6" t="s">
        <v>196</v>
      </c>
      <c r="E29" s="7">
        <v>64323</v>
      </c>
      <c r="F29" s="8">
        <v>265.46102100000002</v>
      </c>
      <c r="G29" s="9">
        <v>1.5189245000000001E-2</v>
      </c>
      <c r="H29" s="156"/>
    </row>
    <row r="30" spans="1:8" x14ac:dyDescent="0.2">
      <c r="A30" s="5">
        <v>24</v>
      </c>
      <c r="B30" s="6" t="s">
        <v>201</v>
      </c>
      <c r="C30" s="6" t="s">
        <v>202</v>
      </c>
      <c r="D30" s="6" t="s">
        <v>40</v>
      </c>
      <c r="E30" s="7">
        <v>234585</v>
      </c>
      <c r="F30" s="8">
        <v>259.56830250000002</v>
      </c>
      <c r="G30" s="9">
        <v>1.4852074E-2</v>
      </c>
      <c r="H30" s="156"/>
    </row>
    <row r="31" spans="1:8" x14ac:dyDescent="0.2">
      <c r="A31" s="5">
        <v>25</v>
      </c>
      <c r="B31" s="6" t="s">
        <v>48</v>
      </c>
      <c r="C31" s="6" t="s">
        <v>49</v>
      </c>
      <c r="D31" s="6" t="s">
        <v>28</v>
      </c>
      <c r="E31" s="7">
        <v>25282</v>
      </c>
      <c r="F31" s="8">
        <v>255.79063500000001</v>
      </c>
      <c r="G31" s="9">
        <v>1.4635922000000001E-2</v>
      </c>
      <c r="H31" s="156"/>
    </row>
    <row r="32" spans="1:8" x14ac:dyDescent="0.2">
      <c r="A32" s="5">
        <v>26</v>
      </c>
      <c r="B32" s="6" t="s">
        <v>199</v>
      </c>
      <c r="C32" s="6" t="s">
        <v>200</v>
      </c>
      <c r="D32" s="6" t="s">
        <v>63</v>
      </c>
      <c r="E32" s="7">
        <v>73734</v>
      </c>
      <c r="F32" s="8">
        <v>254.75097</v>
      </c>
      <c r="G32" s="9">
        <v>1.4576433999999999E-2</v>
      </c>
      <c r="H32" s="156"/>
    </row>
    <row r="33" spans="1:8" x14ac:dyDescent="0.2">
      <c r="A33" s="5">
        <v>27</v>
      </c>
      <c r="B33" s="6" t="s">
        <v>203</v>
      </c>
      <c r="C33" s="6" t="s">
        <v>204</v>
      </c>
      <c r="D33" s="6" t="s">
        <v>205</v>
      </c>
      <c r="E33" s="7">
        <v>31547</v>
      </c>
      <c r="F33" s="8">
        <v>249.12665899999999</v>
      </c>
      <c r="G33" s="9">
        <v>1.4254620000000001E-2</v>
      </c>
      <c r="H33" s="156"/>
    </row>
    <row r="34" spans="1:8" x14ac:dyDescent="0.2">
      <c r="A34" s="5">
        <v>28</v>
      </c>
      <c r="B34" s="6" t="s">
        <v>206</v>
      </c>
      <c r="C34" s="6" t="s">
        <v>207</v>
      </c>
      <c r="D34" s="6" t="s">
        <v>73</v>
      </c>
      <c r="E34" s="7">
        <v>57162</v>
      </c>
      <c r="F34" s="8">
        <v>246.68261100000001</v>
      </c>
      <c r="G34" s="9">
        <v>1.4114776000000001E-2</v>
      </c>
      <c r="H34" s="156"/>
    </row>
    <row r="35" spans="1:8" x14ac:dyDescent="0.2">
      <c r="A35" s="5">
        <v>29</v>
      </c>
      <c r="B35" s="6" t="s">
        <v>208</v>
      </c>
      <c r="C35" s="6" t="s">
        <v>209</v>
      </c>
      <c r="D35" s="6" t="s">
        <v>976</v>
      </c>
      <c r="E35" s="7">
        <v>30000</v>
      </c>
      <c r="F35" s="8">
        <v>245.38499999999999</v>
      </c>
      <c r="G35" s="9">
        <v>1.4040528E-2</v>
      </c>
      <c r="H35" s="156"/>
    </row>
    <row r="36" spans="1:8" x14ac:dyDescent="0.2">
      <c r="A36" s="5">
        <v>30</v>
      </c>
      <c r="B36" s="6" t="s">
        <v>210</v>
      </c>
      <c r="C36" s="6" t="s">
        <v>211</v>
      </c>
      <c r="D36" s="6" t="s">
        <v>169</v>
      </c>
      <c r="E36" s="7">
        <v>27880</v>
      </c>
      <c r="F36" s="8">
        <v>239.65647999999999</v>
      </c>
      <c r="G36" s="9">
        <v>1.3712752E-2</v>
      </c>
      <c r="H36" s="156"/>
    </row>
    <row r="37" spans="1:8" x14ac:dyDescent="0.2">
      <c r="A37" s="5">
        <v>31</v>
      </c>
      <c r="B37" s="6" t="s">
        <v>237</v>
      </c>
      <c r="C37" s="6" t="s">
        <v>238</v>
      </c>
      <c r="D37" s="6" t="s">
        <v>239</v>
      </c>
      <c r="E37" s="7">
        <v>125377</v>
      </c>
      <c r="F37" s="8">
        <v>233.32659699999999</v>
      </c>
      <c r="G37" s="9">
        <v>1.3350565999999999E-2</v>
      </c>
      <c r="H37" s="156"/>
    </row>
    <row r="38" spans="1:8" x14ac:dyDescent="0.2">
      <c r="A38" s="5">
        <v>32</v>
      </c>
      <c r="B38" s="6" t="s">
        <v>212</v>
      </c>
      <c r="C38" s="6" t="s">
        <v>213</v>
      </c>
      <c r="D38" s="6" t="s">
        <v>28</v>
      </c>
      <c r="E38" s="7">
        <v>15668</v>
      </c>
      <c r="F38" s="8">
        <v>230.217758</v>
      </c>
      <c r="G38" s="9">
        <v>1.3172684E-2</v>
      </c>
      <c r="H38" s="156"/>
    </row>
    <row r="39" spans="1:8" x14ac:dyDescent="0.2">
      <c r="A39" s="5">
        <v>33</v>
      </c>
      <c r="B39" s="6" t="s">
        <v>230</v>
      </c>
      <c r="C39" s="6" t="s">
        <v>231</v>
      </c>
      <c r="D39" s="6" t="s">
        <v>978</v>
      </c>
      <c r="E39" s="7">
        <v>20147</v>
      </c>
      <c r="F39" s="8">
        <v>227.09698399999999</v>
      </c>
      <c r="G39" s="9">
        <v>1.2994118000000001E-2</v>
      </c>
      <c r="H39" s="156"/>
    </row>
    <row r="40" spans="1:8" ht="25.5" x14ac:dyDescent="0.2">
      <c r="A40" s="5">
        <v>34</v>
      </c>
      <c r="B40" s="6" t="s">
        <v>214</v>
      </c>
      <c r="C40" s="6" t="s">
        <v>215</v>
      </c>
      <c r="D40" s="6" t="s">
        <v>63</v>
      </c>
      <c r="E40" s="7">
        <v>10136</v>
      </c>
      <c r="F40" s="8">
        <v>225.95171199999999</v>
      </c>
      <c r="G40" s="9">
        <v>1.2928587E-2</v>
      </c>
      <c r="H40" s="156"/>
    </row>
    <row r="41" spans="1:8" x14ac:dyDescent="0.2">
      <c r="A41" s="5">
        <v>35</v>
      </c>
      <c r="B41" s="6" t="s">
        <v>79</v>
      </c>
      <c r="C41" s="6" t="s">
        <v>80</v>
      </c>
      <c r="D41" s="6" t="s">
        <v>63</v>
      </c>
      <c r="E41" s="7">
        <v>95253</v>
      </c>
      <c r="F41" s="8">
        <v>222.2728755</v>
      </c>
      <c r="G41" s="9">
        <v>1.271809E-2</v>
      </c>
      <c r="H41" s="156"/>
    </row>
    <row r="42" spans="1:8" x14ac:dyDescent="0.2">
      <c r="A42" s="5">
        <v>36</v>
      </c>
      <c r="B42" s="6" t="s">
        <v>218</v>
      </c>
      <c r="C42" s="6" t="s">
        <v>219</v>
      </c>
      <c r="D42" s="6" t="s">
        <v>63</v>
      </c>
      <c r="E42" s="7">
        <v>29640</v>
      </c>
      <c r="F42" s="8">
        <v>217.80954</v>
      </c>
      <c r="G42" s="9">
        <v>1.2462706E-2</v>
      </c>
      <c r="H42" s="156"/>
    </row>
    <row r="43" spans="1:8" x14ac:dyDescent="0.2">
      <c r="A43" s="5">
        <v>37</v>
      </c>
      <c r="B43" s="6" t="s">
        <v>220</v>
      </c>
      <c r="C43" s="6" t="s">
        <v>221</v>
      </c>
      <c r="D43" s="6" t="s">
        <v>191</v>
      </c>
      <c r="E43" s="7">
        <v>48550</v>
      </c>
      <c r="F43" s="8">
        <v>209.54179999999999</v>
      </c>
      <c r="G43" s="9">
        <v>1.1989639E-2</v>
      </c>
      <c r="H43" s="156"/>
    </row>
    <row r="44" spans="1:8" x14ac:dyDescent="0.2">
      <c r="A44" s="5">
        <v>38</v>
      </c>
      <c r="B44" s="6" t="s">
        <v>224</v>
      </c>
      <c r="C44" s="6" t="s">
        <v>225</v>
      </c>
      <c r="D44" s="6" t="s">
        <v>40</v>
      </c>
      <c r="E44" s="7">
        <v>25533</v>
      </c>
      <c r="F44" s="8">
        <v>208.1322495</v>
      </c>
      <c r="G44" s="9">
        <v>1.1908986999999999E-2</v>
      </c>
      <c r="H44" s="156"/>
    </row>
    <row r="45" spans="1:8" x14ac:dyDescent="0.2">
      <c r="A45" s="5">
        <v>39</v>
      </c>
      <c r="B45" s="6" t="s">
        <v>216</v>
      </c>
      <c r="C45" s="6" t="s">
        <v>217</v>
      </c>
      <c r="D45" s="6" t="s">
        <v>54</v>
      </c>
      <c r="E45" s="7">
        <v>18141</v>
      </c>
      <c r="F45" s="8">
        <v>201.59186249999999</v>
      </c>
      <c r="G45" s="9">
        <v>1.1534757E-2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166</v>
      </c>
      <c r="E46" s="7">
        <v>36495</v>
      </c>
      <c r="F46" s="8">
        <v>197.52918750000001</v>
      </c>
      <c r="G46" s="9">
        <v>1.1302296999999999E-2</v>
      </c>
      <c r="H46" s="156"/>
    </row>
    <row r="47" spans="1:8" x14ac:dyDescent="0.2">
      <c r="A47" s="5">
        <v>41</v>
      </c>
      <c r="B47" s="6" t="s">
        <v>228</v>
      </c>
      <c r="C47" s="6" t="s">
        <v>229</v>
      </c>
      <c r="D47" s="6" t="s">
        <v>35</v>
      </c>
      <c r="E47" s="7">
        <v>249487</v>
      </c>
      <c r="F47" s="8">
        <v>197.34421699999999</v>
      </c>
      <c r="G47" s="9">
        <v>1.1291713E-2</v>
      </c>
      <c r="H47" s="156"/>
    </row>
    <row r="48" spans="1:8" x14ac:dyDescent="0.2">
      <c r="A48" s="5">
        <v>42</v>
      </c>
      <c r="B48" s="6" t="s">
        <v>38</v>
      </c>
      <c r="C48" s="6" t="s">
        <v>39</v>
      </c>
      <c r="D48" s="6" t="s">
        <v>40</v>
      </c>
      <c r="E48" s="7">
        <v>68767</v>
      </c>
      <c r="F48" s="8">
        <v>192.34129899999999</v>
      </c>
      <c r="G48" s="9">
        <v>1.1005455000000001E-2</v>
      </c>
      <c r="H48" s="156"/>
    </row>
    <row r="49" spans="1:8" x14ac:dyDescent="0.2">
      <c r="A49" s="5">
        <v>43</v>
      </c>
      <c r="B49" s="6" t="s">
        <v>232</v>
      </c>
      <c r="C49" s="6" t="s">
        <v>233</v>
      </c>
      <c r="D49" s="6" t="s">
        <v>166</v>
      </c>
      <c r="E49" s="7">
        <v>355896</v>
      </c>
      <c r="F49" s="8">
        <v>191.827944</v>
      </c>
      <c r="G49" s="9">
        <v>1.0976081E-2</v>
      </c>
      <c r="H49" s="156"/>
    </row>
    <row r="50" spans="1:8" x14ac:dyDescent="0.2">
      <c r="A50" s="5">
        <v>44</v>
      </c>
      <c r="B50" s="6" t="s">
        <v>234</v>
      </c>
      <c r="C50" s="6" t="s">
        <v>235</v>
      </c>
      <c r="D50" s="6" t="s">
        <v>73</v>
      </c>
      <c r="E50" s="7">
        <v>44258</v>
      </c>
      <c r="F50" s="8">
        <v>188.73824099999999</v>
      </c>
      <c r="G50" s="9">
        <v>1.0799293E-2</v>
      </c>
      <c r="H50" s="156"/>
    </row>
    <row r="51" spans="1:8" x14ac:dyDescent="0.2">
      <c r="A51" s="5">
        <v>45</v>
      </c>
      <c r="B51" s="6" t="s">
        <v>222</v>
      </c>
      <c r="C51" s="6" t="s">
        <v>223</v>
      </c>
      <c r="D51" s="6" t="s">
        <v>972</v>
      </c>
      <c r="E51" s="7">
        <v>96599</v>
      </c>
      <c r="F51" s="8">
        <v>185.42178050000001</v>
      </c>
      <c r="G51" s="9">
        <v>1.0609531E-2</v>
      </c>
      <c r="H51" s="156"/>
    </row>
    <row r="52" spans="1:8" x14ac:dyDescent="0.2">
      <c r="A52" s="5">
        <v>46</v>
      </c>
      <c r="B52" s="6" t="s">
        <v>240</v>
      </c>
      <c r="C52" s="6" t="s">
        <v>241</v>
      </c>
      <c r="D52" s="6" t="s">
        <v>191</v>
      </c>
      <c r="E52" s="7">
        <v>49282</v>
      </c>
      <c r="F52" s="8">
        <v>182.58981</v>
      </c>
      <c r="G52" s="9">
        <v>1.044749E-2</v>
      </c>
      <c r="H52" s="156"/>
    </row>
    <row r="53" spans="1:8" x14ac:dyDescent="0.2">
      <c r="A53" s="5">
        <v>47</v>
      </c>
      <c r="B53" s="6" t="s">
        <v>242</v>
      </c>
      <c r="C53" s="6" t="s">
        <v>243</v>
      </c>
      <c r="D53" s="6" t="s">
        <v>196</v>
      </c>
      <c r="E53" s="7">
        <v>10907</v>
      </c>
      <c r="F53" s="8">
        <v>181.62336400000001</v>
      </c>
      <c r="G53" s="9">
        <v>1.0392192E-2</v>
      </c>
      <c r="H53" s="156"/>
    </row>
    <row r="54" spans="1:8" x14ac:dyDescent="0.2">
      <c r="A54" s="5">
        <v>48</v>
      </c>
      <c r="B54" s="6" t="s">
        <v>244</v>
      </c>
      <c r="C54" s="6" t="s">
        <v>245</v>
      </c>
      <c r="D54" s="6" t="s">
        <v>246</v>
      </c>
      <c r="E54" s="7">
        <v>40158</v>
      </c>
      <c r="F54" s="8">
        <v>172.67939999999999</v>
      </c>
      <c r="G54" s="9">
        <v>9.8804329999999992E-3</v>
      </c>
      <c r="H54" s="156"/>
    </row>
    <row r="55" spans="1:8" x14ac:dyDescent="0.2">
      <c r="A55" s="5">
        <v>49</v>
      </c>
      <c r="B55" s="6" t="s">
        <v>247</v>
      </c>
      <c r="C55" s="6" t="s">
        <v>248</v>
      </c>
      <c r="D55" s="6" t="s">
        <v>166</v>
      </c>
      <c r="E55" s="7">
        <v>32760</v>
      </c>
      <c r="F55" s="8">
        <v>171.51498000000001</v>
      </c>
      <c r="G55" s="9">
        <v>9.8138070000000008E-3</v>
      </c>
      <c r="H55" s="156"/>
    </row>
    <row r="56" spans="1:8" x14ac:dyDescent="0.2">
      <c r="A56" s="5">
        <v>50</v>
      </c>
      <c r="B56" s="6" t="s">
        <v>262</v>
      </c>
      <c r="C56" s="6" t="s">
        <v>263</v>
      </c>
      <c r="D56" s="6" t="s">
        <v>975</v>
      </c>
      <c r="E56" s="7">
        <v>67975</v>
      </c>
      <c r="F56" s="8">
        <v>169.97148749999999</v>
      </c>
      <c r="G56" s="9">
        <v>9.7254909999999993E-3</v>
      </c>
      <c r="H56" s="156"/>
    </row>
    <row r="57" spans="1:8" x14ac:dyDescent="0.2">
      <c r="A57" s="5">
        <v>51</v>
      </c>
      <c r="B57" s="6" t="s">
        <v>257</v>
      </c>
      <c r="C57" s="6" t="s">
        <v>258</v>
      </c>
      <c r="D57" s="6" t="s">
        <v>977</v>
      </c>
      <c r="E57" s="7">
        <v>183660</v>
      </c>
      <c r="F57" s="8">
        <v>168.69171</v>
      </c>
      <c r="G57" s="9">
        <v>9.6522640000000007E-3</v>
      </c>
      <c r="H57" s="156"/>
    </row>
    <row r="58" spans="1:8" x14ac:dyDescent="0.2">
      <c r="A58" s="5">
        <v>52</v>
      </c>
      <c r="B58" s="6" t="s">
        <v>249</v>
      </c>
      <c r="C58" s="6" t="s">
        <v>250</v>
      </c>
      <c r="D58" s="6" t="s">
        <v>73</v>
      </c>
      <c r="E58" s="7">
        <v>46339</v>
      </c>
      <c r="F58" s="8">
        <v>167.5849935</v>
      </c>
      <c r="G58" s="9">
        <v>9.5889389999999994E-3</v>
      </c>
      <c r="H58" s="156"/>
    </row>
    <row r="59" spans="1:8" ht="25.5" x14ac:dyDescent="0.2">
      <c r="A59" s="5">
        <v>53</v>
      </c>
      <c r="B59" s="6" t="s">
        <v>251</v>
      </c>
      <c r="C59" s="6" t="s">
        <v>252</v>
      </c>
      <c r="D59" s="6" t="s">
        <v>155</v>
      </c>
      <c r="E59" s="7">
        <v>44330</v>
      </c>
      <c r="F59" s="8">
        <v>167.21276</v>
      </c>
      <c r="G59" s="9">
        <v>9.567641E-3</v>
      </c>
      <c r="H59" s="156"/>
    </row>
    <row r="60" spans="1:8" x14ac:dyDescent="0.2">
      <c r="A60" s="5">
        <v>54</v>
      </c>
      <c r="B60" s="6" t="s">
        <v>253</v>
      </c>
      <c r="C60" s="6" t="s">
        <v>254</v>
      </c>
      <c r="D60" s="6" t="s">
        <v>975</v>
      </c>
      <c r="E60" s="7">
        <v>42364</v>
      </c>
      <c r="F60" s="8">
        <v>166.91416000000001</v>
      </c>
      <c r="G60" s="9">
        <v>9.5505550000000005E-3</v>
      </c>
      <c r="H60" s="156"/>
    </row>
    <row r="61" spans="1:8" x14ac:dyDescent="0.2">
      <c r="A61" s="5">
        <v>55</v>
      </c>
      <c r="B61" s="6" t="s">
        <v>61</v>
      </c>
      <c r="C61" s="6" t="s">
        <v>62</v>
      </c>
      <c r="D61" s="6" t="s">
        <v>63</v>
      </c>
      <c r="E61" s="7">
        <v>5600</v>
      </c>
      <c r="F61" s="8">
        <v>163.8672</v>
      </c>
      <c r="G61" s="9">
        <v>9.3762129999999996E-3</v>
      </c>
      <c r="H61" s="156"/>
    </row>
    <row r="62" spans="1:8" x14ac:dyDescent="0.2">
      <c r="A62" s="5">
        <v>56</v>
      </c>
      <c r="B62" s="6" t="s">
        <v>259</v>
      </c>
      <c r="C62" s="6" t="s">
        <v>260</v>
      </c>
      <c r="D62" s="6" t="s">
        <v>261</v>
      </c>
      <c r="E62" s="7">
        <v>20512</v>
      </c>
      <c r="F62" s="8">
        <v>162.629392</v>
      </c>
      <c r="G62" s="9">
        <v>9.3053879999999995E-3</v>
      </c>
      <c r="H62" s="156"/>
    </row>
    <row r="63" spans="1:8" x14ac:dyDescent="0.2">
      <c r="A63" s="5">
        <v>57</v>
      </c>
      <c r="B63" s="6" t="s">
        <v>264</v>
      </c>
      <c r="C63" s="6" t="s">
        <v>265</v>
      </c>
      <c r="D63" s="6" t="s">
        <v>975</v>
      </c>
      <c r="E63" s="7">
        <v>31743</v>
      </c>
      <c r="F63" s="8">
        <v>158.58802800000001</v>
      </c>
      <c r="G63" s="9">
        <v>9.0741480000000006E-3</v>
      </c>
      <c r="H63" s="156"/>
    </row>
    <row r="64" spans="1:8" x14ac:dyDescent="0.2">
      <c r="A64" s="5">
        <v>58</v>
      </c>
      <c r="B64" s="6" t="s">
        <v>268</v>
      </c>
      <c r="C64" s="6" t="s">
        <v>269</v>
      </c>
      <c r="D64" s="6" t="s">
        <v>43</v>
      </c>
      <c r="E64" s="7">
        <v>142112</v>
      </c>
      <c r="F64" s="8">
        <v>147.08591999999999</v>
      </c>
      <c r="G64" s="9">
        <v>8.4160160000000001E-3</v>
      </c>
      <c r="H64" s="156"/>
    </row>
    <row r="65" spans="1:8" x14ac:dyDescent="0.2">
      <c r="A65" s="5">
        <v>59</v>
      </c>
      <c r="B65" s="6" t="s">
        <v>266</v>
      </c>
      <c r="C65" s="6" t="s">
        <v>267</v>
      </c>
      <c r="D65" s="6" t="s">
        <v>191</v>
      </c>
      <c r="E65" s="7">
        <v>22382</v>
      </c>
      <c r="F65" s="8">
        <v>143.67005800000001</v>
      </c>
      <c r="G65" s="9">
        <v>8.2205660000000003E-3</v>
      </c>
      <c r="H65" s="156"/>
    </row>
    <row r="66" spans="1:8" x14ac:dyDescent="0.2">
      <c r="A66" s="5">
        <v>60</v>
      </c>
      <c r="B66" s="6" t="s">
        <v>270</v>
      </c>
      <c r="C66" s="6" t="s">
        <v>271</v>
      </c>
      <c r="D66" s="6" t="s">
        <v>22</v>
      </c>
      <c r="E66" s="7">
        <v>135178</v>
      </c>
      <c r="F66" s="8">
        <v>139.90923000000001</v>
      </c>
      <c r="G66" s="9">
        <v>8.0053769999999993E-3</v>
      </c>
      <c r="H66" s="156"/>
    </row>
    <row r="67" spans="1:8" x14ac:dyDescent="0.2">
      <c r="A67" s="5">
        <v>61</v>
      </c>
      <c r="B67" s="6" t="s">
        <v>272</v>
      </c>
      <c r="C67" s="6" t="s">
        <v>273</v>
      </c>
      <c r="D67" s="6" t="s">
        <v>274</v>
      </c>
      <c r="E67" s="7">
        <v>54097</v>
      </c>
      <c r="F67" s="8">
        <v>136.540828</v>
      </c>
      <c r="G67" s="9">
        <v>7.8126429999999993E-3</v>
      </c>
      <c r="H67" s="156"/>
    </row>
    <row r="68" spans="1:8" x14ac:dyDescent="0.2">
      <c r="A68" s="5">
        <v>62</v>
      </c>
      <c r="B68" s="6" t="s">
        <v>275</v>
      </c>
      <c r="C68" s="6" t="s">
        <v>276</v>
      </c>
      <c r="D68" s="6" t="s">
        <v>975</v>
      </c>
      <c r="E68" s="7">
        <v>92831</v>
      </c>
      <c r="F68" s="8">
        <v>128.43168850000001</v>
      </c>
      <c r="G68" s="9">
        <v>7.3486510000000003E-3</v>
      </c>
      <c r="H68" s="156"/>
    </row>
    <row r="69" spans="1:8" x14ac:dyDescent="0.2">
      <c r="A69" s="5">
        <v>63</v>
      </c>
      <c r="B69" s="6" t="s">
        <v>277</v>
      </c>
      <c r="C69" s="6" t="s">
        <v>278</v>
      </c>
      <c r="D69" s="6" t="s">
        <v>63</v>
      </c>
      <c r="E69" s="7">
        <v>65000</v>
      </c>
      <c r="F69" s="8">
        <v>120.6725</v>
      </c>
      <c r="G69" s="9">
        <v>6.904683E-3</v>
      </c>
      <c r="H69" s="156"/>
    </row>
    <row r="70" spans="1:8" x14ac:dyDescent="0.2">
      <c r="A70" s="5">
        <v>64</v>
      </c>
      <c r="B70" s="6" t="s">
        <v>288</v>
      </c>
      <c r="C70" s="6" t="s">
        <v>289</v>
      </c>
      <c r="D70" s="6" t="s">
        <v>28</v>
      </c>
      <c r="E70" s="7">
        <v>9729</v>
      </c>
      <c r="F70" s="8">
        <v>107.64652049999999</v>
      </c>
      <c r="G70" s="9">
        <v>6.1593580000000002E-3</v>
      </c>
      <c r="H70" s="156"/>
    </row>
    <row r="71" spans="1:8" x14ac:dyDescent="0.2">
      <c r="A71" s="5">
        <v>65</v>
      </c>
      <c r="B71" s="6" t="s">
        <v>279</v>
      </c>
      <c r="C71" s="6" t="s">
        <v>280</v>
      </c>
      <c r="D71" s="6" t="s">
        <v>974</v>
      </c>
      <c r="E71" s="7">
        <v>6788</v>
      </c>
      <c r="F71" s="8">
        <v>103.282814</v>
      </c>
      <c r="G71" s="9">
        <v>5.9096740000000002E-3</v>
      </c>
      <c r="H71" s="156"/>
    </row>
    <row r="72" spans="1:8" x14ac:dyDescent="0.2">
      <c r="A72" s="5">
        <v>66</v>
      </c>
      <c r="B72" s="6" t="s">
        <v>281</v>
      </c>
      <c r="C72" s="6" t="s">
        <v>282</v>
      </c>
      <c r="D72" s="6" t="s">
        <v>155</v>
      </c>
      <c r="E72" s="7">
        <v>6090</v>
      </c>
      <c r="F72" s="8">
        <v>95.332859999999997</v>
      </c>
      <c r="G72" s="9">
        <v>5.4547900000000002E-3</v>
      </c>
      <c r="H72" s="156"/>
    </row>
    <row r="73" spans="1:8" x14ac:dyDescent="0.2">
      <c r="A73" s="5">
        <v>67</v>
      </c>
      <c r="B73" s="6" t="s">
        <v>283</v>
      </c>
      <c r="C73" s="6" t="s">
        <v>284</v>
      </c>
      <c r="D73" s="6" t="s">
        <v>169</v>
      </c>
      <c r="E73" s="7">
        <v>15051</v>
      </c>
      <c r="F73" s="8">
        <v>91.577809500000001</v>
      </c>
      <c r="G73" s="9">
        <v>5.2399320000000001E-3</v>
      </c>
      <c r="H73" s="156"/>
    </row>
    <row r="74" spans="1:8" x14ac:dyDescent="0.2">
      <c r="A74" s="5">
        <v>68</v>
      </c>
      <c r="B74" s="6" t="s">
        <v>59</v>
      </c>
      <c r="C74" s="6" t="s">
        <v>60</v>
      </c>
      <c r="D74" s="6" t="s">
        <v>40</v>
      </c>
      <c r="E74" s="7">
        <v>44443</v>
      </c>
      <c r="F74" s="8">
        <v>86.21942</v>
      </c>
      <c r="G74" s="9">
        <v>4.9333340000000002E-3</v>
      </c>
      <c r="H74" s="156"/>
    </row>
    <row r="75" spans="1:8" x14ac:dyDescent="0.2">
      <c r="A75" s="5">
        <v>69</v>
      </c>
      <c r="B75" s="6" t="s">
        <v>285</v>
      </c>
      <c r="C75" s="6" t="s">
        <v>286</v>
      </c>
      <c r="D75" s="6" t="s">
        <v>196</v>
      </c>
      <c r="E75" s="7">
        <v>7870</v>
      </c>
      <c r="F75" s="8">
        <v>77.456540000000004</v>
      </c>
      <c r="G75" s="9">
        <v>4.4319370000000004E-3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0">
        <v>16770.577751000001</v>
      </c>
      <c r="G76" s="11">
        <v>0.95958502999999995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106</v>
      </c>
      <c r="D78" s="3" t="s">
        <v>9</v>
      </c>
      <c r="E78" s="3" t="s">
        <v>9</v>
      </c>
      <c r="F78" s="3" t="s">
        <v>9</v>
      </c>
      <c r="G78" s="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107</v>
      </c>
      <c r="D81" s="3" t="s">
        <v>9</v>
      </c>
      <c r="E81" s="3" t="s">
        <v>9</v>
      </c>
      <c r="F81" s="3" t="s">
        <v>9</v>
      </c>
      <c r="G81" s="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111</v>
      </c>
      <c r="D84" s="3" t="s">
        <v>9</v>
      </c>
      <c r="E84" s="3" t="s">
        <v>9</v>
      </c>
      <c r="F84" s="3" t="s">
        <v>9</v>
      </c>
      <c r="G84" s="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112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105</v>
      </c>
      <c r="D88" s="3" t="s">
        <v>9</v>
      </c>
      <c r="E88" s="3" t="s">
        <v>9</v>
      </c>
      <c r="F88" s="14">
        <v>0</v>
      </c>
      <c r="G88" s="15">
        <v>0</v>
      </c>
      <c r="H88" s="156"/>
    </row>
    <row r="89" spans="1:8" x14ac:dyDescent="0.2">
      <c r="A89" s="3" t="s">
        <v>9</v>
      </c>
      <c r="B89" s="3" t="s">
        <v>9</v>
      </c>
      <c r="C89" s="12" t="s">
        <v>9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113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114</v>
      </c>
      <c r="D93" s="3" t="s">
        <v>9</v>
      </c>
      <c r="E93" s="3" t="s">
        <v>9</v>
      </c>
      <c r="F93" s="10">
        <v>16770.577751000001</v>
      </c>
      <c r="G93" s="11">
        <v>0.95958502999999995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115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116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117</v>
      </c>
      <c r="D102" s="3" t="s">
        <v>9</v>
      </c>
      <c r="E102" s="3" t="s">
        <v>9</v>
      </c>
      <c r="F102" s="3" t="s">
        <v>9</v>
      </c>
      <c r="G102" s="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105</v>
      </c>
      <c r="D103" s="3" t="s">
        <v>9</v>
      </c>
      <c r="E103" s="3" t="s">
        <v>9</v>
      </c>
      <c r="F103" s="14">
        <v>0</v>
      </c>
      <c r="G103" s="15">
        <v>0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118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105</v>
      </c>
      <c r="D106" s="3" t="s">
        <v>9</v>
      </c>
      <c r="E106" s="3" t="s">
        <v>9</v>
      </c>
      <c r="F106" s="14">
        <v>0</v>
      </c>
      <c r="G106" s="15">
        <v>0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119</v>
      </c>
      <c r="D108" s="3" t="s">
        <v>9</v>
      </c>
      <c r="E108" s="3" t="s">
        <v>9</v>
      </c>
      <c r="F108" s="10">
        <v>0</v>
      </c>
      <c r="G108" s="11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120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121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105</v>
      </c>
      <c r="D112" s="3" t="s">
        <v>9</v>
      </c>
      <c r="E112" s="3" t="s">
        <v>9</v>
      </c>
      <c r="F112" s="14">
        <v>0</v>
      </c>
      <c r="G112" s="15">
        <v>0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122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105</v>
      </c>
      <c r="D115" s="3" t="s">
        <v>9</v>
      </c>
      <c r="E115" s="3" t="s">
        <v>9</v>
      </c>
      <c r="F115" s="14">
        <v>0</v>
      </c>
      <c r="G115" s="15">
        <v>0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123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105</v>
      </c>
      <c r="D118" s="3" t="s">
        <v>9</v>
      </c>
      <c r="E118" s="3" t="s">
        <v>9</v>
      </c>
      <c r="F118" s="14">
        <v>0</v>
      </c>
      <c r="G118" s="15">
        <v>0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124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5">
        <v>1</v>
      </c>
      <c r="B121" s="6"/>
      <c r="C121" s="6" t="s">
        <v>125</v>
      </c>
      <c r="D121" s="6"/>
      <c r="E121" s="16" t="s">
        <v>9</v>
      </c>
      <c r="F121" s="8">
        <v>408.8226209</v>
      </c>
      <c r="G121" s="9">
        <v>2.3392162000000001E-2</v>
      </c>
      <c r="H121" s="8">
        <v>3.3326163573085874</v>
      </c>
    </row>
    <row r="122" spans="1:8" x14ac:dyDescent="0.2">
      <c r="A122" s="5">
        <v>2</v>
      </c>
      <c r="B122" s="6"/>
      <c r="C122" s="6" t="s">
        <v>126</v>
      </c>
      <c r="D122" s="6"/>
      <c r="E122" s="16" t="s">
        <v>9</v>
      </c>
      <c r="F122" s="8">
        <v>292.00112969999998</v>
      </c>
      <c r="G122" s="9">
        <v>1.6707827000000001E-2</v>
      </c>
      <c r="H122" s="8">
        <v>3.2337849550915885</v>
      </c>
    </row>
    <row r="123" spans="1:8" x14ac:dyDescent="0.2">
      <c r="A123" s="3" t="s">
        <v>9</v>
      </c>
      <c r="B123" s="3" t="s">
        <v>9</v>
      </c>
      <c r="C123" s="4" t="s">
        <v>105</v>
      </c>
      <c r="D123" s="3" t="s">
        <v>9</v>
      </c>
      <c r="E123" s="3" t="s">
        <v>9</v>
      </c>
      <c r="F123" s="10">
        <v>700.82375060000004</v>
      </c>
      <c r="G123" s="11">
        <v>4.0099989000000003E-2</v>
      </c>
      <c r="H123" s="156"/>
    </row>
    <row r="124" spans="1:8" x14ac:dyDescent="0.2">
      <c r="A124" s="3" t="s">
        <v>9</v>
      </c>
      <c r="B124" s="3" t="s">
        <v>9</v>
      </c>
      <c r="C124" s="12" t="s">
        <v>9</v>
      </c>
      <c r="D124" s="3" t="s">
        <v>9</v>
      </c>
      <c r="E124" s="3" t="s">
        <v>9</v>
      </c>
      <c r="F124" s="13" t="s">
        <v>9</v>
      </c>
      <c r="G124" s="1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127</v>
      </c>
      <c r="D125" s="3" t="s">
        <v>9</v>
      </c>
      <c r="E125" s="3" t="s">
        <v>9</v>
      </c>
      <c r="F125" s="10">
        <v>700.82375060000004</v>
      </c>
      <c r="G125" s="11">
        <v>4.0099989000000003E-2</v>
      </c>
      <c r="H125" s="156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3" t="s">
        <v>9</v>
      </c>
      <c r="G126" s="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128</v>
      </c>
      <c r="D127" s="3" t="s">
        <v>9</v>
      </c>
      <c r="E127" s="3" t="s">
        <v>9</v>
      </c>
      <c r="F127" s="3" t="s">
        <v>9</v>
      </c>
      <c r="G127" s="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129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105</v>
      </c>
      <c r="D129" s="3" t="s">
        <v>9</v>
      </c>
      <c r="E129" s="3" t="s">
        <v>9</v>
      </c>
      <c r="F129" s="14">
        <v>0</v>
      </c>
      <c r="G129" s="15">
        <v>0</v>
      </c>
      <c r="H129" s="156"/>
    </row>
    <row r="130" spans="1:8" x14ac:dyDescent="0.2">
      <c r="A130" s="3" t="s">
        <v>9</v>
      </c>
      <c r="B130" s="3" t="s">
        <v>9</v>
      </c>
      <c r="C130" s="12" t="s">
        <v>9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130</v>
      </c>
      <c r="D131" s="3" t="s">
        <v>9</v>
      </c>
      <c r="E131" s="3" t="s">
        <v>9</v>
      </c>
      <c r="F131" s="3" t="s">
        <v>9</v>
      </c>
      <c r="G131" s="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131</v>
      </c>
      <c r="D132" s="3" t="s">
        <v>9</v>
      </c>
      <c r="E132" s="3" t="s">
        <v>9</v>
      </c>
      <c r="F132" s="3" t="s">
        <v>9</v>
      </c>
      <c r="G132" s="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105</v>
      </c>
      <c r="D133" s="3" t="s">
        <v>9</v>
      </c>
      <c r="E133" s="3" t="s">
        <v>9</v>
      </c>
      <c r="F133" s="14">
        <v>0</v>
      </c>
      <c r="G133" s="15">
        <v>0</v>
      </c>
      <c r="H133" s="156"/>
    </row>
    <row r="134" spans="1:8" x14ac:dyDescent="0.2">
      <c r="A134" s="3" t="s">
        <v>9</v>
      </c>
      <c r="B134" s="3" t="s">
        <v>9</v>
      </c>
      <c r="C134" s="12" t="s">
        <v>9</v>
      </c>
      <c r="D134" s="3" t="s">
        <v>9</v>
      </c>
      <c r="E134" s="3" t="s">
        <v>9</v>
      </c>
      <c r="F134" s="13" t="s">
        <v>9</v>
      </c>
      <c r="G134" s="13" t="s">
        <v>9</v>
      </c>
      <c r="H134" s="156"/>
    </row>
    <row r="135" spans="1:8" x14ac:dyDescent="0.2">
      <c r="A135" s="3" t="s">
        <v>9</v>
      </c>
      <c r="B135" s="3" t="s">
        <v>9</v>
      </c>
      <c r="C135" s="12" t="s">
        <v>9</v>
      </c>
      <c r="D135" s="3" t="s">
        <v>9</v>
      </c>
      <c r="E135" s="3" t="s">
        <v>9</v>
      </c>
      <c r="F135" s="13" t="s">
        <v>9</v>
      </c>
      <c r="G135" s="13" t="s">
        <v>9</v>
      </c>
      <c r="H135" s="156"/>
    </row>
    <row r="136" spans="1:8" x14ac:dyDescent="0.2">
      <c r="A136" s="3" t="s">
        <v>9</v>
      </c>
      <c r="B136" s="3" t="s">
        <v>9</v>
      </c>
      <c r="C136" s="4" t="s">
        <v>132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4" t="s">
        <v>105</v>
      </c>
      <c r="D137" s="3" t="s">
        <v>9</v>
      </c>
      <c r="E137" s="3" t="s">
        <v>9</v>
      </c>
      <c r="F137" s="14">
        <v>0</v>
      </c>
      <c r="G137" s="15">
        <v>0</v>
      </c>
      <c r="H137" s="156"/>
    </row>
    <row r="138" spans="1:8" x14ac:dyDescent="0.2">
      <c r="A138" s="3" t="s">
        <v>9</v>
      </c>
      <c r="B138" s="3" t="s">
        <v>9</v>
      </c>
      <c r="C138" s="12" t="s">
        <v>9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6" t="s">
        <v>9</v>
      </c>
      <c r="C139" s="6" t="s">
        <v>9</v>
      </c>
      <c r="D139" s="4" t="s">
        <v>9</v>
      </c>
      <c r="E139" s="3" t="s">
        <v>9</v>
      </c>
      <c r="F139" s="6" t="s">
        <v>9</v>
      </c>
      <c r="G139" s="16" t="s">
        <v>9</v>
      </c>
      <c r="H139" s="156"/>
    </row>
    <row r="140" spans="1:8" x14ac:dyDescent="0.2">
      <c r="A140" s="16" t="s">
        <v>9</v>
      </c>
      <c r="B140" s="6" t="s">
        <v>9</v>
      </c>
      <c r="C140" s="6" t="s">
        <v>133</v>
      </c>
      <c r="D140" s="6" t="s">
        <v>9</v>
      </c>
      <c r="E140" s="16" t="s">
        <v>9</v>
      </c>
      <c r="F140" s="8">
        <v>5.5049183099999999</v>
      </c>
      <c r="G140" s="9">
        <v>3.14982E-4</v>
      </c>
      <c r="H140" s="156"/>
    </row>
    <row r="141" spans="1:8" x14ac:dyDescent="0.2">
      <c r="A141" s="12" t="s">
        <v>9</v>
      </c>
      <c r="B141" s="12" t="s">
        <v>9</v>
      </c>
      <c r="C141" s="4" t="s">
        <v>134</v>
      </c>
      <c r="D141" s="17" t="s">
        <v>9</v>
      </c>
      <c r="E141" s="17" t="s">
        <v>9</v>
      </c>
      <c r="F141" s="10">
        <v>17476.906419909999</v>
      </c>
      <c r="G141" s="11">
        <v>1.0000000010000001</v>
      </c>
      <c r="H141" s="156"/>
    </row>
    <row r="142" spans="1:8" ht="14.1" customHeight="1" x14ac:dyDescent="0.2">
      <c r="A142" s="18" t="s">
        <v>9</v>
      </c>
      <c r="B142" s="18" t="s">
        <v>9</v>
      </c>
      <c r="C142" s="18" t="s">
        <v>9</v>
      </c>
      <c r="D142" s="19" t="s">
        <v>9</v>
      </c>
      <c r="E142" s="19" t="s">
        <v>9</v>
      </c>
      <c r="F142" s="19" t="s">
        <v>9</v>
      </c>
      <c r="G142" s="19" t="s">
        <v>9</v>
      </c>
    </row>
    <row r="143" spans="1:8" ht="14.1" customHeight="1" x14ac:dyDescent="0.2">
      <c r="A143" s="20" t="s">
        <v>9</v>
      </c>
      <c r="B143" s="200" t="s">
        <v>9</v>
      </c>
      <c r="C143" s="200"/>
      <c r="D143" s="200"/>
      <c r="E143" s="200"/>
      <c r="F143" s="200"/>
      <c r="G143" s="22" t="s">
        <v>9</v>
      </c>
    </row>
    <row r="144" spans="1:8" ht="14.1" customHeight="1" x14ac:dyDescent="0.2">
      <c r="A144" s="20" t="s">
        <v>9</v>
      </c>
      <c r="B144" s="200" t="s">
        <v>9</v>
      </c>
      <c r="C144" s="200"/>
      <c r="D144" s="200"/>
      <c r="E144" s="200"/>
      <c r="F144" s="200"/>
      <c r="G144" s="22" t="s">
        <v>9</v>
      </c>
    </row>
    <row r="145" spans="1:7" ht="14.1" customHeight="1" x14ac:dyDescent="0.2">
      <c r="A145" s="20" t="s">
        <v>9</v>
      </c>
      <c r="B145" s="20" t="s">
        <v>9</v>
      </c>
      <c r="C145" s="20" t="s">
        <v>9</v>
      </c>
      <c r="D145" s="22" t="s">
        <v>9</v>
      </c>
      <c r="E145" s="22" t="s">
        <v>9</v>
      </c>
      <c r="F145" s="22" t="s">
        <v>9</v>
      </c>
      <c r="G145" s="22" t="s">
        <v>9</v>
      </c>
    </row>
    <row r="146" spans="1:7" ht="14.1" customHeight="1" x14ac:dyDescent="0.2">
      <c r="A146" s="20" t="s">
        <v>9</v>
      </c>
      <c r="B146" s="198" t="s">
        <v>136</v>
      </c>
      <c r="C146" s="199"/>
      <c r="D146" s="13" t="s">
        <v>9</v>
      </c>
      <c r="E146" s="23" t="s">
        <v>9</v>
      </c>
      <c r="F146" s="22" t="s">
        <v>9</v>
      </c>
      <c r="G146" s="22" t="s">
        <v>9</v>
      </c>
    </row>
    <row r="147" spans="1:7" ht="29.1" customHeight="1" x14ac:dyDescent="0.2">
      <c r="A147" s="20" t="s">
        <v>9</v>
      </c>
      <c r="B147" s="205" t="s">
        <v>137</v>
      </c>
      <c r="C147" s="206"/>
      <c r="D147" s="4" t="s">
        <v>138</v>
      </c>
      <c r="E147" s="23" t="s">
        <v>9</v>
      </c>
      <c r="F147" s="22" t="s">
        <v>9</v>
      </c>
      <c r="G147" s="22" t="s">
        <v>9</v>
      </c>
    </row>
    <row r="148" spans="1:7" ht="17.100000000000001" customHeight="1" x14ac:dyDescent="0.2">
      <c r="A148" s="20" t="s">
        <v>9</v>
      </c>
      <c r="B148" s="205" t="s">
        <v>139</v>
      </c>
      <c r="C148" s="206"/>
      <c r="D148" s="4" t="s">
        <v>138</v>
      </c>
      <c r="E148" s="23" t="s">
        <v>9</v>
      </c>
      <c r="F148" s="22" t="s">
        <v>9</v>
      </c>
      <c r="G148" s="22" t="s">
        <v>9</v>
      </c>
    </row>
    <row r="149" spans="1:7" ht="17.100000000000001" customHeight="1" x14ac:dyDescent="0.2">
      <c r="A149" s="20" t="s">
        <v>9</v>
      </c>
      <c r="B149" s="205" t="s">
        <v>140</v>
      </c>
      <c r="C149" s="206"/>
      <c r="D149" s="13" t="s">
        <v>9</v>
      </c>
      <c r="E149" s="23" t="s">
        <v>9</v>
      </c>
      <c r="F149" s="22" t="s">
        <v>9</v>
      </c>
      <c r="G149" s="22" t="s">
        <v>9</v>
      </c>
    </row>
    <row r="150" spans="1:7" ht="24" customHeight="1" x14ac:dyDescent="0.2">
      <c r="A150" s="24" t="s">
        <v>9</v>
      </c>
      <c r="B150" s="25" t="s">
        <v>9</v>
      </c>
      <c r="C150" s="25" t="s">
        <v>141</v>
      </c>
      <c r="D150" s="25" t="s">
        <v>142</v>
      </c>
      <c r="E150" s="24" t="s">
        <v>9</v>
      </c>
      <c r="F150" s="24" t="s">
        <v>9</v>
      </c>
      <c r="G150" s="24" t="s">
        <v>9</v>
      </c>
    </row>
    <row r="151" spans="1:7" ht="18" customHeight="1" x14ac:dyDescent="0.2">
      <c r="A151" s="24" t="s">
        <v>9</v>
      </c>
      <c r="B151" s="25" t="s">
        <v>143</v>
      </c>
      <c r="C151" s="25" t="s">
        <v>144</v>
      </c>
      <c r="D151" s="25" t="s">
        <v>145</v>
      </c>
      <c r="E151" s="24" t="s">
        <v>9</v>
      </c>
      <c r="F151" s="24" t="s">
        <v>9</v>
      </c>
      <c r="G151" s="24" t="s">
        <v>9</v>
      </c>
    </row>
    <row r="152" spans="1:7" ht="17.100000000000001" customHeight="1" x14ac:dyDescent="0.2">
      <c r="A152" s="24" t="s">
        <v>9</v>
      </c>
      <c r="B152" s="6" t="s">
        <v>146</v>
      </c>
      <c r="C152" s="26">
        <v>12.530900000000001</v>
      </c>
      <c r="D152" s="26">
        <v>13.5465</v>
      </c>
      <c r="E152" s="24" t="s">
        <v>9</v>
      </c>
      <c r="F152" s="21" t="s">
        <v>9</v>
      </c>
      <c r="G152" s="27" t="s">
        <v>9</v>
      </c>
    </row>
    <row r="153" spans="1:7" ht="17.100000000000001" customHeight="1" x14ac:dyDescent="0.2">
      <c r="A153" s="24" t="s">
        <v>9</v>
      </c>
      <c r="B153" s="6" t="s">
        <v>839</v>
      </c>
      <c r="C153" s="26">
        <v>12.530799999999999</v>
      </c>
      <c r="D153" s="26">
        <v>13.5464</v>
      </c>
      <c r="E153" s="24" t="s">
        <v>9</v>
      </c>
      <c r="F153" s="21" t="s">
        <v>9</v>
      </c>
      <c r="G153" s="27" t="s">
        <v>9</v>
      </c>
    </row>
    <row r="154" spans="1:7" ht="17.100000000000001" customHeight="1" x14ac:dyDescent="0.2">
      <c r="A154" s="24" t="s">
        <v>9</v>
      </c>
      <c r="B154" s="6" t="s">
        <v>147</v>
      </c>
      <c r="C154" s="26">
        <v>12.123200000000001</v>
      </c>
      <c r="D154" s="26">
        <v>13.098699999999999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840</v>
      </c>
      <c r="C155" s="26">
        <v>12.1233</v>
      </c>
      <c r="D155" s="26">
        <v>13.098800000000001</v>
      </c>
      <c r="E155" s="24" t="s">
        <v>9</v>
      </c>
      <c r="F155" s="21" t="s">
        <v>9</v>
      </c>
      <c r="G155" s="27" t="s">
        <v>9</v>
      </c>
    </row>
    <row r="156" spans="1:7" ht="14.1" customHeight="1" x14ac:dyDescent="0.2">
      <c r="A156" s="24" t="s">
        <v>9</v>
      </c>
      <c r="B156" s="24" t="s">
        <v>9</v>
      </c>
      <c r="C156" s="24" t="s">
        <v>9</v>
      </c>
      <c r="D156" s="24" t="s">
        <v>9</v>
      </c>
      <c r="E156" s="24" t="s">
        <v>9</v>
      </c>
      <c r="F156" s="24" t="s">
        <v>9</v>
      </c>
      <c r="G156" s="24" t="s">
        <v>9</v>
      </c>
    </row>
    <row r="157" spans="1:7" ht="17.100000000000001" customHeight="1" x14ac:dyDescent="0.2">
      <c r="A157" s="24" t="s">
        <v>9</v>
      </c>
      <c r="B157" s="205" t="s">
        <v>1013</v>
      </c>
      <c r="C157" s="206"/>
      <c r="D157" s="4" t="s">
        <v>138</v>
      </c>
      <c r="E157" s="24" t="s">
        <v>9</v>
      </c>
      <c r="F157" s="24" t="s">
        <v>9</v>
      </c>
      <c r="G157" s="24" t="s">
        <v>9</v>
      </c>
    </row>
    <row r="158" spans="1:7" ht="18" customHeight="1" x14ac:dyDescent="0.2">
      <c r="A158" s="24" t="s">
        <v>9</v>
      </c>
      <c r="B158" s="30"/>
      <c r="C158" s="30"/>
      <c r="D158" s="28" t="s">
        <v>9</v>
      </c>
      <c r="E158" s="24" t="s">
        <v>9</v>
      </c>
      <c r="F158" s="24" t="s">
        <v>9</v>
      </c>
      <c r="G158" s="24" t="s">
        <v>9</v>
      </c>
    </row>
    <row r="159" spans="1:7" s="197" customFormat="1" x14ac:dyDescent="0.2">
      <c r="B159" s="208" t="s">
        <v>841</v>
      </c>
      <c r="C159" s="208"/>
      <c r="D159" s="208"/>
      <c r="E159" s="208"/>
      <c r="F159" s="208"/>
    </row>
    <row r="160" spans="1:7" ht="14.1" customHeight="1" x14ac:dyDescent="0.2">
      <c r="A160" s="24" t="s">
        <v>9</v>
      </c>
      <c r="B160" s="21" t="s">
        <v>9</v>
      </c>
      <c r="C160" s="21" t="s">
        <v>9</v>
      </c>
      <c r="D160" s="24" t="s">
        <v>9</v>
      </c>
      <c r="E160" s="24" t="s">
        <v>9</v>
      </c>
      <c r="F160" s="24" t="s">
        <v>9</v>
      </c>
      <c r="G160" s="24" t="s">
        <v>9</v>
      </c>
    </row>
    <row r="161" spans="1:7" ht="29.1" customHeight="1" x14ac:dyDescent="0.2">
      <c r="A161" s="24" t="s">
        <v>9</v>
      </c>
      <c r="B161" s="205" t="s">
        <v>148</v>
      </c>
      <c r="C161" s="206"/>
      <c r="D161" s="4" t="s">
        <v>138</v>
      </c>
      <c r="E161" s="24" t="s">
        <v>9</v>
      </c>
      <c r="F161" s="24" t="s">
        <v>9</v>
      </c>
      <c r="G161" s="24" t="s">
        <v>9</v>
      </c>
    </row>
    <row r="162" spans="1:7" ht="29.1" customHeight="1" x14ac:dyDescent="0.2">
      <c r="A162" s="24" t="s">
        <v>9</v>
      </c>
      <c r="B162" s="205" t="s">
        <v>149</v>
      </c>
      <c r="C162" s="206"/>
      <c r="D162" s="4" t="s">
        <v>138</v>
      </c>
      <c r="E162" s="24" t="s">
        <v>9</v>
      </c>
      <c r="F162" s="24" t="s">
        <v>9</v>
      </c>
      <c r="G162" s="24" t="s">
        <v>9</v>
      </c>
    </row>
    <row r="163" spans="1:7" ht="17.100000000000001" customHeight="1" x14ac:dyDescent="0.2">
      <c r="A163" s="24" t="s">
        <v>9</v>
      </c>
      <c r="B163" s="205" t="s">
        <v>150</v>
      </c>
      <c r="C163" s="206"/>
      <c r="D163" s="29">
        <v>0.5027567939805534</v>
      </c>
      <c r="E163" s="24" t="s">
        <v>9</v>
      </c>
      <c r="F163" s="21" t="s">
        <v>9</v>
      </c>
      <c r="G163" s="27" t="s">
        <v>9</v>
      </c>
    </row>
    <row r="164" spans="1:7" ht="17.100000000000001" customHeight="1" x14ac:dyDescent="0.2">
      <c r="A164" s="24" t="s">
        <v>9</v>
      </c>
      <c r="B164" s="205" t="s">
        <v>151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</sheetData>
  <mergeCells count="15"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  <mergeCell ref="B146:C146"/>
    <mergeCell ref="B143:F143"/>
    <mergeCell ref="B144:F14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64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2" t="s">
        <v>0</v>
      </c>
      <c r="B1" s="203"/>
      <c r="C1" s="203"/>
      <c r="D1" s="203"/>
      <c r="E1" s="203"/>
      <c r="F1" s="203"/>
      <c r="G1" s="203"/>
      <c r="H1" s="204"/>
    </row>
    <row r="2" spans="1:8" ht="15" x14ac:dyDescent="0.2">
      <c r="A2" s="202" t="s">
        <v>290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9" t="s">
        <v>1016</v>
      </c>
      <c r="B3" s="210"/>
      <c r="C3" s="210"/>
      <c r="D3" s="210"/>
      <c r="E3" s="210"/>
      <c r="F3" s="210"/>
      <c r="G3" s="210"/>
      <c r="H3" s="21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11272</v>
      </c>
      <c r="F7" s="8">
        <v>422.61545999999998</v>
      </c>
      <c r="G7" s="9">
        <v>3.6318993000000001E-2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33144</v>
      </c>
      <c r="F8" s="8">
        <v>411.63190800000001</v>
      </c>
      <c r="G8" s="9">
        <v>3.5375082000000002E-2</v>
      </c>
      <c r="H8" s="156"/>
    </row>
    <row r="9" spans="1:8" x14ac:dyDescent="0.2">
      <c r="A9" s="5">
        <v>3</v>
      </c>
      <c r="B9" s="6" t="s">
        <v>156</v>
      </c>
      <c r="C9" s="6" t="s">
        <v>157</v>
      </c>
      <c r="D9" s="6" t="s">
        <v>155</v>
      </c>
      <c r="E9" s="7">
        <v>30824</v>
      </c>
      <c r="F9" s="8">
        <v>367.82279199999999</v>
      </c>
      <c r="G9" s="9">
        <v>3.1610186999999998E-2</v>
      </c>
      <c r="H9" s="156"/>
    </row>
    <row r="10" spans="1:8" x14ac:dyDescent="0.2">
      <c r="A10" s="5">
        <v>4</v>
      </c>
      <c r="B10" s="6" t="s">
        <v>162</v>
      </c>
      <c r="C10" s="6" t="s">
        <v>163</v>
      </c>
      <c r="D10" s="6" t="s">
        <v>169</v>
      </c>
      <c r="E10" s="7">
        <v>34328</v>
      </c>
      <c r="F10" s="8">
        <v>344.68744800000002</v>
      </c>
      <c r="G10" s="9">
        <v>2.9621966999999999E-2</v>
      </c>
      <c r="H10" s="156"/>
    </row>
    <row r="11" spans="1:8" x14ac:dyDescent="0.2">
      <c r="A11" s="5">
        <v>5</v>
      </c>
      <c r="B11" s="6" t="s">
        <v>177</v>
      </c>
      <c r="C11" s="6" t="s">
        <v>178</v>
      </c>
      <c r="D11" s="6" t="s">
        <v>54</v>
      </c>
      <c r="E11" s="7">
        <v>110842</v>
      </c>
      <c r="F11" s="8">
        <v>310.80096800000001</v>
      </c>
      <c r="G11" s="9">
        <v>2.6709809000000001E-2</v>
      </c>
      <c r="H11" s="156"/>
    </row>
    <row r="12" spans="1:8" x14ac:dyDescent="0.2">
      <c r="A12" s="5">
        <v>6</v>
      </c>
      <c r="B12" s="6" t="s">
        <v>158</v>
      </c>
      <c r="C12" s="6" t="s">
        <v>159</v>
      </c>
      <c r="D12" s="6" t="s">
        <v>28</v>
      </c>
      <c r="E12" s="7">
        <v>38777</v>
      </c>
      <c r="F12" s="8">
        <v>268.89910650000002</v>
      </c>
      <c r="G12" s="9">
        <v>2.3108821000000002E-2</v>
      </c>
      <c r="H12" s="156"/>
    </row>
    <row r="13" spans="1:8" x14ac:dyDescent="0.2">
      <c r="A13" s="5">
        <v>7</v>
      </c>
      <c r="B13" s="6" t="s">
        <v>160</v>
      </c>
      <c r="C13" s="6" t="s">
        <v>161</v>
      </c>
      <c r="D13" s="6" t="s">
        <v>28</v>
      </c>
      <c r="E13" s="7">
        <v>39478</v>
      </c>
      <c r="F13" s="8">
        <v>266.47649999999999</v>
      </c>
      <c r="G13" s="9">
        <v>2.2900625000000001E-2</v>
      </c>
      <c r="H13" s="156"/>
    </row>
    <row r="14" spans="1:8" x14ac:dyDescent="0.2">
      <c r="A14" s="5">
        <v>8</v>
      </c>
      <c r="B14" s="6" t="s">
        <v>164</v>
      </c>
      <c r="C14" s="6" t="s">
        <v>165</v>
      </c>
      <c r="D14" s="6" t="s">
        <v>166</v>
      </c>
      <c r="E14" s="7">
        <v>272803</v>
      </c>
      <c r="F14" s="8">
        <v>256.43482</v>
      </c>
      <c r="G14" s="9">
        <v>2.2037656999999999E-2</v>
      </c>
      <c r="H14" s="156"/>
    </row>
    <row r="15" spans="1:8" x14ac:dyDescent="0.2">
      <c r="A15" s="5">
        <v>9</v>
      </c>
      <c r="B15" s="6" t="s">
        <v>31</v>
      </c>
      <c r="C15" s="6" t="s">
        <v>32</v>
      </c>
      <c r="D15" s="6" t="s">
        <v>972</v>
      </c>
      <c r="E15" s="7">
        <v>8500</v>
      </c>
      <c r="F15" s="8">
        <v>242.3775</v>
      </c>
      <c r="G15" s="9">
        <v>2.0829589999999999E-2</v>
      </c>
      <c r="H15" s="156"/>
    </row>
    <row r="16" spans="1:8" x14ac:dyDescent="0.2">
      <c r="A16" s="5">
        <v>10</v>
      </c>
      <c r="B16" s="6" t="s">
        <v>167</v>
      </c>
      <c r="C16" s="6" t="s">
        <v>168</v>
      </c>
      <c r="D16" s="6" t="s">
        <v>169</v>
      </c>
      <c r="E16" s="7">
        <v>90551</v>
      </c>
      <c r="F16" s="8">
        <v>235.16094699999999</v>
      </c>
      <c r="G16" s="9">
        <v>2.0209409000000001E-2</v>
      </c>
      <c r="H16" s="156"/>
    </row>
    <row r="17" spans="1:8" x14ac:dyDescent="0.2">
      <c r="A17" s="5">
        <v>11</v>
      </c>
      <c r="B17" s="6" t="s">
        <v>170</v>
      </c>
      <c r="C17" s="6" t="s">
        <v>171</v>
      </c>
      <c r="D17" s="6" t="s">
        <v>172</v>
      </c>
      <c r="E17" s="7">
        <v>17340</v>
      </c>
      <c r="F17" s="8">
        <v>227.62217999999999</v>
      </c>
      <c r="G17" s="9">
        <v>1.9561538E-2</v>
      </c>
      <c r="H17" s="156"/>
    </row>
    <row r="18" spans="1:8" x14ac:dyDescent="0.2">
      <c r="A18" s="5">
        <v>12</v>
      </c>
      <c r="B18" s="6" t="s">
        <v>55</v>
      </c>
      <c r="C18" s="6" t="s">
        <v>56</v>
      </c>
      <c r="D18" s="6" t="s">
        <v>35</v>
      </c>
      <c r="E18" s="7">
        <v>29570</v>
      </c>
      <c r="F18" s="8">
        <v>226.94974999999999</v>
      </c>
      <c r="G18" s="9">
        <v>1.950375E-2</v>
      </c>
      <c r="H18" s="156"/>
    </row>
    <row r="19" spans="1:8" x14ac:dyDescent="0.2">
      <c r="A19" s="5">
        <v>13</v>
      </c>
      <c r="B19" s="6" t="s">
        <v>173</v>
      </c>
      <c r="C19" s="6" t="s">
        <v>174</v>
      </c>
      <c r="D19" s="6" t="s">
        <v>63</v>
      </c>
      <c r="E19" s="7">
        <v>54740</v>
      </c>
      <c r="F19" s="8">
        <v>221.45067</v>
      </c>
      <c r="G19" s="9">
        <v>1.9031167000000002E-2</v>
      </c>
      <c r="H19" s="156"/>
    </row>
    <row r="20" spans="1:8" x14ac:dyDescent="0.2">
      <c r="A20" s="5">
        <v>14</v>
      </c>
      <c r="B20" s="6" t="s">
        <v>183</v>
      </c>
      <c r="C20" s="6" t="s">
        <v>184</v>
      </c>
      <c r="D20" s="6" t="s">
        <v>43</v>
      </c>
      <c r="E20" s="7">
        <v>51485</v>
      </c>
      <c r="F20" s="8">
        <v>219.22313</v>
      </c>
      <c r="G20" s="9">
        <v>1.8839735E-2</v>
      </c>
      <c r="H20" s="156"/>
    </row>
    <row r="21" spans="1:8" x14ac:dyDescent="0.2">
      <c r="A21" s="5">
        <v>15</v>
      </c>
      <c r="B21" s="6" t="s">
        <v>175</v>
      </c>
      <c r="C21" s="6" t="s">
        <v>176</v>
      </c>
      <c r="D21" s="6" t="s">
        <v>974</v>
      </c>
      <c r="E21" s="7">
        <v>24353</v>
      </c>
      <c r="F21" s="8">
        <v>208.97309300000001</v>
      </c>
      <c r="G21" s="9">
        <v>1.7958861E-2</v>
      </c>
      <c r="H21" s="156"/>
    </row>
    <row r="22" spans="1:8" x14ac:dyDescent="0.2">
      <c r="A22" s="5">
        <v>16</v>
      </c>
      <c r="B22" s="6" t="s">
        <v>179</v>
      </c>
      <c r="C22" s="6" t="s">
        <v>180</v>
      </c>
      <c r="D22" s="6" t="s">
        <v>169</v>
      </c>
      <c r="E22" s="7">
        <v>6844</v>
      </c>
      <c r="F22" s="8">
        <v>201.134894</v>
      </c>
      <c r="G22" s="9">
        <v>1.7285256999999998E-2</v>
      </c>
      <c r="H22" s="156"/>
    </row>
    <row r="23" spans="1:8" x14ac:dyDescent="0.2">
      <c r="A23" s="5">
        <v>17</v>
      </c>
      <c r="B23" s="6" t="s">
        <v>181</v>
      </c>
      <c r="C23" s="6" t="s">
        <v>182</v>
      </c>
      <c r="D23" s="6" t="s">
        <v>972</v>
      </c>
      <c r="E23" s="7">
        <v>78693</v>
      </c>
      <c r="F23" s="8">
        <v>198.81786450000001</v>
      </c>
      <c r="G23" s="9">
        <v>1.7086134999999999E-2</v>
      </c>
      <c r="H23" s="156"/>
    </row>
    <row r="24" spans="1:8" x14ac:dyDescent="0.2">
      <c r="A24" s="5">
        <v>18</v>
      </c>
      <c r="B24" s="6" t="s">
        <v>185</v>
      </c>
      <c r="C24" s="6" t="s">
        <v>186</v>
      </c>
      <c r="D24" s="6" t="s">
        <v>172</v>
      </c>
      <c r="E24" s="7">
        <v>86836</v>
      </c>
      <c r="F24" s="8">
        <v>194.51264</v>
      </c>
      <c r="G24" s="9">
        <v>1.6716149999999999E-2</v>
      </c>
      <c r="H24" s="156"/>
    </row>
    <row r="25" spans="1:8" x14ac:dyDescent="0.2">
      <c r="A25" s="5">
        <v>19</v>
      </c>
      <c r="B25" s="6" t="s">
        <v>187</v>
      </c>
      <c r="C25" s="6" t="s">
        <v>188</v>
      </c>
      <c r="D25" s="6" t="s">
        <v>973</v>
      </c>
      <c r="E25" s="7">
        <v>58726</v>
      </c>
      <c r="F25" s="8">
        <v>181.287162</v>
      </c>
      <c r="G25" s="9">
        <v>1.5579569999999999E-2</v>
      </c>
      <c r="H25" s="156"/>
    </row>
    <row r="26" spans="1:8" x14ac:dyDescent="0.2">
      <c r="A26" s="5">
        <v>20</v>
      </c>
      <c r="B26" s="6" t="s">
        <v>192</v>
      </c>
      <c r="C26" s="6" t="s">
        <v>193</v>
      </c>
      <c r="D26" s="6" t="s">
        <v>196</v>
      </c>
      <c r="E26" s="7">
        <v>25404</v>
      </c>
      <c r="F26" s="8">
        <v>174.94464600000001</v>
      </c>
      <c r="G26" s="9">
        <v>1.5034502999999999E-2</v>
      </c>
      <c r="H26" s="156"/>
    </row>
    <row r="27" spans="1:8" x14ac:dyDescent="0.2">
      <c r="A27" s="5">
        <v>21</v>
      </c>
      <c r="B27" s="6" t="s">
        <v>194</v>
      </c>
      <c r="C27" s="6" t="s">
        <v>195</v>
      </c>
      <c r="D27" s="6" t="s">
        <v>196</v>
      </c>
      <c r="E27" s="7">
        <v>41878</v>
      </c>
      <c r="F27" s="8">
        <v>172.83050600000001</v>
      </c>
      <c r="G27" s="9">
        <v>1.4852817000000001E-2</v>
      </c>
      <c r="H27" s="156"/>
    </row>
    <row r="28" spans="1:8" x14ac:dyDescent="0.2">
      <c r="A28" s="5">
        <v>22</v>
      </c>
      <c r="B28" s="6" t="s">
        <v>189</v>
      </c>
      <c r="C28" s="6" t="s">
        <v>190</v>
      </c>
      <c r="D28" s="6" t="s">
        <v>191</v>
      </c>
      <c r="E28" s="7">
        <v>14694</v>
      </c>
      <c r="F28" s="8">
        <v>171.71408400000001</v>
      </c>
      <c r="G28" s="9">
        <v>1.4756873E-2</v>
      </c>
      <c r="H28" s="156"/>
    </row>
    <row r="29" spans="1:8" x14ac:dyDescent="0.2">
      <c r="A29" s="5">
        <v>23</v>
      </c>
      <c r="B29" s="6" t="s">
        <v>197</v>
      </c>
      <c r="C29" s="6" t="s">
        <v>198</v>
      </c>
      <c r="D29" s="6" t="s">
        <v>169</v>
      </c>
      <c r="E29" s="7">
        <v>3989</v>
      </c>
      <c r="F29" s="8">
        <v>171.66063149999999</v>
      </c>
      <c r="G29" s="9">
        <v>1.4752279E-2</v>
      </c>
      <c r="H29" s="156"/>
    </row>
    <row r="30" spans="1:8" x14ac:dyDescent="0.2">
      <c r="A30" s="5">
        <v>24</v>
      </c>
      <c r="B30" s="6" t="s">
        <v>201</v>
      </c>
      <c r="C30" s="6" t="s">
        <v>202</v>
      </c>
      <c r="D30" s="6" t="s">
        <v>40</v>
      </c>
      <c r="E30" s="7">
        <v>155009</v>
      </c>
      <c r="F30" s="8">
        <v>171.5174585</v>
      </c>
      <c r="G30" s="9">
        <v>1.4739975000000001E-2</v>
      </c>
      <c r="H30" s="156"/>
    </row>
    <row r="31" spans="1:8" x14ac:dyDescent="0.2">
      <c r="A31" s="5">
        <v>25</v>
      </c>
      <c r="B31" s="6" t="s">
        <v>48</v>
      </c>
      <c r="C31" s="6" t="s">
        <v>49</v>
      </c>
      <c r="D31" s="6" t="s">
        <v>28</v>
      </c>
      <c r="E31" s="7">
        <v>16846</v>
      </c>
      <c r="F31" s="8">
        <v>170.43940499999999</v>
      </c>
      <c r="G31" s="9">
        <v>1.4647329000000001E-2</v>
      </c>
      <c r="H31" s="156"/>
    </row>
    <row r="32" spans="1:8" x14ac:dyDescent="0.2">
      <c r="A32" s="5">
        <v>26</v>
      </c>
      <c r="B32" s="6" t="s">
        <v>199</v>
      </c>
      <c r="C32" s="6" t="s">
        <v>200</v>
      </c>
      <c r="D32" s="6" t="s">
        <v>63</v>
      </c>
      <c r="E32" s="7">
        <v>48497</v>
      </c>
      <c r="F32" s="8">
        <v>167.55713499999999</v>
      </c>
      <c r="G32" s="9">
        <v>1.4399631E-2</v>
      </c>
      <c r="H32" s="156"/>
    </row>
    <row r="33" spans="1:8" x14ac:dyDescent="0.2">
      <c r="A33" s="5">
        <v>27</v>
      </c>
      <c r="B33" s="6" t="s">
        <v>208</v>
      </c>
      <c r="C33" s="6" t="s">
        <v>209</v>
      </c>
      <c r="D33" s="6" t="s">
        <v>976</v>
      </c>
      <c r="E33" s="7">
        <v>20000</v>
      </c>
      <c r="F33" s="8">
        <v>163.59</v>
      </c>
      <c r="G33" s="9">
        <v>1.40587E-2</v>
      </c>
      <c r="H33" s="156"/>
    </row>
    <row r="34" spans="1:8" x14ac:dyDescent="0.2">
      <c r="A34" s="5">
        <v>28</v>
      </c>
      <c r="B34" s="6" t="s">
        <v>288</v>
      </c>
      <c r="C34" s="6" t="s">
        <v>289</v>
      </c>
      <c r="D34" s="6" t="s">
        <v>28</v>
      </c>
      <c r="E34" s="7">
        <v>14769</v>
      </c>
      <c r="F34" s="8">
        <v>163.41160049999999</v>
      </c>
      <c r="G34" s="9">
        <v>1.4043369E-2</v>
      </c>
      <c r="H34" s="156"/>
    </row>
    <row r="35" spans="1:8" x14ac:dyDescent="0.2">
      <c r="A35" s="5">
        <v>29</v>
      </c>
      <c r="B35" s="6" t="s">
        <v>206</v>
      </c>
      <c r="C35" s="6" t="s">
        <v>207</v>
      </c>
      <c r="D35" s="6" t="s">
        <v>73</v>
      </c>
      <c r="E35" s="7">
        <v>37245</v>
      </c>
      <c r="F35" s="8">
        <v>160.73079749999999</v>
      </c>
      <c r="G35" s="9">
        <v>1.3812984E-2</v>
      </c>
      <c r="H35" s="156"/>
    </row>
    <row r="36" spans="1:8" x14ac:dyDescent="0.2">
      <c r="A36" s="5">
        <v>30</v>
      </c>
      <c r="B36" s="6" t="s">
        <v>210</v>
      </c>
      <c r="C36" s="6" t="s">
        <v>211</v>
      </c>
      <c r="D36" s="6" t="s">
        <v>169</v>
      </c>
      <c r="E36" s="7">
        <v>18324</v>
      </c>
      <c r="F36" s="8">
        <v>157.513104</v>
      </c>
      <c r="G36" s="9">
        <v>1.353646E-2</v>
      </c>
      <c r="H36" s="156"/>
    </row>
    <row r="37" spans="1:8" x14ac:dyDescent="0.2">
      <c r="A37" s="5">
        <v>31</v>
      </c>
      <c r="B37" s="6" t="s">
        <v>44</v>
      </c>
      <c r="C37" s="6" t="s">
        <v>45</v>
      </c>
      <c r="D37" s="6" t="s">
        <v>978</v>
      </c>
      <c r="E37" s="7">
        <v>92000</v>
      </c>
      <c r="F37" s="8">
        <v>154.19200000000001</v>
      </c>
      <c r="G37" s="9">
        <v>1.3251049000000001E-2</v>
      </c>
      <c r="H37" s="156"/>
    </row>
    <row r="38" spans="1:8" x14ac:dyDescent="0.2">
      <c r="A38" s="5">
        <v>32</v>
      </c>
      <c r="B38" s="6" t="s">
        <v>212</v>
      </c>
      <c r="C38" s="6" t="s">
        <v>213</v>
      </c>
      <c r="D38" s="6" t="s">
        <v>28</v>
      </c>
      <c r="E38" s="7">
        <v>10412</v>
      </c>
      <c r="F38" s="8">
        <v>152.988722</v>
      </c>
      <c r="G38" s="9">
        <v>1.3147641E-2</v>
      </c>
      <c r="H38" s="156"/>
    </row>
    <row r="39" spans="1:8" x14ac:dyDescent="0.2">
      <c r="A39" s="5">
        <v>33</v>
      </c>
      <c r="B39" s="6" t="s">
        <v>230</v>
      </c>
      <c r="C39" s="6" t="s">
        <v>231</v>
      </c>
      <c r="D39" s="6" t="s">
        <v>978</v>
      </c>
      <c r="E39" s="7">
        <v>13303</v>
      </c>
      <c r="F39" s="8">
        <v>149.95141599999999</v>
      </c>
      <c r="G39" s="9">
        <v>1.2886619E-2</v>
      </c>
      <c r="H39" s="156"/>
    </row>
    <row r="40" spans="1:8" x14ac:dyDescent="0.2">
      <c r="A40" s="5">
        <v>34</v>
      </c>
      <c r="B40" s="6" t="s">
        <v>79</v>
      </c>
      <c r="C40" s="6" t="s">
        <v>80</v>
      </c>
      <c r="D40" s="6" t="s">
        <v>63</v>
      </c>
      <c r="E40" s="7">
        <v>63099</v>
      </c>
      <c r="F40" s="8">
        <v>147.24151649999999</v>
      </c>
      <c r="G40" s="9">
        <v>1.2653734E-2</v>
      </c>
      <c r="H40" s="156"/>
    </row>
    <row r="41" spans="1:8" x14ac:dyDescent="0.2">
      <c r="A41" s="5">
        <v>35</v>
      </c>
      <c r="B41" s="6" t="s">
        <v>222</v>
      </c>
      <c r="C41" s="6" t="s">
        <v>223</v>
      </c>
      <c r="D41" s="6" t="s">
        <v>972</v>
      </c>
      <c r="E41" s="7">
        <v>75946</v>
      </c>
      <c r="F41" s="8">
        <v>145.778347</v>
      </c>
      <c r="G41" s="9">
        <v>1.2527991E-2</v>
      </c>
      <c r="H41" s="156"/>
    </row>
    <row r="42" spans="1:8" ht="25.5" x14ac:dyDescent="0.2">
      <c r="A42" s="5">
        <v>36</v>
      </c>
      <c r="B42" s="6" t="s">
        <v>214</v>
      </c>
      <c r="C42" s="6" t="s">
        <v>215</v>
      </c>
      <c r="D42" s="6" t="s">
        <v>63</v>
      </c>
      <c r="E42" s="7">
        <v>6492</v>
      </c>
      <c r="F42" s="8">
        <v>144.71966399999999</v>
      </c>
      <c r="G42" s="9">
        <v>1.243701E-2</v>
      </c>
      <c r="H42" s="156"/>
    </row>
    <row r="43" spans="1:8" x14ac:dyDescent="0.2">
      <c r="A43" s="5">
        <v>37</v>
      </c>
      <c r="B43" s="6" t="s">
        <v>218</v>
      </c>
      <c r="C43" s="6" t="s">
        <v>219</v>
      </c>
      <c r="D43" s="6" t="s">
        <v>63</v>
      </c>
      <c r="E43" s="7">
        <v>19380</v>
      </c>
      <c r="F43" s="8">
        <v>142.41392999999999</v>
      </c>
      <c r="G43" s="9">
        <v>1.2238858E-2</v>
      </c>
      <c r="H43" s="156"/>
    </row>
    <row r="44" spans="1:8" x14ac:dyDescent="0.2">
      <c r="A44" s="5">
        <v>38</v>
      </c>
      <c r="B44" s="6" t="s">
        <v>224</v>
      </c>
      <c r="C44" s="6" t="s">
        <v>225</v>
      </c>
      <c r="D44" s="6" t="s">
        <v>40</v>
      </c>
      <c r="E44" s="7">
        <v>16637</v>
      </c>
      <c r="F44" s="8">
        <v>135.61650549999999</v>
      </c>
      <c r="G44" s="9">
        <v>1.1654697E-2</v>
      </c>
      <c r="H44" s="156"/>
    </row>
    <row r="45" spans="1:8" x14ac:dyDescent="0.2">
      <c r="A45" s="5">
        <v>39</v>
      </c>
      <c r="B45" s="6" t="s">
        <v>220</v>
      </c>
      <c r="C45" s="6" t="s">
        <v>221</v>
      </c>
      <c r="D45" s="6" t="s">
        <v>191</v>
      </c>
      <c r="E45" s="7">
        <v>31377</v>
      </c>
      <c r="F45" s="8">
        <v>135.42313200000001</v>
      </c>
      <c r="G45" s="9">
        <v>1.1638078E-2</v>
      </c>
      <c r="H45" s="156"/>
    </row>
    <row r="46" spans="1:8" x14ac:dyDescent="0.2">
      <c r="A46" s="5">
        <v>40</v>
      </c>
      <c r="B46" s="6" t="s">
        <v>216</v>
      </c>
      <c r="C46" s="6" t="s">
        <v>217</v>
      </c>
      <c r="D46" s="6" t="s">
        <v>54</v>
      </c>
      <c r="E46" s="7">
        <v>11962</v>
      </c>
      <c r="F46" s="8">
        <v>132.92772500000001</v>
      </c>
      <c r="G46" s="9">
        <v>1.1423627E-2</v>
      </c>
      <c r="H46" s="156"/>
    </row>
    <row r="47" spans="1:8" x14ac:dyDescent="0.2">
      <c r="A47" s="5">
        <v>41</v>
      </c>
      <c r="B47" s="6" t="s">
        <v>226</v>
      </c>
      <c r="C47" s="6" t="s">
        <v>227</v>
      </c>
      <c r="D47" s="6" t="s">
        <v>166</v>
      </c>
      <c r="E47" s="7">
        <v>24261</v>
      </c>
      <c r="F47" s="8">
        <v>131.31266249999999</v>
      </c>
      <c r="G47" s="9">
        <v>1.1284829999999999E-2</v>
      </c>
      <c r="H47" s="156"/>
    </row>
    <row r="48" spans="1:8" x14ac:dyDescent="0.2">
      <c r="A48" s="5">
        <v>42</v>
      </c>
      <c r="B48" s="6" t="s">
        <v>38</v>
      </c>
      <c r="C48" s="6" t="s">
        <v>39</v>
      </c>
      <c r="D48" s="6" t="s">
        <v>40</v>
      </c>
      <c r="E48" s="7">
        <v>46942</v>
      </c>
      <c r="F48" s="8">
        <v>131.296774</v>
      </c>
      <c r="G48" s="9">
        <v>1.1283464999999999E-2</v>
      </c>
      <c r="H48" s="156"/>
    </row>
    <row r="49" spans="1:8" x14ac:dyDescent="0.2">
      <c r="A49" s="5">
        <v>43</v>
      </c>
      <c r="B49" s="6" t="s">
        <v>228</v>
      </c>
      <c r="C49" s="6" t="s">
        <v>229</v>
      </c>
      <c r="D49" s="6" t="s">
        <v>35</v>
      </c>
      <c r="E49" s="7">
        <v>164348</v>
      </c>
      <c r="F49" s="8">
        <v>129.999268</v>
      </c>
      <c r="G49" s="9">
        <v>1.1171959E-2</v>
      </c>
      <c r="H49" s="156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166</v>
      </c>
      <c r="E50" s="7">
        <v>233311</v>
      </c>
      <c r="F50" s="8">
        <v>125.75462899999999</v>
      </c>
      <c r="G50" s="9">
        <v>1.080718E-2</v>
      </c>
      <c r="H50" s="156"/>
    </row>
    <row r="51" spans="1:8" x14ac:dyDescent="0.2">
      <c r="A51" s="5">
        <v>45</v>
      </c>
      <c r="B51" s="6" t="s">
        <v>234</v>
      </c>
      <c r="C51" s="6" t="s">
        <v>235</v>
      </c>
      <c r="D51" s="6" t="s">
        <v>73</v>
      </c>
      <c r="E51" s="7">
        <v>29335</v>
      </c>
      <c r="F51" s="8">
        <v>125.0991075</v>
      </c>
      <c r="G51" s="9">
        <v>1.0750846E-2</v>
      </c>
      <c r="H51" s="156"/>
    </row>
    <row r="52" spans="1:8" x14ac:dyDescent="0.2">
      <c r="A52" s="5">
        <v>46</v>
      </c>
      <c r="B52" s="6" t="s">
        <v>237</v>
      </c>
      <c r="C52" s="6" t="s">
        <v>238</v>
      </c>
      <c r="D52" s="6" t="s">
        <v>239</v>
      </c>
      <c r="E52" s="7">
        <v>67193</v>
      </c>
      <c r="F52" s="8">
        <v>125.046173</v>
      </c>
      <c r="G52" s="9">
        <v>1.0746297E-2</v>
      </c>
      <c r="H52" s="156"/>
    </row>
    <row r="53" spans="1:8" x14ac:dyDescent="0.2">
      <c r="A53" s="5">
        <v>47</v>
      </c>
      <c r="B53" s="6" t="s">
        <v>240</v>
      </c>
      <c r="C53" s="6" t="s">
        <v>241</v>
      </c>
      <c r="D53" s="6" t="s">
        <v>191</v>
      </c>
      <c r="E53" s="7">
        <v>32351</v>
      </c>
      <c r="F53" s="8">
        <v>119.860455</v>
      </c>
      <c r="G53" s="9">
        <v>1.0300643E-2</v>
      </c>
      <c r="H53" s="156"/>
    </row>
    <row r="54" spans="1:8" x14ac:dyDescent="0.2">
      <c r="A54" s="5">
        <v>48</v>
      </c>
      <c r="B54" s="6" t="s">
        <v>242</v>
      </c>
      <c r="C54" s="6" t="s">
        <v>243</v>
      </c>
      <c r="D54" s="6" t="s">
        <v>196</v>
      </c>
      <c r="E54" s="7">
        <v>7157</v>
      </c>
      <c r="F54" s="8">
        <v>119.178364</v>
      </c>
      <c r="G54" s="9">
        <v>1.0242025E-2</v>
      </c>
      <c r="H54" s="156"/>
    </row>
    <row r="55" spans="1:8" x14ac:dyDescent="0.2">
      <c r="A55" s="5">
        <v>49</v>
      </c>
      <c r="B55" s="6" t="s">
        <v>244</v>
      </c>
      <c r="C55" s="6" t="s">
        <v>245</v>
      </c>
      <c r="D55" s="6" t="s">
        <v>246</v>
      </c>
      <c r="E55" s="7">
        <v>26600</v>
      </c>
      <c r="F55" s="8">
        <v>114.38</v>
      </c>
      <c r="G55" s="9">
        <v>9.8296600000000005E-3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21714</v>
      </c>
      <c r="F56" s="8">
        <v>113.68364699999999</v>
      </c>
      <c r="G56" s="9">
        <v>9.7698170000000001E-3</v>
      </c>
      <c r="H56" s="156"/>
    </row>
    <row r="57" spans="1:8" ht="25.5" x14ac:dyDescent="0.2">
      <c r="A57" s="5">
        <v>51</v>
      </c>
      <c r="B57" s="6" t="s">
        <v>251</v>
      </c>
      <c r="C57" s="6" t="s">
        <v>252</v>
      </c>
      <c r="D57" s="6" t="s">
        <v>155</v>
      </c>
      <c r="E57" s="7">
        <v>29589</v>
      </c>
      <c r="F57" s="8">
        <v>111.609708</v>
      </c>
      <c r="G57" s="9">
        <v>9.5915849999999997E-3</v>
      </c>
      <c r="H57" s="156"/>
    </row>
    <row r="58" spans="1:8" x14ac:dyDescent="0.2">
      <c r="A58" s="5">
        <v>52</v>
      </c>
      <c r="B58" s="6" t="s">
        <v>249</v>
      </c>
      <c r="C58" s="6" t="s">
        <v>250</v>
      </c>
      <c r="D58" s="6" t="s">
        <v>73</v>
      </c>
      <c r="E58" s="7">
        <v>30826</v>
      </c>
      <c r="F58" s="8">
        <v>111.482229</v>
      </c>
      <c r="G58" s="9">
        <v>9.5806299999999997E-3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28064</v>
      </c>
      <c r="F59" s="8">
        <v>110.57216</v>
      </c>
      <c r="G59" s="9">
        <v>9.5024199999999993E-3</v>
      </c>
      <c r="H59" s="156"/>
    </row>
    <row r="60" spans="1:8" x14ac:dyDescent="0.2">
      <c r="A60" s="5">
        <v>54</v>
      </c>
      <c r="B60" s="6" t="s">
        <v>257</v>
      </c>
      <c r="C60" s="6" t="s">
        <v>258</v>
      </c>
      <c r="D60" s="6" t="s">
        <v>977</v>
      </c>
      <c r="E60" s="7">
        <v>118261</v>
      </c>
      <c r="F60" s="8">
        <v>108.62272849999999</v>
      </c>
      <c r="G60" s="9">
        <v>9.3348879999999995E-3</v>
      </c>
      <c r="H60" s="156"/>
    </row>
    <row r="61" spans="1:8" x14ac:dyDescent="0.2">
      <c r="A61" s="5">
        <v>55</v>
      </c>
      <c r="B61" s="6" t="s">
        <v>259</v>
      </c>
      <c r="C61" s="6" t="s">
        <v>260</v>
      </c>
      <c r="D61" s="6" t="s">
        <v>261</v>
      </c>
      <c r="E61" s="7">
        <v>13683</v>
      </c>
      <c r="F61" s="8">
        <v>108.4856655</v>
      </c>
      <c r="G61" s="9">
        <v>9.3231089999999996E-3</v>
      </c>
      <c r="H61" s="156"/>
    </row>
    <row r="62" spans="1:8" x14ac:dyDescent="0.2">
      <c r="A62" s="5">
        <v>56</v>
      </c>
      <c r="B62" s="6" t="s">
        <v>262</v>
      </c>
      <c r="C62" s="6" t="s">
        <v>263</v>
      </c>
      <c r="D62" s="6" t="s">
        <v>975</v>
      </c>
      <c r="E62" s="7">
        <v>43258</v>
      </c>
      <c r="F62" s="8">
        <v>108.166629</v>
      </c>
      <c r="G62" s="9">
        <v>9.2956919999999995E-3</v>
      </c>
      <c r="H62" s="156"/>
    </row>
    <row r="63" spans="1:8" x14ac:dyDescent="0.2">
      <c r="A63" s="5">
        <v>57</v>
      </c>
      <c r="B63" s="6" t="s">
        <v>61</v>
      </c>
      <c r="C63" s="6" t="s">
        <v>62</v>
      </c>
      <c r="D63" s="6" t="s">
        <v>63</v>
      </c>
      <c r="E63" s="7">
        <v>3600</v>
      </c>
      <c r="F63" s="8">
        <v>105.3432</v>
      </c>
      <c r="G63" s="9">
        <v>9.05305E-3</v>
      </c>
      <c r="H63" s="156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975</v>
      </c>
      <c r="E64" s="7">
        <v>20824</v>
      </c>
      <c r="F64" s="8">
        <v>104.036704</v>
      </c>
      <c r="G64" s="9">
        <v>8.9407719999999996E-3</v>
      </c>
      <c r="H64" s="156"/>
    </row>
    <row r="65" spans="1:8" x14ac:dyDescent="0.2">
      <c r="A65" s="5">
        <v>59</v>
      </c>
      <c r="B65" s="6" t="s">
        <v>266</v>
      </c>
      <c r="C65" s="6" t="s">
        <v>267</v>
      </c>
      <c r="D65" s="6" t="s">
        <v>191</v>
      </c>
      <c r="E65" s="7">
        <v>14660</v>
      </c>
      <c r="F65" s="8">
        <v>94.102540000000005</v>
      </c>
      <c r="G65" s="9">
        <v>8.0870430000000004E-3</v>
      </c>
      <c r="H65" s="156"/>
    </row>
    <row r="66" spans="1:8" x14ac:dyDescent="0.2">
      <c r="A66" s="5">
        <v>60</v>
      </c>
      <c r="B66" s="6" t="s">
        <v>268</v>
      </c>
      <c r="C66" s="6" t="s">
        <v>269</v>
      </c>
      <c r="D66" s="6" t="s">
        <v>43</v>
      </c>
      <c r="E66" s="7">
        <v>90749</v>
      </c>
      <c r="F66" s="8">
        <v>93.925214999999994</v>
      </c>
      <c r="G66" s="9">
        <v>8.0718040000000001E-3</v>
      </c>
      <c r="H66" s="156"/>
    </row>
    <row r="67" spans="1:8" x14ac:dyDescent="0.2">
      <c r="A67" s="5">
        <v>61</v>
      </c>
      <c r="B67" s="6" t="s">
        <v>270</v>
      </c>
      <c r="C67" s="6" t="s">
        <v>271</v>
      </c>
      <c r="D67" s="6" t="s">
        <v>22</v>
      </c>
      <c r="E67" s="7">
        <v>86786</v>
      </c>
      <c r="F67" s="8">
        <v>89.823509999999999</v>
      </c>
      <c r="G67" s="9">
        <v>7.7193089999999997E-3</v>
      </c>
      <c r="H67" s="156"/>
    </row>
    <row r="68" spans="1:8" x14ac:dyDescent="0.2">
      <c r="A68" s="5">
        <v>62</v>
      </c>
      <c r="B68" s="6" t="s">
        <v>272</v>
      </c>
      <c r="C68" s="6" t="s">
        <v>273</v>
      </c>
      <c r="D68" s="6" t="s">
        <v>274</v>
      </c>
      <c r="E68" s="7">
        <v>35518</v>
      </c>
      <c r="F68" s="8">
        <v>89.647431999999995</v>
      </c>
      <c r="G68" s="9">
        <v>7.7041770000000004E-3</v>
      </c>
      <c r="H68" s="156"/>
    </row>
    <row r="69" spans="1:8" x14ac:dyDescent="0.2">
      <c r="A69" s="5">
        <v>63</v>
      </c>
      <c r="B69" s="6" t="s">
        <v>277</v>
      </c>
      <c r="C69" s="6" t="s">
        <v>278</v>
      </c>
      <c r="D69" s="6" t="s">
        <v>63</v>
      </c>
      <c r="E69" s="7">
        <v>40000</v>
      </c>
      <c r="F69" s="8">
        <v>74.260000000000005</v>
      </c>
      <c r="G69" s="9">
        <v>6.3818030000000001E-3</v>
      </c>
      <c r="H69" s="156"/>
    </row>
    <row r="70" spans="1:8" x14ac:dyDescent="0.2">
      <c r="A70" s="5">
        <v>64</v>
      </c>
      <c r="B70" s="6" t="s">
        <v>275</v>
      </c>
      <c r="C70" s="6" t="s">
        <v>276</v>
      </c>
      <c r="D70" s="6" t="s">
        <v>975</v>
      </c>
      <c r="E70" s="7">
        <v>50412</v>
      </c>
      <c r="F70" s="8">
        <v>69.745001999999999</v>
      </c>
      <c r="G70" s="9">
        <v>5.9937899999999997E-3</v>
      </c>
      <c r="H70" s="156"/>
    </row>
    <row r="71" spans="1:8" x14ac:dyDescent="0.2">
      <c r="A71" s="5">
        <v>65</v>
      </c>
      <c r="B71" s="6" t="s">
        <v>279</v>
      </c>
      <c r="C71" s="6" t="s">
        <v>280</v>
      </c>
      <c r="D71" s="6" t="s">
        <v>974</v>
      </c>
      <c r="E71" s="7">
        <v>4500</v>
      </c>
      <c r="F71" s="8">
        <v>68.469750000000005</v>
      </c>
      <c r="G71" s="9">
        <v>5.8841960000000004E-3</v>
      </c>
      <c r="H71" s="156"/>
    </row>
    <row r="72" spans="1:8" x14ac:dyDescent="0.2">
      <c r="A72" s="5">
        <v>66</v>
      </c>
      <c r="B72" s="6" t="s">
        <v>281</v>
      </c>
      <c r="C72" s="6" t="s">
        <v>282</v>
      </c>
      <c r="D72" s="6" t="s">
        <v>155</v>
      </c>
      <c r="E72" s="7">
        <v>3966</v>
      </c>
      <c r="F72" s="8">
        <v>62.083764000000002</v>
      </c>
      <c r="G72" s="9">
        <v>5.3353940000000002E-3</v>
      </c>
      <c r="H72" s="156"/>
    </row>
    <row r="73" spans="1:8" x14ac:dyDescent="0.2">
      <c r="A73" s="5">
        <v>67</v>
      </c>
      <c r="B73" s="6" t="s">
        <v>283</v>
      </c>
      <c r="C73" s="6" t="s">
        <v>284</v>
      </c>
      <c r="D73" s="6" t="s">
        <v>169</v>
      </c>
      <c r="E73" s="7">
        <v>10040</v>
      </c>
      <c r="F73" s="8">
        <v>61.088380000000001</v>
      </c>
      <c r="G73" s="9">
        <v>5.2498520000000002E-3</v>
      </c>
      <c r="H73" s="156"/>
    </row>
    <row r="74" spans="1:8" x14ac:dyDescent="0.2">
      <c r="A74" s="5">
        <v>68</v>
      </c>
      <c r="B74" s="6" t="s">
        <v>59</v>
      </c>
      <c r="C74" s="6" t="s">
        <v>60</v>
      </c>
      <c r="D74" s="6" t="s">
        <v>40</v>
      </c>
      <c r="E74" s="7">
        <v>27635</v>
      </c>
      <c r="F74" s="8">
        <v>53.611899999999999</v>
      </c>
      <c r="G74" s="9">
        <v>4.6073329999999999E-3</v>
      </c>
      <c r="H74" s="156"/>
    </row>
    <row r="75" spans="1:8" x14ac:dyDescent="0.2">
      <c r="A75" s="5">
        <v>69</v>
      </c>
      <c r="B75" s="6" t="s">
        <v>285</v>
      </c>
      <c r="C75" s="6" t="s">
        <v>286</v>
      </c>
      <c r="D75" s="6" t="s">
        <v>196</v>
      </c>
      <c r="E75" s="7">
        <v>5109</v>
      </c>
      <c r="F75" s="8">
        <v>50.282778</v>
      </c>
      <c r="G75" s="9">
        <v>4.3212329999999998E-3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0">
        <v>11205.011533999999</v>
      </c>
      <c r="G76" s="11">
        <v>0.96294332900000001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106</v>
      </c>
      <c r="D78" s="3" t="s">
        <v>9</v>
      </c>
      <c r="E78" s="3" t="s">
        <v>9</v>
      </c>
      <c r="F78" s="3" t="s">
        <v>9</v>
      </c>
      <c r="G78" s="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107</v>
      </c>
      <c r="D81" s="3" t="s">
        <v>9</v>
      </c>
      <c r="E81" s="3" t="s">
        <v>9</v>
      </c>
      <c r="F81" s="3" t="s">
        <v>9</v>
      </c>
      <c r="G81" s="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111</v>
      </c>
      <c r="D84" s="3" t="s">
        <v>9</v>
      </c>
      <c r="E84" s="3" t="s">
        <v>9</v>
      </c>
      <c r="F84" s="3" t="s">
        <v>9</v>
      </c>
      <c r="G84" s="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112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105</v>
      </c>
      <c r="D88" s="3" t="s">
        <v>9</v>
      </c>
      <c r="E88" s="3" t="s">
        <v>9</v>
      </c>
      <c r="F88" s="14">
        <v>0</v>
      </c>
      <c r="G88" s="15">
        <v>0</v>
      </c>
      <c r="H88" s="156"/>
    </row>
    <row r="89" spans="1:8" x14ac:dyDescent="0.2">
      <c r="A89" s="3" t="s">
        <v>9</v>
      </c>
      <c r="B89" s="3" t="s">
        <v>9</v>
      </c>
      <c r="C89" s="12" t="s">
        <v>9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113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114</v>
      </c>
      <c r="D93" s="3" t="s">
        <v>9</v>
      </c>
      <c r="E93" s="3" t="s">
        <v>9</v>
      </c>
      <c r="F93" s="10">
        <v>11205.011533999999</v>
      </c>
      <c r="G93" s="11">
        <v>0.96294332900000001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115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116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117</v>
      </c>
      <c r="D102" s="3" t="s">
        <v>9</v>
      </c>
      <c r="E102" s="3" t="s">
        <v>9</v>
      </c>
      <c r="F102" s="3" t="s">
        <v>9</v>
      </c>
      <c r="G102" s="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105</v>
      </c>
      <c r="D103" s="3" t="s">
        <v>9</v>
      </c>
      <c r="E103" s="3" t="s">
        <v>9</v>
      </c>
      <c r="F103" s="14">
        <v>0</v>
      </c>
      <c r="G103" s="15">
        <v>0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118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105</v>
      </c>
      <c r="D106" s="3" t="s">
        <v>9</v>
      </c>
      <c r="E106" s="3" t="s">
        <v>9</v>
      </c>
      <c r="F106" s="14">
        <v>0</v>
      </c>
      <c r="G106" s="15">
        <v>0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119</v>
      </c>
      <c r="D108" s="3" t="s">
        <v>9</v>
      </c>
      <c r="E108" s="3" t="s">
        <v>9</v>
      </c>
      <c r="F108" s="10">
        <v>0</v>
      </c>
      <c r="G108" s="11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120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121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105</v>
      </c>
      <c r="D112" s="3" t="s">
        <v>9</v>
      </c>
      <c r="E112" s="3" t="s">
        <v>9</v>
      </c>
      <c r="F112" s="14">
        <v>0</v>
      </c>
      <c r="G112" s="15">
        <v>0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122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105</v>
      </c>
      <c r="D115" s="3" t="s">
        <v>9</v>
      </c>
      <c r="E115" s="3" t="s">
        <v>9</v>
      </c>
      <c r="F115" s="14">
        <v>0</v>
      </c>
      <c r="G115" s="15">
        <v>0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123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105</v>
      </c>
      <c r="D118" s="3" t="s">
        <v>9</v>
      </c>
      <c r="E118" s="3" t="s">
        <v>9</v>
      </c>
      <c r="F118" s="14">
        <v>0</v>
      </c>
      <c r="G118" s="15">
        <v>0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124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5">
        <v>1</v>
      </c>
      <c r="B121" s="6"/>
      <c r="C121" s="6" t="s">
        <v>125</v>
      </c>
      <c r="D121" s="6"/>
      <c r="E121" s="16" t="s">
        <v>9</v>
      </c>
      <c r="F121" s="8">
        <v>248.97155430000001</v>
      </c>
      <c r="G121" s="9">
        <v>2.1396274E-2</v>
      </c>
      <c r="H121" s="8">
        <v>3.3326163573085874</v>
      </c>
    </row>
    <row r="122" spans="1:8" x14ac:dyDescent="0.2">
      <c r="A122" s="5">
        <v>2</v>
      </c>
      <c r="B122" s="6"/>
      <c r="C122" s="6" t="s">
        <v>126</v>
      </c>
      <c r="D122" s="6"/>
      <c r="E122" s="16" t="s">
        <v>9</v>
      </c>
      <c r="F122" s="8">
        <v>177.82764510000001</v>
      </c>
      <c r="G122" s="9">
        <v>1.5282264E-2</v>
      </c>
      <c r="H122" s="8">
        <v>3.2337849550915885</v>
      </c>
    </row>
    <row r="123" spans="1:8" x14ac:dyDescent="0.2">
      <c r="A123" s="3" t="s">
        <v>9</v>
      </c>
      <c r="B123" s="3" t="s">
        <v>9</v>
      </c>
      <c r="C123" s="4" t="s">
        <v>105</v>
      </c>
      <c r="D123" s="3" t="s">
        <v>9</v>
      </c>
      <c r="E123" s="3" t="s">
        <v>9</v>
      </c>
      <c r="F123" s="10">
        <v>426.79919940000002</v>
      </c>
      <c r="G123" s="11">
        <v>3.6678537999999997E-2</v>
      </c>
      <c r="H123" s="156"/>
    </row>
    <row r="124" spans="1:8" x14ac:dyDescent="0.2">
      <c r="A124" s="3" t="s">
        <v>9</v>
      </c>
      <c r="B124" s="3" t="s">
        <v>9</v>
      </c>
      <c r="C124" s="12" t="s">
        <v>9</v>
      </c>
      <c r="D124" s="3" t="s">
        <v>9</v>
      </c>
      <c r="E124" s="3" t="s">
        <v>9</v>
      </c>
      <c r="F124" s="13" t="s">
        <v>9</v>
      </c>
      <c r="G124" s="1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127</v>
      </c>
      <c r="D125" s="3" t="s">
        <v>9</v>
      </c>
      <c r="E125" s="3" t="s">
        <v>9</v>
      </c>
      <c r="F125" s="10">
        <v>426.79919940000002</v>
      </c>
      <c r="G125" s="11">
        <v>3.6678537999999997E-2</v>
      </c>
      <c r="H125" s="156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3" t="s">
        <v>9</v>
      </c>
      <c r="G126" s="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128</v>
      </c>
      <c r="D127" s="3" t="s">
        <v>9</v>
      </c>
      <c r="E127" s="3" t="s">
        <v>9</v>
      </c>
      <c r="F127" s="3" t="s">
        <v>9</v>
      </c>
      <c r="G127" s="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129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105</v>
      </c>
      <c r="D129" s="3" t="s">
        <v>9</v>
      </c>
      <c r="E129" s="3" t="s">
        <v>9</v>
      </c>
      <c r="F129" s="14">
        <v>0</v>
      </c>
      <c r="G129" s="15">
        <v>0</v>
      </c>
      <c r="H129" s="156"/>
    </row>
    <row r="130" spans="1:8" x14ac:dyDescent="0.2">
      <c r="A130" s="3" t="s">
        <v>9</v>
      </c>
      <c r="B130" s="3" t="s">
        <v>9</v>
      </c>
      <c r="C130" s="12" t="s">
        <v>9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130</v>
      </c>
      <c r="D131" s="3" t="s">
        <v>9</v>
      </c>
      <c r="E131" s="3" t="s">
        <v>9</v>
      </c>
      <c r="F131" s="3" t="s">
        <v>9</v>
      </c>
      <c r="G131" s="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131</v>
      </c>
      <c r="D132" s="3" t="s">
        <v>9</v>
      </c>
      <c r="E132" s="3" t="s">
        <v>9</v>
      </c>
      <c r="F132" s="3" t="s">
        <v>9</v>
      </c>
      <c r="G132" s="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105</v>
      </c>
      <c r="D133" s="3" t="s">
        <v>9</v>
      </c>
      <c r="E133" s="3" t="s">
        <v>9</v>
      </c>
      <c r="F133" s="14">
        <v>0</v>
      </c>
      <c r="G133" s="15">
        <v>0</v>
      </c>
      <c r="H133" s="156"/>
    </row>
    <row r="134" spans="1:8" x14ac:dyDescent="0.2">
      <c r="A134" s="3" t="s">
        <v>9</v>
      </c>
      <c r="B134" s="3" t="s">
        <v>9</v>
      </c>
      <c r="C134" s="12" t="s">
        <v>9</v>
      </c>
      <c r="D134" s="3" t="s">
        <v>9</v>
      </c>
      <c r="E134" s="3" t="s">
        <v>9</v>
      </c>
      <c r="F134" s="13" t="s">
        <v>9</v>
      </c>
      <c r="G134" s="13" t="s">
        <v>9</v>
      </c>
      <c r="H134" s="156"/>
    </row>
    <row r="135" spans="1:8" x14ac:dyDescent="0.2">
      <c r="A135" s="3" t="s">
        <v>9</v>
      </c>
      <c r="B135" s="3" t="s">
        <v>9</v>
      </c>
      <c r="C135" s="12" t="s">
        <v>9</v>
      </c>
      <c r="D135" s="3" t="s">
        <v>9</v>
      </c>
      <c r="E135" s="3" t="s">
        <v>9</v>
      </c>
      <c r="F135" s="13" t="s">
        <v>9</v>
      </c>
      <c r="G135" s="13" t="s">
        <v>9</v>
      </c>
      <c r="H135" s="156"/>
    </row>
    <row r="136" spans="1:8" x14ac:dyDescent="0.2">
      <c r="A136" s="3" t="s">
        <v>9</v>
      </c>
      <c r="B136" s="3" t="s">
        <v>9</v>
      </c>
      <c r="C136" s="4" t="s">
        <v>132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4" t="s">
        <v>105</v>
      </c>
      <c r="D137" s="3" t="s">
        <v>9</v>
      </c>
      <c r="E137" s="3" t="s">
        <v>9</v>
      </c>
      <c r="F137" s="14">
        <v>0</v>
      </c>
      <c r="G137" s="15">
        <v>0</v>
      </c>
      <c r="H137" s="156"/>
    </row>
    <row r="138" spans="1:8" x14ac:dyDescent="0.2">
      <c r="A138" s="3" t="s">
        <v>9</v>
      </c>
      <c r="B138" s="3" t="s">
        <v>9</v>
      </c>
      <c r="C138" s="12" t="s">
        <v>9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6" t="s">
        <v>9</v>
      </c>
      <c r="C139" s="6" t="s">
        <v>9</v>
      </c>
      <c r="D139" s="4" t="s">
        <v>9</v>
      </c>
      <c r="E139" s="3" t="s">
        <v>9</v>
      </c>
      <c r="F139" s="6" t="s">
        <v>9</v>
      </c>
      <c r="G139" s="16" t="s">
        <v>9</v>
      </c>
      <c r="H139" s="156"/>
    </row>
    <row r="140" spans="1:8" x14ac:dyDescent="0.2">
      <c r="A140" s="16" t="s">
        <v>9</v>
      </c>
      <c r="B140" s="6" t="s">
        <v>9</v>
      </c>
      <c r="C140" s="6" t="s">
        <v>133</v>
      </c>
      <c r="D140" s="6" t="s">
        <v>9</v>
      </c>
      <c r="E140" s="16" t="s">
        <v>9</v>
      </c>
      <c r="F140" s="8">
        <v>4.3999665099999996</v>
      </c>
      <c r="G140" s="9">
        <v>3.7812700000000002E-4</v>
      </c>
      <c r="H140" s="156"/>
    </row>
    <row r="141" spans="1:8" x14ac:dyDescent="0.2">
      <c r="A141" s="12" t="s">
        <v>9</v>
      </c>
      <c r="B141" s="12" t="s">
        <v>9</v>
      </c>
      <c r="C141" s="4" t="s">
        <v>134</v>
      </c>
      <c r="D141" s="17" t="s">
        <v>9</v>
      </c>
      <c r="E141" s="17" t="s">
        <v>9</v>
      </c>
      <c r="F141" s="10">
        <v>11636.21069991</v>
      </c>
      <c r="G141" s="11">
        <v>0.99999999399999995</v>
      </c>
      <c r="H141" s="156"/>
    </row>
    <row r="142" spans="1:8" ht="14.1" customHeight="1" x14ac:dyDescent="0.2">
      <c r="A142" s="18" t="s">
        <v>9</v>
      </c>
      <c r="B142" s="18" t="s">
        <v>9</v>
      </c>
      <c r="C142" s="18" t="s">
        <v>9</v>
      </c>
      <c r="D142" s="19" t="s">
        <v>9</v>
      </c>
      <c r="E142" s="19" t="s">
        <v>9</v>
      </c>
      <c r="F142" s="19" t="s">
        <v>9</v>
      </c>
      <c r="G142" s="19" t="s">
        <v>9</v>
      </c>
    </row>
    <row r="143" spans="1:8" ht="14.1" customHeight="1" x14ac:dyDescent="0.2">
      <c r="A143" s="20" t="s">
        <v>9</v>
      </c>
      <c r="B143" s="200" t="s">
        <v>9</v>
      </c>
      <c r="C143" s="200"/>
      <c r="D143" s="200"/>
      <c r="E143" s="200"/>
      <c r="F143" s="200"/>
      <c r="G143" s="22" t="s">
        <v>9</v>
      </c>
    </row>
    <row r="144" spans="1:8" ht="14.1" customHeight="1" x14ac:dyDescent="0.2">
      <c r="A144" s="20" t="s">
        <v>9</v>
      </c>
      <c r="B144" s="200" t="s">
        <v>9</v>
      </c>
      <c r="C144" s="200"/>
      <c r="D144" s="200"/>
      <c r="E144" s="200"/>
      <c r="F144" s="200"/>
      <c r="G144" s="22" t="s">
        <v>9</v>
      </c>
    </row>
    <row r="145" spans="1:7" ht="14.1" customHeight="1" x14ac:dyDescent="0.2">
      <c r="A145" s="20" t="s">
        <v>9</v>
      </c>
      <c r="B145" s="20" t="s">
        <v>9</v>
      </c>
      <c r="C145" s="20" t="s">
        <v>9</v>
      </c>
      <c r="D145" s="22" t="s">
        <v>9</v>
      </c>
      <c r="E145" s="22" t="s">
        <v>9</v>
      </c>
      <c r="F145" s="22" t="s">
        <v>9</v>
      </c>
      <c r="G145" s="22" t="s">
        <v>9</v>
      </c>
    </row>
    <row r="146" spans="1:7" ht="14.1" customHeight="1" x14ac:dyDescent="0.2">
      <c r="A146" s="20" t="s">
        <v>9</v>
      </c>
      <c r="B146" s="198" t="s">
        <v>136</v>
      </c>
      <c r="C146" s="199"/>
      <c r="D146" s="13" t="s">
        <v>9</v>
      </c>
      <c r="E146" s="23" t="s">
        <v>9</v>
      </c>
      <c r="F146" s="22" t="s">
        <v>9</v>
      </c>
      <c r="G146" s="22" t="s">
        <v>9</v>
      </c>
    </row>
    <row r="147" spans="1:7" ht="29.1" customHeight="1" x14ac:dyDescent="0.2">
      <c r="A147" s="20" t="s">
        <v>9</v>
      </c>
      <c r="B147" s="205" t="s">
        <v>137</v>
      </c>
      <c r="C147" s="206"/>
      <c r="D147" s="4" t="s">
        <v>138</v>
      </c>
      <c r="E147" s="23" t="s">
        <v>9</v>
      </c>
      <c r="F147" s="22" t="s">
        <v>9</v>
      </c>
      <c r="G147" s="22" t="s">
        <v>9</v>
      </c>
    </row>
    <row r="148" spans="1:7" ht="17.100000000000001" customHeight="1" x14ac:dyDescent="0.2">
      <c r="A148" s="20" t="s">
        <v>9</v>
      </c>
      <c r="B148" s="205" t="s">
        <v>139</v>
      </c>
      <c r="C148" s="206"/>
      <c r="D148" s="4" t="s">
        <v>138</v>
      </c>
      <c r="E148" s="23" t="s">
        <v>9</v>
      </c>
      <c r="F148" s="22" t="s">
        <v>9</v>
      </c>
      <c r="G148" s="22" t="s">
        <v>9</v>
      </c>
    </row>
    <row r="149" spans="1:7" ht="17.100000000000001" customHeight="1" x14ac:dyDescent="0.2">
      <c r="A149" s="20" t="s">
        <v>9</v>
      </c>
      <c r="B149" s="205" t="s">
        <v>140</v>
      </c>
      <c r="C149" s="206"/>
      <c r="D149" s="13" t="s">
        <v>9</v>
      </c>
      <c r="E149" s="23" t="s">
        <v>9</v>
      </c>
      <c r="F149" s="22" t="s">
        <v>9</v>
      </c>
      <c r="G149" s="22" t="s">
        <v>9</v>
      </c>
    </row>
    <row r="150" spans="1:7" ht="24" customHeight="1" x14ac:dyDescent="0.2">
      <c r="A150" s="24" t="s">
        <v>9</v>
      </c>
      <c r="B150" s="25" t="s">
        <v>9</v>
      </c>
      <c r="C150" s="25" t="s">
        <v>141</v>
      </c>
      <c r="D150" s="25" t="s">
        <v>142</v>
      </c>
      <c r="E150" s="24" t="s">
        <v>9</v>
      </c>
      <c r="F150" s="24" t="s">
        <v>9</v>
      </c>
      <c r="G150" s="24" t="s">
        <v>9</v>
      </c>
    </row>
    <row r="151" spans="1:7" ht="18" customHeight="1" x14ac:dyDescent="0.2">
      <c r="A151" s="24" t="s">
        <v>9</v>
      </c>
      <c r="B151" s="25" t="s">
        <v>143</v>
      </c>
      <c r="C151" s="25" t="s">
        <v>144</v>
      </c>
      <c r="D151" s="25" t="s">
        <v>145</v>
      </c>
      <c r="E151" s="24" t="s">
        <v>9</v>
      </c>
      <c r="F151" s="24" t="s">
        <v>9</v>
      </c>
      <c r="G151" s="24" t="s">
        <v>9</v>
      </c>
    </row>
    <row r="152" spans="1:7" ht="17.100000000000001" customHeight="1" x14ac:dyDescent="0.2">
      <c r="A152" s="24" t="s">
        <v>9</v>
      </c>
      <c r="B152" s="6" t="s">
        <v>146</v>
      </c>
      <c r="C152" s="26">
        <v>12.096500000000001</v>
      </c>
      <c r="D152" s="26">
        <v>13.0885</v>
      </c>
      <c r="E152" s="24" t="s">
        <v>9</v>
      </c>
      <c r="F152" s="21" t="s">
        <v>9</v>
      </c>
      <c r="G152" s="27" t="s">
        <v>9</v>
      </c>
    </row>
    <row r="153" spans="1:7" ht="17.100000000000001" customHeight="1" x14ac:dyDescent="0.2">
      <c r="A153" s="24" t="s">
        <v>9</v>
      </c>
      <c r="B153" s="6" t="s">
        <v>839</v>
      </c>
      <c r="C153" s="26">
        <v>12.096500000000001</v>
      </c>
      <c r="D153" s="26">
        <v>13.0885</v>
      </c>
      <c r="E153" s="24" t="s">
        <v>9</v>
      </c>
      <c r="F153" s="21" t="s">
        <v>9</v>
      </c>
      <c r="G153" s="27" t="s">
        <v>9</v>
      </c>
    </row>
    <row r="154" spans="1:7" ht="17.100000000000001" customHeight="1" x14ac:dyDescent="0.2">
      <c r="A154" s="24" t="s">
        <v>9</v>
      </c>
      <c r="B154" s="6" t="s">
        <v>147</v>
      </c>
      <c r="C154" s="26">
        <v>11.834199999999999</v>
      </c>
      <c r="D154" s="26">
        <v>12.798400000000001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840</v>
      </c>
      <c r="C155" s="26">
        <v>11.834199999999999</v>
      </c>
      <c r="D155" s="26">
        <v>12.798400000000001</v>
      </c>
      <c r="E155" s="24" t="s">
        <v>9</v>
      </c>
      <c r="F155" s="21" t="s">
        <v>9</v>
      </c>
      <c r="G155" s="27" t="s">
        <v>9</v>
      </c>
    </row>
    <row r="156" spans="1:7" ht="14.1" customHeight="1" x14ac:dyDescent="0.2">
      <c r="A156" s="24" t="s">
        <v>9</v>
      </c>
      <c r="B156" s="24" t="s">
        <v>9</v>
      </c>
      <c r="C156" s="24" t="s">
        <v>9</v>
      </c>
      <c r="D156" s="24" t="s">
        <v>9</v>
      </c>
      <c r="E156" s="24" t="s">
        <v>9</v>
      </c>
      <c r="F156" s="24" t="s">
        <v>9</v>
      </c>
      <c r="G156" s="24" t="s">
        <v>9</v>
      </c>
    </row>
    <row r="157" spans="1:7" ht="17.100000000000001" customHeight="1" x14ac:dyDescent="0.2">
      <c r="A157" s="24" t="s">
        <v>9</v>
      </c>
      <c r="B157" s="205" t="s">
        <v>1013</v>
      </c>
      <c r="C157" s="206"/>
      <c r="D157" s="4" t="s">
        <v>138</v>
      </c>
      <c r="E157" s="24" t="s">
        <v>9</v>
      </c>
      <c r="F157" s="24" t="s">
        <v>9</v>
      </c>
      <c r="G157" s="24" t="s">
        <v>9</v>
      </c>
    </row>
    <row r="158" spans="1:7" ht="18" customHeight="1" x14ac:dyDescent="0.2">
      <c r="A158" s="24" t="s">
        <v>9</v>
      </c>
      <c r="B158" s="30"/>
      <c r="C158" s="30"/>
      <c r="D158" s="28" t="s">
        <v>9</v>
      </c>
      <c r="E158" s="24" t="s">
        <v>9</v>
      </c>
      <c r="F158" s="24" t="s">
        <v>9</v>
      </c>
      <c r="G158" s="24" t="s">
        <v>9</v>
      </c>
    </row>
    <row r="159" spans="1:7" s="197" customFormat="1" x14ac:dyDescent="0.2">
      <c r="B159" s="208" t="s">
        <v>841</v>
      </c>
      <c r="C159" s="208"/>
      <c r="D159" s="208"/>
      <c r="E159" s="208"/>
      <c r="F159" s="208"/>
    </row>
    <row r="160" spans="1:7" ht="14.1" customHeight="1" x14ac:dyDescent="0.2">
      <c r="A160" s="24" t="s">
        <v>9</v>
      </c>
      <c r="B160" s="21" t="s">
        <v>9</v>
      </c>
      <c r="C160" s="21" t="s">
        <v>9</v>
      </c>
      <c r="D160" s="24" t="s">
        <v>9</v>
      </c>
      <c r="E160" s="24" t="s">
        <v>9</v>
      </c>
      <c r="F160" s="24" t="s">
        <v>9</v>
      </c>
      <c r="G160" s="24" t="s">
        <v>9</v>
      </c>
    </row>
    <row r="161" spans="1:7" ht="29.1" customHeight="1" x14ac:dyDescent="0.2">
      <c r="A161" s="24" t="s">
        <v>9</v>
      </c>
      <c r="B161" s="205" t="s">
        <v>148</v>
      </c>
      <c r="C161" s="206"/>
      <c r="D161" s="4" t="s">
        <v>138</v>
      </c>
      <c r="E161" s="24" t="s">
        <v>9</v>
      </c>
      <c r="F161" s="24" t="s">
        <v>9</v>
      </c>
      <c r="G161" s="24" t="s">
        <v>9</v>
      </c>
    </row>
    <row r="162" spans="1:7" ht="29.1" customHeight="1" x14ac:dyDescent="0.2">
      <c r="A162" s="24" t="s">
        <v>9</v>
      </c>
      <c r="B162" s="205" t="s">
        <v>149</v>
      </c>
      <c r="C162" s="206"/>
      <c r="D162" s="4" t="s">
        <v>138</v>
      </c>
      <c r="E162" s="24" t="s">
        <v>9</v>
      </c>
      <c r="F162" s="24" t="s">
        <v>9</v>
      </c>
      <c r="G162" s="24" t="s">
        <v>9</v>
      </c>
    </row>
    <row r="163" spans="1:7" ht="17.100000000000001" customHeight="1" x14ac:dyDescent="0.2">
      <c r="A163" s="24" t="s">
        <v>9</v>
      </c>
      <c r="B163" s="205" t="s">
        <v>150</v>
      </c>
      <c r="C163" s="206"/>
      <c r="D163" s="29">
        <v>0.50807330629946001</v>
      </c>
      <c r="E163" s="24" t="s">
        <v>9</v>
      </c>
      <c r="F163" s="21" t="s">
        <v>9</v>
      </c>
      <c r="G163" s="27" t="s">
        <v>9</v>
      </c>
    </row>
    <row r="164" spans="1:7" ht="17.100000000000001" customHeight="1" x14ac:dyDescent="0.2">
      <c r="A164" s="24" t="s">
        <v>9</v>
      </c>
      <c r="B164" s="205" t="s">
        <v>151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</sheetData>
  <mergeCells count="15"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  <mergeCell ref="B146:C146"/>
    <mergeCell ref="B143:F143"/>
    <mergeCell ref="B144:F14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5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291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156</v>
      </c>
      <c r="C7" s="6" t="s">
        <v>157</v>
      </c>
      <c r="D7" s="6" t="s">
        <v>155</v>
      </c>
      <c r="E7" s="7">
        <v>30824</v>
      </c>
      <c r="F7" s="8">
        <v>367.82279199999999</v>
      </c>
      <c r="G7" s="9">
        <v>3.7329380000000002E-2</v>
      </c>
      <c r="H7" s="156"/>
    </row>
    <row r="8" spans="1:8" x14ac:dyDescent="0.2">
      <c r="A8" s="5">
        <v>2</v>
      </c>
      <c r="B8" s="6" t="s">
        <v>153</v>
      </c>
      <c r="C8" s="6" t="s">
        <v>154</v>
      </c>
      <c r="D8" s="6" t="s">
        <v>155</v>
      </c>
      <c r="E8" s="7">
        <v>9474</v>
      </c>
      <c r="F8" s="8">
        <v>355.20394499999998</v>
      </c>
      <c r="G8" s="9">
        <v>3.6048726000000003E-2</v>
      </c>
      <c r="H8" s="156"/>
    </row>
    <row r="9" spans="1:8" x14ac:dyDescent="0.2">
      <c r="A9" s="5">
        <v>3</v>
      </c>
      <c r="B9" s="6" t="s">
        <v>26</v>
      </c>
      <c r="C9" s="6" t="s">
        <v>27</v>
      </c>
      <c r="D9" s="6" t="s">
        <v>28</v>
      </c>
      <c r="E9" s="7">
        <v>27892</v>
      </c>
      <c r="F9" s="8">
        <v>346.40469400000001</v>
      </c>
      <c r="G9" s="9">
        <v>3.5155712999999998E-2</v>
      </c>
      <c r="H9" s="156"/>
    </row>
    <row r="10" spans="1:8" x14ac:dyDescent="0.2">
      <c r="A10" s="5">
        <v>4</v>
      </c>
      <c r="B10" s="6" t="s">
        <v>177</v>
      </c>
      <c r="C10" s="6" t="s">
        <v>178</v>
      </c>
      <c r="D10" s="6" t="s">
        <v>54</v>
      </c>
      <c r="E10" s="7">
        <v>92686</v>
      </c>
      <c r="F10" s="8">
        <v>259.89154400000001</v>
      </c>
      <c r="G10" s="9">
        <v>2.6375717999999999E-2</v>
      </c>
      <c r="H10" s="156"/>
    </row>
    <row r="11" spans="1:8" x14ac:dyDescent="0.2">
      <c r="A11" s="5">
        <v>5</v>
      </c>
      <c r="B11" s="6" t="s">
        <v>162</v>
      </c>
      <c r="C11" s="6" t="s">
        <v>163</v>
      </c>
      <c r="D11" s="6" t="s">
        <v>169</v>
      </c>
      <c r="E11" s="7">
        <v>25444</v>
      </c>
      <c r="F11" s="8">
        <v>255.483204</v>
      </c>
      <c r="G11" s="9">
        <v>2.5928327000000001E-2</v>
      </c>
      <c r="H11" s="156"/>
    </row>
    <row r="12" spans="1:8" x14ac:dyDescent="0.2">
      <c r="A12" s="5">
        <v>6</v>
      </c>
      <c r="B12" s="6" t="s">
        <v>158</v>
      </c>
      <c r="C12" s="6" t="s">
        <v>159</v>
      </c>
      <c r="D12" s="6" t="s">
        <v>28</v>
      </c>
      <c r="E12" s="7">
        <v>32056</v>
      </c>
      <c r="F12" s="8">
        <v>222.29233199999999</v>
      </c>
      <c r="G12" s="9">
        <v>2.2559870999999999E-2</v>
      </c>
      <c r="H12" s="156"/>
    </row>
    <row r="13" spans="1:8" x14ac:dyDescent="0.2">
      <c r="A13" s="5">
        <v>7</v>
      </c>
      <c r="B13" s="6" t="s">
        <v>160</v>
      </c>
      <c r="C13" s="6" t="s">
        <v>161</v>
      </c>
      <c r="D13" s="6" t="s">
        <v>28</v>
      </c>
      <c r="E13" s="7">
        <v>32892</v>
      </c>
      <c r="F13" s="8">
        <v>222.02099999999999</v>
      </c>
      <c r="G13" s="9">
        <v>2.2532335000000001E-2</v>
      </c>
      <c r="H13" s="156"/>
    </row>
    <row r="14" spans="1:8" x14ac:dyDescent="0.2">
      <c r="A14" s="5">
        <v>8</v>
      </c>
      <c r="B14" s="6" t="s">
        <v>164</v>
      </c>
      <c r="C14" s="6" t="s">
        <v>165</v>
      </c>
      <c r="D14" s="6" t="s">
        <v>166</v>
      </c>
      <c r="E14" s="7">
        <v>229363</v>
      </c>
      <c r="F14" s="8">
        <v>215.60122000000001</v>
      </c>
      <c r="G14" s="9">
        <v>2.1880808000000002E-2</v>
      </c>
      <c r="H14" s="156"/>
    </row>
    <row r="15" spans="1:8" x14ac:dyDescent="0.2">
      <c r="A15" s="5">
        <v>9</v>
      </c>
      <c r="B15" s="6" t="s">
        <v>31</v>
      </c>
      <c r="C15" s="6" t="s">
        <v>32</v>
      </c>
      <c r="D15" s="6" t="s">
        <v>972</v>
      </c>
      <c r="E15" s="7">
        <v>7122</v>
      </c>
      <c r="F15" s="8">
        <v>203.08383000000001</v>
      </c>
      <c r="G15" s="9">
        <v>2.0610449999999999E-2</v>
      </c>
      <c r="H15" s="156"/>
    </row>
    <row r="16" spans="1:8" x14ac:dyDescent="0.2">
      <c r="A16" s="5">
        <v>10</v>
      </c>
      <c r="B16" s="6" t="s">
        <v>167</v>
      </c>
      <c r="C16" s="6" t="s">
        <v>168</v>
      </c>
      <c r="D16" s="6" t="s">
        <v>169</v>
      </c>
      <c r="E16" s="7">
        <v>75954</v>
      </c>
      <c r="F16" s="8">
        <v>197.25253799999999</v>
      </c>
      <c r="G16" s="9">
        <v>2.0018648E-2</v>
      </c>
      <c r="H16" s="156"/>
    </row>
    <row r="17" spans="1:8" x14ac:dyDescent="0.2">
      <c r="A17" s="5">
        <v>11</v>
      </c>
      <c r="B17" s="6" t="s">
        <v>55</v>
      </c>
      <c r="C17" s="6" t="s">
        <v>56</v>
      </c>
      <c r="D17" s="6" t="s">
        <v>35</v>
      </c>
      <c r="E17" s="7">
        <v>25630</v>
      </c>
      <c r="F17" s="8">
        <v>196.71025</v>
      </c>
      <c r="G17" s="9">
        <v>1.9963611999999999E-2</v>
      </c>
      <c r="H17" s="156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172</v>
      </c>
      <c r="E18" s="7">
        <v>14678</v>
      </c>
      <c r="F18" s="8">
        <v>192.67810600000001</v>
      </c>
      <c r="G18" s="9">
        <v>1.95544E-2</v>
      </c>
      <c r="H18" s="156"/>
    </row>
    <row r="19" spans="1:8" x14ac:dyDescent="0.2">
      <c r="A19" s="5">
        <v>13</v>
      </c>
      <c r="B19" s="6" t="s">
        <v>173</v>
      </c>
      <c r="C19" s="6" t="s">
        <v>174</v>
      </c>
      <c r="D19" s="6" t="s">
        <v>63</v>
      </c>
      <c r="E19" s="7">
        <v>45924</v>
      </c>
      <c r="F19" s="8">
        <v>185.78554199999999</v>
      </c>
      <c r="G19" s="9">
        <v>1.8854892000000002E-2</v>
      </c>
      <c r="H19" s="156"/>
    </row>
    <row r="20" spans="1:8" x14ac:dyDescent="0.2">
      <c r="A20" s="5">
        <v>14</v>
      </c>
      <c r="B20" s="6" t="s">
        <v>175</v>
      </c>
      <c r="C20" s="6" t="s">
        <v>176</v>
      </c>
      <c r="D20" s="6" t="s">
        <v>974</v>
      </c>
      <c r="E20" s="7">
        <v>20482</v>
      </c>
      <c r="F20" s="8">
        <v>175.75604200000001</v>
      </c>
      <c r="G20" s="9">
        <v>1.7837024E-2</v>
      </c>
      <c r="H20" s="156"/>
    </row>
    <row r="21" spans="1:8" x14ac:dyDescent="0.2">
      <c r="A21" s="5">
        <v>15</v>
      </c>
      <c r="B21" s="6" t="s">
        <v>183</v>
      </c>
      <c r="C21" s="6" t="s">
        <v>184</v>
      </c>
      <c r="D21" s="6" t="s">
        <v>43</v>
      </c>
      <c r="E21" s="7">
        <v>40089</v>
      </c>
      <c r="F21" s="8">
        <v>170.69896199999999</v>
      </c>
      <c r="G21" s="9">
        <v>1.7323794E-2</v>
      </c>
      <c r="H21" s="156"/>
    </row>
    <row r="22" spans="1:8" x14ac:dyDescent="0.2">
      <c r="A22" s="5">
        <v>16</v>
      </c>
      <c r="B22" s="6" t="s">
        <v>179</v>
      </c>
      <c r="C22" s="6" t="s">
        <v>180</v>
      </c>
      <c r="D22" s="6" t="s">
        <v>169</v>
      </c>
      <c r="E22" s="7">
        <v>5738</v>
      </c>
      <c r="F22" s="8">
        <v>168.631213</v>
      </c>
      <c r="G22" s="9">
        <v>1.7113943999999999E-2</v>
      </c>
      <c r="H22" s="156"/>
    </row>
    <row r="23" spans="1:8" x14ac:dyDescent="0.2">
      <c r="A23" s="5">
        <v>17</v>
      </c>
      <c r="B23" s="6" t="s">
        <v>181</v>
      </c>
      <c r="C23" s="6" t="s">
        <v>182</v>
      </c>
      <c r="D23" s="6" t="s">
        <v>972</v>
      </c>
      <c r="E23" s="7">
        <v>66035</v>
      </c>
      <c r="F23" s="8">
        <v>166.83742749999999</v>
      </c>
      <c r="G23" s="9">
        <v>1.6931897000000001E-2</v>
      </c>
      <c r="H23" s="156"/>
    </row>
    <row r="24" spans="1:8" x14ac:dyDescent="0.2">
      <c r="A24" s="5">
        <v>18</v>
      </c>
      <c r="B24" s="6" t="s">
        <v>185</v>
      </c>
      <c r="C24" s="6" t="s">
        <v>186</v>
      </c>
      <c r="D24" s="6" t="s">
        <v>172</v>
      </c>
      <c r="E24" s="7">
        <v>72801</v>
      </c>
      <c r="F24" s="8">
        <v>163.07424</v>
      </c>
      <c r="G24" s="9">
        <v>1.6549980999999998E-2</v>
      </c>
      <c r="H24" s="156"/>
    </row>
    <row r="25" spans="1:8" x14ac:dyDescent="0.2">
      <c r="A25" s="5">
        <v>19</v>
      </c>
      <c r="B25" s="6" t="s">
        <v>292</v>
      </c>
      <c r="C25" s="6" t="s">
        <v>293</v>
      </c>
      <c r="D25" s="6" t="s">
        <v>28</v>
      </c>
      <c r="E25" s="7">
        <v>23981</v>
      </c>
      <c r="F25" s="8">
        <v>161.7638355</v>
      </c>
      <c r="G25" s="9">
        <v>1.6416990999999999E-2</v>
      </c>
      <c r="H25" s="156"/>
    </row>
    <row r="26" spans="1:8" x14ac:dyDescent="0.2">
      <c r="A26" s="5">
        <v>20</v>
      </c>
      <c r="B26" s="6" t="s">
        <v>187</v>
      </c>
      <c r="C26" s="6" t="s">
        <v>188</v>
      </c>
      <c r="D26" s="6" t="s">
        <v>973</v>
      </c>
      <c r="E26" s="7">
        <v>49783</v>
      </c>
      <c r="F26" s="8">
        <v>153.68012100000001</v>
      </c>
      <c r="G26" s="9">
        <v>1.5596596000000001E-2</v>
      </c>
      <c r="H26" s="156"/>
    </row>
    <row r="27" spans="1:8" x14ac:dyDescent="0.2">
      <c r="A27" s="5">
        <v>21</v>
      </c>
      <c r="B27" s="6" t="s">
        <v>192</v>
      </c>
      <c r="C27" s="6" t="s">
        <v>193</v>
      </c>
      <c r="D27" s="6" t="s">
        <v>196</v>
      </c>
      <c r="E27" s="7">
        <v>21308</v>
      </c>
      <c r="F27" s="8">
        <v>146.73754199999999</v>
      </c>
      <c r="G27" s="9">
        <v>1.4892012E-2</v>
      </c>
      <c r="H27" s="156"/>
    </row>
    <row r="28" spans="1:8" x14ac:dyDescent="0.2">
      <c r="A28" s="5">
        <v>22</v>
      </c>
      <c r="B28" s="6" t="s">
        <v>194</v>
      </c>
      <c r="C28" s="6" t="s">
        <v>195</v>
      </c>
      <c r="D28" s="6" t="s">
        <v>196</v>
      </c>
      <c r="E28" s="7">
        <v>35139</v>
      </c>
      <c r="F28" s="8">
        <v>145.018653</v>
      </c>
      <c r="G28" s="9">
        <v>1.4717566E-2</v>
      </c>
      <c r="H28" s="156"/>
    </row>
    <row r="29" spans="1:8" x14ac:dyDescent="0.2">
      <c r="A29" s="5">
        <v>23</v>
      </c>
      <c r="B29" s="6" t="s">
        <v>189</v>
      </c>
      <c r="C29" s="6" t="s">
        <v>190</v>
      </c>
      <c r="D29" s="6" t="s">
        <v>191</v>
      </c>
      <c r="E29" s="7">
        <v>12373</v>
      </c>
      <c r="F29" s="8">
        <v>144.590878</v>
      </c>
      <c r="G29" s="9">
        <v>1.4674153000000001E-2</v>
      </c>
      <c r="H29" s="156"/>
    </row>
    <row r="30" spans="1:8" x14ac:dyDescent="0.2">
      <c r="A30" s="5">
        <v>24</v>
      </c>
      <c r="B30" s="6" t="s">
        <v>197</v>
      </c>
      <c r="C30" s="6" t="s">
        <v>198</v>
      </c>
      <c r="D30" s="6" t="s">
        <v>169</v>
      </c>
      <c r="E30" s="7">
        <v>3348</v>
      </c>
      <c r="F30" s="8">
        <v>144.07615799999999</v>
      </c>
      <c r="G30" s="9">
        <v>1.4621914999999999E-2</v>
      </c>
      <c r="H30" s="156"/>
    </row>
    <row r="31" spans="1:8" x14ac:dyDescent="0.2">
      <c r="A31" s="5">
        <v>25</v>
      </c>
      <c r="B31" s="6" t="s">
        <v>48</v>
      </c>
      <c r="C31" s="6" t="s">
        <v>49</v>
      </c>
      <c r="D31" s="6" t="s">
        <v>28</v>
      </c>
      <c r="E31" s="7">
        <v>14186</v>
      </c>
      <c r="F31" s="8">
        <v>143.52685500000001</v>
      </c>
      <c r="G31" s="9">
        <v>1.4566168000000001E-2</v>
      </c>
      <c r="H31" s="156"/>
    </row>
    <row r="32" spans="1:8" x14ac:dyDescent="0.2">
      <c r="A32" s="5">
        <v>26</v>
      </c>
      <c r="B32" s="6" t="s">
        <v>201</v>
      </c>
      <c r="C32" s="6" t="s">
        <v>202</v>
      </c>
      <c r="D32" s="6" t="s">
        <v>40</v>
      </c>
      <c r="E32" s="7">
        <v>128038</v>
      </c>
      <c r="F32" s="8">
        <v>141.674047</v>
      </c>
      <c r="G32" s="9">
        <v>1.4378131000000001E-2</v>
      </c>
      <c r="H32" s="156"/>
    </row>
    <row r="33" spans="1:8" x14ac:dyDescent="0.2">
      <c r="A33" s="5">
        <v>27</v>
      </c>
      <c r="B33" s="6" t="s">
        <v>199</v>
      </c>
      <c r="C33" s="6" t="s">
        <v>200</v>
      </c>
      <c r="D33" s="6" t="s">
        <v>63</v>
      </c>
      <c r="E33" s="7">
        <v>40563</v>
      </c>
      <c r="F33" s="8">
        <v>140.14516499999999</v>
      </c>
      <c r="G33" s="9">
        <v>1.4222969E-2</v>
      </c>
      <c r="H33" s="156"/>
    </row>
    <row r="34" spans="1:8" x14ac:dyDescent="0.2">
      <c r="A34" s="5">
        <v>28</v>
      </c>
      <c r="B34" s="6" t="s">
        <v>288</v>
      </c>
      <c r="C34" s="6" t="s">
        <v>289</v>
      </c>
      <c r="D34" s="6" t="s">
        <v>28</v>
      </c>
      <c r="E34" s="7">
        <v>12647</v>
      </c>
      <c r="F34" s="8">
        <v>139.93273149999999</v>
      </c>
      <c r="G34" s="9">
        <v>1.4201409E-2</v>
      </c>
      <c r="H34" s="156"/>
    </row>
    <row r="35" spans="1:8" x14ac:dyDescent="0.2">
      <c r="A35" s="5">
        <v>29</v>
      </c>
      <c r="B35" s="6" t="s">
        <v>206</v>
      </c>
      <c r="C35" s="6" t="s">
        <v>207</v>
      </c>
      <c r="D35" s="6" t="s">
        <v>73</v>
      </c>
      <c r="E35" s="7">
        <v>31242</v>
      </c>
      <c r="F35" s="8">
        <v>134.824851</v>
      </c>
      <c r="G35" s="9">
        <v>1.3683024E-2</v>
      </c>
      <c r="H35" s="156"/>
    </row>
    <row r="36" spans="1:8" x14ac:dyDescent="0.2">
      <c r="A36" s="5">
        <v>30</v>
      </c>
      <c r="B36" s="6" t="s">
        <v>44</v>
      </c>
      <c r="C36" s="6" t="s">
        <v>45</v>
      </c>
      <c r="D36" s="6" t="s">
        <v>978</v>
      </c>
      <c r="E36" s="7">
        <v>79000</v>
      </c>
      <c r="F36" s="8">
        <v>132.404</v>
      </c>
      <c r="G36" s="9">
        <v>1.3437338E-2</v>
      </c>
      <c r="H36" s="156"/>
    </row>
    <row r="37" spans="1:8" x14ac:dyDescent="0.2">
      <c r="A37" s="5">
        <v>31</v>
      </c>
      <c r="B37" s="6" t="s">
        <v>210</v>
      </c>
      <c r="C37" s="6" t="s">
        <v>211</v>
      </c>
      <c r="D37" s="6" t="s">
        <v>169</v>
      </c>
      <c r="E37" s="7">
        <v>15313</v>
      </c>
      <c r="F37" s="8">
        <v>131.630548</v>
      </c>
      <c r="G37" s="9">
        <v>1.3358841999999999E-2</v>
      </c>
      <c r="H37" s="156"/>
    </row>
    <row r="38" spans="1:8" x14ac:dyDescent="0.2">
      <c r="A38" s="5">
        <v>32</v>
      </c>
      <c r="B38" s="6" t="s">
        <v>208</v>
      </c>
      <c r="C38" s="6" t="s">
        <v>209</v>
      </c>
      <c r="D38" s="6" t="s">
        <v>976</v>
      </c>
      <c r="E38" s="7">
        <v>16000</v>
      </c>
      <c r="F38" s="8">
        <v>130.87200000000001</v>
      </c>
      <c r="G38" s="9">
        <v>1.3281859E-2</v>
      </c>
      <c r="H38" s="156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28</v>
      </c>
      <c r="E39" s="7">
        <v>8762</v>
      </c>
      <c r="F39" s="8">
        <v>128.74444700000001</v>
      </c>
      <c r="G39" s="9">
        <v>1.3065939E-2</v>
      </c>
      <c r="H39" s="156"/>
    </row>
    <row r="40" spans="1:8" x14ac:dyDescent="0.2">
      <c r="A40" s="5">
        <v>34</v>
      </c>
      <c r="B40" s="6" t="s">
        <v>230</v>
      </c>
      <c r="C40" s="6" t="s">
        <v>231</v>
      </c>
      <c r="D40" s="6" t="s">
        <v>978</v>
      </c>
      <c r="E40" s="7">
        <v>11058</v>
      </c>
      <c r="F40" s="8">
        <v>124.645776</v>
      </c>
      <c r="G40" s="9">
        <v>1.2649976E-2</v>
      </c>
      <c r="H40" s="156"/>
    </row>
    <row r="41" spans="1:8" x14ac:dyDescent="0.2">
      <c r="A41" s="5">
        <v>35</v>
      </c>
      <c r="B41" s="6" t="s">
        <v>79</v>
      </c>
      <c r="C41" s="6" t="s">
        <v>80</v>
      </c>
      <c r="D41" s="6" t="s">
        <v>63</v>
      </c>
      <c r="E41" s="7">
        <v>53399</v>
      </c>
      <c r="F41" s="8">
        <v>124.6065665</v>
      </c>
      <c r="G41" s="9">
        <v>1.2645997000000001E-2</v>
      </c>
      <c r="H41" s="156"/>
    </row>
    <row r="42" spans="1:8" x14ac:dyDescent="0.2">
      <c r="A42" s="5">
        <v>36</v>
      </c>
      <c r="B42" s="6" t="s">
        <v>218</v>
      </c>
      <c r="C42" s="6" t="s">
        <v>219</v>
      </c>
      <c r="D42" s="6" t="s">
        <v>63</v>
      </c>
      <c r="E42" s="7">
        <v>16226</v>
      </c>
      <c r="F42" s="8">
        <v>119.236761</v>
      </c>
      <c r="G42" s="9">
        <v>1.2101028999999999E-2</v>
      </c>
      <c r="H42" s="156"/>
    </row>
    <row r="43" spans="1:8" x14ac:dyDescent="0.2">
      <c r="A43" s="5">
        <v>37</v>
      </c>
      <c r="B43" s="6" t="s">
        <v>237</v>
      </c>
      <c r="C43" s="6" t="s">
        <v>238</v>
      </c>
      <c r="D43" s="6" t="s">
        <v>239</v>
      </c>
      <c r="E43" s="7">
        <v>61316</v>
      </c>
      <c r="F43" s="8">
        <v>114.109076</v>
      </c>
      <c r="G43" s="9">
        <v>1.1580633999999999E-2</v>
      </c>
      <c r="H43" s="156"/>
    </row>
    <row r="44" spans="1:8" x14ac:dyDescent="0.2">
      <c r="A44" s="5">
        <v>38</v>
      </c>
      <c r="B44" s="6" t="s">
        <v>224</v>
      </c>
      <c r="C44" s="6" t="s">
        <v>225</v>
      </c>
      <c r="D44" s="6" t="s">
        <v>40</v>
      </c>
      <c r="E44" s="7">
        <v>13938</v>
      </c>
      <c r="F44" s="8">
        <v>113.615607</v>
      </c>
      <c r="G44" s="9">
        <v>1.1530553000000001E-2</v>
      </c>
      <c r="H44" s="156"/>
    </row>
    <row r="45" spans="1:8" x14ac:dyDescent="0.2">
      <c r="A45" s="5">
        <v>39</v>
      </c>
      <c r="B45" s="6" t="s">
        <v>216</v>
      </c>
      <c r="C45" s="6" t="s">
        <v>217</v>
      </c>
      <c r="D45" s="6" t="s">
        <v>54</v>
      </c>
      <c r="E45" s="7">
        <v>10037</v>
      </c>
      <c r="F45" s="8">
        <v>111.5361625</v>
      </c>
      <c r="G45" s="9">
        <v>1.1319515E-2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166</v>
      </c>
      <c r="E46" s="7">
        <v>20466</v>
      </c>
      <c r="F46" s="8">
        <v>110.77222500000001</v>
      </c>
      <c r="G46" s="9">
        <v>1.1241984999999999E-2</v>
      </c>
      <c r="H46" s="156"/>
    </row>
    <row r="47" spans="1:8" x14ac:dyDescent="0.2">
      <c r="A47" s="5">
        <v>41</v>
      </c>
      <c r="B47" s="6" t="s">
        <v>38</v>
      </c>
      <c r="C47" s="6" t="s">
        <v>39</v>
      </c>
      <c r="D47" s="6" t="s">
        <v>40</v>
      </c>
      <c r="E47" s="7">
        <v>39179</v>
      </c>
      <c r="F47" s="8">
        <v>109.583663</v>
      </c>
      <c r="G47" s="9">
        <v>1.1121361E-2</v>
      </c>
      <c r="H47" s="156"/>
    </row>
    <row r="48" spans="1:8" x14ac:dyDescent="0.2">
      <c r="A48" s="5">
        <v>42</v>
      </c>
      <c r="B48" s="6" t="s">
        <v>228</v>
      </c>
      <c r="C48" s="6" t="s">
        <v>229</v>
      </c>
      <c r="D48" s="6" t="s">
        <v>35</v>
      </c>
      <c r="E48" s="7">
        <v>137334</v>
      </c>
      <c r="F48" s="8">
        <v>108.63119399999999</v>
      </c>
      <c r="G48" s="9">
        <v>1.1024697999999999E-2</v>
      </c>
      <c r="H48" s="156"/>
    </row>
    <row r="49" spans="1:8" x14ac:dyDescent="0.2">
      <c r="A49" s="5">
        <v>43</v>
      </c>
      <c r="B49" s="6" t="s">
        <v>234</v>
      </c>
      <c r="C49" s="6" t="s">
        <v>235</v>
      </c>
      <c r="D49" s="6" t="s">
        <v>73</v>
      </c>
      <c r="E49" s="7">
        <v>24808</v>
      </c>
      <c r="F49" s="8">
        <v>105.793716</v>
      </c>
      <c r="G49" s="9">
        <v>1.0736729E-2</v>
      </c>
      <c r="H49" s="156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166</v>
      </c>
      <c r="E50" s="7">
        <v>195431</v>
      </c>
      <c r="F50" s="8">
        <v>105.337309</v>
      </c>
      <c r="G50" s="9">
        <v>1.0690409999999999E-2</v>
      </c>
      <c r="H50" s="156"/>
    </row>
    <row r="51" spans="1:8" x14ac:dyDescent="0.2">
      <c r="A51" s="5">
        <v>45</v>
      </c>
      <c r="B51" s="6" t="s">
        <v>294</v>
      </c>
      <c r="C51" s="6" t="s">
        <v>295</v>
      </c>
      <c r="D51" s="6" t="s">
        <v>975</v>
      </c>
      <c r="E51" s="7">
        <v>270455</v>
      </c>
      <c r="F51" s="8">
        <v>102.90812750000001</v>
      </c>
      <c r="G51" s="9">
        <v>1.0443879E-2</v>
      </c>
      <c r="H51" s="156"/>
    </row>
    <row r="52" spans="1:8" ht="25.5" x14ac:dyDescent="0.2">
      <c r="A52" s="5">
        <v>46</v>
      </c>
      <c r="B52" s="6" t="s">
        <v>214</v>
      </c>
      <c r="C52" s="6" t="s">
        <v>215</v>
      </c>
      <c r="D52" s="6" t="s">
        <v>63</v>
      </c>
      <c r="E52" s="7">
        <v>4600</v>
      </c>
      <c r="F52" s="8">
        <v>102.5432</v>
      </c>
      <c r="G52" s="9">
        <v>1.0406843000000001E-2</v>
      </c>
      <c r="H52" s="156"/>
    </row>
    <row r="53" spans="1:8" x14ac:dyDescent="0.2">
      <c r="A53" s="5">
        <v>47</v>
      </c>
      <c r="B53" s="6" t="s">
        <v>240</v>
      </c>
      <c r="C53" s="6" t="s">
        <v>241</v>
      </c>
      <c r="D53" s="6" t="s">
        <v>191</v>
      </c>
      <c r="E53" s="7">
        <v>27074</v>
      </c>
      <c r="F53" s="8">
        <v>100.30916999999999</v>
      </c>
      <c r="G53" s="9">
        <v>1.0180117000000001E-2</v>
      </c>
      <c r="H53" s="156"/>
    </row>
    <row r="54" spans="1:8" x14ac:dyDescent="0.2">
      <c r="A54" s="5">
        <v>48</v>
      </c>
      <c r="B54" s="6" t="s">
        <v>242</v>
      </c>
      <c r="C54" s="6" t="s">
        <v>243</v>
      </c>
      <c r="D54" s="6" t="s">
        <v>196</v>
      </c>
      <c r="E54" s="7">
        <v>5980</v>
      </c>
      <c r="F54" s="8">
        <v>99.578959999999995</v>
      </c>
      <c r="G54" s="9">
        <v>1.010601E-2</v>
      </c>
      <c r="H54" s="156"/>
    </row>
    <row r="55" spans="1:8" x14ac:dyDescent="0.2">
      <c r="A55" s="5">
        <v>49</v>
      </c>
      <c r="B55" s="6" t="s">
        <v>244</v>
      </c>
      <c r="C55" s="6" t="s">
        <v>245</v>
      </c>
      <c r="D55" s="6" t="s">
        <v>246</v>
      </c>
      <c r="E55" s="7">
        <v>22498</v>
      </c>
      <c r="F55" s="8">
        <v>96.741399999999999</v>
      </c>
      <c r="G55" s="9">
        <v>9.8180330000000003E-3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18363</v>
      </c>
      <c r="F56" s="8">
        <v>96.139486500000004</v>
      </c>
      <c r="G56" s="9">
        <v>9.7569470000000002E-3</v>
      </c>
      <c r="H56" s="156"/>
    </row>
    <row r="57" spans="1:8" ht="25.5" x14ac:dyDescent="0.2">
      <c r="A57" s="5">
        <v>51</v>
      </c>
      <c r="B57" s="6" t="s">
        <v>251</v>
      </c>
      <c r="C57" s="6" t="s">
        <v>252</v>
      </c>
      <c r="D57" s="6" t="s">
        <v>155</v>
      </c>
      <c r="E57" s="7">
        <v>24937</v>
      </c>
      <c r="F57" s="8">
        <v>94.062364000000002</v>
      </c>
      <c r="G57" s="9">
        <v>9.5461450000000007E-3</v>
      </c>
      <c r="H57" s="156"/>
    </row>
    <row r="58" spans="1:8" x14ac:dyDescent="0.2">
      <c r="A58" s="5">
        <v>52</v>
      </c>
      <c r="B58" s="6" t="s">
        <v>249</v>
      </c>
      <c r="C58" s="6" t="s">
        <v>250</v>
      </c>
      <c r="D58" s="6" t="s">
        <v>73</v>
      </c>
      <c r="E58" s="7">
        <v>25988</v>
      </c>
      <c r="F58" s="8">
        <v>93.985602</v>
      </c>
      <c r="G58" s="9">
        <v>9.5383550000000001E-3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23750</v>
      </c>
      <c r="F59" s="8">
        <v>93.575000000000003</v>
      </c>
      <c r="G59" s="9">
        <v>9.496684E-3</v>
      </c>
      <c r="H59" s="156"/>
    </row>
    <row r="60" spans="1:8" x14ac:dyDescent="0.2">
      <c r="A60" s="5">
        <v>54</v>
      </c>
      <c r="B60" s="6" t="s">
        <v>257</v>
      </c>
      <c r="C60" s="6" t="s">
        <v>258</v>
      </c>
      <c r="D60" s="6" t="s">
        <v>977</v>
      </c>
      <c r="E60" s="7">
        <v>100256</v>
      </c>
      <c r="F60" s="8">
        <v>92.085136000000006</v>
      </c>
      <c r="G60" s="9">
        <v>9.3454809999999992E-3</v>
      </c>
      <c r="H60" s="156"/>
    </row>
    <row r="61" spans="1:8" x14ac:dyDescent="0.2">
      <c r="A61" s="5">
        <v>55</v>
      </c>
      <c r="B61" s="6" t="s">
        <v>259</v>
      </c>
      <c r="C61" s="6" t="s">
        <v>260</v>
      </c>
      <c r="D61" s="6" t="s">
        <v>261</v>
      </c>
      <c r="E61" s="7">
        <v>11527</v>
      </c>
      <c r="F61" s="8">
        <v>91.391819499999997</v>
      </c>
      <c r="G61" s="9">
        <v>9.2751180000000006E-3</v>
      </c>
      <c r="H61" s="156"/>
    </row>
    <row r="62" spans="1:8" x14ac:dyDescent="0.2">
      <c r="A62" s="5">
        <v>56</v>
      </c>
      <c r="B62" s="6" t="s">
        <v>61</v>
      </c>
      <c r="C62" s="6" t="s">
        <v>62</v>
      </c>
      <c r="D62" s="6" t="s">
        <v>63</v>
      </c>
      <c r="E62" s="7">
        <v>3000</v>
      </c>
      <c r="F62" s="8">
        <v>87.786000000000001</v>
      </c>
      <c r="G62" s="9">
        <v>8.9091729999999994E-3</v>
      </c>
      <c r="H62" s="156"/>
    </row>
    <row r="63" spans="1:8" x14ac:dyDescent="0.2">
      <c r="A63" s="5">
        <v>57</v>
      </c>
      <c r="B63" s="6" t="s">
        <v>264</v>
      </c>
      <c r="C63" s="6" t="s">
        <v>265</v>
      </c>
      <c r="D63" s="6" t="s">
        <v>975</v>
      </c>
      <c r="E63" s="7">
        <v>17394</v>
      </c>
      <c r="F63" s="8">
        <v>86.900424000000001</v>
      </c>
      <c r="G63" s="9">
        <v>8.8192979999999997E-3</v>
      </c>
      <c r="H63" s="156"/>
    </row>
    <row r="64" spans="1:8" x14ac:dyDescent="0.2">
      <c r="A64" s="5">
        <v>58</v>
      </c>
      <c r="B64" s="6" t="s">
        <v>220</v>
      </c>
      <c r="C64" s="6" t="s">
        <v>221</v>
      </c>
      <c r="D64" s="6" t="s">
        <v>191</v>
      </c>
      <c r="E64" s="7">
        <v>20028</v>
      </c>
      <c r="F64" s="8">
        <v>86.440848000000003</v>
      </c>
      <c r="G64" s="9">
        <v>8.7726569999999997E-3</v>
      </c>
      <c r="H64" s="156"/>
    </row>
    <row r="65" spans="1:8" x14ac:dyDescent="0.2">
      <c r="A65" s="5">
        <v>59</v>
      </c>
      <c r="B65" s="6" t="s">
        <v>268</v>
      </c>
      <c r="C65" s="6" t="s">
        <v>269</v>
      </c>
      <c r="D65" s="6" t="s">
        <v>43</v>
      </c>
      <c r="E65" s="7">
        <v>76703</v>
      </c>
      <c r="F65" s="8">
        <v>79.387604999999994</v>
      </c>
      <c r="G65" s="9">
        <v>8.0568419999999998E-3</v>
      </c>
      <c r="H65" s="156"/>
    </row>
    <row r="66" spans="1:8" x14ac:dyDescent="0.2">
      <c r="A66" s="5">
        <v>60</v>
      </c>
      <c r="B66" s="6" t="s">
        <v>266</v>
      </c>
      <c r="C66" s="6" t="s">
        <v>267</v>
      </c>
      <c r="D66" s="6" t="s">
        <v>191</v>
      </c>
      <c r="E66" s="7">
        <v>12261</v>
      </c>
      <c r="F66" s="8">
        <v>78.703359000000006</v>
      </c>
      <c r="G66" s="9">
        <v>7.9873989999999992E-3</v>
      </c>
      <c r="H66" s="156"/>
    </row>
    <row r="67" spans="1:8" x14ac:dyDescent="0.2">
      <c r="A67" s="5">
        <v>61</v>
      </c>
      <c r="B67" s="6" t="s">
        <v>272</v>
      </c>
      <c r="C67" s="6" t="s">
        <v>273</v>
      </c>
      <c r="D67" s="6" t="s">
        <v>274</v>
      </c>
      <c r="E67" s="7">
        <v>29657</v>
      </c>
      <c r="F67" s="8">
        <v>74.854268000000005</v>
      </c>
      <c r="G67" s="9">
        <v>7.5967650000000001E-3</v>
      </c>
      <c r="H67" s="156"/>
    </row>
    <row r="68" spans="1:8" x14ac:dyDescent="0.2">
      <c r="A68" s="5">
        <v>62</v>
      </c>
      <c r="B68" s="6" t="s">
        <v>262</v>
      </c>
      <c r="C68" s="6" t="s">
        <v>263</v>
      </c>
      <c r="D68" s="6" t="s">
        <v>975</v>
      </c>
      <c r="E68" s="7">
        <v>29874</v>
      </c>
      <c r="F68" s="8">
        <v>74.699937000000006</v>
      </c>
      <c r="G68" s="9">
        <v>7.5811029999999996E-3</v>
      </c>
      <c r="H68" s="156"/>
    </row>
    <row r="69" spans="1:8" x14ac:dyDescent="0.2">
      <c r="A69" s="5">
        <v>63</v>
      </c>
      <c r="B69" s="6" t="s">
        <v>270</v>
      </c>
      <c r="C69" s="6" t="s">
        <v>271</v>
      </c>
      <c r="D69" s="6" t="s">
        <v>22</v>
      </c>
      <c r="E69" s="7">
        <v>71994</v>
      </c>
      <c r="F69" s="8">
        <v>74.51379</v>
      </c>
      <c r="G69" s="9">
        <v>7.5622110000000001E-3</v>
      </c>
      <c r="H69" s="156"/>
    </row>
    <row r="70" spans="1:8" x14ac:dyDescent="0.2">
      <c r="A70" s="5">
        <v>64</v>
      </c>
      <c r="B70" s="6" t="s">
        <v>277</v>
      </c>
      <c r="C70" s="6" t="s">
        <v>278</v>
      </c>
      <c r="D70" s="6" t="s">
        <v>63</v>
      </c>
      <c r="E70" s="7">
        <v>34000</v>
      </c>
      <c r="F70" s="8">
        <v>63.121000000000002</v>
      </c>
      <c r="G70" s="9">
        <v>6.4059859999999998E-3</v>
      </c>
      <c r="H70" s="156"/>
    </row>
    <row r="71" spans="1:8" x14ac:dyDescent="0.2">
      <c r="A71" s="5">
        <v>65</v>
      </c>
      <c r="B71" s="6" t="s">
        <v>275</v>
      </c>
      <c r="C71" s="6" t="s">
        <v>276</v>
      </c>
      <c r="D71" s="6" t="s">
        <v>975</v>
      </c>
      <c r="E71" s="7">
        <v>42305</v>
      </c>
      <c r="F71" s="8">
        <v>58.5289675</v>
      </c>
      <c r="G71" s="9">
        <v>5.9399530000000004E-3</v>
      </c>
      <c r="H71" s="156"/>
    </row>
    <row r="72" spans="1:8" x14ac:dyDescent="0.2">
      <c r="A72" s="5">
        <v>66</v>
      </c>
      <c r="B72" s="6" t="s">
        <v>279</v>
      </c>
      <c r="C72" s="6" t="s">
        <v>280</v>
      </c>
      <c r="D72" s="6" t="s">
        <v>974</v>
      </c>
      <c r="E72" s="7">
        <v>3777</v>
      </c>
      <c r="F72" s="8">
        <v>57.468943500000002</v>
      </c>
      <c r="G72" s="9">
        <v>5.8323740000000004E-3</v>
      </c>
      <c r="H72" s="156"/>
    </row>
    <row r="73" spans="1:8" x14ac:dyDescent="0.2">
      <c r="A73" s="5">
        <v>67</v>
      </c>
      <c r="B73" s="6" t="s">
        <v>281</v>
      </c>
      <c r="C73" s="6" t="s">
        <v>282</v>
      </c>
      <c r="D73" s="6" t="s">
        <v>155</v>
      </c>
      <c r="E73" s="7">
        <v>3329</v>
      </c>
      <c r="F73" s="8">
        <v>52.112166000000002</v>
      </c>
      <c r="G73" s="9">
        <v>5.2887280000000004E-3</v>
      </c>
      <c r="H73" s="156"/>
    </row>
    <row r="74" spans="1:8" x14ac:dyDescent="0.2">
      <c r="A74" s="5">
        <v>68</v>
      </c>
      <c r="B74" s="6" t="s">
        <v>283</v>
      </c>
      <c r="C74" s="6" t="s">
        <v>284</v>
      </c>
      <c r="D74" s="6" t="s">
        <v>169</v>
      </c>
      <c r="E74" s="7">
        <v>8458</v>
      </c>
      <c r="F74" s="8">
        <v>51.462701000000003</v>
      </c>
      <c r="G74" s="9">
        <v>5.2228159999999999E-3</v>
      </c>
      <c r="H74" s="156"/>
    </row>
    <row r="75" spans="1:8" x14ac:dyDescent="0.2">
      <c r="A75" s="5">
        <v>69</v>
      </c>
      <c r="B75" s="6" t="s">
        <v>59</v>
      </c>
      <c r="C75" s="6" t="s">
        <v>60</v>
      </c>
      <c r="D75" s="6" t="s">
        <v>40</v>
      </c>
      <c r="E75" s="7">
        <v>24117</v>
      </c>
      <c r="F75" s="8">
        <v>46.78698</v>
      </c>
      <c r="G75" s="9">
        <v>4.7482890000000002E-3</v>
      </c>
      <c r="H75" s="156"/>
    </row>
    <row r="76" spans="1:8" x14ac:dyDescent="0.2">
      <c r="A76" s="5">
        <v>70</v>
      </c>
      <c r="B76" s="6" t="s">
        <v>285</v>
      </c>
      <c r="C76" s="6" t="s">
        <v>286</v>
      </c>
      <c r="D76" s="6" t="s">
        <v>196</v>
      </c>
      <c r="E76" s="7">
        <v>4266</v>
      </c>
      <c r="F76" s="8">
        <v>41.985971999999997</v>
      </c>
      <c r="G76" s="9">
        <v>4.2610469999999996E-3</v>
      </c>
      <c r="H76" s="156"/>
    </row>
    <row r="77" spans="1:8" x14ac:dyDescent="0.2">
      <c r="A77" s="3" t="s">
        <v>9</v>
      </c>
      <c r="B77" s="3" t="s">
        <v>9</v>
      </c>
      <c r="C77" s="4" t="s">
        <v>105</v>
      </c>
      <c r="D77" s="3" t="s">
        <v>9</v>
      </c>
      <c r="E77" s="3" t="s">
        <v>9</v>
      </c>
      <c r="F77" s="10">
        <v>9510.7919959999999</v>
      </c>
      <c r="G77" s="11">
        <v>0.96522557200000003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106</v>
      </c>
      <c r="D79" s="3" t="s">
        <v>9</v>
      </c>
      <c r="E79" s="3" t="s">
        <v>9</v>
      </c>
      <c r="F79" s="3" t="s">
        <v>9</v>
      </c>
      <c r="G79" s="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105</v>
      </c>
      <c r="D80" s="3" t="s">
        <v>9</v>
      </c>
      <c r="E80" s="3" t="s">
        <v>9</v>
      </c>
      <c r="F80" s="14">
        <v>0</v>
      </c>
      <c r="G80" s="15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107</v>
      </c>
      <c r="D82" s="3" t="s">
        <v>9</v>
      </c>
      <c r="E82" s="3" t="s">
        <v>9</v>
      </c>
      <c r="F82" s="3" t="s">
        <v>9</v>
      </c>
      <c r="G82" s="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111</v>
      </c>
      <c r="D85" s="3" t="s">
        <v>9</v>
      </c>
      <c r="E85" s="3" t="s">
        <v>9</v>
      </c>
      <c r="F85" s="3" t="s">
        <v>9</v>
      </c>
      <c r="G85" s="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105</v>
      </c>
      <c r="D86" s="3" t="s">
        <v>9</v>
      </c>
      <c r="E86" s="3" t="s">
        <v>9</v>
      </c>
      <c r="F86" s="14">
        <v>0</v>
      </c>
      <c r="G86" s="15">
        <v>0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112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105</v>
      </c>
      <c r="D89" s="3" t="s">
        <v>9</v>
      </c>
      <c r="E89" s="3" t="s">
        <v>9</v>
      </c>
      <c r="F89" s="14">
        <v>0</v>
      </c>
      <c r="G89" s="15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113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105</v>
      </c>
      <c r="D92" s="3" t="s">
        <v>9</v>
      </c>
      <c r="E92" s="3" t="s">
        <v>9</v>
      </c>
      <c r="F92" s="14">
        <v>0</v>
      </c>
      <c r="G92" s="15">
        <v>0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114</v>
      </c>
      <c r="D94" s="3" t="s">
        <v>9</v>
      </c>
      <c r="E94" s="3" t="s">
        <v>9</v>
      </c>
      <c r="F94" s="10">
        <v>9510.7919959999999</v>
      </c>
      <c r="G94" s="11">
        <v>0.96522557200000003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115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105</v>
      </c>
      <c r="D98" s="3" t="s">
        <v>9</v>
      </c>
      <c r="E98" s="3" t="s">
        <v>9</v>
      </c>
      <c r="F98" s="14">
        <v>0</v>
      </c>
      <c r="G98" s="15">
        <v>0</v>
      </c>
      <c r="H98" s="156"/>
    </row>
    <row r="99" spans="1:8" x14ac:dyDescent="0.2">
      <c r="A99" s="3" t="s">
        <v>9</v>
      </c>
      <c r="B99" s="3" t="s">
        <v>9</v>
      </c>
      <c r="C99" s="12" t="s">
        <v>9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116</v>
      </c>
      <c r="D100" s="3" t="s">
        <v>9</v>
      </c>
      <c r="E100" s="3" t="s">
        <v>9</v>
      </c>
      <c r="F100" s="3" t="s">
        <v>9</v>
      </c>
      <c r="G100" s="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4">
        <v>0</v>
      </c>
      <c r="G101" s="15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117</v>
      </c>
      <c r="D103" s="3" t="s">
        <v>9</v>
      </c>
      <c r="E103" s="3" t="s">
        <v>9</v>
      </c>
      <c r="F103" s="3" t="s">
        <v>9</v>
      </c>
      <c r="G103" s="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105</v>
      </c>
      <c r="D104" s="3" t="s">
        <v>9</v>
      </c>
      <c r="E104" s="3" t="s">
        <v>9</v>
      </c>
      <c r="F104" s="14">
        <v>0</v>
      </c>
      <c r="G104" s="15">
        <v>0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118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4">
        <v>0</v>
      </c>
      <c r="G107" s="15">
        <v>0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119</v>
      </c>
      <c r="D109" s="3" t="s">
        <v>9</v>
      </c>
      <c r="E109" s="3" t="s">
        <v>9</v>
      </c>
      <c r="F109" s="10">
        <v>0</v>
      </c>
      <c r="G109" s="11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120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121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105</v>
      </c>
      <c r="D113" s="3" t="s">
        <v>9</v>
      </c>
      <c r="E113" s="3" t="s">
        <v>9</v>
      </c>
      <c r="F113" s="14">
        <v>0</v>
      </c>
      <c r="G113" s="15">
        <v>0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122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4">
        <v>0</v>
      </c>
      <c r="G116" s="15">
        <v>0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123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105</v>
      </c>
      <c r="D119" s="3" t="s">
        <v>9</v>
      </c>
      <c r="E119" s="3" t="s">
        <v>9</v>
      </c>
      <c r="F119" s="14">
        <v>0</v>
      </c>
      <c r="G119" s="15">
        <v>0</v>
      </c>
      <c r="H119" s="156"/>
    </row>
    <row r="120" spans="1:8" x14ac:dyDescent="0.2">
      <c r="A120" s="3" t="s">
        <v>9</v>
      </c>
      <c r="B120" s="3" t="s">
        <v>9</v>
      </c>
      <c r="C120" s="12" t="s">
        <v>9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124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5">
        <v>1</v>
      </c>
      <c r="B122" s="6"/>
      <c r="C122" s="6" t="s">
        <v>125</v>
      </c>
      <c r="D122" s="6"/>
      <c r="E122" s="16" t="s">
        <v>9</v>
      </c>
      <c r="F122" s="8">
        <v>197.96161760000001</v>
      </c>
      <c r="G122" s="9">
        <v>2.0090609999999998E-2</v>
      </c>
      <c r="H122" s="8">
        <v>3.3326163573085874</v>
      </c>
    </row>
    <row r="123" spans="1:8" x14ac:dyDescent="0.2">
      <c r="A123" s="5">
        <v>2</v>
      </c>
      <c r="B123" s="6"/>
      <c r="C123" s="6" t="s">
        <v>126</v>
      </c>
      <c r="D123" s="6"/>
      <c r="E123" s="16" t="s">
        <v>9</v>
      </c>
      <c r="F123" s="8">
        <v>141.39377289999999</v>
      </c>
      <c r="G123" s="9">
        <v>1.4349687E-2</v>
      </c>
      <c r="H123" s="8">
        <v>3.2337849550915885</v>
      </c>
    </row>
    <row r="124" spans="1:8" x14ac:dyDescent="0.2">
      <c r="A124" s="3" t="s">
        <v>9</v>
      </c>
      <c r="B124" s="3" t="s">
        <v>9</v>
      </c>
      <c r="C124" s="4" t="s">
        <v>105</v>
      </c>
      <c r="D124" s="3" t="s">
        <v>9</v>
      </c>
      <c r="E124" s="3" t="s">
        <v>9</v>
      </c>
      <c r="F124" s="10">
        <v>339.3553905</v>
      </c>
      <c r="G124" s="11">
        <v>3.4440297000000002E-2</v>
      </c>
      <c r="H124" s="156"/>
    </row>
    <row r="125" spans="1:8" x14ac:dyDescent="0.2">
      <c r="A125" s="3" t="s">
        <v>9</v>
      </c>
      <c r="B125" s="3" t="s">
        <v>9</v>
      </c>
      <c r="C125" s="12" t="s">
        <v>9</v>
      </c>
      <c r="D125" s="3" t="s">
        <v>9</v>
      </c>
      <c r="E125" s="3" t="s">
        <v>9</v>
      </c>
      <c r="F125" s="13" t="s">
        <v>9</v>
      </c>
      <c r="G125" s="1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127</v>
      </c>
      <c r="D126" s="3" t="s">
        <v>9</v>
      </c>
      <c r="E126" s="3" t="s">
        <v>9</v>
      </c>
      <c r="F126" s="10">
        <v>339.3553905</v>
      </c>
      <c r="G126" s="11">
        <v>3.4440297000000002E-2</v>
      </c>
      <c r="H126" s="156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3" t="s">
        <v>9</v>
      </c>
      <c r="G127" s="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128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129</v>
      </c>
      <c r="D129" s="3" t="s">
        <v>9</v>
      </c>
      <c r="E129" s="3" t="s">
        <v>9</v>
      </c>
      <c r="F129" s="3" t="s">
        <v>9</v>
      </c>
      <c r="G129" s="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105</v>
      </c>
      <c r="D130" s="3" t="s">
        <v>9</v>
      </c>
      <c r="E130" s="3" t="s">
        <v>9</v>
      </c>
      <c r="F130" s="14">
        <v>0</v>
      </c>
      <c r="G130" s="15">
        <v>0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130</v>
      </c>
      <c r="D132" s="3" t="s">
        <v>9</v>
      </c>
      <c r="E132" s="3" t="s">
        <v>9</v>
      </c>
      <c r="F132" s="3" t="s">
        <v>9</v>
      </c>
      <c r="G132" s="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131</v>
      </c>
      <c r="D133" s="3" t="s">
        <v>9</v>
      </c>
      <c r="E133" s="3" t="s">
        <v>9</v>
      </c>
      <c r="F133" s="3" t="s">
        <v>9</v>
      </c>
      <c r="G133" s="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105</v>
      </c>
      <c r="D134" s="3" t="s">
        <v>9</v>
      </c>
      <c r="E134" s="3" t="s">
        <v>9</v>
      </c>
      <c r="F134" s="14">
        <v>0</v>
      </c>
      <c r="G134" s="15">
        <v>0</v>
      </c>
      <c r="H134" s="156"/>
    </row>
    <row r="135" spans="1:8" x14ac:dyDescent="0.2">
      <c r="A135" s="3" t="s">
        <v>9</v>
      </c>
      <c r="B135" s="3" t="s">
        <v>9</v>
      </c>
      <c r="C135" s="12" t="s">
        <v>9</v>
      </c>
      <c r="D135" s="3" t="s">
        <v>9</v>
      </c>
      <c r="E135" s="3" t="s">
        <v>9</v>
      </c>
      <c r="F135" s="13" t="s">
        <v>9</v>
      </c>
      <c r="G135" s="13" t="s">
        <v>9</v>
      </c>
      <c r="H135" s="156"/>
    </row>
    <row r="136" spans="1:8" x14ac:dyDescent="0.2">
      <c r="A136" s="3" t="s">
        <v>9</v>
      </c>
      <c r="B136" s="3" t="s">
        <v>9</v>
      </c>
      <c r="C136" s="12" t="s">
        <v>9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4" t="s">
        <v>132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4" t="s">
        <v>105</v>
      </c>
      <c r="D138" s="3" t="s">
        <v>9</v>
      </c>
      <c r="E138" s="3" t="s">
        <v>9</v>
      </c>
      <c r="F138" s="14">
        <v>0</v>
      </c>
      <c r="G138" s="15">
        <v>0</v>
      </c>
      <c r="H138" s="156"/>
    </row>
    <row r="139" spans="1:8" x14ac:dyDescent="0.2">
      <c r="A139" s="3" t="s">
        <v>9</v>
      </c>
      <c r="B139" s="3" t="s">
        <v>9</v>
      </c>
      <c r="C139" s="12" t="s">
        <v>9</v>
      </c>
      <c r="D139" s="3" t="s">
        <v>9</v>
      </c>
      <c r="E139" s="3" t="s">
        <v>9</v>
      </c>
      <c r="F139" s="13" t="s">
        <v>9</v>
      </c>
      <c r="G139" s="13" t="s">
        <v>9</v>
      </c>
      <c r="H139" s="156"/>
    </row>
    <row r="140" spans="1:8" x14ac:dyDescent="0.2">
      <c r="A140" s="3" t="s">
        <v>9</v>
      </c>
      <c r="B140" s="6" t="s">
        <v>9</v>
      </c>
      <c r="C140" s="6" t="s">
        <v>9</v>
      </c>
      <c r="D140" s="4" t="s">
        <v>9</v>
      </c>
      <c r="E140" s="3" t="s">
        <v>9</v>
      </c>
      <c r="F140" s="6" t="s">
        <v>9</v>
      </c>
      <c r="G140" s="16" t="s">
        <v>9</v>
      </c>
      <c r="H140" s="156"/>
    </row>
    <row r="141" spans="1:8" x14ac:dyDescent="0.2">
      <c r="A141" s="16" t="s">
        <v>9</v>
      </c>
      <c r="B141" s="6" t="s">
        <v>9</v>
      </c>
      <c r="C141" s="6" t="s">
        <v>133</v>
      </c>
      <c r="D141" s="6" t="s">
        <v>9</v>
      </c>
      <c r="E141" s="16" t="s">
        <v>9</v>
      </c>
      <c r="F141" s="8">
        <v>3.2923318899999998</v>
      </c>
      <c r="G141" s="9">
        <v>3.3412999999999997E-4</v>
      </c>
      <c r="H141" s="156"/>
    </row>
    <row r="142" spans="1:8" x14ac:dyDescent="0.2">
      <c r="A142" s="12" t="s">
        <v>9</v>
      </c>
      <c r="B142" s="12" t="s">
        <v>9</v>
      </c>
      <c r="C142" s="4" t="s">
        <v>134</v>
      </c>
      <c r="D142" s="17" t="s">
        <v>9</v>
      </c>
      <c r="E142" s="17" t="s">
        <v>9</v>
      </c>
      <c r="F142" s="10">
        <v>9853.4397183900001</v>
      </c>
      <c r="G142" s="11">
        <v>0.99999999900000003</v>
      </c>
      <c r="H142" s="156"/>
    </row>
    <row r="143" spans="1:8" ht="14.1" customHeight="1" x14ac:dyDescent="0.2">
      <c r="A143" s="18" t="s">
        <v>9</v>
      </c>
      <c r="B143" s="18" t="s">
        <v>9</v>
      </c>
      <c r="C143" s="18" t="s">
        <v>9</v>
      </c>
      <c r="D143" s="19" t="s">
        <v>9</v>
      </c>
      <c r="E143" s="19" t="s">
        <v>9</v>
      </c>
      <c r="F143" s="19" t="s">
        <v>9</v>
      </c>
      <c r="G143" s="19" t="s">
        <v>9</v>
      </c>
    </row>
    <row r="144" spans="1:8" ht="14.1" customHeight="1" x14ac:dyDescent="0.2">
      <c r="A144" s="20" t="s">
        <v>9</v>
      </c>
      <c r="B144" s="200" t="s">
        <v>9</v>
      </c>
      <c r="C144" s="200"/>
      <c r="D144" s="200"/>
      <c r="E144" s="200"/>
      <c r="F144" s="200"/>
      <c r="G144" s="22" t="s">
        <v>9</v>
      </c>
    </row>
    <row r="145" spans="1:7" ht="14.1" customHeight="1" x14ac:dyDescent="0.2">
      <c r="A145" s="20" t="s">
        <v>9</v>
      </c>
      <c r="B145" s="200" t="s">
        <v>9</v>
      </c>
      <c r="C145" s="200"/>
      <c r="D145" s="200"/>
      <c r="E145" s="200"/>
      <c r="F145" s="200"/>
      <c r="G145" s="22" t="s">
        <v>9</v>
      </c>
    </row>
    <row r="146" spans="1:7" ht="14.1" customHeight="1" x14ac:dyDescent="0.2">
      <c r="A146" s="20" t="s">
        <v>9</v>
      </c>
      <c r="B146" s="20" t="s">
        <v>9</v>
      </c>
      <c r="C146" s="20" t="s">
        <v>9</v>
      </c>
      <c r="D146" s="22" t="s">
        <v>9</v>
      </c>
      <c r="E146" s="22" t="s">
        <v>9</v>
      </c>
      <c r="F146" s="22" t="s">
        <v>9</v>
      </c>
      <c r="G146" s="22" t="s">
        <v>9</v>
      </c>
    </row>
    <row r="147" spans="1:7" ht="14.1" customHeight="1" x14ac:dyDescent="0.2">
      <c r="A147" s="20" t="s">
        <v>9</v>
      </c>
      <c r="B147" s="198" t="s">
        <v>136</v>
      </c>
      <c r="C147" s="199"/>
      <c r="D147" s="13" t="s">
        <v>9</v>
      </c>
      <c r="E147" s="23" t="s">
        <v>9</v>
      </c>
      <c r="F147" s="22" t="s">
        <v>9</v>
      </c>
      <c r="G147" s="22" t="s">
        <v>9</v>
      </c>
    </row>
    <row r="148" spans="1:7" ht="29.1" customHeight="1" x14ac:dyDescent="0.2">
      <c r="A148" s="20" t="s">
        <v>9</v>
      </c>
      <c r="B148" s="205" t="s">
        <v>137</v>
      </c>
      <c r="C148" s="206"/>
      <c r="D148" s="4" t="s">
        <v>138</v>
      </c>
      <c r="E148" s="23" t="s">
        <v>9</v>
      </c>
      <c r="F148" s="22" t="s">
        <v>9</v>
      </c>
      <c r="G148" s="22" t="s">
        <v>9</v>
      </c>
    </row>
    <row r="149" spans="1:7" ht="17.100000000000001" customHeight="1" x14ac:dyDescent="0.2">
      <c r="A149" s="20" t="s">
        <v>9</v>
      </c>
      <c r="B149" s="205" t="s">
        <v>139</v>
      </c>
      <c r="C149" s="206"/>
      <c r="D149" s="4" t="s">
        <v>138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05" t="s">
        <v>140</v>
      </c>
      <c r="C150" s="206"/>
      <c r="D150" s="13" t="s">
        <v>9</v>
      </c>
      <c r="E150" s="23" t="s">
        <v>9</v>
      </c>
      <c r="F150" s="22" t="s">
        <v>9</v>
      </c>
      <c r="G150" s="22" t="s">
        <v>9</v>
      </c>
    </row>
    <row r="151" spans="1:7" ht="24" customHeight="1" x14ac:dyDescent="0.2">
      <c r="A151" s="24" t="s">
        <v>9</v>
      </c>
      <c r="B151" s="25" t="s">
        <v>9</v>
      </c>
      <c r="C151" s="25" t="s">
        <v>141</v>
      </c>
      <c r="D151" s="25" t="s">
        <v>142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25" t="s">
        <v>143</v>
      </c>
      <c r="C152" s="25" t="s">
        <v>144</v>
      </c>
      <c r="D152" s="25" t="s">
        <v>145</v>
      </c>
      <c r="E152" s="24" t="s">
        <v>9</v>
      </c>
      <c r="F152" s="24" t="s">
        <v>9</v>
      </c>
      <c r="G152" s="24" t="s">
        <v>9</v>
      </c>
    </row>
    <row r="153" spans="1:7" ht="17.100000000000001" customHeight="1" x14ac:dyDescent="0.2">
      <c r="A153" s="24" t="s">
        <v>9</v>
      </c>
      <c r="B153" s="6" t="s">
        <v>146</v>
      </c>
      <c r="C153" s="26">
        <v>11.638299999999999</v>
      </c>
      <c r="D153" s="26">
        <v>12.6221</v>
      </c>
      <c r="E153" s="24" t="s">
        <v>9</v>
      </c>
      <c r="F153" s="21" t="s">
        <v>9</v>
      </c>
      <c r="G153" s="27" t="s">
        <v>9</v>
      </c>
    </row>
    <row r="154" spans="1:7" ht="17.100000000000001" customHeight="1" x14ac:dyDescent="0.2">
      <c r="A154" s="24" t="s">
        <v>9</v>
      </c>
      <c r="B154" s="6" t="s">
        <v>839</v>
      </c>
      <c r="C154" s="26">
        <v>11.638199999999999</v>
      </c>
      <c r="D154" s="26">
        <v>12.6221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147</v>
      </c>
      <c r="C155" s="26">
        <v>11.2339</v>
      </c>
      <c r="D155" s="26">
        <v>12.178100000000001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840</v>
      </c>
      <c r="C156" s="26">
        <v>11.2339</v>
      </c>
      <c r="D156" s="26">
        <v>12.178100000000001</v>
      </c>
      <c r="E156" s="24" t="s">
        <v>9</v>
      </c>
      <c r="F156" s="21" t="s">
        <v>9</v>
      </c>
      <c r="G156" s="27" t="s">
        <v>9</v>
      </c>
    </row>
    <row r="157" spans="1:7" ht="14.1" customHeight="1" x14ac:dyDescent="0.2">
      <c r="A157" s="24" t="s">
        <v>9</v>
      </c>
      <c r="B157" s="24" t="s">
        <v>9</v>
      </c>
      <c r="C157" s="24" t="s">
        <v>9</v>
      </c>
      <c r="D157" s="24" t="s">
        <v>9</v>
      </c>
      <c r="E157" s="24" t="s">
        <v>9</v>
      </c>
      <c r="F157" s="24" t="s">
        <v>9</v>
      </c>
      <c r="G157" s="24" t="s">
        <v>9</v>
      </c>
    </row>
    <row r="158" spans="1:7" ht="17.100000000000001" customHeight="1" x14ac:dyDescent="0.2">
      <c r="A158" s="24" t="s">
        <v>9</v>
      </c>
      <c r="B158" s="205" t="s">
        <v>1013</v>
      </c>
      <c r="C158" s="206"/>
      <c r="D158" s="4" t="s">
        <v>138</v>
      </c>
      <c r="E158" s="24" t="s">
        <v>9</v>
      </c>
      <c r="F158" s="24" t="s">
        <v>9</v>
      </c>
      <c r="G158" s="24" t="s">
        <v>9</v>
      </c>
    </row>
    <row r="159" spans="1:7" ht="18" customHeight="1" x14ac:dyDescent="0.2">
      <c r="A159" s="24" t="s">
        <v>9</v>
      </c>
      <c r="B159" s="30"/>
      <c r="C159" s="30"/>
      <c r="D159" s="28" t="s">
        <v>9</v>
      </c>
      <c r="E159" s="24" t="s">
        <v>9</v>
      </c>
      <c r="F159" s="24" t="s">
        <v>9</v>
      </c>
      <c r="G159" s="24" t="s">
        <v>9</v>
      </c>
    </row>
    <row r="160" spans="1:7" s="197" customFormat="1" x14ac:dyDescent="0.2">
      <c r="B160" s="208" t="s">
        <v>841</v>
      </c>
      <c r="C160" s="208"/>
      <c r="D160" s="208"/>
      <c r="E160" s="208"/>
      <c r="F160" s="208"/>
    </row>
    <row r="161" spans="1:7" ht="14.1" customHeight="1" x14ac:dyDescent="0.2">
      <c r="A161" s="24" t="s">
        <v>9</v>
      </c>
      <c r="B161" s="21" t="s">
        <v>9</v>
      </c>
      <c r="C161" s="21" t="s">
        <v>9</v>
      </c>
      <c r="D161" s="24" t="s">
        <v>9</v>
      </c>
      <c r="E161" s="24" t="s">
        <v>9</v>
      </c>
      <c r="F161" s="24" t="s">
        <v>9</v>
      </c>
      <c r="G161" s="24" t="s">
        <v>9</v>
      </c>
    </row>
    <row r="162" spans="1:7" ht="29.1" customHeight="1" x14ac:dyDescent="0.2">
      <c r="A162" s="24" t="s">
        <v>9</v>
      </c>
      <c r="B162" s="205" t="s">
        <v>148</v>
      </c>
      <c r="C162" s="206"/>
      <c r="D162" s="4" t="s">
        <v>138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05" t="s">
        <v>149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  <row r="164" spans="1:7" ht="17.100000000000001" customHeight="1" x14ac:dyDescent="0.2">
      <c r="A164" s="24" t="s">
        <v>9</v>
      </c>
      <c r="B164" s="205" t="s">
        <v>150</v>
      </c>
      <c r="C164" s="206"/>
      <c r="D164" s="29">
        <v>0.51735482537019806</v>
      </c>
      <c r="E164" s="24" t="s">
        <v>9</v>
      </c>
      <c r="F164" s="21" t="s">
        <v>9</v>
      </c>
      <c r="G164" s="27" t="s">
        <v>9</v>
      </c>
    </row>
    <row r="165" spans="1:7" ht="17.100000000000001" customHeight="1" x14ac:dyDescent="0.2">
      <c r="A165" s="24" t="s">
        <v>9</v>
      </c>
      <c r="B165" s="205" t="s">
        <v>151</v>
      </c>
      <c r="C165" s="206"/>
      <c r="D165" s="4" t="s">
        <v>138</v>
      </c>
      <c r="E165" s="24" t="s">
        <v>9</v>
      </c>
      <c r="F165" s="24" t="s">
        <v>9</v>
      </c>
      <c r="G165" s="24" t="s">
        <v>9</v>
      </c>
    </row>
  </sheetData>
  <mergeCells count="15">
    <mergeCell ref="B164:C164"/>
    <mergeCell ref="B165:C165"/>
    <mergeCell ref="B148:C148"/>
    <mergeCell ref="B149:C149"/>
    <mergeCell ref="B150:C150"/>
    <mergeCell ref="B158:C158"/>
    <mergeCell ref="B162:C162"/>
    <mergeCell ref="B163:C163"/>
    <mergeCell ref="B160:F160"/>
    <mergeCell ref="B147:C147"/>
    <mergeCell ref="B144:F144"/>
    <mergeCell ref="B145:F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63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9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296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297</v>
      </c>
      <c r="C7" s="6" t="s">
        <v>298</v>
      </c>
      <c r="D7" s="6" t="s">
        <v>971</v>
      </c>
      <c r="E7" s="7">
        <v>2027701</v>
      </c>
      <c r="F7" s="8">
        <v>21501.741404</v>
      </c>
      <c r="G7" s="9">
        <v>3.2756198E-2</v>
      </c>
      <c r="H7" s="156"/>
    </row>
    <row r="8" spans="1:8" x14ac:dyDescent="0.2">
      <c r="A8" s="5">
        <v>2</v>
      </c>
      <c r="B8" s="6" t="s">
        <v>18</v>
      </c>
      <c r="C8" s="6" t="s">
        <v>19</v>
      </c>
      <c r="D8" s="6" t="s">
        <v>972</v>
      </c>
      <c r="E8" s="7">
        <v>1965812</v>
      </c>
      <c r="F8" s="8">
        <v>20164.316589999999</v>
      </c>
      <c r="G8" s="9">
        <v>3.0718737999999999E-2</v>
      </c>
      <c r="H8" s="156"/>
    </row>
    <row r="9" spans="1:8" x14ac:dyDescent="0.2">
      <c r="A9" s="5">
        <v>3</v>
      </c>
      <c r="B9" s="6" t="s">
        <v>74</v>
      </c>
      <c r="C9" s="6" t="s">
        <v>75</v>
      </c>
      <c r="D9" s="6" t="s">
        <v>28</v>
      </c>
      <c r="E9" s="7">
        <v>2145000</v>
      </c>
      <c r="F9" s="8">
        <v>19294.275000000001</v>
      </c>
      <c r="G9" s="9">
        <v>2.9393298000000002E-2</v>
      </c>
      <c r="H9" s="156"/>
    </row>
    <row r="10" spans="1:8" x14ac:dyDescent="0.2">
      <c r="A10" s="5">
        <v>4</v>
      </c>
      <c r="B10" s="6" t="s">
        <v>299</v>
      </c>
      <c r="C10" s="6" t="s">
        <v>300</v>
      </c>
      <c r="D10" s="6" t="s">
        <v>169</v>
      </c>
      <c r="E10" s="7">
        <v>736918</v>
      </c>
      <c r="F10" s="8">
        <v>19163.552589999999</v>
      </c>
      <c r="G10" s="9">
        <v>2.9194153E-2</v>
      </c>
      <c r="H10" s="156"/>
    </row>
    <row r="11" spans="1:8" x14ac:dyDescent="0.2">
      <c r="A11" s="5">
        <v>5</v>
      </c>
      <c r="B11" s="6" t="s">
        <v>26</v>
      </c>
      <c r="C11" s="6" t="s">
        <v>27</v>
      </c>
      <c r="D11" s="6" t="s">
        <v>28</v>
      </c>
      <c r="E11" s="7">
        <v>1518056</v>
      </c>
      <c r="F11" s="8">
        <v>18853.496491999998</v>
      </c>
      <c r="G11" s="9">
        <v>2.8721806999999999E-2</v>
      </c>
      <c r="H11" s="156"/>
    </row>
    <row r="12" spans="1:8" x14ac:dyDescent="0.2">
      <c r="A12" s="5">
        <v>6</v>
      </c>
      <c r="B12" s="6" t="s">
        <v>301</v>
      </c>
      <c r="C12" s="6" t="s">
        <v>302</v>
      </c>
      <c r="D12" s="6" t="s">
        <v>172</v>
      </c>
      <c r="E12" s="7">
        <v>515779</v>
      </c>
      <c r="F12" s="8">
        <v>18670.4261315</v>
      </c>
      <c r="G12" s="9">
        <v>2.8442914E-2</v>
      </c>
      <c r="H12" s="156"/>
    </row>
    <row r="13" spans="1:8" x14ac:dyDescent="0.2">
      <c r="A13" s="5">
        <v>7</v>
      </c>
      <c r="B13" s="6" t="s">
        <v>153</v>
      </c>
      <c r="C13" s="6" t="s">
        <v>154</v>
      </c>
      <c r="D13" s="6" t="s">
        <v>155</v>
      </c>
      <c r="E13" s="7">
        <v>480000</v>
      </c>
      <c r="F13" s="8">
        <v>17996.400000000001</v>
      </c>
      <c r="G13" s="9">
        <v>2.7416089000000001E-2</v>
      </c>
      <c r="H13" s="156"/>
    </row>
    <row r="14" spans="1:8" ht="25.5" x14ac:dyDescent="0.2">
      <c r="A14" s="5">
        <v>8</v>
      </c>
      <c r="B14" s="6" t="s">
        <v>303</v>
      </c>
      <c r="C14" s="6" t="s">
        <v>304</v>
      </c>
      <c r="D14" s="6" t="s">
        <v>166</v>
      </c>
      <c r="E14" s="7">
        <v>3220000</v>
      </c>
      <c r="F14" s="8">
        <v>16526.650000000001</v>
      </c>
      <c r="G14" s="9">
        <v>2.5177041000000001E-2</v>
      </c>
      <c r="H14" s="156"/>
    </row>
    <row r="15" spans="1:8" x14ac:dyDescent="0.2">
      <c r="A15" s="5">
        <v>9</v>
      </c>
      <c r="B15" s="6" t="s">
        <v>305</v>
      </c>
      <c r="C15" s="6" t="s">
        <v>306</v>
      </c>
      <c r="D15" s="6" t="s">
        <v>196</v>
      </c>
      <c r="E15" s="7">
        <v>1454822</v>
      </c>
      <c r="F15" s="8">
        <v>16430.032256999999</v>
      </c>
      <c r="G15" s="9">
        <v>2.5029851999999998E-2</v>
      </c>
      <c r="H15" s="156"/>
    </row>
    <row r="16" spans="1:8" x14ac:dyDescent="0.2">
      <c r="A16" s="5">
        <v>10</v>
      </c>
      <c r="B16" s="6" t="s">
        <v>307</v>
      </c>
      <c r="C16" s="6" t="s">
        <v>308</v>
      </c>
      <c r="D16" s="6" t="s">
        <v>22</v>
      </c>
      <c r="E16" s="7">
        <v>1386152</v>
      </c>
      <c r="F16" s="8">
        <v>14358.455491999999</v>
      </c>
      <c r="G16" s="9">
        <v>2.1873969E-2</v>
      </c>
      <c r="H16" s="156"/>
    </row>
    <row r="17" spans="1:8" x14ac:dyDescent="0.2">
      <c r="A17" s="5">
        <v>11</v>
      </c>
      <c r="B17" s="6" t="s">
        <v>309</v>
      </c>
      <c r="C17" s="6" t="s">
        <v>310</v>
      </c>
      <c r="D17" s="6" t="s">
        <v>63</v>
      </c>
      <c r="E17" s="7">
        <v>1386681</v>
      </c>
      <c r="F17" s="8">
        <v>14178.1198845</v>
      </c>
      <c r="G17" s="9">
        <v>2.1599242000000001E-2</v>
      </c>
      <c r="H17" s="156"/>
    </row>
    <row r="18" spans="1:8" x14ac:dyDescent="0.2">
      <c r="A18" s="5">
        <v>12</v>
      </c>
      <c r="B18" s="6" t="s">
        <v>311</v>
      </c>
      <c r="C18" s="6" t="s">
        <v>312</v>
      </c>
      <c r="D18" s="6" t="s">
        <v>261</v>
      </c>
      <c r="E18" s="7">
        <v>472166</v>
      </c>
      <c r="F18" s="8">
        <v>13741.919264</v>
      </c>
      <c r="G18" s="9">
        <v>2.0934725000000001E-2</v>
      </c>
      <c r="H18" s="156"/>
    </row>
    <row r="19" spans="1:8" x14ac:dyDescent="0.2">
      <c r="A19" s="5">
        <v>13</v>
      </c>
      <c r="B19" s="6" t="s">
        <v>313</v>
      </c>
      <c r="C19" s="6" t="s">
        <v>314</v>
      </c>
      <c r="D19" s="6" t="s">
        <v>73</v>
      </c>
      <c r="E19" s="7">
        <v>2403433</v>
      </c>
      <c r="F19" s="8">
        <v>13467.6368155</v>
      </c>
      <c r="G19" s="9">
        <v>2.0516876999999999E-2</v>
      </c>
      <c r="H19" s="156"/>
    </row>
    <row r="20" spans="1:8" x14ac:dyDescent="0.2">
      <c r="A20" s="5">
        <v>14</v>
      </c>
      <c r="B20" s="6" t="s">
        <v>97</v>
      </c>
      <c r="C20" s="6" t="s">
        <v>98</v>
      </c>
      <c r="D20" s="6" t="s">
        <v>28</v>
      </c>
      <c r="E20" s="7">
        <v>237000</v>
      </c>
      <c r="F20" s="8">
        <v>13353.528</v>
      </c>
      <c r="G20" s="9">
        <v>2.0343040999999999E-2</v>
      </c>
      <c r="H20" s="156"/>
    </row>
    <row r="21" spans="1:8" x14ac:dyDescent="0.2">
      <c r="A21" s="5">
        <v>15</v>
      </c>
      <c r="B21" s="6" t="s">
        <v>315</v>
      </c>
      <c r="C21" s="6" t="s">
        <v>316</v>
      </c>
      <c r="D21" s="6" t="s">
        <v>975</v>
      </c>
      <c r="E21" s="7">
        <v>429478</v>
      </c>
      <c r="F21" s="8">
        <v>13228.781356</v>
      </c>
      <c r="G21" s="9">
        <v>2.0153000000000001E-2</v>
      </c>
      <c r="H21" s="156"/>
    </row>
    <row r="22" spans="1:8" x14ac:dyDescent="0.2">
      <c r="A22" s="5">
        <v>16</v>
      </c>
      <c r="B22" s="6" t="s">
        <v>317</v>
      </c>
      <c r="C22" s="6" t="s">
        <v>318</v>
      </c>
      <c r="D22" s="6" t="s">
        <v>22</v>
      </c>
      <c r="E22" s="7">
        <v>14804336</v>
      </c>
      <c r="F22" s="8">
        <v>12894.576655999999</v>
      </c>
      <c r="G22" s="9">
        <v>1.9643865E-2</v>
      </c>
      <c r="H22" s="156"/>
    </row>
    <row r="23" spans="1:8" x14ac:dyDescent="0.2">
      <c r="A23" s="5">
        <v>17</v>
      </c>
      <c r="B23" s="6" t="s">
        <v>319</v>
      </c>
      <c r="C23" s="6" t="s">
        <v>320</v>
      </c>
      <c r="D23" s="6" t="s">
        <v>73</v>
      </c>
      <c r="E23" s="7">
        <v>1689741</v>
      </c>
      <c r="F23" s="8">
        <v>12328.350336</v>
      </c>
      <c r="G23" s="9">
        <v>1.8781263999999999E-2</v>
      </c>
      <c r="H23" s="156"/>
    </row>
    <row r="24" spans="1:8" x14ac:dyDescent="0.2">
      <c r="A24" s="5">
        <v>18</v>
      </c>
      <c r="B24" s="6" t="s">
        <v>321</v>
      </c>
      <c r="C24" s="6" t="s">
        <v>322</v>
      </c>
      <c r="D24" s="6" t="s">
        <v>63</v>
      </c>
      <c r="E24" s="7">
        <v>2819006</v>
      </c>
      <c r="F24" s="8">
        <v>12251.400076</v>
      </c>
      <c r="G24" s="9">
        <v>1.8664037000000001E-2</v>
      </c>
      <c r="H24" s="156"/>
    </row>
    <row r="25" spans="1:8" x14ac:dyDescent="0.2">
      <c r="A25" s="5">
        <v>19</v>
      </c>
      <c r="B25" s="6" t="s">
        <v>323</v>
      </c>
      <c r="C25" s="6" t="s">
        <v>324</v>
      </c>
      <c r="D25" s="6" t="s">
        <v>239</v>
      </c>
      <c r="E25" s="7">
        <v>41292</v>
      </c>
      <c r="F25" s="8">
        <v>12190.22424</v>
      </c>
      <c r="G25" s="9">
        <v>1.8570840000000002E-2</v>
      </c>
      <c r="H25" s="156"/>
    </row>
    <row r="26" spans="1:8" x14ac:dyDescent="0.2">
      <c r="A26" s="5">
        <v>20</v>
      </c>
      <c r="B26" s="6" t="s">
        <v>103</v>
      </c>
      <c r="C26" s="6" t="s">
        <v>104</v>
      </c>
      <c r="D26" s="6" t="s">
        <v>78</v>
      </c>
      <c r="E26" s="7">
        <v>2155766</v>
      </c>
      <c r="F26" s="8">
        <v>12023.784865</v>
      </c>
      <c r="G26" s="9">
        <v>1.8317283E-2</v>
      </c>
      <c r="H26" s="156"/>
    </row>
    <row r="27" spans="1:8" x14ac:dyDescent="0.2">
      <c r="A27" s="5">
        <v>21</v>
      </c>
      <c r="B27" s="6" t="s">
        <v>325</v>
      </c>
      <c r="C27" s="6" t="s">
        <v>326</v>
      </c>
      <c r="D27" s="6" t="s">
        <v>978</v>
      </c>
      <c r="E27" s="7">
        <v>6700000</v>
      </c>
      <c r="F27" s="8">
        <v>11926</v>
      </c>
      <c r="G27" s="9">
        <v>1.8168316E-2</v>
      </c>
      <c r="H27" s="156"/>
    </row>
    <row r="28" spans="1:8" x14ac:dyDescent="0.2">
      <c r="A28" s="5">
        <v>22</v>
      </c>
      <c r="B28" s="6" t="s">
        <v>327</v>
      </c>
      <c r="C28" s="6" t="s">
        <v>328</v>
      </c>
      <c r="D28" s="6" t="s">
        <v>196</v>
      </c>
      <c r="E28" s="7">
        <v>587800</v>
      </c>
      <c r="F28" s="8">
        <v>11911.1792</v>
      </c>
      <c r="G28" s="9">
        <v>1.8145736999999999E-2</v>
      </c>
      <c r="H28" s="156"/>
    </row>
    <row r="29" spans="1:8" x14ac:dyDescent="0.2">
      <c r="A29" s="5">
        <v>23</v>
      </c>
      <c r="B29" s="6" t="s">
        <v>329</v>
      </c>
      <c r="C29" s="6" t="s">
        <v>330</v>
      </c>
      <c r="D29" s="6" t="s">
        <v>191</v>
      </c>
      <c r="E29" s="7">
        <v>344048</v>
      </c>
      <c r="F29" s="8">
        <v>11847.980976000001</v>
      </c>
      <c r="G29" s="9">
        <v>1.804946E-2</v>
      </c>
      <c r="H29" s="156"/>
    </row>
    <row r="30" spans="1:8" x14ac:dyDescent="0.2">
      <c r="A30" s="5">
        <v>24</v>
      </c>
      <c r="B30" s="6" t="s">
        <v>331</v>
      </c>
      <c r="C30" s="6" t="s">
        <v>332</v>
      </c>
      <c r="D30" s="6" t="s">
        <v>155</v>
      </c>
      <c r="E30" s="7">
        <v>162707</v>
      </c>
      <c r="F30" s="8">
        <v>11838.073199</v>
      </c>
      <c r="G30" s="9">
        <v>1.8034366E-2</v>
      </c>
      <c r="H30" s="156"/>
    </row>
    <row r="31" spans="1:8" x14ac:dyDescent="0.2">
      <c r="A31" s="5">
        <v>25</v>
      </c>
      <c r="B31" s="6" t="s">
        <v>333</v>
      </c>
      <c r="C31" s="6" t="s">
        <v>334</v>
      </c>
      <c r="D31" s="6" t="s">
        <v>54</v>
      </c>
      <c r="E31" s="7">
        <v>2945588</v>
      </c>
      <c r="F31" s="8">
        <v>11707.239506</v>
      </c>
      <c r="G31" s="9">
        <v>1.7835051000000001E-2</v>
      </c>
      <c r="H31" s="156"/>
    </row>
    <row r="32" spans="1:8" x14ac:dyDescent="0.2">
      <c r="A32" s="5">
        <v>26</v>
      </c>
      <c r="B32" s="6" t="s">
        <v>335</v>
      </c>
      <c r="C32" s="6" t="s">
        <v>336</v>
      </c>
      <c r="D32" s="6" t="s">
        <v>196</v>
      </c>
      <c r="E32" s="7">
        <v>341452</v>
      </c>
      <c r="F32" s="8">
        <v>11692.340835999999</v>
      </c>
      <c r="G32" s="9">
        <v>1.7812353999999999E-2</v>
      </c>
      <c r="H32" s="156"/>
    </row>
    <row r="33" spans="1:8" x14ac:dyDescent="0.2">
      <c r="A33" s="5">
        <v>27</v>
      </c>
      <c r="B33" s="6" t="s">
        <v>208</v>
      </c>
      <c r="C33" s="6" t="s">
        <v>209</v>
      </c>
      <c r="D33" s="6" t="s">
        <v>976</v>
      </c>
      <c r="E33" s="7">
        <v>1415997</v>
      </c>
      <c r="F33" s="8">
        <v>11582.147461500001</v>
      </c>
      <c r="G33" s="9">
        <v>1.7644482999999999E-2</v>
      </c>
      <c r="H33" s="156"/>
    </row>
    <row r="34" spans="1:8" x14ac:dyDescent="0.2">
      <c r="A34" s="5">
        <v>28</v>
      </c>
      <c r="B34" s="6" t="s">
        <v>337</v>
      </c>
      <c r="C34" s="6" t="s">
        <v>338</v>
      </c>
      <c r="D34" s="6" t="s">
        <v>166</v>
      </c>
      <c r="E34" s="7">
        <v>2426123</v>
      </c>
      <c r="F34" s="8">
        <v>11402.7781</v>
      </c>
      <c r="G34" s="9">
        <v>1.7371227999999999E-2</v>
      </c>
      <c r="H34" s="156"/>
    </row>
    <row r="35" spans="1:8" x14ac:dyDescent="0.2">
      <c r="A35" s="5">
        <v>29</v>
      </c>
      <c r="B35" s="6" t="s">
        <v>339</v>
      </c>
      <c r="C35" s="6" t="s">
        <v>340</v>
      </c>
      <c r="D35" s="6" t="s">
        <v>68</v>
      </c>
      <c r="E35" s="7">
        <v>1629770</v>
      </c>
      <c r="F35" s="8">
        <v>11381.498795</v>
      </c>
      <c r="G35" s="9">
        <v>1.7338810999999999E-2</v>
      </c>
      <c r="H35" s="156"/>
    </row>
    <row r="36" spans="1:8" x14ac:dyDescent="0.2">
      <c r="A36" s="5">
        <v>30</v>
      </c>
      <c r="B36" s="6" t="s">
        <v>341</v>
      </c>
      <c r="C36" s="6" t="s">
        <v>342</v>
      </c>
      <c r="D36" s="6" t="s">
        <v>191</v>
      </c>
      <c r="E36" s="7">
        <v>13981</v>
      </c>
      <c r="F36" s="8">
        <v>11195.914895</v>
      </c>
      <c r="G36" s="9">
        <v>1.7056089E-2</v>
      </c>
      <c r="H36" s="156"/>
    </row>
    <row r="37" spans="1:8" x14ac:dyDescent="0.2">
      <c r="A37" s="5">
        <v>31</v>
      </c>
      <c r="B37" s="6" t="s">
        <v>343</v>
      </c>
      <c r="C37" s="6" t="s">
        <v>344</v>
      </c>
      <c r="D37" s="6" t="s">
        <v>345</v>
      </c>
      <c r="E37" s="7">
        <v>1300000</v>
      </c>
      <c r="F37" s="8">
        <v>11048.05</v>
      </c>
      <c r="G37" s="9">
        <v>1.6830827999999999E-2</v>
      </c>
      <c r="H37" s="156"/>
    </row>
    <row r="38" spans="1:8" x14ac:dyDescent="0.2">
      <c r="A38" s="5">
        <v>32</v>
      </c>
      <c r="B38" s="6" t="s">
        <v>346</v>
      </c>
      <c r="C38" s="6" t="s">
        <v>347</v>
      </c>
      <c r="D38" s="6" t="s">
        <v>22</v>
      </c>
      <c r="E38" s="7">
        <v>12521988</v>
      </c>
      <c r="F38" s="8">
        <v>10756.387692</v>
      </c>
      <c r="G38" s="9">
        <v>1.6386504E-2</v>
      </c>
      <c r="H38" s="156"/>
    </row>
    <row r="39" spans="1:8" x14ac:dyDescent="0.2">
      <c r="A39" s="5">
        <v>33</v>
      </c>
      <c r="B39" s="6" t="s">
        <v>348</v>
      </c>
      <c r="C39" s="6" t="s">
        <v>349</v>
      </c>
      <c r="D39" s="6" t="s">
        <v>28</v>
      </c>
      <c r="E39" s="7">
        <v>1410000</v>
      </c>
      <c r="F39" s="8">
        <v>10742.79</v>
      </c>
      <c r="G39" s="9">
        <v>1.6365788999999999E-2</v>
      </c>
      <c r="H39" s="156"/>
    </row>
    <row r="40" spans="1:8" x14ac:dyDescent="0.2">
      <c r="A40" s="5">
        <v>34</v>
      </c>
      <c r="B40" s="6" t="s">
        <v>350</v>
      </c>
      <c r="C40" s="6" t="s">
        <v>351</v>
      </c>
      <c r="D40" s="6" t="s">
        <v>974</v>
      </c>
      <c r="E40" s="7">
        <v>1646891</v>
      </c>
      <c r="F40" s="8">
        <v>10555.747864499999</v>
      </c>
      <c r="G40" s="9">
        <v>1.6080845E-2</v>
      </c>
      <c r="H40" s="156"/>
    </row>
    <row r="41" spans="1:8" x14ac:dyDescent="0.2">
      <c r="A41" s="5">
        <v>35</v>
      </c>
      <c r="B41" s="6" t="s">
        <v>352</v>
      </c>
      <c r="C41" s="6" t="s">
        <v>353</v>
      </c>
      <c r="D41" s="6" t="s">
        <v>22</v>
      </c>
      <c r="E41" s="7">
        <v>6263179</v>
      </c>
      <c r="F41" s="8">
        <v>10434.456214</v>
      </c>
      <c r="G41" s="9">
        <v>1.5896067E-2</v>
      </c>
      <c r="H41" s="156"/>
    </row>
    <row r="42" spans="1:8" x14ac:dyDescent="0.2">
      <c r="A42" s="5">
        <v>36</v>
      </c>
      <c r="B42" s="6" t="s">
        <v>33</v>
      </c>
      <c r="C42" s="6" t="s">
        <v>34</v>
      </c>
      <c r="D42" s="6" t="s">
        <v>35</v>
      </c>
      <c r="E42" s="7">
        <v>24800</v>
      </c>
      <c r="F42" s="8">
        <v>10374.174800000001</v>
      </c>
      <c r="G42" s="9">
        <v>1.5804233000000001E-2</v>
      </c>
      <c r="H42" s="156"/>
    </row>
    <row r="43" spans="1:8" x14ac:dyDescent="0.2">
      <c r="A43" s="5">
        <v>37</v>
      </c>
      <c r="B43" s="6" t="s">
        <v>354</v>
      </c>
      <c r="C43" s="6" t="s">
        <v>355</v>
      </c>
      <c r="D43" s="6" t="s">
        <v>236</v>
      </c>
      <c r="E43" s="7">
        <v>1116078</v>
      </c>
      <c r="F43" s="8">
        <v>10054.746702</v>
      </c>
      <c r="G43" s="9">
        <v>1.5317608999999999E-2</v>
      </c>
      <c r="H43" s="156"/>
    </row>
    <row r="44" spans="1:8" x14ac:dyDescent="0.2">
      <c r="A44" s="5">
        <v>38</v>
      </c>
      <c r="B44" s="6" t="s">
        <v>356</v>
      </c>
      <c r="C44" s="6" t="s">
        <v>357</v>
      </c>
      <c r="D44" s="6" t="s">
        <v>22</v>
      </c>
      <c r="E44" s="7">
        <v>1308489</v>
      </c>
      <c r="F44" s="8">
        <v>9791.4231870000003</v>
      </c>
      <c r="G44" s="9">
        <v>1.4916456999999999E-2</v>
      </c>
      <c r="H44" s="156"/>
    </row>
    <row r="45" spans="1:8" x14ac:dyDescent="0.2">
      <c r="A45" s="5">
        <v>39</v>
      </c>
      <c r="B45" s="6" t="s">
        <v>90</v>
      </c>
      <c r="C45" s="6" t="s">
        <v>91</v>
      </c>
      <c r="D45" s="6" t="s">
        <v>92</v>
      </c>
      <c r="E45" s="7">
        <v>7942374</v>
      </c>
      <c r="F45" s="8">
        <v>9737.3505239999995</v>
      </c>
      <c r="G45" s="9">
        <v>1.4834082E-2</v>
      </c>
      <c r="H45" s="156"/>
    </row>
    <row r="46" spans="1:8" x14ac:dyDescent="0.2">
      <c r="A46" s="5">
        <v>40</v>
      </c>
      <c r="B46" s="6" t="s">
        <v>358</v>
      </c>
      <c r="C46" s="6" t="s">
        <v>359</v>
      </c>
      <c r="D46" s="6" t="s">
        <v>63</v>
      </c>
      <c r="E46" s="7">
        <v>217254</v>
      </c>
      <c r="F46" s="8">
        <v>9604.9079669999992</v>
      </c>
      <c r="G46" s="9">
        <v>1.4632315999999999E-2</v>
      </c>
      <c r="H46" s="156"/>
    </row>
    <row r="47" spans="1:8" x14ac:dyDescent="0.2">
      <c r="A47" s="5">
        <v>41</v>
      </c>
      <c r="B47" s="6" t="s">
        <v>360</v>
      </c>
      <c r="C47" s="6" t="s">
        <v>361</v>
      </c>
      <c r="D47" s="6" t="s">
        <v>155</v>
      </c>
      <c r="E47" s="7">
        <v>1006398</v>
      </c>
      <c r="F47" s="8">
        <v>8773.2745649999997</v>
      </c>
      <c r="G47" s="9">
        <v>1.3365388000000001E-2</v>
      </c>
      <c r="H47" s="156"/>
    </row>
    <row r="48" spans="1:8" x14ac:dyDescent="0.2">
      <c r="A48" s="5">
        <v>42</v>
      </c>
      <c r="B48" s="6" t="s">
        <v>362</v>
      </c>
      <c r="C48" s="6" t="s">
        <v>363</v>
      </c>
      <c r="D48" s="6" t="s">
        <v>166</v>
      </c>
      <c r="E48" s="7">
        <v>604808</v>
      </c>
      <c r="F48" s="8">
        <v>8120.4546120000005</v>
      </c>
      <c r="G48" s="9">
        <v>1.2370869E-2</v>
      </c>
      <c r="H48" s="156"/>
    </row>
    <row r="49" spans="1:8" x14ac:dyDescent="0.2">
      <c r="A49" s="5">
        <v>43</v>
      </c>
      <c r="B49" s="6" t="s">
        <v>364</v>
      </c>
      <c r="C49" s="6" t="s">
        <v>365</v>
      </c>
      <c r="D49" s="6" t="s">
        <v>63</v>
      </c>
      <c r="E49" s="7">
        <v>358770</v>
      </c>
      <c r="F49" s="8">
        <v>8020.3033500000001</v>
      </c>
      <c r="G49" s="9">
        <v>1.2218296E-2</v>
      </c>
      <c r="H49" s="156"/>
    </row>
    <row r="50" spans="1:8" x14ac:dyDescent="0.2">
      <c r="A50" s="5">
        <v>44</v>
      </c>
      <c r="B50" s="6" t="s">
        <v>366</v>
      </c>
      <c r="C50" s="6" t="s">
        <v>367</v>
      </c>
      <c r="D50" s="6" t="s">
        <v>63</v>
      </c>
      <c r="E50" s="7">
        <v>9431634</v>
      </c>
      <c r="F50" s="8">
        <v>7380.2536049999999</v>
      </c>
      <c r="G50" s="9">
        <v>1.1243230999999999E-2</v>
      </c>
      <c r="H50" s="156"/>
    </row>
    <row r="51" spans="1:8" x14ac:dyDescent="0.2">
      <c r="A51" s="5">
        <v>45</v>
      </c>
      <c r="B51" s="6" t="s">
        <v>368</v>
      </c>
      <c r="C51" s="6" t="s">
        <v>369</v>
      </c>
      <c r="D51" s="6" t="s">
        <v>169</v>
      </c>
      <c r="E51" s="7">
        <v>745534</v>
      </c>
      <c r="F51" s="8">
        <v>7332.3268900000003</v>
      </c>
      <c r="G51" s="9">
        <v>1.1170219E-2</v>
      </c>
      <c r="H51" s="156"/>
    </row>
    <row r="52" spans="1:8" x14ac:dyDescent="0.2">
      <c r="A52" s="5">
        <v>46</v>
      </c>
      <c r="B52" s="6" t="s">
        <v>370</v>
      </c>
      <c r="C52" s="6" t="s">
        <v>371</v>
      </c>
      <c r="D52" s="6" t="s">
        <v>22</v>
      </c>
      <c r="E52" s="7">
        <v>13425645</v>
      </c>
      <c r="F52" s="8">
        <v>7276.6995900000002</v>
      </c>
      <c r="G52" s="9">
        <v>1.1085474999999999E-2</v>
      </c>
      <c r="H52" s="156"/>
    </row>
    <row r="53" spans="1:8" x14ac:dyDescent="0.2">
      <c r="A53" s="5">
        <v>47</v>
      </c>
      <c r="B53" s="6" t="s">
        <v>372</v>
      </c>
      <c r="C53" s="6" t="s">
        <v>373</v>
      </c>
      <c r="D53" s="6" t="s">
        <v>166</v>
      </c>
      <c r="E53" s="7">
        <v>262342</v>
      </c>
      <c r="F53" s="8">
        <v>7115.764408</v>
      </c>
      <c r="G53" s="9">
        <v>1.0840303000000001E-2</v>
      </c>
      <c r="H53" s="156"/>
    </row>
    <row r="54" spans="1:8" x14ac:dyDescent="0.2">
      <c r="A54" s="5">
        <v>48</v>
      </c>
      <c r="B54" s="6" t="s">
        <v>374</v>
      </c>
      <c r="C54" s="6" t="s">
        <v>375</v>
      </c>
      <c r="D54" s="6" t="s">
        <v>169</v>
      </c>
      <c r="E54" s="7">
        <v>236000</v>
      </c>
      <c r="F54" s="8">
        <v>6851.3159999999998</v>
      </c>
      <c r="G54" s="9">
        <v>1.0437437000000001E-2</v>
      </c>
      <c r="H54" s="156"/>
    </row>
    <row r="55" spans="1:8" ht="25.5" x14ac:dyDescent="0.2">
      <c r="A55" s="5">
        <v>49</v>
      </c>
      <c r="B55" s="6" t="s">
        <v>376</v>
      </c>
      <c r="C55" s="6" t="s">
        <v>377</v>
      </c>
      <c r="D55" s="6" t="s">
        <v>68</v>
      </c>
      <c r="E55" s="7">
        <v>320020</v>
      </c>
      <c r="F55" s="8">
        <v>6508.7267700000002</v>
      </c>
      <c r="G55" s="9">
        <v>9.9155289999999993E-3</v>
      </c>
      <c r="H55" s="156"/>
    </row>
    <row r="56" spans="1:8" x14ac:dyDescent="0.2">
      <c r="A56" s="5">
        <v>50</v>
      </c>
      <c r="B56" s="6" t="s">
        <v>262</v>
      </c>
      <c r="C56" s="6" t="s">
        <v>263</v>
      </c>
      <c r="D56" s="6" t="s">
        <v>975</v>
      </c>
      <c r="E56" s="7">
        <v>2545639</v>
      </c>
      <c r="F56" s="8">
        <v>6365.3703194999998</v>
      </c>
      <c r="G56" s="9">
        <v>9.6971369999999998E-3</v>
      </c>
      <c r="H56" s="156"/>
    </row>
    <row r="57" spans="1:8" x14ac:dyDescent="0.2">
      <c r="A57" s="5">
        <v>51</v>
      </c>
      <c r="B57" s="6" t="s">
        <v>378</v>
      </c>
      <c r="C57" s="6" t="s">
        <v>379</v>
      </c>
      <c r="D57" s="6" t="s">
        <v>73</v>
      </c>
      <c r="E57" s="7">
        <v>690170</v>
      </c>
      <c r="F57" s="8">
        <v>5206.6424800000004</v>
      </c>
      <c r="G57" s="9">
        <v>7.9319070000000002E-3</v>
      </c>
      <c r="H57" s="156"/>
    </row>
    <row r="58" spans="1:8" x14ac:dyDescent="0.2">
      <c r="A58" s="5">
        <v>52</v>
      </c>
      <c r="B58" s="6" t="s">
        <v>380</v>
      </c>
      <c r="C58" s="6" t="s">
        <v>381</v>
      </c>
      <c r="D58" s="6" t="s">
        <v>191</v>
      </c>
      <c r="E58" s="7">
        <v>680000</v>
      </c>
      <c r="F58" s="8">
        <v>5066.34</v>
      </c>
      <c r="G58" s="9">
        <v>7.7181669999999997E-3</v>
      </c>
      <c r="H58" s="156"/>
    </row>
    <row r="59" spans="1:8" x14ac:dyDescent="0.2">
      <c r="A59" s="5">
        <v>53</v>
      </c>
      <c r="B59" s="6" t="s">
        <v>382</v>
      </c>
      <c r="C59" s="6" t="s">
        <v>383</v>
      </c>
      <c r="D59" s="6" t="s">
        <v>40</v>
      </c>
      <c r="E59" s="7">
        <v>357033</v>
      </c>
      <c r="F59" s="8">
        <v>4990.607274</v>
      </c>
      <c r="G59" s="9">
        <v>7.6027949999999999E-3</v>
      </c>
      <c r="H59" s="156"/>
    </row>
    <row r="60" spans="1:8" x14ac:dyDescent="0.2">
      <c r="A60" s="5">
        <v>54</v>
      </c>
      <c r="B60" s="6" t="s">
        <v>101</v>
      </c>
      <c r="C60" s="6" t="s">
        <v>102</v>
      </c>
      <c r="D60" s="6" t="s">
        <v>972</v>
      </c>
      <c r="E60" s="7">
        <v>250213</v>
      </c>
      <c r="F60" s="8">
        <v>4731.9031494999999</v>
      </c>
      <c r="G60" s="9">
        <v>7.208679E-3</v>
      </c>
      <c r="H60" s="156"/>
    </row>
    <row r="61" spans="1:8" x14ac:dyDescent="0.2">
      <c r="A61" s="5">
        <v>55</v>
      </c>
      <c r="B61" s="6" t="s">
        <v>384</v>
      </c>
      <c r="C61" s="6" t="s">
        <v>385</v>
      </c>
      <c r="D61" s="6" t="s">
        <v>169</v>
      </c>
      <c r="E61" s="7">
        <v>210807</v>
      </c>
      <c r="F61" s="8">
        <v>4499.0429940000004</v>
      </c>
      <c r="G61" s="9">
        <v>6.8539350000000002E-3</v>
      </c>
      <c r="H61" s="156"/>
    </row>
    <row r="62" spans="1:8" x14ac:dyDescent="0.2">
      <c r="A62" s="5">
        <v>56</v>
      </c>
      <c r="B62" s="6" t="s">
        <v>386</v>
      </c>
      <c r="C62" s="6" t="s">
        <v>387</v>
      </c>
      <c r="D62" s="6" t="s">
        <v>971</v>
      </c>
      <c r="E62" s="7">
        <v>33061</v>
      </c>
      <c r="F62" s="8">
        <v>4003.3730205000002</v>
      </c>
      <c r="G62" s="9">
        <v>6.0988209999999999E-3</v>
      </c>
      <c r="H62" s="156"/>
    </row>
    <row r="63" spans="1:8" x14ac:dyDescent="0.2">
      <c r="A63" s="5">
        <v>57</v>
      </c>
      <c r="B63" s="6" t="s">
        <v>388</v>
      </c>
      <c r="C63" s="6" t="s">
        <v>389</v>
      </c>
      <c r="D63" s="6" t="s">
        <v>166</v>
      </c>
      <c r="E63" s="7">
        <v>2514043</v>
      </c>
      <c r="F63" s="8">
        <v>3949.561553</v>
      </c>
      <c r="G63" s="9">
        <v>6.0168440000000004E-3</v>
      </c>
      <c r="H63" s="156"/>
    </row>
    <row r="64" spans="1:8" x14ac:dyDescent="0.2">
      <c r="A64" s="5">
        <v>58</v>
      </c>
      <c r="B64" s="6" t="s">
        <v>192</v>
      </c>
      <c r="C64" s="6" t="s">
        <v>193</v>
      </c>
      <c r="D64" s="6" t="s">
        <v>196</v>
      </c>
      <c r="E64" s="7">
        <v>427848</v>
      </c>
      <c r="F64" s="8">
        <v>2946.3752519999998</v>
      </c>
      <c r="G64" s="9">
        <v>4.4885690000000004E-3</v>
      </c>
      <c r="H64" s="156"/>
    </row>
    <row r="65" spans="1:8" x14ac:dyDescent="0.2">
      <c r="A65" s="5">
        <v>59</v>
      </c>
      <c r="B65" s="6" t="s">
        <v>390</v>
      </c>
      <c r="C65" s="6" t="s">
        <v>391</v>
      </c>
      <c r="D65" s="6" t="s">
        <v>78</v>
      </c>
      <c r="E65" s="7">
        <v>757412</v>
      </c>
      <c r="F65" s="8">
        <v>2525.2116080000001</v>
      </c>
      <c r="G65" s="9">
        <v>3.84696E-3</v>
      </c>
      <c r="H65" s="156"/>
    </row>
    <row r="66" spans="1:8" ht="25.5" x14ac:dyDescent="0.2">
      <c r="A66" s="5">
        <v>60</v>
      </c>
      <c r="B66" s="6" t="s">
        <v>394</v>
      </c>
      <c r="C66" s="6" t="s">
        <v>1015</v>
      </c>
      <c r="D66" s="6" t="s">
        <v>345</v>
      </c>
      <c r="E66" s="7">
        <v>1200000</v>
      </c>
      <c r="F66" s="8">
        <v>2223.6</v>
      </c>
      <c r="G66" s="9">
        <v>3.3874780000000002E-3</v>
      </c>
      <c r="H66" s="156"/>
    </row>
    <row r="67" spans="1:8" x14ac:dyDescent="0.2">
      <c r="A67" s="5">
        <v>61</v>
      </c>
      <c r="B67" s="6" t="s">
        <v>212</v>
      </c>
      <c r="C67" s="6" t="s">
        <v>213</v>
      </c>
      <c r="D67" s="6" t="s">
        <v>28</v>
      </c>
      <c r="E67" s="7">
        <v>48014</v>
      </c>
      <c r="F67" s="8">
        <v>705.49370899999997</v>
      </c>
      <c r="G67" s="9">
        <v>1.074764E-3</v>
      </c>
      <c r="H67" s="156"/>
    </row>
    <row r="68" spans="1:8" x14ac:dyDescent="0.2">
      <c r="A68" s="5">
        <v>62</v>
      </c>
      <c r="B68" s="6" t="s">
        <v>392</v>
      </c>
      <c r="C68" s="6" t="s">
        <v>393</v>
      </c>
      <c r="D68" s="6" t="s">
        <v>191</v>
      </c>
      <c r="E68" s="7">
        <v>9605</v>
      </c>
      <c r="F68" s="8">
        <v>662.59132</v>
      </c>
      <c r="G68" s="9">
        <v>1.0094049999999999E-3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0">
        <v>647458.0878379998</v>
      </c>
      <c r="G69" s="11">
        <v>0.98635106600000022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106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107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111</v>
      </c>
      <c r="D77" s="3" t="s">
        <v>9</v>
      </c>
      <c r="E77" s="3" t="s">
        <v>9</v>
      </c>
      <c r="F77" s="3" t="s">
        <v>9</v>
      </c>
      <c r="G77" s="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0">
        <v>0</v>
      </c>
      <c r="G78" s="11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112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113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114</v>
      </c>
      <c r="D86" s="3" t="s">
        <v>9</v>
      </c>
      <c r="E86" s="3" t="s">
        <v>9</v>
      </c>
      <c r="F86" s="10">
        <v>647458.0878379998</v>
      </c>
      <c r="G86" s="11">
        <v>0.98635106600000022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115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116</v>
      </c>
      <c r="D92" s="3" t="s">
        <v>9</v>
      </c>
      <c r="E92" s="3" t="s">
        <v>9</v>
      </c>
      <c r="F92" s="3" t="s">
        <v>9</v>
      </c>
      <c r="G92" s="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117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118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119</v>
      </c>
      <c r="D101" s="3" t="s">
        <v>9</v>
      </c>
      <c r="E101" s="3" t="s">
        <v>9</v>
      </c>
      <c r="F101" s="10">
        <v>0</v>
      </c>
      <c r="G101" s="11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120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121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122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123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105</v>
      </c>
      <c r="D111" s="3" t="s">
        <v>9</v>
      </c>
      <c r="E111" s="3" t="s">
        <v>9</v>
      </c>
      <c r="F111" s="14">
        <v>0</v>
      </c>
      <c r="G111" s="15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124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5">
        <v>1</v>
      </c>
      <c r="B114" s="6"/>
      <c r="C114" s="6" t="s">
        <v>125</v>
      </c>
      <c r="D114" s="6"/>
      <c r="E114" s="16" t="s">
        <v>9</v>
      </c>
      <c r="F114" s="8">
        <v>7503.2750701000004</v>
      </c>
      <c r="G114" s="9">
        <v>1.1430645E-2</v>
      </c>
      <c r="H114" s="8">
        <v>3.3326163573085874</v>
      </c>
    </row>
    <row r="115" spans="1:8" x14ac:dyDescent="0.2">
      <c r="A115" s="5">
        <v>2</v>
      </c>
      <c r="B115" s="6"/>
      <c r="C115" s="6" t="s">
        <v>126</v>
      </c>
      <c r="D115" s="6"/>
      <c r="E115" s="16" t="s">
        <v>9</v>
      </c>
      <c r="F115" s="8">
        <v>5359.2058929000004</v>
      </c>
      <c r="G115" s="9">
        <v>8.1643250000000001E-3</v>
      </c>
      <c r="H115" s="8">
        <v>3.2337849550915885</v>
      </c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0">
        <v>12862.480963</v>
      </c>
      <c r="G116" s="11">
        <v>1.959497E-2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127</v>
      </c>
      <c r="D118" s="3" t="s">
        <v>9</v>
      </c>
      <c r="E118" s="3" t="s">
        <v>9</v>
      </c>
      <c r="F118" s="10">
        <v>12862.480963</v>
      </c>
      <c r="G118" s="11">
        <v>1.959497E-2</v>
      </c>
      <c r="H118" s="156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128</v>
      </c>
      <c r="D120" s="3" t="s">
        <v>9</v>
      </c>
      <c r="E120" s="3" t="s">
        <v>9</v>
      </c>
      <c r="F120" s="3" t="s">
        <v>9</v>
      </c>
      <c r="G120" s="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129</v>
      </c>
      <c r="D121" s="3" t="s">
        <v>9</v>
      </c>
      <c r="E121" s="3" t="s">
        <v>9</v>
      </c>
      <c r="F121" s="3" t="s">
        <v>9</v>
      </c>
      <c r="G121" s="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105</v>
      </c>
      <c r="D122" s="3" t="s">
        <v>9</v>
      </c>
      <c r="E122" s="3" t="s">
        <v>9</v>
      </c>
      <c r="F122" s="14">
        <v>0</v>
      </c>
      <c r="G122" s="15">
        <v>0</v>
      </c>
      <c r="H122" s="156"/>
    </row>
    <row r="123" spans="1:8" x14ac:dyDescent="0.2">
      <c r="A123" s="3" t="s">
        <v>9</v>
      </c>
      <c r="B123" s="3" t="s">
        <v>9</v>
      </c>
      <c r="C123" s="12" t="s">
        <v>9</v>
      </c>
      <c r="D123" s="3" t="s">
        <v>9</v>
      </c>
      <c r="E123" s="3" t="s">
        <v>9</v>
      </c>
      <c r="F123" s="13" t="s">
        <v>9</v>
      </c>
      <c r="G123" s="1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130</v>
      </c>
      <c r="D124" s="3" t="s">
        <v>9</v>
      </c>
      <c r="E124" s="3" t="s">
        <v>9</v>
      </c>
      <c r="F124" s="3" t="s">
        <v>9</v>
      </c>
      <c r="G124" s="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131</v>
      </c>
      <c r="D125" s="3" t="s">
        <v>9</v>
      </c>
      <c r="E125" s="3" t="s">
        <v>9</v>
      </c>
      <c r="F125" s="3" t="s">
        <v>9</v>
      </c>
      <c r="G125" s="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105</v>
      </c>
      <c r="D126" s="3" t="s">
        <v>9</v>
      </c>
      <c r="E126" s="3" t="s">
        <v>9</v>
      </c>
      <c r="F126" s="14">
        <v>0</v>
      </c>
      <c r="G126" s="15">
        <v>0</v>
      </c>
      <c r="H126" s="156"/>
    </row>
    <row r="127" spans="1:8" x14ac:dyDescent="0.2">
      <c r="A127" s="3" t="s">
        <v>9</v>
      </c>
      <c r="B127" s="3" t="s">
        <v>9</v>
      </c>
      <c r="C127" s="12" t="s">
        <v>9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12" t="s">
        <v>9</v>
      </c>
      <c r="D128" s="3" t="s">
        <v>9</v>
      </c>
      <c r="E128" s="3" t="s">
        <v>9</v>
      </c>
      <c r="F128" s="13" t="s">
        <v>9</v>
      </c>
      <c r="G128" s="1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132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105</v>
      </c>
      <c r="D130" s="3" t="s">
        <v>9</v>
      </c>
      <c r="E130" s="3" t="s">
        <v>9</v>
      </c>
      <c r="F130" s="14">
        <v>0</v>
      </c>
      <c r="G130" s="15">
        <v>0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6" t="s">
        <v>9</v>
      </c>
      <c r="C132" s="6" t="s">
        <v>9</v>
      </c>
      <c r="D132" s="4" t="s">
        <v>9</v>
      </c>
      <c r="E132" s="3" t="s">
        <v>9</v>
      </c>
      <c r="F132" s="6" t="s">
        <v>9</v>
      </c>
      <c r="G132" s="16" t="s">
        <v>9</v>
      </c>
      <c r="H132" s="156"/>
    </row>
    <row r="133" spans="1:8" x14ac:dyDescent="0.2">
      <c r="A133" s="16" t="s">
        <v>9</v>
      </c>
      <c r="B133" s="6" t="s">
        <v>9</v>
      </c>
      <c r="C133" s="6" t="s">
        <v>133</v>
      </c>
      <c r="D133" s="6" t="s">
        <v>9</v>
      </c>
      <c r="E133" s="16" t="s">
        <v>9</v>
      </c>
      <c r="F133" s="8">
        <v>-3903.0826441200002</v>
      </c>
      <c r="G133" s="9">
        <v>-5.9460370000000004E-3</v>
      </c>
      <c r="H133" s="156"/>
    </row>
    <row r="134" spans="1:8" x14ac:dyDescent="0.2">
      <c r="A134" s="12" t="s">
        <v>9</v>
      </c>
      <c r="B134" s="12" t="s">
        <v>9</v>
      </c>
      <c r="C134" s="4" t="s">
        <v>134</v>
      </c>
      <c r="D134" s="17" t="s">
        <v>9</v>
      </c>
      <c r="E134" s="17" t="s">
        <v>9</v>
      </c>
      <c r="F134" s="10">
        <v>656417.48615687981</v>
      </c>
      <c r="G134" s="11">
        <v>0.99999999900000036</v>
      </c>
      <c r="H134" s="156"/>
    </row>
    <row r="135" spans="1:8" ht="14.1" customHeight="1" x14ac:dyDescent="0.2">
      <c r="A135" s="18" t="s">
        <v>9</v>
      </c>
      <c r="B135" s="18" t="s">
        <v>9</v>
      </c>
      <c r="C135" s="18" t="s">
        <v>9</v>
      </c>
      <c r="D135" s="19" t="s">
        <v>9</v>
      </c>
      <c r="E135" s="19" t="s">
        <v>9</v>
      </c>
      <c r="F135" s="19" t="s">
        <v>9</v>
      </c>
      <c r="G135" s="19" t="s">
        <v>9</v>
      </c>
    </row>
    <row r="136" spans="1:8" ht="14.1" customHeight="1" x14ac:dyDescent="0.2">
      <c r="A136" s="20" t="s">
        <v>9</v>
      </c>
      <c r="B136" s="200" t="s">
        <v>9</v>
      </c>
      <c r="C136" s="200"/>
      <c r="D136" s="200"/>
      <c r="E136" s="200"/>
      <c r="F136" s="200"/>
      <c r="G136" s="22" t="s">
        <v>9</v>
      </c>
    </row>
    <row r="137" spans="1:8" ht="14.1" customHeight="1" x14ac:dyDescent="0.2">
      <c r="A137" s="20" t="s">
        <v>9</v>
      </c>
      <c r="B137" s="200" t="s">
        <v>9</v>
      </c>
      <c r="C137" s="200"/>
      <c r="D137" s="200"/>
      <c r="E137" s="200"/>
      <c r="F137" s="200"/>
      <c r="G137" s="22" t="s">
        <v>9</v>
      </c>
    </row>
    <row r="138" spans="1:8" ht="14.1" customHeight="1" x14ac:dyDescent="0.2">
      <c r="A138" s="20" t="s">
        <v>9</v>
      </c>
      <c r="B138" s="20" t="s">
        <v>9</v>
      </c>
      <c r="C138" s="20" t="s">
        <v>9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pans="1:8" ht="14.1" customHeight="1" x14ac:dyDescent="0.2">
      <c r="A139" s="20" t="s">
        <v>9</v>
      </c>
      <c r="B139" s="198" t="s">
        <v>136</v>
      </c>
      <c r="C139" s="199"/>
      <c r="D139" s="13" t="s">
        <v>9</v>
      </c>
      <c r="E139" s="23" t="s">
        <v>9</v>
      </c>
      <c r="F139" s="22" t="s">
        <v>9</v>
      </c>
      <c r="G139" s="22" t="s">
        <v>9</v>
      </c>
    </row>
    <row r="140" spans="1:8" ht="29.1" customHeight="1" x14ac:dyDescent="0.2">
      <c r="A140" s="20" t="s">
        <v>9</v>
      </c>
      <c r="B140" s="205" t="s">
        <v>137</v>
      </c>
      <c r="C140" s="206"/>
      <c r="D140" s="4" t="s">
        <v>138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05" t="s">
        <v>139</v>
      </c>
      <c r="C141" s="206"/>
      <c r="D141" s="4" t="s">
        <v>138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05" t="s">
        <v>140</v>
      </c>
      <c r="C142" s="206"/>
      <c r="D142" s="13" t="s">
        <v>9</v>
      </c>
      <c r="E142" s="23" t="s">
        <v>9</v>
      </c>
      <c r="F142" s="22" t="s">
        <v>9</v>
      </c>
      <c r="G142" s="22" t="s">
        <v>9</v>
      </c>
    </row>
    <row r="143" spans="1:8" ht="24" customHeight="1" x14ac:dyDescent="0.2">
      <c r="A143" s="24" t="s">
        <v>9</v>
      </c>
      <c r="B143" s="25" t="s">
        <v>9</v>
      </c>
      <c r="C143" s="25" t="s">
        <v>141</v>
      </c>
      <c r="D143" s="25" t="s">
        <v>142</v>
      </c>
      <c r="E143" s="24" t="s">
        <v>9</v>
      </c>
      <c r="F143" s="24" t="s">
        <v>9</v>
      </c>
      <c r="G143" s="24" t="s">
        <v>9</v>
      </c>
    </row>
    <row r="144" spans="1:8" ht="18" customHeight="1" x14ac:dyDescent="0.2">
      <c r="A144" s="24" t="s">
        <v>9</v>
      </c>
      <c r="B144" s="25" t="s">
        <v>143</v>
      </c>
      <c r="C144" s="25" t="s">
        <v>144</v>
      </c>
      <c r="D144" s="25" t="s">
        <v>145</v>
      </c>
      <c r="E144" s="24" t="s">
        <v>9</v>
      </c>
      <c r="F144" s="24" t="s">
        <v>9</v>
      </c>
      <c r="G144" s="24" t="s">
        <v>9</v>
      </c>
    </row>
    <row r="145" spans="1:7" ht="17.100000000000001" customHeight="1" x14ac:dyDescent="0.2">
      <c r="A145" s="24" t="s">
        <v>9</v>
      </c>
      <c r="B145" s="6" t="s">
        <v>146</v>
      </c>
      <c r="C145" s="26">
        <v>635.06510000000003</v>
      </c>
      <c r="D145" s="26">
        <v>669.00869999999998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839</v>
      </c>
      <c r="C146" s="26">
        <v>42.760100000000001</v>
      </c>
      <c r="D146" s="26">
        <v>41.972299999999997</v>
      </c>
      <c r="E146" s="24" t="s">
        <v>9</v>
      </c>
      <c r="F146" s="21" t="s">
        <v>9</v>
      </c>
      <c r="G146" s="27" t="s">
        <v>9</v>
      </c>
    </row>
    <row r="147" spans="1:7" ht="29.1" customHeight="1" x14ac:dyDescent="0.2">
      <c r="A147" s="24" t="s">
        <v>9</v>
      </c>
      <c r="B147" s="6" t="s">
        <v>396</v>
      </c>
      <c r="C147" s="26">
        <v>648.20619999999997</v>
      </c>
      <c r="D147" s="26">
        <v>682.85220000000004</v>
      </c>
      <c r="E147" s="24" t="s">
        <v>9</v>
      </c>
      <c r="F147" s="21" t="s">
        <v>9</v>
      </c>
      <c r="G147" s="27" t="s">
        <v>9</v>
      </c>
    </row>
    <row r="148" spans="1:7" ht="29.1" customHeight="1" x14ac:dyDescent="0.2">
      <c r="A148" s="24" t="s">
        <v>9</v>
      </c>
      <c r="B148" s="6" t="s">
        <v>1014</v>
      </c>
      <c r="C148" s="26">
        <v>36.852200000000003</v>
      </c>
      <c r="D148" s="26">
        <v>36.173900000000003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147</v>
      </c>
      <c r="C149" s="26">
        <v>602.44839999999999</v>
      </c>
      <c r="D149" s="26">
        <v>634.18910000000005</v>
      </c>
      <c r="E149" s="24" t="s">
        <v>9</v>
      </c>
      <c r="F149" s="21" t="s">
        <v>9</v>
      </c>
      <c r="G149" s="27" t="s">
        <v>9</v>
      </c>
    </row>
    <row r="150" spans="1:7" ht="17.100000000000001" customHeight="1" x14ac:dyDescent="0.2">
      <c r="A150" s="24" t="s">
        <v>9</v>
      </c>
      <c r="B150" s="6" t="s">
        <v>840</v>
      </c>
      <c r="C150" s="26">
        <v>39.997500000000002</v>
      </c>
      <c r="D150" s="26">
        <v>39.231699999999996</v>
      </c>
      <c r="E150" s="24" t="s">
        <v>9</v>
      </c>
      <c r="F150" s="21" t="s">
        <v>9</v>
      </c>
      <c r="G150" s="27" t="s">
        <v>9</v>
      </c>
    </row>
    <row r="151" spans="1:7" ht="14.1" customHeight="1" x14ac:dyDescent="0.2">
      <c r="A151" s="24" t="s">
        <v>9</v>
      </c>
      <c r="B151" s="24" t="s">
        <v>9</v>
      </c>
      <c r="C151" s="24" t="s">
        <v>9</v>
      </c>
      <c r="D151" s="24" t="s">
        <v>9</v>
      </c>
      <c r="E151" s="24" t="s">
        <v>9</v>
      </c>
      <c r="F151" s="24" t="s">
        <v>9</v>
      </c>
      <c r="G151" s="24" t="s">
        <v>9</v>
      </c>
    </row>
    <row r="152" spans="1:7" ht="29.1" customHeight="1" x14ac:dyDescent="0.2">
      <c r="A152" s="167" t="s">
        <v>9</v>
      </c>
      <c r="B152" s="207" t="s">
        <v>986</v>
      </c>
      <c r="C152" s="207"/>
      <c r="D152" s="160"/>
      <c r="E152" s="167" t="s">
        <v>9</v>
      </c>
      <c r="F152" s="167" t="s">
        <v>9</v>
      </c>
      <c r="G152" s="167" t="s">
        <v>9</v>
      </c>
    </row>
    <row r="153" spans="1:7" s="166" customFormat="1" ht="15" x14ac:dyDescent="0.2">
      <c r="A153" s="148" t="s">
        <v>9</v>
      </c>
      <c r="B153" s="161" t="s">
        <v>143</v>
      </c>
      <c r="C153" s="161" t="s">
        <v>878</v>
      </c>
      <c r="D153" s="161" t="s">
        <v>879</v>
      </c>
      <c r="E153" s="148" t="s">
        <v>9</v>
      </c>
      <c r="F153" s="148" t="s">
        <v>9</v>
      </c>
      <c r="G153" s="148" t="s">
        <v>9</v>
      </c>
    </row>
    <row r="154" spans="1:7" ht="17.100000000000001" customHeight="1" x14ac:dyDescent="0.2">
      <c r="A154" s="24" t="s">
        <v>9</v>
      </c>
      <c r="B154" s="162" t="s">
        <v>839</v>
      </c>
      <c r="C154" s="163">
        <v>3.073</v>
      </c>
      <c r="D154" s="163">
        <v>3.073</v>
      </c>
      <c r="E154" s="24" t="s">
        <v>9</v>
      </c>
      <c r="F154" s="21" t="s">
        <v>9</v>
      </c>
      <c r="G154" s="27" t="s">
        <v>9</v>
      </c>
    </row>
    <row r="155" spans="1:7" ht="29.1" customHeight="1" x14ac:dyDescent="0.2">
      <c r="A155" s="24" t="s">
        <v>9</v>
      </c>
      <c r="B155" s="162" t="s">
        <v>1014</v>
      </c>
      <c r="C155" s="163">
        <v>2.649</v>
      </c>
      <c r="D155" s="163">
        <v>0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162" t="s">
        <v>840</v>
      </c>
      <c r="C156" s="163">
        <v>2.8730000000000002</v>
      </c>
      <c r="D156" s="163">
        <v>2.8730000000000002</v>
      </c>
      <c r="E156" s="24" t="s">
        <v>9</v>
      </c>
      <c r="F156" s="21" t="s">
        <v>9</v>
      </c>
      <c r="G156" s="27" t="s">
        <v>9</v>
      </c>
    </row>
    <row r="157" spans="1:7" ht="14.1" customHeight="1" x14ac:dyDescent="0.2">
      <c r="A157" s="24" t="s">
        <v>9</v>
      </c>
      <c r="B157" s="21" t="s">
        <v>9</v>
      </c>
      <c r="C157" s="21" t="s">
        <v>9</v>
      </c>
      <c r="D157" s="24" t="s">
        <v>9</v>
      </c>
      <c r="E157" s="24" t="s">
        <v>9</v>
      </c>
      <c r="F157" s="24" t="s">
        <v>9</v>
      </c>
      <c r="G157" s="24" t="s">
        <v>9</v>
      </c>
    </row>
    <row r="158" spans="1:7" s="197" customFormat="1" x14ac:dyDescent="0.2">
      <c r="B158" s="208" t="s">
        <v>841</v>
      </c>
      <c r="C158" s="208"/>
      <c r="D158" s="208"/>
      <c r="E158" s="208"/>
      <c r="F158" s="208"/>
    </row>
    <row r="159" spans="1:7" ht="14.1" customHeight="1" x14ac:dyDescent="0.2">
      <c r="A159" s="24"/>
      <c r="B159" s="182"/>
      <c r="C159" s="182"/>
      <c r="D159" s="24"/>
      <c r="E159" s="24"/>
      <c r="F159" s="24"/>
      <c r="G159" s="24"/>
    </row>
    <row r="160" spans="1:7" ht="29.1" customHeight="1" x14ac:dyDescent="0.2">
      <c r="A160" s="24" t="s">
        <v>9</v>
      </c>
      <c r="B160" s="205" t="s">
        <v>148</v>
      </c>
      <c r="C160" s="206"/>
      <c r="D160" s="4" t="s">
        <v>138</v>
      </c>
      <c r="E160" s="24" t="s">
        <v>9</v>
      </c>
      <c r="F160" s="24" t="s">
        <v>9</v>
      </c>
      <c r="G160" s="24" t="s">
        <v>9</v>
      </c>
    </row>
    <row r="161" spans="1:7" ht="29.1" customHeight="1" x14ac:dyDescent="0.2">
      <c r="A161" s="24" t="s">
        <v>9</v>
      </c>
      <c r="B161" s="205" t="s">
        <v>149</v>
      </c>
      <c r="C161" s="206"/>
      <c r="D161" s="4" t="s">
        <v>138</v>
      </c>
      <c r="E161" s="24" t="s">
        <v>9</v>
      </c>
      <c r="F161" s="24" t="s">
        <v>9</v>
      </c>
      <c r="G161" s="24" t="s">
        <v>9</v>
      </c>
    </row>
    <row r="162" spans="1:7" ht="17.100000000000001" customHeight="1" x14ac:dyDescent="0.2">
      <c r="A162" s="24" t="s">
        <v>9</v>
      </c>
      <c r="B162" s="205" t="s">
        <v>150</v>
      </c>
      <c r="C162" s="206"/>
      <c r="D162" s="29">
        <v>0.58865867732552701</v>
      </c>
      <c r="E162" s="24" t="s">
        <v>9</v>
      </c>
      <c r="F162" s="21" t="s">
        <v>9</v>
      </c>
      <c r="G162" s="27" t="s">
        <v>9</v>
      </c>
    </row>
    <row r="163" spans="1:7" ht="17.100000000000001" customHeight="1" x14ac:dyDescent="0.2">
      <c r="A163" s="24" t="s">
        <v>9</v>
      </c>
      <c r="B163" s="205" t="s">
        <v>151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</sheetData>
  <mergeCells count="15">
    <mergeCell ref="B162:C162"/>
    <mergeCell ref="B163:C163"/>
    <mergeCell ref="B140:C140"/>
    <mergeCell ref="B141:C141"/>
    <mergeCell ref="B142:C142"/>
    <mergeCell ref="B152:C152"/>
    <mergeCell ref="B160:C160"/>
    <mergeCell ref="B161:C161"/>
    <mergeCell ref="B158:F158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48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397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50</v>
      </c>
      <c r="C7" s="6" t="s">
        <v>51</v>
      </c>
      <c r="D7" s="6" t="s">
        <v>22</v>
      </c>
      <c r="E7" s="7">
        <v>58344</v>
      </c>
      <c r="F7" s="8">
        <v>873.93477600000006</v>
      </c>
      <c r="G7" s="9">
        <v>6.7374175999999994E-2</v>
      </c>
      <c r="H7" s="156"/>
    </row>
    <row r="8" spans="1:8" x14ac:dyDescent="0.2">
      <c r="A8" s="5">
        <v>2</v>
      </c>
      <c r="B8" s="6" t="s">
        <v>15</v>
      </c>
      <c r="C8" s="6" t="s">
        <v>16</v>
      </c>
      <c r="D8" s="6" t="s">
        <v>17</v>
      </c>
      <c r="E8" s="7">
        <v>37364</v>
      </c>
      <c r="F8" s="8">
        <v>788.62326599999994</v>
      </c>
      <c r="G8" s="9">
        <v>6.0797263999999997E-2</v>
      </c>
      <c r="H8" s="156"/>
    </row>
    <row r="9" spans="1:8" x14ac:dyDescent="0.2">
      <c r="A9" s="5">
        <v>3</v>
      </c>
      <c r="B9" s="6" t="s">
        <v>20</v>
      </c>
      <c r="C9" s="6" t="s">
        <v>21</v>
      </c>
      <c r="D9" s="6" t="s">
        <v>22</v>
      </c>
      <c r="E9" s="7">
        <v>118809</v>
      </c>
      <c r="F9" s="8">
        <v>749.56598099999997</v>
      </c>
      <c r="G9" s="9">
        <v>5.7786223999999997E-2</v>
      </c>
      <c r="H9" s="156"/>
    </row>
    <row r="10" spans="1:8" x14ac:dyDescent="0.2">
      <c r="A10" s="5">
        <v>4</v>
      </c>
      <c r="B10" s="6" t="s">
        <v>153</v>
      </c>
      <c r="C10" s="6" t="s">
        <v>154</v>
      </c>
      <c r="D10" s="6" t="s">
        <v>155</v>
      </c>
      <c r="E10" s="7">
        <v>18618</v>
      </c>
      <c r="F10" s="8">
        <v>698.03536499999996</v>
      </c>
      <c r="G10" s="9">
        <v>5.3813579E-2</v>
      </c>
      <c r="H10" s="156"/>
    </row>
    <row r="11" spans="1:8" x14ac:dyDescent="0.2">
      <c r="A11" s="5">
        <v>5</v>
      </c>
      <c r="B11" s="6" t="s">
        <v>398</v>
      </c>
      <c r="C11" s="6" t="s">
        <v>399</v>
      </c>
      <c r="D11" s="6" t="s">
        <v>169</v>
      </c>
      <c r="E11" s="7">
        <v>41823</v>
      </c>
      <c r="F11" s="8">
        <v>661.13798399999996</v>
      </c>
      <c r="G11" s="9">
        <v>5.0969052000000001E-2</v>
      </c>
      <c r="H11" s="156"/>
    </row>
    <row r="12" spans="1:8" x14ac:dyDescent="0.2">
      <c r="A12" s="5">
        <v>6</v>
      </c>
      <c r="B12" s="6" t="s">
        <v>400</v>
      </c>
      <c r="C12" s="6" t="s">
        <v>401</v>
      </c>
      <c r="D12" s="6" t="s">
        <v>166</v>
      </c>
      <c r="E12" s="7">
        <v>20809</v>
      </c>
      <c r="F12" s="8">
        <v>515.07477249999999</v>
      </c>
      <c r="G12" s="9">
        <v>3.9708614000000003E-2</v>
      </c>
      <c r="H12" s="156"/>
    </row>
    <row r="13" spans="1:8" x14ac:dyDescent="0.2">
      <c r="A13" s="5">
        <v>7</v>
      </c>
      <c r="B13" s="6" t="s">
        <v>356</v>
      </c>
      <c r="C13" s="6" t="s">
        <v>357</v>
      </c>
      <c r="D13" s="6" t="s">
        <v>22</v>
      </c>
      <c r="E13" s="7">
        <v>57031</v>
      </c>
      <c r="F13" s="8">
        <v>426.76297299999999</v>
      </c>
      <c r="G13" s="9">
        <v>3.2900400000000003E-2</v>
      </c>
      <c r="H13" s="156"/>
    </row>
    <row r="14" spans="1:8" x14ac:dyDescent="0.2">
      <c r="A14" s="5">
        <v>8</v>
      </c>
      <c r="B14" s="6" t="s">
        <v>402</v>
      </c>
      <c r="C14" s="6" t="s">
        <v>403</v>
      </c>
      <c r="D14" s="6" t="s">
        <v>22</v>
      </c>
      <c r="E14" s="7">
        <v>99454</v>
      </c>
      <c r="F14" s="8">
        <v>416.91116799999998</v>
      </c>
      <c r="G14" s="9">
        <v>3.2140896000000002E-2</v>
      </c>
      <c r="H14" s="156"/>
    </row>
    <row r="15" spans="1:8" x14ac:dyDescent="0.2">
      <c r="A15" s="5">
        <v>9</v>
      </c>
      <c r="B15" s="6" t="s">
        <v>26</v>
      </c>
      <c r="C15" s="6" t="s">
        <v>27</v>
      </c>
      <c r="D15" s="6" t="s">
        <v>28</v>
      </c>
      <c r="E15" s="7">
        <v>32394</v>
      </c>
      <c r="F15" s="8">
        <v>402.31728299999997</v>
      </c>
      <c r="G15" s="9">
        <v>3.1015811000000001E-2</v>
      </c>
      <c r="H15" s="156"/>
    </row>
    <row r="16" spans="1:8" x14ac:dyDescent="0.2">
      <c r="A16" s="5">
        <v>10</v>
      </c>
      <c r="B16" s="6" t="s">
        <v>319</v>
      </c>
      <c r="C16" s="6" t="s">
        <v>320</v>
      </c>
      <c r="D16" s="6" t="s">
        <v>73</v>
      </c>
      <c r="E16" s="7">
        <v>50430</v>
      </c>
      <c r="F16" s="8">
        <v>367.93727999999999</v>
      </c>
      <c r="G16" s="9">
        <v>2.8365356000000001E-2</v>
      </c>
      <c r="H16" s="156"/>
    </row>
    <row r="17" spans="1:8" x14ac:dyDescent="0.2">
      <c r="A17" s="5">
        <v>11</v>
      </c>
      <c r="B17" s="6" t="s">
        <v>350</v>
      </c>
      <c r="C17" s="6" t="s">
        <v>351</v>
      </c>
      <c r="D17" s="6" t="s">
        <v>974</v>
      </c>
      <c r="E17" s="7">
        <v>50010</v>
      </c>
      <c r="F17" s="8">
        <v>320.53909499999997</v>
      </c>
      <c r="G17" s="9">
        <v>2.4711291999999999E-2</v>
      </c>
      <c r="H17" s="156"/>
    </row>
    <row r="18" spans="1:8" x14ac:dyDescent="0.2">
      <c r="A18" s="5">
        <v>12</v>
      </c>
      <c r="B18" s="6" t="s">
        <v>404</v>
      </c>
      <c r="C18" s="6" t="s">
        <v>405</v>
      </c>
      <c r="D18" s="6" t="s">
        <v>971</v>
      </c>
      <c r="E18" s="7">
        <v>30074</v>
      </c>
      <c r="F18" s="8">
        <v>303.19103100000001</v>
      </c>
      <c r="G18" s="9">
        <v>2.3373879E-2</v>
      </c>
      <c r="H18" s="156"/>
    </row>
    <row r="19" spans="1:8" x14ac:dyDescent="0.2">
      <c r="A19" s="5">
        <v>13</v>
      </c>
      <c r="B19" s="6" t="s">
        <v>315</v>
      </c>
      <c r="C19" s="6" t="s">
        <v>316</v>
      </c>
      <c r="D19" s="6" t="s">
        <v>975</v>
      </c>
      <c r="E19" s="7">
        <v>9189</v>
      </c>
      <c r="F19" s="8">
        <v>283.03957800000001</v>
      </c>
      <c r="G19" s="9">
        <v>2.1820345000000001E-2</v>
      </c>
      <c r="H19" s="156"/>
    </row>
    <row r="20" spans="1:8" x14ac:dyDescent="0.2">
      <c r="A20" s="5">
        <v>14</v>
      </c>
      <c r="B20" s="6" t="s">
        <v>36</v>
      </c>
      <c r="C20" s="6" t="s">
        <v>37</v>
      </c>
      <c r="D20" s="6" t="s">
        <v>972</v>
      </c>
      <c r="E20" s="7">
        <v>4173</v>
      </c>
      <c r="F20" s="8">
        <v>282.76247999999998</v>
      </c>
      <c r="G20" s="9">
        <v>2.1798983000000001E-2</v>
      </c>
      <c r="H20" s="156"/>
    </row>
    <row r="21" spans="1:8" x14ac:dyDescent="0.2">
      <c r="A21" s="5">
        <v>15</v>
      </c>
      <c r="B21" s="6" t="s">
        <v>321</v>
      </c>
      <c r="C21" s="6" t="s">
        <v>322</v>
      </c>
      <c r="D21" s="6" t="s">
        <v>63</v>
      </c>
      <c r="E21" s="7">
        <v>62892</v>
      </c>
      <c r="F21" s="8">
        <v>273.32863200000003</v>
      </c>
      <c r="G21" s="9">
        <v>2.1071699999999999E-2</v>
      </c>
      <c r="H21" s="156"/>
    </row>
    <row r="22" spans="1:8" x14ac:dyDescent="0.2">
      <c r="A22" s="5">
        <v>16</v>
      </c>
      <c r="B22" s="6" t="s">
        <v>12</v>
      </c>
      <c r="C22" s="6" t="s">
        <v>13</v>
      </c>
      <c r="D22" s="6" t="s">
        <v>14</v>
      </c>
      <c r="E22" s="7">
        <v>18120</v>
      </c>
      <c r="F22" s="8">
        <v>271.89965999999998</v>
      </c>
      <c r="G22" s="9">
        <v>2.0961535999999999E-2</v>
      </c>
      <c r="H22" s="156"/>
    </row>
    <row r="23" spans="1:8" x14ac:dyDescent="0.2">
      <c r="A23" s="5">
        <v>17</v>
      </c>
      <c r="B23" s="6" t="s">
        <v>208</v>
      </c>
      <c r="C23" s="6" t="s">
        <v>209</v>
      </c>
      <c r="D23" s="6" t="s">
        <v>976</v>
      </c>
      <c r="E23" s="7">
        <v>32477</v>
      </c>
      <c r="F23" s="8">
        <v>265.6456215</v>
      </c>
      <c r="G23" s="9">
        <v>2.0479394000000001E-2</v>
      </c>
      <c r="H23" s="156"/>
    </row>
    <row r="24" spans="1:8" x14ac:dyDescent="0.2">
      <c r="A24" s="5">
        <v>18</v>
      </c>
      <c r="B24" s="6" t="s">
        <v>23</v>
      </c>
      <c r="C24" s="6" t="s">
        <v>24</v>
      </c>
      <c r="D24" s="6" t="s">
        <v>25</v>
      </c>
      <c r="E24" s="7">
        <v>48439</v>
      </c>
      <c r="F24" s="8">
        <v>254.61960350000001</v>
      </c>
      <c r="G24" s="9">
        <v>1.9629367000000002E-2</v>
      </c>
      <c r="H24" s="156"/>
    </row>
    <row r="25" spans="1:8" x14ac:dyDescent="0.2">
      <c r="A25" s="5">
        <v>19</v>
      </c>
      <c r="B25" s="6" t="s">
        <v>74</v>
      </c>
      <c r="C25" s="6" t="s">
        <v>75</v>
      </c>
      <c r="D25" s="6" t="s">
        <v>28</v>
      </c>
      <c r="E25" s="7">
        <v>25977</v>
      </c>
      <c r="F25" s="8">
        <v>233.663115</v>
      </c>
      <c r="G25" s="9">
        <v>1.8013769999999998E-2</v>
      </c>
      <c r="H25" s="156"/>
    </row>
    <row r="26" spans="1:8" x14ac:dyDescent="0.2">
      <c r="A26" s="5">
        <v>20</v>
      </c>
      <c r="B26" s="6" t="s">
        <v>406</v>
      </c>
      <c r="C26" s="6" t="s">
        <v>407</v>
      </c>
      <c r="D26" s="6" t="s">
        <v>73</v>
      </c>
      <c r="E26" s="7">
        <v>9125</v>
      </c>
      <c r="F26" s="8">
        <v>225.506125</v>
      </c>
      <c r="G26" s="9">
        <v>1.7384924E-2</v>
      </c>
      <c r="H26" s="156"/>
    </row>
    <row r="27" spans="1:8" ht="25.5" x14ac:dyDescent="0.2">
      <c r="A27" s="5">
        <v>21</v>
      </c>
      <c r="B27" s="6" t="s">
        <v>214</v>
      </c>
      <c r="C27" s="6" t="s">
        <v>215</v>
      </c>
      <c r="D27" s="6" t="s">
        <v>63</v>
      </c>
      <c r="E27" s="7">
        <v>10000</v>
      </c>
      <c r="F27" s="8">
        <v>222.92</v>
      </c>
      <c r="G27" s="9">
        <v>1.7185552E-2</v>
      </c>
      <c r="H27" s="156"/>
    </row>
    <row r="28" spans="1:8" x14ac:dyDescent="0.2">
      <c r="A28" s="5">
        <v>22</v>
      </c>
      <c r="B28" s="6" t="s">
        <v>408</v>
      </c>
      <c r="C28" s="6" t="s">
        <v>409</v>
      </c>
      <c r="D28" s="6" t="s">
        <v>169</v>
      </c>
      <c r="E28" s="7">
        <v>6466</v>
      </c>
      <c r="F28" s="8">
        <v>216.336195</v>
      </c>
      <c r="G28" s="9">
        <v>1.6677986999999998E-2</v>
      </c>
      <c r="H28" s="156"/>
    </row>
    <row r="29" spans="1:8" x14ac:dyDescent="0.2">
      <c r="A29" s="5">
        <v>23</v>
      </c>
      <c r="B29" s="6" t="s">
        <v>410</v>
      </c>
      <c r="C29" s="6" t="s">
        <v>411</v>
      </c>
      <c r="D29" s="6" t="s">
        <v>169</v>
      </c>
      <c r="E29" s="7">
        <v>39000</v>
      </c>
      <c r="F29" s="8">
        <v>212.80350000000001</v>
      </c>
      <c r="G29" s="9">
        <v>1.6405640999999999E-2</v>
      </c>
      <c r="H29" s="156"/>
    </row>
    <row r="30" spans="1:8" x14ac:dyDescent="0.2">
      <c r="A30" s="5">
        <v>24</v>
      </c>
      <c r="B30" s="6" t="s">
        <v>412</v>
      </c>
      <c r="C30" s="6" t="s">
        <v>413</v>
      </c>
      <c r="D30" s="6" t="s">
        <v>196</v>
      </c>
      <c r="E30" s="7">
        <v>30197</v>
      </c>
      <c r="F30" s="8">
        <v>203.96563649999999</v>
      </c>
      <c r="G30" s="9">
        <v>1.5724305000000001E-2</v>
      </c>
      <c r="H30" s="156"/>
    </row>
    <row r="31" spans="1:8" x14ac:dyDescent="0.2">
      <c r="A31" s="5">
        <v>25</v>
      </c>
      <c r="B31" s="6" t="s">
        <v>414</v>
      </c>
      <c r="C31" s="6" t="s">
        <v>415</v>
      </c>
      <c r="D31" s="6" t="s">
        <v>54</v>
      </c>
      <c r="E31" s="7">
        <v>17000</v>
      </c>
      <c r="F31" s="8">
        <v>198.322</v>
      </c>
      <c r="G31" s="9">
        <v>1.5289219999999999E-2</v>
      </c>
      <c r="H31" s="156"/>
    </row>
    <row r="32" spans="1:8" x14ac:dyDescent="0.2">
      <c r="A32" s="5">
        <v>26</v>
      </c>
      <c r="B32" s="6" t="s">
        <v>364</v>
      </c>
      <c r="C32" s="6" t="s">
        <v>365</v>
      </c>
      <c r="D32" s="6" t="s">
        <v>63</v>
      </c>
      <c r="E32" s="7">
        <v>8763</v>
      </c>
      <c r="F32" s="8">
        <v>195.89686499999999</v>
      </c>
      <c r="G32" s="9">
        <v>1.5102259999999999E-2</v>
      </c>
      <c r="H32" s="156"/>
    </row>
    <row r="33" spans="1:8" x14ac:dyDescent="0.2">
      <c r="A33" s="5">
        <v>27</v>
      </c>
      <c r="B33" s="6" t="s">
        <v>416</v>
      </c>
      <c r="C33" s="6" t="s">
        <v>417</v>
      </c>
      <c r="D33" s="6" t="s">
        <v>92</v>
      </c>
      <c r="E33" s="7">
        <v>24448</v>
      </c>
      <c r="F33" s="8">
        <v>190.13209599999999</v>
      </c>
      <c r="G33" s="9">
        <v>1.4657837E-2</v>
      </c>
      <c r="H33" s="156"/>
    </row>
    <row r="34" spans="1:8" x14ac:dyDescent="0.2">
      <c r="A34" s="5">
        <v>28</v>
      </c>
      <c r="B34" s="6" t="s">
        <v>368</v>
      </c>
      <c r="C34" s="6" t="s">
        <v>369</v>
      </c>
      <c r="D34" s="6" t="s">
        <v>169</v>
      </c>
      <c r="E34" s="7">
        <v>18271</v>
      </c>
      <c r="F34" s="8">
        <v>179.69528500000001</v>
      </c>
      <c r="G34" s="9">
        <v>1.3853233E-2</v>
      </c>
      <c r="H34" s="156"/>
    </row>
    <row r="35" spans="1:8" x14ac:dyDescent="0.2">
      <c r="A35" s="5">
        <v>29</v>
      </c>
      <c r="B35" s="6" t="s">
        <v>57</v>
      </c>
      <c r="C35" s="6" t="s">
        <v>58</v>
      </c>
      <c r="D35" s="6" t="s">
        <v>17</v>
      </c>
      <c r="E35" s="7">
        <v>37123</v>
      </c>
      <c r="F35" s="8">
        <v>173.772763</v>
      </c>
      <c r="G35" s="9">
        <v>1.3396648000000001E-2</v>
      </c>
      <c r="H35" s="156"/>
    </row>
    <row r="36" spans="1:8" x14ac:dyDescent="0.2">
      <c r="A36" s="5">
        <v>30</v>
      </c>
      <c r="B36" s="6" t="s">
        <v>343</v>
      </c>
      <c r="C36" s="6" t="s">
        <v>344</v>
      </c>
      <c r="D36" s="6" t="s">
        <v>345</v>
      </c>
      <c r="E36" s="7">
        <v>19336</v>
      </c>
      <c r="F36" s="8">
        <v>164.32699600000001</v>
      </c>
      <c r="G36" s="9">
        <v>1.2668446999999999E-2</v>
      </c>
      <c r="H36" s="156"/>
    </row>
    <row r="37" spans="1:8" x14ac:dyDescent="0.2">
      <c r="A37" s="5">
        <v>31</v>
      </c>
      <c r="B37" s="6" t="s">
        <v>259</v>
      </c>
      <c r="C37" s="6" t="s">
        <v>260</v>
      </c>
      <c r="D37" s="6" t="s">
        <v>261</v>
      </c>
      <c r="E37" s="7">
        <v>18817</v>
      </c>
      <c r="F37" s="8">
        <v>149.1905845</v>
      </c>
      <c r="G37" s="9">
        <v>1.1501536999999999E-2</v>
      </c>
      <c r="H37" s="156"/>
    </row>
    <row r="38" spans="1:8" x14ac:dyDescent="0.2">
      <c r="A38" s="5">
        <v>32</v>
      </c>
      <c r="B38" s="6" t="s">
        <v>418</v>
      </c>
      <c r="C38" s="6" t="s">
        <v>419</v>
      </c>
      <c r="D38" s="6" t="s">
        <v>196</v>
      </c>
      <c r="E38" s="7">
        <v>3376</v>
      </c>
      <c r="F38" s="8">
        <v>148.82252</v>
      </c>
      <c r="G38" s="9">
        <v>1.1473161000000001E-2</v>
      </c>
      <c r="H38" s="156"/>
    </row>
    <row r="39" spans="1:8" x14ac:dyDescent="0.2">
      <c r="A39" s="5">
        <v>33</v>
      </c>
      <c r="B39" s="6" t="s">
        <v>354</v>
      </c>
      <c r="C39" s="6" t="s">
        <v>355</v>
      </c>
      <c r="D39" s="6" t="s">
        <v>236</v>
      </c>
      <c r="E39" s="7">
        <v>16000</v>
      </c>
      <c r="F39" s="8">
        <v>144.14400000000001</v>
      </c>
      <c r="G39" s="9">
        <v>1.1112481E-2</v>
      </c>
      <c r="H39" s="156"/>
    </row>
    <row r="40" spans="1:8" x14ac:dyDescent="0.2">
      <c r="A40" s="5">
        <v>34</v>
      </c>
      <c r="B40" s="6" t="s">
        <v>420</v>
      </c>
      <c r="C40" s="6" t="s">
        <v>421</v>
      </c>
      <c r="D40" s="6" t="s">
        <v>971</v>
      </c>
      <c r="E40" s="7">
        <v>9175</v>
      </c>
      <c r="F40" s="8">
        <v>143.77225000000001</v>
      </c>
      <c r="G40" s="9">
        <v>1.1083821000000001E-2</v>
      </c>
      <c r="H40" s="156"/>
    </row>
    <row r="41" spans="1:8" x14ac:dyDescent="0.2">
      <c r="A41" s="5">
        <v>35</v>
      </c>
      <c r="B41" s="6" t="s">
        <v>335</v>
      </c>
      <c r="C41" s="6" t="s">
        <v>336</v>
      </c>
      <c r="D41" s="6" t="s">
        <v>196</v>
      </c>
      <c r="E41" s="7">
        <v>4108</v>
      </c>
      <c r="F41" s="8">
        <v>140.670244</v>
      </c>
      <c r="G41" s="9">
        <v>1.0844678999999999E-2</v>
      </c>
      <c r="H41" s="156"/>
    </row>
    <row r="42" spans="1:8" x14ac:dyDescent="0.2">
      <c r="A42" s="5">
        <v>36</v>
      </c>
      <c r="B42" s="6" t="s">
        <v>341</v>
      </c>
      <c r="C42" s="6" t="s">
        <v>342</v>
      </c>
      <c r="D42" s="6" t="s">
        <v>191</v>
      </c>
      <c r="E42" s="7">
        <v>175</v>
      </c>
      <c r="F42" s="8">
        <v>140.13912500000001</v>
      </c>
      <c r="G42" s="9">
        <v>1.0803732999999999E-2</v>
      </c>
      <c r="H42" s="156"/>
    </row>
    <row r="43" spans="1:8" x14ac:dyDescent="0.2">
      <c r="A43" s="5">
        <v>37</v>
      </c>
      <c r="B43" s="6" t="s">
        <v>346</v>
      </c>
      <c r="C43" s="6" t="s">
        <v>347</v>
      </c>
      <c r="D43" s="6" t="s">
        <v>22</v>
      </c>
      <c r="E43" s="7">
        <v>160000</v>
      </c>
      <c r="F43" s="8">
        <v>137.44</v>
      </c>
      <c r="G43" s="9">
        <v>1.059565E-2</v>
      </c>
      <c r="H43" s="156"/>
    </row>
    <row r="44" spans="1:8" x14ac:dyDescent="0.2">
      <c r="A44" s="5">
        <v>38</v>
      </c>
      <c r="B44" s="6" t="s">
        <v>339</v>
      </c>
      <c r="C44" s="6" t="s">
        <v>340</v>
      </c>
      <c r="D44" s="6" t="s">
        <v>68</v>
      </c>
      <c r="E44" s="7">
        <v>18750</v>
      </c>
      <c r="F44" s="8">
        <v>130.94062500000001</v>
      </c>
      <c r="G44" s="9">
        <v>1.0094594E-2</v>
      </c>
      <c r="H44" s="156"/>
    </row>
    <row r="45" spans="1:8" x14ac:dyDescent="0.2">
      <c r="A45" s="5">
        <v>39</v>
      </c>
      <c r="B45" s="6" t="s">
        <v>222</v>
      </c>
      <c r="C45" s="6" t="s">
        <v>223</v>
      </c>
      <c r="D45" s="6" t="s">
        <v>972</v>
      </c>
      <c r="E45" s="7">
        <v>67360</v>
      </c>
      <c r="F45" s="8">
        <v>129.29751999999999</v>
      </c>
      <c r="G45" s="9">
        <v>9.9679220000000006E-3</v>
      </c>
      <c r="H45" s="156"/>
    </row>
    <row r="46" spans="1:8" x14ac:dyDescent="0.2">
      <c r="A46" s="5">
        <v>40</v>
      </c>
      <c r="B46" s="6" t="s">
        <v>206</v>
      </c>
      <c r="C46" s="6" t="s">
        <v>207</v>
      </c>
      <c r="D46" s="6" t="s">
        <v>73</v>
      </c>
      <c r="E46" s="7">
        <v>29130</v>
      </c>
      <c r="F46" s="8">
        <v>125.710515</v>
      </c>
      <c r="G46" s="9">
        <v>9.6913899999999994E-3</v>
      </c>
      <c r="H46" s="156"/>
    </row>
    <row r="47" spans="1:8" x14ac:dyDescent="0.2">
      <c r="A47" s="5">
        <v>41</v>
      </c>
      <c r="B47" s="6" t="s">
        <v>422</v>
      </c>
      <c r="C47" s="6" t="s">
        <v>423</v>
      </c>
      <c r="D47" s="6" t="s">
        <v>73</v>
      </c>
      <c r="E47" s="7">
        <v>53592</v>
      </c>
      <c r="F47" s="8">
        <v>108.630984</v>
      </c>
      <c r="G47" s="9">
        <v>8.3746789999999995E-3</v>
      </c>
      <c r="H47" s="156"/>
    </row>
    <row r="48" spans="1:8" x14ac:dyDescent="0.2">
      <c r="A48" s="5">
        <v>42</v>
      </c>
      <c r="B48" s="6" t="s">
        <v>297</v>
      </c>
      <c r="C48" s="6" t="s">
        <v>298</v>
      </c>
      <c r="D48" s="6" t="s">
        <v>971</v>
      </c>
      <c r="E48" s="7">
        <v>10058</v>
      </c>
      <c r="F48" s="8">
        <v>106.65503200000001</v>
      </c>
      <c r="G48" s="9">
        <v>8.2223469999999996E-3</v>
      </c>
      <c r="H48" s="156"/>
    </row>
    <row r="49" spans="1:8" x14ac:dyDescent="0.2">
      <c r="A49" s="5">
        <v>43</v>
      </c>
      <c r="B49" s="6" t="s">
        <v>333</v>
      </c>
      <c r="C49" s="6" t="s">
        <v>334</v>
      </c>
      <c r="D49" s="6" t="s">
        <v>54</v>
      </c>
      <c r="E49" s="7">
        <v>26000</v>
      </c>
      <c r="F49" s="8">
        <v>103.337</v>
      </c>
      <c r="G49" s="9">
        <v>7.9665499999999993E-3</v>
      </c>
      <c r="H49" s="156"/>
    </row>
    <row r="50" spans="1:8" x14ac:dyDescent="0.2">
      <c r="A50" s="5">
        <v>44</v>
      </c>
      <c r="B50" s="6" t="s">
        <v>76</v>
      </c>
      <c r="C50" s="6" t="s">
        <v>77</v>
      </c>
      <c r="D50" s="6" t="s">
        <v>78</v>
      </c>
      <c r="E50" s="7">
        <v>63169</v>
      </c>
      <c r="F50" s="8">
        <v>94.532408500000003</v>
      </c>
      <c r="G50" s="9">
        <v>7.2877790000000003E-3</v>
      </c>
      <c r="H50" s="156"/>
    </row>
    <row r="51" spans="1:8" x14ac:dyDescent="0.2">
      <c r="A51" s="5">
        <v>45</v>
      </c>
      <c r="B51" s="6" t="s">
        <v>266</v>
      </c>
      <c r="C51" s="6" t="s">
        <v>267</v>
      </c>
      <c r="D51" s="6" t="s">
        <v>191</v>
      </c>
      <c r="E51" s="7">
        <v>14000</v>
      </c>
      <c r="F51" s="8">
        <v>89.866</v>
      </c>
      <c r="G51" s="9">
        <v>6.9280319999999998E-3</v>
      </c>
      <c r="H51" s="156"/>
    </row>
    <row r="52" spans="1:8" x14ac:dyDescent="0.2">
      <c r="A52" s="5">
        <v>46</v>
      </c>
      <c r="B52" s="6" t="s">
        <v>424</v>
      </c>
      <c r="C52" s="6" t="s">
        <v>425</v>
      </c>
      <c r="D52" s="6" t="s">
        <v>166</v>
      </c>
      <c r="E52" s="7">
        <v>7523</v>
      </c>
      <c r="F52" s="8">
        <v>87.594050499999994</v>
      </c>
      <c r="G52" s="9">
        <v>6.7528800000000002E-3</v>
      </c>
      <c r="H52" s="156"/>
    </row>
    <row r="53" spans="1:8" x14ac:dyDescent="0.2">
      <c r="A53" s="5">
        <v>47</v>
      </c>
      <c r="B53" s="6" t="s">
        <v>426</v>
      </c>
      <c r="C53" s="6" t="s">
        <v>427</v>
      </c>
      <c r="D53" s="6" t="s">
        <v>22</v>
      </c>
      <c r="E53" s="7">
        <v>4709</v>
      </c>
      <c r="F53" s="8">
        <v>80.328476499999994</v>
      </c>
      <c r="G53" s="9">
        <v>6.1927559999999998E-3</v>
      </c>
      <c r="H53" s="156"/>
    </row>
    <row r="54" spans="1:8" x14ac:dyDescent="0.2">
      <c r="A54" s="5">
        <v>48</v>
      </c>
      <c r="B54" s="6" t="s">
        <v>428</v>
      </c>
      <c r="C54" s="6" t="s">
        <v>429</v>
      </c>
      <c r="D54" s="6" t="s">
        <v>191</v>
      </c>
      <c r="E54" s="7">
        <v>19492</v>
      </c>
      <c r="F54" s="8">
        <v>66.721115999999995</v>
      </c>
      <c r="G54" s="9">
        <v>5.143725E-3</v>
      </c>
      <c r="H54" s="156"/>
    </row>
    <row r="55" spans="1:8" x14ac:dyDescent="0.2">
      <c r="A55" s="5">
        <v>49</v>
      </c>
      <c r="B55" s="6" t="s">
        <v>366</v>
      </c>
      <c r="C55" s="6" t="s">
        <v>367</v>
      </c>
      <c r="D55" s="6" t="s">
        <v>63</v>
      </c>
      <c r="E55" s="7">
        <v>78585</v>
      </c>
      <c r="F55" s="8">
        <v>61.492762499999998</v>
      </c>
      <c r="G55" s="9">
        <v>4.7406560000000002E-3</v>
      </c>
      <c r="H55" s="156"/>
    </row>
    <row r="56" spans="1:8" x14ac:dyDescent="0.2">
      <c r="A56" s="5">
        <v>50</v>
      </c>
      <c r="B56" s="6" t="s">
        <v>430</v>
      </c>
      <c r="C56" s="6" t="s">
        <v>431</v>
      </c>
      <c r="D56" s="6" t="s">
        <v>432</v>
      </c>
      <c r="E56" s="7">
        <v>15990</v>
      </c>
      <c r="F56" s="8">
        <v>59.490794999999999</v>
      </c>
      <c r="G56" s="9">
        <v>4.5863190000000002E-3</v>
      </c>
      <c r="H56" s="156"/>
    </row>
    <row r="57" spans="1:8" x14ac:dyDescent="0.2">
      <c r="A57" s="3" t="s">
        <v>9</v>
      </c>
      <c r="B57" s="3" t="s">
        <v>9</v>
      </c>
      <c r="C57" s="4" t="s">
        <v>105</v>
      </c>
      <c r="D57" s="3" t="s">
        <v>9</v>
      </c>
      <c r="E57" s="3" t="s">
        <v>9</v>
      </c>
      <c r="F57" s="10">
        <v>12821.443134499999</v>
      </c>
      <c r="G57" s="11">
        <v>0.98844238299999998</v>
      </c>
      <c r="H57" s="156"/>
    </row>
    <row r="58" spans="1:8" x14ac:dyDescent="0.2">
      <c r="A58" s="3" t="s">
        <v>9</v>
      </c>
      <c r="B58" s="3" t="s">
        <v>9</v>
      </c>
      <c r="C58" s="12" t="s">
        <v>9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106</v>
      </c>
      <c r="D59" s="3" t="s">
        <v>9</v>
      </c>
      <c r="E59" s="3" t="s">
        <v>9</v>
      </c>
      <c r="F59" s="3" t="s">
        <v>9</v>
      </c>
      <c r="G59" s="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0</v>
      </c>
      <c r="G60" s="15">
        <v>0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107</v>
      </c>
      <c r="D62" s="3" t="s">
        <v>9</v>
      </c>
      <c r="E62" s="3" t="s">
        <v>9</v>
      </c>
      <c r="F62" s="3" t="s">
        <v>9</v>
      </c>
      <c r="G62" s="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105</v>
      </c>
      <c r="D63" s="3" t="s">
        <v>9</v>
      </c>
      <c r="E63" s="3" t="s">
        <v>9</v>
      </c>
      <c r="F63" s="14">
        <v>0</v>
      </c>
      <c r="G63" s="15">
        <v>0</v>
      </c>
      <c r="H63" s="156"/>
    </row>
    <row r="64" spans="1:8" x14ac:dyDescent="0.2">
      <c r="A64" s="3" t="s">
        <v>9</v>
      </c>
      <c r="B64" s="3" t="s">
        <v>9</v>
      </c>
      <c r="C64" s="12" t="s">
        <v>9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111</v>
      </c>
      <c r="D65" s="3" t="s">
        <v>9</v>
      </c>
      <c r="E65" s="3" t="s">
        <v>9</v>
      </c>
      <c r="F65" s="3" t="s">
        <v>9</v>
      </c>
      <c r="G65" s="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105</v>
      </c>
      <c r="D66" s="3" t="s">
        <v>9</v>
      </c>
      <c r="E66" s="3" t="s">
        <v>9</v>
      </c>
      <c r="F66" s="14">
        <v>0</v>
      </c>
      <c r="G66" s="15">
        <v>0</v>
      </c>
      <c r="H66" s="156"/>
    </row>
    <row r="67" spans="1:8" x14ac:dyDescent="0.2">
      <c r="A67" s="3" t="s">
        <v>9</v>
      </c>
      <c r="B67" s="3" t="s">
        <v>9</v>
      </c>
      <c r="C67" s="12" t="s">
        <v>9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112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113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114</v>
      </c>
      <c r="D74" s="3" t="s">
        <v>9</v>
      </c>
      <c r="E74" s="3" t="s">
        <v>9</v>
      </c>
      <c r="F74" s="10">
        <v>12821.443134499999</v>
      </c>
      <c r="G74" s="11">
        <v>0.98844238299999998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115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116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117</v>
      </c>
      <c r="D83" s="3" t="s">
        <v>9</v>
      </c>
      <c r="E83" s="3" t="s">
        <v>9</v>
      </c>
      <c r="F83" s="3" t="s">
        <v>9</v>
      </c>
      <c r="G83" s="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118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119</v>
      </c>
      <c r="D89" s="3" t="s">
        <v>9</v>
      </c>
      <c r="E89" s="3" t="s">
        <v>9</v>
      </c>
      <c r="F89" s="10">
        <v>0</v>
      </c>
      <c r="G89" s="11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120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121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122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123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124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5">
        <v>1</v>
      </c>
      <c r="B102" s="6"/>
      <c r="C102" s="6" t="s">
        <v>125</v>
      </c>
      <c r="D102" s="6"/>
      <c r="E102" s="16" t="s">
        <v>9</v>
      </c>
      <c r="F102" s="8">
        <v>90.950249799999995</v>
      </c>
      <c r="G102" s="9">
        <v>7.0116199999999997E-3</v>
      </c>
      <c r="H102" s="8">
        <v>3.3326163573085874</v>
      </c>
    </row>
    <row r="103" spans="1:8" x14ac:dyDescent="0.2">
      <c r="A103" s="5">
        <v>2</v>
      </c>
      <c r="B103" s="6"/>
      <c r="C103" s="6" t="s">
        <v>126</v>
      </c>
      <c r="D103" s="6"/>
      <c r="E103" s="16" t="s">
        <v>9</v>
      </c>
      <c r="F103" s="8">
        <v>64.961144700000006</v>
      </c>
      <c r="G103" s="9">
        <v>5.0080439999999997E-3</v>
      </c>
      <c r="H103" s="8">
        <v>3.2337849550915885</v>
      </c>
    </row>
    <row r="104" spans="1:8" x14ac:dyDescent="0.2">
      <c r="A104" s="3" t="s">
        <v>9</v>
      </c>
      <c r="B104" s="3" t="s">
        <v>9</v>
      </c>
      <c r="C104" s="4" t="s">
        <v>105</v>
      </c>
      <c r="D104" s="3" t="s">
        <v>9</v>
      </c>
      <c r="E104" s="3" t="s">
        <v>9</v>
      </c>
      <c r="F104" s="10">
        <v>155.9113945</v>
      </c>
      <c r="G104" s="11">
        <v>1.2019663999999999E-2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127</v>
      </c>
      <c r="D106" s="3" t="s">
        <v>9</v>
      </c>
      <c r="E106" s="3" t="s">
        <v>9</v>
      </c>
      <c r="F106" s="10">
        <v>155.9113945</v>
      </c>
      <c r="G106" s="11">
        <v>1.2019663999999999E-2</v>
      </c>
      <c r="H106" s="156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3" t="s">
        <v>9</v>
      </c>
      <c r="G107" s="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128</v>
      </c>
      <c r="D108" s="3" t="s">
        <v>9</v>
      </c>
      <c r="E108" s="3" t="s">
        <v>9</v>
      </c>
      <c r="F108" s="3" t="s">
        <v>9</v>
      </c>
      <c r="G108" s="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129</v>
      </c>
      <c r="D109" s="3" t="s">
        <v>9</v>
      </c>
      <c r="E109" s="3" t="s">
        <v>9</v>
      </c>
      <c r="F109" s="3" t="s">
        <v>9</v>
      </c>
      <c r="G109" s="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105</v>
      </c>
      <c r="D110" s="3" t="s">
        <v>9</v>
      </c>
      <c r="E110" s="3" t="s">
        <v>9</v>
      </c>
      <c r="F110" s="14">
        <v>0</v>
      </c>
      <c r="G110" s="15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130</v>
      </c>
      <c r="D112" s="3" t="s">
        <v>9</v>
      </c>
      <c r="E112" s="3" t="s">
        <v>9</v>
      </c>
      <c r="F112" s="3" t="s">
        <v>9</v>
      </c>
      <c r="G112" s="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131</v>
      </c>
      <c r="D113" s="3" t="s">
        <v>9</v>
      </c>
      <c r="E113" s="3" t="s">
        <v>9</v>
      </c>
      <c r="F113" s="3" t="s">
        <v>9</v>
      </c>
      <c r="G113" s="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4">
        <v>0</v>
      </c>
      <c r="G114" s="15">
        <v>0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132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105</v>
      </c>
      <c r="D118" s="3" t="s">
        <v>9</v>
      </c>
      <c r="E118" s="3" t="s">
        <v>9</v>
      </c>
      <c r="F118" s="14">
        <v>0</v>
      </c>
      <c r="G118" s="15">
        <v>0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6" t="s">
        <v>9</v>
      </c>
      <c r="C120" s="6" t="s">
        <v>9</v>
      </c>
      <c r="D120" s="4" t="s">
        <v>9</v>
      </c>
      <c r="E120" s="3" t="s">
        <v>9</v>
      </c>
      <c r="F120" s="6" t="s">
        <v>9</v>
      </c>
      <c r="G120" s="16" t="s">
        <v>9</v>
      </c>
      <c r="H120" s="156"/>
    </row>
    <row r="121" spans="1:8" x14ac:dyDescent="0.2">
      <c r="A121" s="16" t="s">
        <v>9</v>
      </c>
      <c r="B121" s="6" t="s">
        <v>9</v>
      </c>
      <c r="C121" s="6" t="s">
        <v>133</v>
      </c>
      <c r="D121" s="6" t="s">
        <v>9</v>
      </c>
      <c r="E121" s="16" t="s">
        <v>9</v>
      </c>
      <c r="F121" s="8">
        <v>-5.9933291899999999</v>
      </c>
      <c r="G121" s="9">
        <v>-4.6204299999999998E-4</v>
      </c>
      <c r="H121" s="156"/>
    </row>
    <row r="122" spans="1:8" x14ac:dyDescent="0.2">
      <c r="A122" s="12" t="s">
        <v>9</v>
      </c>
      <c r="B122" s="12" t="s">
        <v>9</v>
      </c>
      <c r="C122" s="4" t="s">
        <v>134</v>
      </c>
      <c r="D122" s="17" t="s">
        <v>9</v>
      </c>
      <c r="E122" s="17" t="s">
        <v>9</v>
      </c>
      <c r="F122" s="10">
        <v>12971.36119981</v>
      </c>
      <c r="G122" s="11">
        <v>1.0000000040000001</v>
      </c>
      <c r="H122" s="156"/>
    </row>
    <row r="123" spans="1:8" ht="14.1" customHeight="1" x14ac:dyDescent="0.2">
      <c r="A123" s="18" t="s">
        <v>9</v>
      </c>
      <c r="B123" s="18" t="s">
        <v>9</v>
      </c>
      <c r="C123" s="18" t="s">
        <v>9</v>
      </c>
      <c r="D123" s="19" t="s">
        <v>9</v>
      </c>
      <c r="E123" s="19" t="s">
        <v>9</v>
      </c>
      <c r="F123" s="19" t="s">
        <v>9</v>
      </c>
      <c r="G123" s="19" t="s">
        <v>9</v>
      </c>
    </row>
    <row r="124" spans="1:8" ht="14.1" customHeight="1" x14ac:dyDescent="0.2">
      <c r="A124" s="20" t="s">
        <v>9</v>
      </c>
      <c r="B124" s="200" t="s">
        <v>9</v>
      </c>
      <c r="C124" s="200"/>
      <c r="D124" s="200"/>
      <c r="E124" s="200"/>
      <c r="F124" s="200"/>
      <c r="G124" s="22" t="s">
        <v>9</v>
      </c>
    </row>
    <row r="125" spans="1:8" ht="14.1" customHeight="1" x14ac:dyDescent="0.2">
      <c r="A125" s="20" t="s">
        <v>9</v>
      </c>
      <c r="B125" s="200" t="s">
        <v>9</v>
      </c>
      <c r="C125" s="200"/>
      <c r="D125" s="200"/>
      <c r="E125" s="200"/>
      <c r="F125" s="200"/>
      <c r="G125" s="22" t="s">
        <v>9</v>
      </c>
    </row>
    <row r="126" spans="1:8" ht="14.1" customHeight="1" x14ac:dyDescent="0.2">
      <c r="A126" s="20" t="s">
        <v>9</v>
      </c>
      <c r="B126" s="20" t="s">
        <v>9</v>
      </c>
      <c r="C126" s="20" t="s">
        <v>9</v>
      </c>
      <c r="D126" s="22" t="s">
        <v>9</v>
      </c>
      <c r="E126" s="22" t="s">
        <v>9</v>
      </c>
      <c r="F126" s="22" t="s">
        <v>9</v>
      </c>
      <c r="G126" s="22" t="s">
        <v>9</v>
      </c>
    </row>
    <row r="127" spans="1:8" ht="14.1" customHeight="1" x14ac:dyDescent="0.2">
      <c r="A127" s="20" t="s">
        <v>9</v>
      </c>
      <c r="B127" s="198" t="s">
        <v>136</v>
      </c>
      <c r="C127" s="199"/>
      <c r="D127" s="13" t="s">
        <v>9</v>
      </c>
      <c r="E127" s="23" t="s">
        <v>9</v>
      </c>
      <c r="F127" s="22" t="s">
        <v>9</v>
      </c>
      <c r="G127" s="22" t="s">
        <v>9</v>
      </c>
    </row>
    <row r="128" spans="1:8" ht="29.1" customHeight="1" x14ac:dyDescent="0.2">
      <c r="A128" s="20" t="s">
        <v>9</v>
      </c>
      <c r="B128" s="205" t="s">
        <v>137</v>
      </c>
      <c r="C128" s="206"/>
      <c r="D128" s="4" t="s">
        <v>138</v>
      </c>
      <c r="E128" s="23" t="s">
        <v>9</v>
      </c>
      <c r="F128" s="22" t="s">
        <v>9</v>
      </c>
      <c r="G128" s="22" t="s">
        <v>9</v>
      </c>
    </row>
    <row r="129" spans="1:8" ht="17.100000000000001" customHeight="1" x14ac:dyDescent="0.2">
      <c r="A129" s="20" t="s">
        <v>9</v>
      </c>
      <c r="B129" s="205" t="s">
        <v>139</v>
      </c>
      <c r="C129" s="206"/>
      <c r="D129" s="4" t="s">
        <v>138</v>
      </c>
      <c r="E129" s="23" t="s">
        <v>9</v>
      </c>
      <c r="F129" s="22" t="s">
        <v>9</v>
      </c>
      <c r="G129" s="22" t="s">
        <v>9</v>
      </c>
    </row>
    <row r="130" spans="1:8" ht="17.100000000000001" customHeight="1" x14ac:dyDescent="0.2">
      <c r="A130" s="20" t="s">
        <v>9</v>
      </c>
      <c r="B130" s="205" t="s">
        <v>140</v>
      </c>
      <c r="C130" s="206"/>
      <c r="D130" s="13" t="s">
        <v>9</v>
      </c>
      <c r="E130" s="23" t="s">
        <v>9</v>
      </c>
      <c r="F130" s="22" t="s">
        <v>9</v>
      </c>
      <c r="G130" s="22" t="s">
        <v>9</v>
      </c>
    </row>
    <row r="131" spans="1:8" ht="24" customHeight="1" x14ac:dyDescent="0.2">
      <c r="A131" s="24" t="s">
        <v>9</v>
      </c>
      <c r="B131" s="25" t="s">
        <v>9</v>
      </c>
      <c r="C131" s="25" t="s">
        <v>141</v>
      </c>
      <c r="D131" s="25" t="s">
        <v>142</v>
      </c>
      <c r="E131" s="24" t="s">
        <v>9</v>
      </c>
      <c r="F131" s="24" t="s">
        <v>9</v>
      </c>
      <c r="G131" s="24" t="s">
        <v>9</v>
      </c>
    </row>
    <row r="132" spans="1:8" ht="18" customHeight="1" x14ac:dyDescent="0.2">
      <c r="A132" s="24" t="s">
        <v>9</v>
      </c>
      <c r="B132" s="25" t="s">
        <v>143</v>
      </c>
      <c r="C132" s="25" t="s">
        <v>144</v>
      </c>
      <c r="D132" s="25" t="s">
        <v>145</v>
      </c>
      <c r="E132" s="24" t="s">
        <v>9</v>
      </c>
      <c r="F132" s="24" t="s">
        <v>9</v>
      </c>
      <c r="G132" s="24" t="s">
        <v>9</v>
      </c>
    </row>
    <row r="133" spans="1:8" ht="17.100000000000001" customHeight="1" x14ac:dyDescent="0.2">
      <c r="A133" s="24" t="s">
        <v>9</v>
      </c>
      <c r="B133" s="6" t="s">
        <v>146</v>
      </c>
      <c r="C133" s="26">
        <v>15.1313</v>
      </c>
      <c r="D133" s="26">
        <v>15.5679</v>
      </c>
      <c r="E133" s="24" t="s">
        <v>9</v>
      </c>
      <c r="F133" s="21" t="s">
        <v>9</v>
      </c>
      <c r="G133" s="27" t="s">
        <v>9</v>
      </c>
    </row>
    <row r="134" spans="1:8" ht="17.100000000000001" customHeight="1" x14ac:dyDescent="0.2">
      <c r="A134" s="24" t="s">
        <v>9</v>
      </c>
      <c r="B134" s="6" t="s">
        <v>839</v>
      </c>
      <c r="C134" s="26">
        <v>15.1312</v>
      </c>
      <c r="D134" s="26">
        <v>14.807399999999999</v>
      </c>
      <c r="E134" s="24" t="s">
        <v>9</v>
      </c>
      <c r="F134" s="21" t="s">
        <v>9</v>
      </c>
      <c r="G134" s="27" t="s">
        <v>9</v>
      </c>
    </row>
    <row r="135" spans="1:8" ht="17.100000000000001" customHeight="1" x14ac:dyDescent="0.2">
      <c r="A135" s="24" t="s">
        <v>9</v>
      </c>
      <c r="B135" s="6" t="s">
        <v>147</v>
      </c>
      <c r="C135" s="26">
        <v>14.876099999999999</v>
      </c>
      <c r="D135" s="26">
        <v>15.298299999999999</v>
      </c>
      <c r="E135" s="24" t="s">
        <v>9</v>
      </c>
      <c r="F135" s="21" t="s">
        <v>9</v>
      </c>
      <c r="G135" s="27" t="s">
        <v>9</v>
      </c>
    </row>
    <row r="136" spans="1:8" ht="17.100000000000001" customHeight="1" x14ac:dyDescent="0.2">
      <c r="A136" s="24" t="s">
        <v>9</v>
      </c>
      <c r="B136" s="6" t="s">
        <v>840</v>
      </c>
      <c r="C136" s="26">
        <v>14.876099999999999</v>
      </c>
      <c r="D136" s="26">
        <v>14.7179</v>
      </c>
      <c r="E136" s="24" t="s">
        <v>9</v>
      </c>
      <c r="F136" s="21" t="s">
        <v>9</v>
      </c>
      <c r="G136" s="27" t="s">
        <v>9</v>
      </c>
    </row>
    <row r="137" spans="1:8" ht="14.1" customHeight="1" x14ac:dyDescent="0.2">
      <c r="A137" s="24" t="s">
        <v>9</v>
      </c>
      <c r="B137" s="24" t="s">
        <v>9</v>
      </c>
      <c r="C137" s="24" t="s">
        <v>9</v>
      </c>
      <c r="D137" s="24" t="s">
        <v>9</v>
      </c>
      <c r="E137" s="24" t="s">
        <v>9</v>
      </c>
      <c r="F137" s="24" t="s">
        <v>9</v>
      </c>
      <c r="G137" s="24" t="s">
        <v>9</v>
      </c>
    </row>
    <row r="138" spans="1:8" ht="29.1" customHeight="1" x14ac:dyDescent="0.2">
      <c r="A138" s="167" t="s">
        <v>9</v>
      </c>
      <c r="B138" s="207" t="s">
        <v>986</v>
      </c>
      <c r="C138" s="207"/>
      <c r="D138" s="160"/>
      <c r="E138" s="167" t="s">
        <v>9</v>
      </c>
      <c r="F138" s="167" t="s">
        <v>9</v>
      </c>
      <c r="G138" s="167" t="s">
        <v>9</v>
      </c>
    </row>
    <row r="139" spans="1:8" s="166" customFormat="1" ht="15" x14ac:dyDescent="0.2">
      <c r="A139" s="148" t="s">
        <v>9</v>
      </c>
      <c r="B139" s="161" t="s">
        <v>143</v>
      </c>
      <c r="C139" s="161" t="s">
        <v>878</v>
      </c>
      <c r="D139" s="161" t="s">
        <v>879</v>
      </c>
      <c r="E139" s="148" t="s">
        <v>9</v>
      </c>
      <c r="F139" s="148" t="s">
        <v>9</v>
      </c>
      <c r="G139" s="148" t="s">
        <v>9</v>
      </c>
      <c r="H139" s="165"/>
    </row>
    <row r="140" spans="1:8" ht="17.100000000000001" customHeight="1" x14ac:dyDescent="0.2">
      <c r="A140" s="24" t="s">
        <v>9</v>
      </c>
      <c r="B140" s="162" t="s">
        <v>839</v>
      </c>
      <c r="C140" s="163">
        <v>0.76</v>
      </c>
      <c r="D140" s="163">
        <v>0</v>
      </c>
      <c r="E140" s="24" t="s">
        <v>9</v>
      </c>
      <c r="F140" s="21" t="s">
        <v>9</v>
      </c>
      <c r="G140" s="27" t="s">
        <v>9</v>
      </c>
    </row>
    <row r="141" spans="1:8" ht="17.100000000000001" customHeight="1" x14ac:dyDescent="0.2">
      <c r="A141" s="24" t="s">
        <v>9</v>
      </c>
      <c r="B141" s="162" t="s">
        <v>840</v>
      </c>
      <c r="C141" s="163">
        <v>0.57999999999999996</v>
      </c>
      <c r="D141" s="163">
        <v>0.57999999999999996</v>
      </c>
      <c r="E141" s="24" t="s">
        <v>9</v>
      </c>
      <c r="F141" s="21" t="s">
        <v>9</v>
      </c>
      <c r="G141" s="27" t="s">
        <v>9</v>
      </c>
    </row>
    <row r="142" spans="1:8" ht="14.1" customHeight="1" x14ac:dyDescent="0.2">
      <c r="A142" s="24" t="s">
        <v>9</v>
      </c>
      <c r="B142" s="21" t="s">
        <v>9</v>
      </c>
      <c r="C142" s="21" t="s">
        <v>9</v>
      </c>
      <c r="D142" s="24" t="s">
        <v>9</v>
      </c>
      <c r="E142" s="24" t="s">
        <v>9</v>
      </c>
      <c r="F142" s="24" t="s">
        <v>9</v>
      </c>
      <c r="G142" s="24" t="s">
        <v>9</v>
      </c>
    </row>
    <row r="143" spans="1:8" s="197" customFormat="1" x14ac:dyDescent="0.2">
      <c r="B143" s="208" t="s">
        <v>841</v>
      </c>
      <c r="C143" s="208"/>
      <c r="D143" s="208"/>
      <c r="E143" s="208"/>
      <c r="F143" s="208"/>
    </row>
    <row r="144" spans="1:8" ht="14.1" customHeight="1" x14ac:dyDescent="0.2">
      <c r="A144" s="24"/>
      <c r="B144" s="182"/>
      <c r="C144" s="182"/>
      <c r="D144" s="24"/>
      <c r="E144" s="24"/>
      <c r="F144" s="24"/>
      <c r="G144" s="24"/>
    </row>
    <row r="145" spans="1:7" ht="29.1" customHeight="1" x14ac:dyDescent="0.2">
      <c r="A145" s="24" t="s">
        <v>9</v>
      </c>
      <c r="B145" s="205" t="s">
        <v>148</v>
      </c>
      <c r="C145" s="206"/>
      <c r="D145" s="4" t="s">
        <v>138</v>
      </c>
      <c r="E145" s="24" t="s">
        <v>9</v>
      </c>
      <c r="F145" s="24" t="s">
        <v>9</v>
      </c>
      <c r="G145" s="24" t="s">
        <v>9</v>
      </c>
    </row>
    <row r="146" spans="1:7" ht="29.1" customHeight="1" x14ac:dyDescent="0.2">
      <c r="A146" s="24" t="s">
        <v>9</v>
      </c>
      <c r="B146" s="205" t="s">
        <v>149</v>
      </c>
      <c r="C146" s="206"/>
      <c r="D146" s="4" t="s">
        <v>138</v>
      </c>
      <c r="E146" s="24" t="s">
        <v>9</v>
      </c>
      <c r="F146" s="24" t="s">
        <v>9</v>
      </c>
      <c r="G146" s="24" t="s">
        <v>9</v>
      </c>
    </row>
    <row r="147" spans="1:7" ht="17.100000000000001" customHeight="1" x14ac:dyDescent="0.2">
      <c r="A147" s="24" t="s">
        <v>9</v>
      </c>
      <c r="B147" s="205" t="s">
        <v>150</v>
      </c>
      <c r="C147" s="206"/>
      <c r="D147" s="29">
        <v>0.35159949736044582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205" t="s">
        <v>151</v>
      </c>
      <c r="C148" s="206"/>
      <c r="D148" s="4" t="s">
        <v>138</v>
      </c>
      <c r="E148" s="24" t="s">
        <v>9</v>
      </c>
      <c r="F148" s="24" t="s">
        <v>9</v>
      </c>
      <c r="G148" s="24" t="s">
        <v>9</v>
      </c>
    </row>
  </sheetData>
  <mergeCells count="15">
    <mergeCell ref="B147:C147"/>
    <mergeCell ref="B148:C148"/>
    <mergeCell ref="B128:C128"/>
    <mergeCell ref="B129:C129"/>
    <mergeCell ref="B130:C130"/>
    <mergeCell ref="B138:C138"/>
    <mergeCell ref="B145:C145"/>
    <mergeCell ref="B146:C146"/>
    <mergeCell ref="B143:F143"/>
    <mergeCell ref="B127:C127"/>
    <mergeCell ref="B124:F124"/>
    <mergeCell ref="B125:F12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48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433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50</v>
      </c>
      <c r="C7" s="6" t="s">
        <v>51</v>
      </c>
      <c r="D7" s="6" t="s">
        <v>22</v>
      </c>
      <c r="E7" s="7">
        <v>34392</v>
      </c>
      <c r="F7" s="8">
        <v>515.15776800000003</v>
      </c>
      <c r="G7" s="9">
        <v>6.7583037999999998E-2</v>
      </c>
      <c r="H7" s="156"/>
    </row>
    <row r="8" spans="1:8" x14ac:dyDescent="0.2">
      <c r="A8" s="5">
        <v>2</v>
      </c>
      <c r="B8" s="6" t="s">
        <v>15</v>
      </c>
      <c r="C8" s="6" t="s">
        <v>16</v>
      </c>
      <c r="D8" s="6" t="s">
        <v>17</v>
      </c>
      <c r="E8" s="7">
        <v>22017</v>
      </c>
      <c r="F8" s="8">
        <v>464.70181050000002</v>
      </c>
      <c r="G8" s="9">
        <v>6.096377E-2</v>
      </c>
      <c r="H8" s="156"/>
    </row>
    <row r="9" spans="1:8" x14ac:dyDescent="0.2">
      <c r="A9" s="5">
        <v>3</v>
      </c>
      <c r="B9" s="6" t="s">
        <v>20</v>
      </c>
      <c r="C9" s="6" t="s">
        <v>21</v>
      </c>
      <c r="D9" s="6" t="s">
        <v>22</v>
      </c>
      <c r="E9" s="7">
        <v>69948</v>
      </c>
      <c r="F9" s="8">
        <v>441.30193200000002</v>
      </c>
      <c r="G9" s="9">
        <v>5.7893963999999999E-2</v>
      </c>
      <c r="H9" s="156"/>
    </row>
    <row r="10" spans="1:8" x14ac:dyDescent="0.2">
      <c r="A10" s="5">
        <v>4</v>
      </c>
      <c r="B10" s="6" t="s">
        <v>153</v>
      </c>
      <c r="C10" s="6" t="s">
        <v>154</v>
      </c>
      <c r="D10" s="6" t="s">
        <v>155</v>
      </c>
      <c r="E10" s="7">
        <v>11006</v>
      </c>
      <c r="F10" s="8">
        <v>412.64245499999998</v>
      </c>
      <c r="G10" s="9">
        <v>5.4134155000000003E-2</v>
      </c>
      <c r="H10" s="156"/>
    </row>
    <row r="11" spans="1:8" x14ac:dyDescent="0.2">
      <c r="A11" s="5">
        <v>5</v>
      </c>
      <c r="B11" s="6" t="s">
        <v>398</v>
      </c>
      <c r="C11" s="6" t="s">
        <v>399</v>
      </c>
      <c r="D11" s="6" t="s">
        <v>169</v>
      </c>
      <c r="E11" s="7">
        <v>24647</v>
      </c>
      <c r="F11" s="8">
        <v>389.619776</v>
      </c>
      <c r="G11" s="9">
        <v>5.1113832999999997E-2</v>
      </c>
      <c r="H11" s="156"/>
    </row>
    <row r="12" spans="1:8" x14ac:dyDescent="0.2">
      <c r="A12" s="5">
        <v>6</v>
      </c>
      <c r="B12" s="6" t="s">
        <v>400</v>
      </c>
      <c r="C12" s="6" t="s">
        <v>401</v>
      </c>
      <c r="D12" s="6" t="s">
        <v>166</v>
      </c>
      <c r="E12" s="7">
        <v>12284</v>
      </c>
      <c r="F12" s="8">
        <v>304.05971</v>
      </c>
      <c r="G12" s="9">
        <v>3.9889292E-2</v>
      </c>
      <c r="H12" s="156"/>
    </row>
    <row r="13" spans="1:8" x14ac:dyDescent="0.2">
      <c r="A13" s="5">
        <v>7</v>
      </c>
      <c r="B13" s="6" t="s">
        <v>356</v>
      </c>
      <c r="C13" s="6" t="s">
        <v>357</v>
      </c>
      <c r="D13" s="6" t="s">
        <v>22</v>
      </c>
      <c r="E13" s="7">
        <v>33477</v>
      </c>
      <c r="F13" s="8">
        <v>250.50839099999999</v>
      </c>
      <c r="G13" s="9">
        <v>3.2863947999999997E-2</v>
      </c>
      <c r="H13" s="156"/>
    </row>
    <row r="14" spans="1:8" x14ac:dyDescent="0.2">
      <c r="A14" s="5">
        <v>8</v>
      </c>
      <c r="B14" s="6" t="s">
        <v>402</v>
      </c>
      <c r="C14" s="6" t="s">
        <v>403</v>
      </c>
      <c r="D14" s="6" t="s">
        <v>22</v>
      </c>
      <c r="E14" s="7">
        <v>58550</v>
      </c>
      <c r="F14" s="8">
        <v>245.44159999999999</v>
      </c>
      <c r="G14" s="9">
        <v>3.2199239999999997E-2</v>
      </c>
      <c r="H14" s="156"/>
    </row>
    <row r="15" spans="1:8" x14ac:dyDescent="0.2">
      <c r="A15" s="5">
        <v>9</v>
      </c>
      <c r="B15" s="6" t="s">
        <v>26</v>
      </c>
      <c r="C15" s="6" t="s">
        <v>27</v>
      </c>
      <c r="D15" s="6" t="s">
        <v>28</v>
      </c>
      <c r="E15" s="7">
        <v>19534</v>
      </c>
      <c r="F15" s="8">
        <v>242.60251299999999</v>
      </c>
      <c r="G15" s="9">
        <v>3.1826782999999997E-2</v>
      </c>
      <c r="H15" s="156"/>
    </row>
    <row r="16" spans="1:8" x14ac:dyDescent="0.2">
      <c r="A16" s="5">
        <v>10</v>
      </c>
      <c r="B16" s="6" t="s">
        <v>319</v>
      </c>
      <c r="C16" s="6" t="s">
        <v>320</v>
      </c>
      <c r="D16" s="6" t="s">
        <v>73</v>
      </c>
      <c r="E16" s="7">
        <v>29686</v>
      </c>
      <c r="F16" s="8">
        <v>216.589056</v>
      </c>
      <c r="G16" s="9">
        <v>2.8414103999999999E-2</v>
      </c>
      <c r="H16" s="156"/>
    </row>
    <row r="17" spans="1:8" x14ac:dyDescent="0.2">
      <c r="A17" s="5">
        <v>11</v>
      </c>
      <c r="B17" s="6" t="s">
        <v>350</v>
      </c>
      <c r="C17" s="6" t="s">
        <v>351</v>
      </c>
      <c r="D17" s="6" t="s">
        <v>974</v>
      </c>
      <c r="E17" s="7">
        <v>29796</v>
      </c>
      <c r="F17" s="8">
        <v>190.977462</v>
      </c>
      <c r="G17" s="9">
        <v>2.5054144E-2</v>
      </c>
      <c r="H17" s="156"/>
    </row>
    <row r="18" spans="1:8" x14ac:dyDescent="0.2">
      <c r="A18" s="5">
        <v>12</v>
      </c>
      <c r="B18" s="6" t="s">
        <v>404</v>
      </c>
      <c r="C18" s="6" t="s">
        <v>405</v>
      </c>
      <c r="D18" s="6" t="s">
        <v>971</v>
      </c>
      <c r="E18" s="7">
        <v>17710</v>
      </c>
      <c r="F18" s="8">
        <v>178.54336499999999</v>
      </c>
      <c r="G18" s="9">
        <v>2.3422927E-2</v>
      </c>
      <c r="H18" s="156"/>
    </row>
    <row r="19" spans="1:8" x14ac:dyDescent="0.2">
      <c r="A19" s="5">
        <v>13</v>
      </c>
      <c r="B19" s="6" t="s">
        <v>315</v>
      </c>
      <c r="C19" s="6" t="s">
        <v>316</v>
      </c>
      <c r="D19" s="6" t="s">
        <v>975</v>
      </c>
      <c r="E19" s="7">
        <v>5403</v>
      </c>
      <c r="F19" s="8">
        <v>166.42320599999999</v>
      </c>
      <c r="G19" s="9">
        <v>2.1832896000000001E-2</v>
      </c>
      <c r="H19" s="156"/>
    </row>
    <row r="20" spans="1:8" x14ac:dyDescent="0.2">
      <c r="A20" s="5">
        <v>14</v>
      </c>
      <c r="B20" s="6" t="s">
        <v>36</v>
      </c>
      <c r="C20" s="6" t="s">
        <v>37</v>
      </c>
      <c r="D20" s="6" t="s">
        <v>972</v>
      </c>
      <c r="E20" s="7">
        <v>2453</v>
      </c>
      <c r="F20" s="8">
        <v>166.21528000000001</v>
      </c>
      <c r="G20" s="9">
        <v>2.1805617999999999E-2</v>
      </c>
      <c r="H20" s="156"/>
    </row>
    <row r="21" spans="1:8" x14ac:dyDescent="0.2">
      <c r="A21" s="5">
        <v>15</v>
      </c>
      <c r="B21" s="6" t="s">
        <v>321</v>
      </c>
      <c r="C21" s="6" t="s">
        <v>322</v>
      </c>
      <c r="D21" s="6" t="s">
        <v>63</v>
      </c>
      <c r="E21" s="7">
        <v>37015</v>
      </c>
      <c r="F21" s="8">
        <v>160.86718999999999</v>
      </c>
      <c r="G21" s="9">
        <v>2.1104007000000001E-2</v>
      </c>
      <c r="H21" s="156"/>
    </row>
    <row r="22" spans="1:8" x14ac:dyDescent="0.2">
      <c r="A22" s="5">
        <v>16</v>
      </c>
      <c r="B22" s="6" t="s">
        <v>208</v>
      </c>
      <c r="C22" s="6" t="s">
        <v>209</v>
      </c>
      <c r="D22" s="6" t="s">
        <v>976</v>
      </c>
      <c r="E22" s="7">
        <v>19626</v>
      </c>
      <c r="F22" s="8">
        <v>160.530867</v>
      </c>
      <c r="G22" s="9">
        <v>2.1059886E-2</v>
      </c>
      <c r="H22" s="156"/>
    </row>
    <row r="23" spans="1:8" x14ac:dyDescent="0.2">
      <c r="A23" s="5">
        <v>17</v>
      </c>
      <c r="B23" s="6" t="s">
        <v>12</v>
      </c>
      <c r="C23" s="6" t="s">
        <v>13</v>
      </c>
      <c r="D23" s="6" t="s">
        <v>14</v>
      </c>
      <c r="E23" s="7">
        <v>10691</v>
      </c>
      <c r="F23" s="8">
        <v>160.4238005</v>
      </c>
      <c r="G23" s="9">
        <v>2.104584E-2</v>
      </c>
      <c r="H23" s="156"/>
    </row>
    <row r="24" spans="1:8" x14ac:dyDescent="0.2">
      <c r="A24" s="5">
        <v>18</v>
      </c>
      <c r="B24" s="6" t="s">
        <v>23</v>
      </c>
      <c r="C24" s="6" t="s">
        <v>24</v>
      </c>
      <c r="D24" s="6" t="s">
        <v>25</v>
      </c>
      <c r="E24" s="7">
        <v>28496</v>
      </c>
      <c r="F24" s="8">
        <v>149.78922399999999</v>
      </c>
      <c r="G24" s="9">
        <v>1.96507E-2</v>
      </c>
      <c r="H24" s="156"/>
    </row>
    <row r="25" spans="1:8" x14ac:dyDescent="0.2">
      <c r="A25" s="5">
        <v>19</v>
      </c>
      <c r="B25" s="6" t="s">
        <v>74</v>
      </c>
      <c r="C25" s="6" t="s">
        <v>75</v>
      </c>
      <c r="D25" s="6" t="s">
        <v>28</v>
      </c>
      <c r="E25" s="7">
        <v>15282</v>
      </c>
      <c r="F25" s="8">
        <v>137.46159</v>
      </c>
      <c r="G25" s="9">
        <v>1.8033449999999999E-2</v>
      </c>
      <c r="H25" s="156"/>
    </row>
    <row r="26" spans="1:8" ht="25.5" x14ac:dyDescent="0.2">
      <c r="A26" s="5">
        <v>20</v>
      </c>
      <c r="B26" s="6" t="s">
        <v>214</v>
      </c>
      <c r="C26" s="6" t="s">
        <v>215</v>
      </c>
      <c r="D26" s="6" t="s">
        <v>63</v>
      </c>
      <c r="E26" s="7">
        <v>6000</v>
      </c>
      <c r="F26" s="8">
        <v>133.75200000000001</v>
      </c>
      <c r="G26" s="9">
        <v>1.7546791999999999E-2</v>
      </c>
      <c r="H26" s="156"/>
    </row>
    <row r="27" spans="1:8" x14ac:dyDescent="0.2">
      <c r="A27" s="5">
        <v>21</v>
      </c>
      <c r="B27" s="6" t="s">
        <v>406</v>
      </c>
      <c r="C27" s="6" t="s">
        <v>407</v>
      </c>
      <c r="D27" s="6" t="s">
        <v>73</v>
      </c>
      <c r="E27" s="7">
        <v>5409</v>
      </c>
      <c r="F27" s="8">
        <v>133.672617</v>
      </c>
      <c r="G27" s="9">
        <v>1.7536377999999998E-2</v>
      </c>
      <c r="H27" s="156"/>
    </row>
    <row r="28" spans="1:8" x14ac:dyDescent="0.2">
      <c r="A28" s="5">
        <v>22</v>
      </c>
      <c r="B28" s="6" t="s">
        <v>408</v>
      </c>
      <c r="C28" s="6" t="s">
        <v>409</v>
      </c>
      <c r="D28" s="6" t="s">
        <v>169</v>
      </c>
      <c r="E28" s="7">
        <v>3810</v>
      </c>
      <c r="F28" s="8">
        <v>127.47307499999999</v>
      </c>
      <c r="G28" s="9">
        <v>1.6723066000000002E-2</v>
      </c>
      <c r="H28" s="156"/>
    </row>
    <row r="29" spans="1:8" x14ac:dyDescent="0.2">
      <c r="A29" s="5">
        <v>23</v>
      </c>
      <c r="B29" s="6" t="s">
        <v>410</v>
      </c>
      <c r="C29" s="6" t="s">
        <v>411</v>
      </c>
      <c r="D29" s="6" t="s">
        <v>169</v>
      </c>
      <c r="E29" s="7">
        <v>23000</v>
      </c>
      <c r="F29" s="8">
        <v>125.4995</v>
      </c>
      <c r="G29" s="9">
        <v>1.6464155000000001E-2</v>
      </c>
      <c r="H29" s="156"/>
    </row>
    <row r="30" spans="1:8" x14ac:dyDescent="0.2">
      <c r="A30" s="5">
        <v>24</v>
      </c>
      <c r="B30" s="6" t="s">
        <v>412</v>
      </c>
      <c r="C30" s="6" t="s">
        <v>413</v>
      </c>
      <c r="D30" s="6" t="s">
        <v>196</v>
      </c>
      <c r="E30" s="7">
        <v>17804</v>
      </c>
      <c r="F30" s="8">
        <v>120.25711800000001</v>
      </c>
      <c r="G30" s="9">
        <v>1.5776412E-2</v>
      </c>
      <c r="H30" s="156"/>
    </row>
    <row r="31" spans="1:8" x14ac:dyDescent="0.2">
      <c r="A31" s="5">
        <v>25</v>
      </c>
      <c r="B31" s="6" t="s">
        <v>414</v>
      </c>
      <c r="C31" s="6" t="s">
        <v>415</v>
      </c>
      <c r="D31" s="6" t="s">
        <v>54</v>
      </c>
      <c r="E31" s="7">
        <v>10000</v>
      </c>
      <c r="F31" s="8">
        <v>116.66</v>
      </c>
      <c r="G31" s="9">
        <v>1.530451E-2</v>
      </c>
      <c r="H31" s="156"/>
    </row>
    <row r="32" spans="1:8" x14ac:dyDescent="0.2">
      <c r="A32" s="5">
        <v>26</v>
      </c>
      <c r="B32" s="6" t="s">
        <v>364</v>
      </c>
      <c r="C32" s="6" t="s">
        <v>365</v>
      </c>
      <c r="D32" s="6" t="s">
        <v>63</v>
      </c>
      <c r="E32" s="7">
        <v>5154</v>
      </c>
      <c r="F32" s="8">
        <v>115.21767</v>
      </c>
      <c r="G32" s="9">
        <v>1.5115292000000001E-2</v>
      </c>
      <c r="H32" s="156"/>
    </row>
    <row r="33" spans="1:8" x14ac:dyDescent="0.2">
      <c r="A33" s="5">
        <v>27</v>
      </c>
      <c r="B33" s="6" t="s">
        <v>416</v>
      </c>
      <c r="C33" s="6" t="s">
        <v>417</v>
      </c>
      <c r="D33" s="6" t="s">
        <v>92</v>
      </c>
      <c r="E33" s="7">
        <v>14328</v>
      </c>
      <c r="F33" s="8">
        <v>111.428856</v>
      </c>
      <c r="G33" s="9">
        <v>1.4618241000000001E-2</v>
      </c>
      <c r="H33" s="156"/>
    </row>
    <row r="34" spans="1:8" x14ac:dyDescent="0.2">
      <c r="A34" s="5">
        <v>28</v>
      </c>
      <c r="B34" s="6" t="s">
        <v>368</v>
      </c>
      <c r="C34" s="6" t="s">
        <v>369</v>
      </c>
      <c r="D34" s="6" t="s">
        <v>169</v>
      </c>
      <c r="E34" s="7">
        <v>10771</v>
      </c>
      <c r="F34" s="8">
        <v>105.932785</v>
      </c>
      <c r="G34" s="9">
        <v>1.3897217E-2</v>
      </c>
      <c r="H34" s="156"/>
    </row>
    <row r="35" spans="1:8" x14ac:dyDescent="0.2">
      <c r="A35" s="5">
        <v>29</v>
      </c>
      <c r="B35" s="6" t="s">
        <v>57</v>
      </c>
      <c r="C35" s="6" t="s">
        <v>58</v>
      </c>
      <c r="D35" s="6" t="s">
        <v>17</v>
      </c>
      <c r="E35" s="7">
        <v>21882</v>
      </c>
      <c r="F35" s="8">
        <v>102.429642</v>
      </c>
      <c r="G35" s="9">
        <v>1.3437643000000001E-2</v>
      </c>
      <c r="H35" s="156"/>
    </row>
    <row r="36" spans="1:8" x14ac:dyDescent="0.2">
      <c r="A36" s="5">
        <v>30</v>
      </c>
      <c r="B36" s="6" t="s">
        <v>343</v>
      </c>
      <c r="C36" s="6" t="s">
        <v>344</v>
      </c>
      <c r="D36" s="6" t="s">
        <v>345</v>
      </c>
      <c r="E36" s="7">
        <v>11381</v>
      </c>
      <c r="F36" s="8">
        <v>96.721428500000002</v>
      </c>
      <c r="G36" s="9">
        <v>1.2688787999999999E-2</v>
      </c>
      <c r="H36" s="156"/>
    </row>
    <row r="37" spans="1:8" x14ac:dyDescent="0.2">
      <c r="A37" s="5">
        <v>31</v>
      </c>
      <c r="B37" s="6" t="s">
        <v>418</v>
      </c>
      <c r="C37" s="6" t="s">
        <v>419</v>
      </c>
      <c r="D37" s="6" t="s">
        <v>196</v>
      </c>
      <c r="E37" s="7">
        <v>1992</v>
      </c>
      <c r="F37" s="8">
        <v>87.812340000000006</v>
      </c>
      <c r="G37" s="9">
        <v>1.1520014E-2</v>
      </c>
      <c r="H37" s="156"/>
    </row>
    <row r="38" spans="1:8" x14ac:dyDescent="0.2">
      <c r="A38" s="5">
        <v>32</v>
      </c>
      <c r="B38" s="6" t="s">
        <v>259</v>
      </c>
      <c r="C38" s="6" t="s">
        <v>260</v>
      </c>
      <c r="D38" s="6" t="s">
        <v>261</v>
      </c>
      <c r="E38" s="7">
        <v>11011</v>
      </c>
      <c r="F38" s="8">
        <v>87.300713500000001</v>
      </c>
      <c r="G38" s="9">
        <v>1.1452894E-2</v>
      </c>
      <c r="H38" s="156"/>
    </row>
    <row r="39" spans="1:8" x14ac:dyDescent="0.2">
      <c r="A39" s="5">
        <v>33</v>
      </c>
      <c r="B39" s="6" t="s">
        <v>354</v>
      </c>
      <c r="C39" s="6" t="s">
        <v>355</v>
      </c>
      <c r="D39" s="6" t="s">
        <v>236</v>
      </c>
      <c r="E39" s="7">
        <v>9400</v>
      </c>
      <c r="F39" s="8">
        <v>84.684600000000003</v>
      </c>
      <c r="G39" s="9">
        <v>1.1109689000000001E-2</v>
      </c>
      <c r="H39" s="156"/>
    </row>
    <row r="40" spans="1:8" x14ac:dyDescent="0.2">
      <c r="A40" s="5">
        <v>34</v>
      </c>
      <c r="B40" s="6" t="s">
        <v>420</v>
      </c>
      <c r="C40" s="6" t="s">
        <v>421</v>
      </c>
      <c r="D40" s="6" t="s">
        <v>971</v>
      </c>
      <c r="E40" s="7">
        <v>5376</v>
      </c>
      <c r="F40" s="8">
        <v>84.241919999999993</v>
      </c>
      <c r="G40" s="9">
        <v>1.1051614E-2</v>
      </c>
      <c r="H40" s="156"/>
    </row>
    <row r="41" spans="1:8" x14ac:dyDescent="0.2">
      <c r="A41" s="5">
        <v>35</v>
      </c>
      <c r="B41" s="6" t="s">
        <v>341</v>
      </c>
      <c r="C41" s="6" t="s">
        <v>342</v>
      </c>
      <c r="D41" s="6" t="s">
        <v>191</v>
      </c>
      <c r="E41" s="7">
        <v>104</v>
      </c>
      <c r="F41" s="8">
        <v>83.282679999999999</v>
      </c>
      <c r="G41" s="9">
        <v>1.0925772E-2</v>
      </c>
      <c r="H41" s="156"/>
    </row>
    <row r="42" spans="1:8" x14ac:dyDescent="0.2">
      <c r="A42" s="5">
        <v>36</v>
      </c>
      <c r="B42" s="6" t="s">
        <v>335</v>
      </c>
      <c r="C42" s="6" t="s">
        <v>336</v>
      </c>
      <c r="D42" s="6" t="s">
        <v>196</v>
      </c>
      <c r="E42" s="7">
        <v>2422</v>
      </c>
      <c r="F42" s="8">
        <v>82.936546000000007</v>
      </c>
      <c r="G42" s="9">
        <v>1.0880363000000001E-2</v>
      </c>
      <c r="H42" s="156"/>
    </row>
    <row r="43" spans="1:8" x14ac:dyDescent="0.2">
      <c r="A43" s="5">
        <v>37</v>
      </c>
      <c r="B43" s="6" t="s">
        <v>346</v>
      </c>
      <c r="C43" s="6" t="s">
        <v>347</v>
      </c>
      <c r="D43" s="6" t="s">
        <v>22</v>
      </c>
      <c r="E43" s="7">
        <v>96000</v>
      </c>
      <c r="F43" s="8">
        <v>82.463999999999999</v>
      </c>
      <c r="G43" s="9">
        <v>1.0818371E-2</v>
      </c>
      <c r="H43" s="156"/>
    </row>
    <row r="44" spans="1:8" x14ac:dyDescent="0.2">
      <c r="A44" s="5">
        <v>38</v>
      </c>
      <c r="B44" s="6" t="s">
        <v>339</v>
      </c>
      <c r="C44" s="6" t="s">
        <v>340</v>
      </c>
      <c r="D44" s="6" t="s">
        <v>68</v>
      </c>
      <c r="E44" s="7">
        <v>11000</v>
      </c>
      <c r="F44" s="8">
        <v>76.8185</v>
      </c>
      <c r="G44" s="9">
        <v>1.0077743E-2</v>
      </c>
      <c r="H44" s="156"/>
    </row>
    <row r="45" spans="1:8" x14ac:dyDescent="0.2">
      <c r="A45" s="5">
        <v>39</v>
      </c>
      <c r="B45" s="6" t="s">
        <v>222</v>
      </c>
      <c r="C45" s="6" t="s">
        <v>223</v>
      </c>
      <c r="D45" s="6" t="s">
        <v>972</v>
      </c>
      <c r="E45" s="7">
        <v>39711</v>
      </c>
      <c r="F45" s="8">
        <v>76.225264499999994</v>
      </c>
      <c r="G45" s="9">
        <v>9.9999170000000005E-3</v>
      </c>
      <c r="H45" s="156"/>
    </row>
    <row r="46" spans="1:8" x14ac:dyDescent="0.2">
      <c r="A46" s="5">
        <v>40</v>
      </c>
      <c r="B46" s="6" t="s">
        <v>206</v>
      </c>
      <c r="C46" s="6" t="s">
        <v>207</v>
      </c>
      <c r="D46" s="6" t="s">
        <v>73</v>
      </c>
      <c r="E46" s="7">
        <v>17147</v>
      </c>
      <c r="F46" s="8">
        <v>73.997878499999999</v>
      </c>
      <c r="G46" s="9">
        <v>9.7077080000000007E-3</v>
      </c>
      <c r="H46" s="156"/>
    </row>
    <row r="47" spans="1:8" x14ac:dyDescent="0.2">
      <c r="A47" s="5">
        <v>41</v>
      </c>
      <c r="B47" s="6" t="s">
        <v>422</v>
      </c>
      <c r="C47" s="6" t="s">
        <v>423</v>
      </c>
      <c r="D47" s="6" t="s">
        <v>73</v>
      </c>
      <c r="E47" s="7">
        <v>31300</v>
      </c>
      <c r="F47" s="8">
        <v>63.445099999999996</v>
      </c>
      <c r="G47" s="9">
        <v>8.3233000000000005E-3</v>
      </c>
      <c r="H47" s="156"/>
    </row>
    <row r="48" spans="1:8" x14ac:dyDescent="0.2">
      <c r="A48" s="5">
        <v>42</v>
      </c>
      <c r="B48" s="6" t="s">
        <v>297</v>
      </c>
      <c r="C48" s="6" t="s">
        <v>298</v>
      </c>
      <c r="D48" s="6" t="s">
        <v>971</v>
      </c>
      <c r="E48" s="7">
        <v>5927</v>
      </c>
      <c r="F48" s="8">
        <v>62.849907999999999</v>
      </c>
      <c r="G48" s="9">
        <v>8.2452170000000009E-3</v>
      </c>
      <c r="H48" s="156"/>
    </row>
    <row r="49" spans="1:8" x14ac:dyDescent="0.2">
      <c r="A49" s="5">
        <v>43</v>
      </c>
      <c r="B49" s="6" t="s">
        <v>333</v>
      </c>
      <c r="C49" s="6" t="s">
        <v>334</v>
      </c>
      <c r="D49" s="6" t="s">
        <v>54</v>
      </c>
      <c r="E49" s="7">
        <v>15000</v>
      </c>
      <c r="F49" s="8">
        <v>59.6175</v>
      </c>
      <c r="G49" s="9">
        <v>7.8211610000000001E-3</v>
      </c>
      <c r="H49" s="156"/>
    </row>
    <row r="50" spans="1:8" x14ac:dyDescent="0.2">
      <c r="A50" s="5">
        <v>44</v>
      </c>
      <c r="B50" s="6" t="s">
        <v>76</v>
      </c>
      <c r="C50" s="6" t="s">
        <v>77</v>
      </c>
      <c r="D50" s="6" t="s">
        <v>78</v>
      </c>
      <c r="E50" s="7">
        <v>36861</v>
      </c>
      <c r="F50" s="8">
        <v>55.1624865</v>
      </c>
      <c r="G50" s="9">
        <v>7.2367120000000002E-3</v>
      </c>
      <c r="H50" s="156"/>
    </row>
    <row r="51" spans="1:8" x14ac:dyDescent="0.2">
      <c r="A51" s="5">
        <v>45</v>
      </c>
      <c r="B51" s="6" t="s">
        <v>424</v>
      </c>
      <c r="C51" s="6" t="s">
        <v>425</v>
      </c>
      <c r="D51" s="6" t="s">
        <v>166</v>
      </c>
      <c r="E51" s="7">
        <v>4434</v>
      </c>
      <c r="F51" s="8">
        <v>51.627279000000001</v>
      </c>
      <c r="G51" s="9">
        <v>6.7729319999999997E-3</v>
      </c>
      <c r="H51" s="156"/>
    </row>
    <row r="52" spans="1:8" x14ac:dyDescent="0.2">
      <c r="A52" s="5">
        <v>46</v>
      </c>
      <c r="B52" s="6" t="s">
        <v>266</v>
      </c>
      <c r="C52" s="6" t="s">
        <v>267</v>
      </c>
      <c r="D52" s="6" t="s">
        <v>191</v>
      </c>
      <c r="E52" s="7">
        <v>8000</v>
      </c>
      <c r="F52" s="8">
        <v>51.351999999999997</v>
      </c>
      <c r="G52" s="9">
        <v>6.7368180000000003E-3</v>
      </c>
      <c r="H52" s="156"/>
    </row>
    <row r="53" spans="1:8" x14ac:dyDescent="0.2">
      <c r="A53" s="5">
        <v>47</v>
      </c>
      <c r="B53" s="6" t="s">
        <v>426</v>
      </c>
      <c r="C53" s="6" t="s">
        <v>427</v>
      </c>
      <c r="D53" s="6" t="s">
        <v>22</v>
      </c>
      <c r="E53" s="7">
        <v>2804</v>
      </c>
      <c r="F53" s="8">
        <v>47.832034</v>
      </c>
      <c r="G53" s="9">
        <v>6.2750369999999998E-3</v>
      </c>
      <c r="H53" s="156"/>
    </row>
    <row r="54" spans="1:8" x14ac:dyDescent="0.2">
      <c r="A54" s="5">
        <v>48</v>
      </c>
      <c r="B54" s="6" t="s">
        <v>428</v>
      </c>
      <c r="C54" s="6" t="s">
        <v>429</v>
      </c>
      <c r="D54" s="6" t="s">
        <v>191</v>
      </c>
      <c r="E54" s="7">
        <v>12994</v>
      </c>
      <c r="F54" s="8">
        <v>44.478462</v>
      </c>
      <c r="G54" s="9">
        <v>5.8350850000000003E-3</v>
      </c>
      <c r="H54" s="156"/>
    </row>
    <row r="55" spans="1:8" x14ac:dyDescent="0.2">
      <c r="A55" s="5">
        <v>49</v>
      </c>
      <c r="B55" s="6" t="s">
        <v>366</v>
      </c>
      <c r="C55" s="6" t="s">
        <v>367</v>
      </c>
      <c r="D55" s="6" t="s">
        <v>63</v>
      </c>
      <c r="E55" s="7">
        <v>46331</v>
      </c>
      <c r="F55" s="8">
        <v>36.2540075</v>
      </c>
      <c r="G55" s="9">
        <v>4.7561269999999998E-3</v>
      </c>
      <c r="H55" s="156"/>
    </row>
    <row r="56" spans="1:8" x14ac:dyDescent="0.2">
      <c r="A56" s="5">
        <v>50</v>
      </c>
      <c r="B56" s="6" t="s">
        <v>430</v>
      </c>
      <c r="C56" s="6" t="s">
        <v>431</v>
      </c>
      <c r="D56" s="6" t="s">
        <v>432</v>
      </c>
      <c r="E56" s="7">
        <v>7540</v>
      </c>
      <c r="F56" s="8">
        <v>28.052569999999999</v>
      </c>
      <c r="G56" s="9">
        <v>3.6801889999999999E-3</v>
      </c>
      <c r="H56" s="156"/>
    </row>
    <row r="57" spans="1:8" x14ac:dyDescent="0.2">
      <c r="A57" s="3" t="s">
        <v>9</v>
      </c>
      <c r="B57" s="3" t="s">
        <v>9</v>
      </c>
      <c r="C57" s="4" t="s">
        <v>105</v>
      </c>
      <c r="D57" s="3" t="s">
        <v>9</v>
      </c>
      <c r="E57" s="3" t="s">
        <v>9</v>
      </c>
      <c r="F57" s="10">
        <v>7563.337477</v>
      </c>
      <c r="G57" s="11">
        <v>0.99222675199999999</v>
      </c>
      <c r="H57" s="156"/>
    </row>
    <row r="58" spans="1:8" x14ac:dyDescent="0.2">
      <c r="A58" s="3" t="s">
        <v>9</v>
      </c>
      <c r="B58" s="3" t="s">
        <v>9</v>
      </c>
      <c r="C58" s="12" t="s">
        <v>9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106</v>
      </c>
      <c r="D59" s="3" t="s">
        <v>9</v>
      </c>
      <c r="E59" s="3" t="s">
        <v>9</v>
      </c>
      <c r="F59" s="3" t="s">
        <v>9</v>
      </c>
      <c r="G59" s="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0</v>
      </c>
      <c r="G60" s="15">
        <v>0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107</v>
      </c>
      <c r="D62" s="3" t="s">
        <v>9</v>
      </c>
      <c r="E62" s="3" t="s">
        <v>9</v>
      </c>
      <c r="F62" s="3" t="s">
        <v>9</v>
      </c>
      <c r="G62" s="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105</v>
      </c>
      <c r="D63" s="3" t="s">
        <v>9</v>
      </c>
      <c r="E63" s="3" t="s">
        <v>9</v>
      </c>
      <c r="F63" s="14">
        <v>0</v>
      </c>
      <c r="G63" s="15">
        <v>0</v>
      </c>
      <c r="H63" s="156"/>
    </row>
    <row r="64" spans="1:8" x14ac:dyDescent="0.2">
      <c r="A64" s="3" t="s">
        <v>9</v>
      </c>
      <c r="B64" s="3" t="s">
        <v>9</v>
      </c>
      <c r="C64" s="12" t="s">
        <v>9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111</v>
      </c>
      <c r="D65" s="3" t="s">
        <v>9</v>
      </c>
      <c r="E65" s="3" t="s">
        <v>9</v>
      </c>
      <c r="F65" s="3" t="s">
        <v>9</v>
      </c>
      <c r="G65" s="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105</v>
      </c>
      <c r="D66" s="3" t="s">
        <v>9</v>
      </c>
      <c r="E66" s="3" t="s">
        <v>9</v>
      </c>
      <c r="F66" s="14">
        <v>0</v>
      </c>
      <c r="G66" s="15">
        <v>0</v>
      </c>
      <c r="H66" s="156"/>
    </row>
    <row r="67" spans="1:8" x14ac:dyDescent="0.2">
      <c r="A67" s="3" t="s">
        <v>9</v>
      </c>
      <c r="B67" s="3" t="s">
        <v>9</v>
      </c>
      <c r="C67" s="12" t="s">
        <v>9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112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113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114</v>
      </c>
      <c r="D74" s="3" t="s">
        <v>9</v>
      </c>
      <c r="E74" s="3" t="s">
        <v>9</v>
      </c>
      <c r="F74" s="10">
        <v>7563.337477</v>
      </c>
      <c r="G74" s="11">
        <v>0.99222675199999999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115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116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117</v>
      </c>
      <c r="D83" s="3" t="s">
        <v>9</v>
      </c>
      <c r="E83" s="3" t="s">
        <v>9</v>
      </c>
      <c r="F83" s="3" t="s">
        <v>9</v>
      </c>
      <c r="G83" s="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118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119</v>
      </c>
      <c r="D89" s="3" t="s">
        <v>9</v>
      </c>
      <c r="E89" s="3" t="s">
        <v>9</v>
      </c>
      <c r="F89" s="10">
        <v>0</v>
      </c>
      <c r="G89" s="11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120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121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122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123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124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5">
        <v>1</v>
      </c>
      <c r="B102" s="6"/>
      <c r="C102" s="6" t="s">
        <v>125</v>
      </c>
      <c r="D102" s="6"/>
      <c r="E102" s="16" t="s">
        <v>9</v>
      </c>
      <c r="F102" s="8">
        <v>37.576194600000001</v>
      </c>
      <c r="G102" s="9">
        <v>4.9295839999999999E-3</v>
      </c>
      <c r="H102" s="8">
        <v>3.3326163573085874</v>
      </c>
    </row>
    <row r="103" spans="1:8" x14ac:dyDescent="0.2">
      <c r="A103" s="5">
        <v>2</v>
      </c>
      <c r="B103" s="6"/>
      <c r="C103" s="6" t="s">
        <v>126</v>
      </c>
      <c r="D103" s="6"/>
      <c r="E103" s="16" t="s">
        <v>9</v>
      </c>
      <c r="F103" s="8">
        <v>26.838722199999999</v>
      </c>
      <c r="G103" s="9">
        <v>3.5209450000000002E-3</v>
      </c>
      <c r="H103" s="8">
        <v>3.2337849550915885</v>
      </c>
    </row>
    <row r="104" spans="1:8" x14ac:dyDescent="0.2">
      <c r="A104" s="3" t="s">
        <v>9</v>
      </c>
      <c r="B104" s="3" t="s">
        <v>9</v>
      </c>
      <c r="C104" s="4" t="s">
        <v>105</v>
      </c>
      <c r="D104" s="3" t="s">
        <v>9</v>
      </c>
      <c r="E104" s="3" t="s">
        <v>9</v>
      </c>
      <c r="F104" s="10">
        <v>64.4149168</v>
      </c>
      <c r="G104" s="11">
        <v>8.450529E-3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127</v>
      </c>
      <c r="D106" s="3" t="s">
        <v>9</v>
      </c>
      <c r="E106" s="3" t="s">
        <v>9</v>
      </c>
      <c r="F106" s="10">
        <v>64.4149168</v>
      </c>
      <c r="G106" s="11">
        <v>8.450529E-3</v>
      </c>
      <c r="H106" s="156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3" t="s">
        <v>9</v>
      </c>
      <c r="G107" s="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128</v>
      </c>
      <c r="D108" s="3" t="s">
        <v>9</v>
      </c>
      <c r="E108" s="3" t="s">
        <v>9</v>
      </c>
      <c r="F108" s="3" t="s">
        <v>9</v>
      </c>
      <c r="G108" s="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129</v>
      </c>
      <c r="D109" s="3" t="s">
        <v>9</v>
      </c>
      <c r="E109" s="3" t="s">
        <v>9</v>
      </c>
      <c r="F109" s="3" t="s">
        <v>9</v>
      </c>
      <c r="G109" s="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105</v>
      </c>
      <c r="D110" s="3" t="s">
        <v>9</v>
      </c>
      <c r="E110" s="3" t="s">
        <v>9</v>
      </c>
      <c r="F110" s="14">
        <v>0</v>
      </c>
      <c r="G110" s="15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130</v>
      </c>
      <c r="D112" s="3" t="s">
        <v>9</v>
      </c>
      <c r="E112" s="3" t="s">
        <v>9</v>
      </c>
      <c r="F112" s="3" t="s">
        <v>9</v>
      </c>
      <c r="G112" s="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131</v>
      </c>
      <c r="D113" s="3" t="s">
        <v>9</v>
      </c>
      <c r="E113" s="3" t="s">
        <v>9</v>
      </c>
      <c r="F113" s="3" t="s">
        <v>9</v>
      </c>
      <c r="G113" s="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4">
        <v>0</v>
      </c>
      <c r="G114" s="15">
        <v>0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132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105</v>
      </c>
      <c r="D118" s="3" t="s">
        <v>9</v>
      </c>
      <c r="E118" s="3" t="s">
        <v>9</v>
      </c>
      <c r="F118" s="14">
        <v>0</v>
      </c>
      <c r="G118" s="15">
        <v>0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6" t="s">
        <v>9</v>
      </c>
      <c r="C120" s="6" t="s">
        <v>9</v>
      </c>
      <c r="D120" s="4" t="s">
        <v>9</v>
      </c>
      <c r="E120" s="3" t="s">
        <v>9</v>
      </c>
      <c r="F120" s="6" t="s">
        <v>9</v>
      </c>
      <c r="G120" s="16" t="s">
        <v>9</v>
      </c>
      <c r="H120" s="156"/>
    </row>
    <row r="121" spans="1:8" x14ac:dyDescent="0.2">
      <c r="A121" s="16" t="s">
        <v>9</v>
      </c>
      <c r="B121" s="6" t="s">
        <v>9</v>
      </c>
      <c r="C121" s="6" t="s">
        <v>133</v>
      </c>
      <c r="D121" s="6" t="s">
        <v>9</v>
      </c>
      <c r="E121" s="16" t="s">
        <v>9</v>
      </c>
      <c r="F121" s="8">
        <v>-5.1626608000000003</v>
      </c>
      <c r="G121" s="9">
        <v>-6.77284E-4</v>
      </c>
      <c r="H121" s="156"/>
    </row>
    <row r="122" spans="1:8" x14ac:dyDescent="0.2">
      <c r="A122" s="12" t="s">
        <v>9</v>
      </c>
      <c r="B122" s="12" t="s">
        <v>9</v>
      </c>
      <c r="C122" s="4" t="s">
        <v>134</v>
      </c>
      <c r="D122" s="17" t="s">
        <v>9</v>
      </c>
      <c r="E122" s="17" t="s">
        <v>9</v>
      </c>
      <c r="F122" s="10">
        <v>7622.5897329999998</v>
      </c>
      <c r="G122" s="11">
        <v>0.99999999699999997</v>
      </c>
      <c r="H122" s="156"/>
    </row>
    <row r="123" spans="1:8" ht="14.1" customHeight="1" x14ac:dyDescent="0.2">
      <c r="A123" s="18" t="s">
        <v>9</v>
      </c>
      <c r="B123" s="18" t="s">
        <v>9</v>
      </c>
      <c r="C123" s="18" t="s">
        <v>9</v>
      </c>
      <c r="D123" s="19" t="s">
        <v>9</v>
      </c>
      <c r="E123" s="19" t="s">
        <v>9</v>
      </c>
      <c r="F123" s="19" t="s">
        <v>9</v>
      </c>
      <c r="G123" s="19" t="s">
        <v>9</v>
      </c>
    </row>
    <row r="124" spans="1:8" ht="14.1" customHeight="1" x14ac:dyDescent="0.2">
      <c r="A124" s="20" t="s">
        <v>9</v>
      </c>
      <c r="B124" s="200" t="s">
        <v>9</v>
      </c>
      <c r="C124" s="200"/>
      <c r="D124" s="200"/>
      <c r="E124" s="200"/>
      <c r="F124" s="200"/>
      <c r="G124" s="22" t="s">
        <v>9</v>
      </c>
    </row>
    <row r="125" spans="1:8" ht="14.1" customHeight="1" x14ac:dyDescent="0.2">
      <c r="A125" s="20" t="s">
        <v>9</v>
      </c>
      <c r="B125" s="200" t="s">
        <v>9</v>
      </c>
      <c r="C125" s="200"/>
      <c r="D125" s="200"/>
      <c r="E125" s="200"/>
      <c r="F125" s="200"/>
      <c r="G125" s="22" t="s">
        <v>9</v>
      </c>
    </row>
    <row r="126" spans="1:8" ht="14.1" customHeight="1" x14ac:dyDescent="0.2">
      <c r="A126" s="20" t="s">
        <v>9</v>
      </c>
      <c r="B126" s="20" t="s">
        <v>9</v>
      </c>
      <c r="C126" s="20" t="s">
        <v>9</v>
      </c>
      <c r="D126" s="22" t="s">
        <v>9</v>
      </c>
      <c r="E126" s="22" t="s">
        <v>9</v>
      </c>
      <c r="F126" s="22" t="s">
        <v>9</v>
      </c>
      <c r="G126" s="22" t="s">
        <v>9</v>
      </c>
    </row>
    <row r="127" spans="1:8" ht="14.1" customHeight="1" x14ac:dyDescent="0.2">
      <c r="A127" s="20" t="s">
        <v>9</v>
      </c>
      <c r="B127" s="198" t="s">
        <v>136</v>
      </c>
      <c r="C127" s="199"/>
      <c r="D127" s="13" t="s">
        <v>9</v>
      </c>
      <c r="E127" s="23" t="s">
        <v>9</v>
      </c>
      <c r="F127" s="22" t="s">
        <v>9</v>
      </c>
      <c r="G127" s="22" t="s">
        <v>9</v>
      </c>
    </row>
    <row r="128" spans="1:8" ht="29.1" customHeight="1" x14ac:dyDescent="0.2">
      <c r="A128" s="20" t="s">
        <v>9</v>
      </c>
      <c r="B128" s="205" t="s">
        <v>137</v>
      </c>
      <c r="C128" s="206"/>
      <c r="D128" s="4" t="s">
        <v>138</v>
      </c>
      <c r="E128" s="23" t="s">
        <v>9</v>
      </c>
      <c r="F128" s="22" t="s">
        <v>9</v>
      </c>
      <c r="G128" s="22" t="s">
        <v>9</v>
      </c>
    </row>
    <row r="129" spans="1:8" ht="17.100000000000001" customHeight="1" x14ac:dyDescent="0.2">
      <c r="A129" s="20" t="s">
        <v>9</v>
      </c>
      <c r="B129" s="205" t="s">
        <v>139</v>
      </c>
      <c r="C129" s="206"/>
      <c r="D129" s="4" t="s">
        <v>138</v>
      </c>
      <c r="E129" s="23" t="s">
        <v>9</v>
      </c>
      <c r="F129" s="22" t="s">
        <v>9</v>
      </c>
      <c r="G129" s="22" t="s">
        <v>9</v>
      </c>
    </row>
    <row r="130" spans="1:8" ht="17.100000000000001" customHeight="1" x14ac:dyDescent="0.2">
      <c r="A130" s="20" t="s">
        <v>9</v>
      </c>
      <c r="B130" s="205" t="s">
        <v>140</v>
      </c>
      <c r="C130" s="206"/>
      <c r="D130" s="13" t="s">
        <v>9</v>
      </c>
      <c r="E130" s="23" t="s">
        <v>9</v>
      </c>
      <c r="F130" s="22" t="s">
        <v>9</v>
      </c>
      <c r="G130" s="22" t="s">
        <v>9</v>
      </c>
    </row>
    <row r="131" spans="1:8" ht="24" customHeight="1" x14ac:dyDescent="0.2">
      <c r="A131" s="24" t="s">
        <v>9</v>
      </c>
      <c r="B131" s="25" t="s">
        <v>9</v>
      </c>
      <c r="C131" s="25" t="s">
        <v>141</v>
      </c>
      <c r="D131" s="25" t="s">
        <v>142</v>
      </c>
      <c r="E131" s="24" t="s">
        <v>9</v>
      </c>
      <c r="F131" s="24" t="s">
        <v>9</v>
      </c>
      <c r="G131" s="24" t="s">
        <v>9</v>
      </c>
    </row>
    <row r="132" spans="1:8" ht="18" customHeight="1" x14ac:dyDescent="0.2">
      <c r="A132" s="24" t="s">
        <v>9</v>
      </c>
      <c r="B132" s="25" t="s">
        <v>143</v>
      </c>
      <c r="C132" s="25" t="s">
        <v>144</v>
      </c>
      <c r="D132" s="25" t="s">
        <v>145</v>
      </c>
      <c r="E132" s="24" t="s">
        <v>9</v>
      </c>
      <c r="F132" s="24" t="s">
        <v>9</v>
      </c>
      <c r="G132" s="24" t="s">
        <v>9</v>
      </c>
    </row>
    <row r="133" spans="1:8" ht="17.100000000000001" customHeight="1" x14ac:dyDescent="0.2">
      <c r="A133" s="24" t="s">
        <v>9</v>
      </c>
      <c r="B133" s="6" t="s">
        <v>146</v>
      </c>
      <c r="C133" s="26">
        <v>15.1128</v>
      </c>
      <c r="D133" s="26">
        <v>15.5527</v>
      </c>
      <c r="E133" s="24" t="s">
        <v>9</v>
      </c>
      <c r="F133" s="21" t="s">
        <v>9</v>
      </c>
      <c r="G133" s="27" t="s">
        <v>9</v>
      </c>
    </row>
    <row r="134" spans="1:8" ht="17.100000000000001" customHeight="1" x14ac:dyDescent="0.2">
      <c r="A134" s="24" t="s">
        <v>9</v>
      </c>
      <c r="B134" s="6" t="s">
        <v>839</v>
      </c>
      <c r="C134" s="26">
        <v>15.1128</v>
      </c>
      <c r="D134" s="26">
        <v>14.802099999999999</v>
      </c>
      <c r="E134" s="24" t="s">
        <v>9</v>
      </c>
      <c r="F134" s="21" t="s">
        <v>9</v>
      </c>
      <c r="G134" s="27" t="s">
        <v>9</v>
      </c>
    </row>
    <row r="135" spans="1:8" ht="17.100000000000001" customHeight="1" x14ac:dyDescent="0.2">
      <c r="A135" s="24" t="s">
        <v>9</v>
      </c>
      <c r="B135" s="6" t="s">
        <v>147</v>
      </c>
      <c r="C135" s="26">
        <v>14.8474</v>
      </c>
      <c r="D135" s="26">
        <v>15.272600000000001</v>
      </c>
      <c r="E135" s="24" t="s">
        <v>9</v>
      </c>
      <c r="F135" s="21" t="s">
        <v>9</v>
      </c>
      <c r="G135" s="27" t="s">
        <v>9</v>
      </c>
    </row>
    <row r="136" spans="1:8" ht="17.100000000000001" customHeight="1" x14ac:dyDescent="0.2">
      <c r="A136" s="24" t="s">
        <v>9</v>
      </c>
      <c r="B136" s="6" t="s">
        <v>840</v>
      </c>
      <c r="C136" s="26">
        <v>14.8475</v>
      </c>
      <c r="D136" s="26">
        <v>14.702199999999999</v>
      </c>
      <c r="E136" s="24" t="s">
        <v>9</v>
      </c>
      <c r="F136" s="21" t="s">
        <v>9</v>
      </c>
      <c r="G136" s="27" t="s">
        <v>9</v>
      </c>
    </row>
    <row r="137" spans="1:8" ht="14.1" customHeight="1" x14ac:dyDescent="0.2">
      <c r="A137" s="24" t="s">
        <v>9</v>
      </c>
      <c r="B137" s="24" t="s">
        <v>9</v>
      </c>
      <c r="C137" s="24" t="s">
        <v>9</v>
      </c>
      <c r="D137" s="24" t="s">
        <v>9</v>
      </c>
      <c r="E137" s="24" t="s">
        <v>9</v>
      </c>
      <c r="F137" s="24" t="s">
        <v>9</v>
      </c>
      <c r="G137" s="24" t="s">
        <v>9</v>
      </c>
    </row>
    <row r="138" spans="1:8" ht="29.1" customHeight="1" x14ac:dyDescent="0.2">
      <c r="A138" s="167" t="s">
        <v>9</v>
      </c>
      <c r="B138" s="207" t="s">
        <v>986</v>
      </c>
      <c r="C138" s="207"/>
      <c r="D138" s="160"/>
      <c r="E138" s="167" t="s">
        <v>9</v>
      </c>
      <c r="F138" s="167" t="s">
        <v>9</v>
      </c>
      <c r="G138" s="167" t="s">
        <v>9</v>
      </c>
    </row>
    <row r="139" spans="1:8" s="166" customFormat="1" ht="15" x14ac:dyDescent="0.2">
      <c r="A139" s="148" t="s">
        <v>9</v>
      </c>
      <c r="B139" s="161" t="s">
        <v>143</v>
      </c>
      <c r="C139" s="161" t="s">
        <v>878</v>
      </c>
      <c r="D139" s="161" t="s">
        <v>879</v>
      </c>
      <c r="E139" s="148" t="s">
        <v>9</v>
      </c>
      <c r="F139" s="148" t="s">
        <v>9</v>
      </c>
      <c r="G139" s="148" t="s">
        <v>9</v>
      </c>
      <c r="H139" s="165"/>
    </row>
    <row r="140" spans="1:8" ht="17.100000000000001" customHeight="1" x14ac:dyDescent="0.2">
      <c r="A140" s="24" t="s">
        <v>9</v>
      </c>
      <c r="B140" s="162" t="s">
        <v>839</v>
      </c>
      <c r="C140" s="163">
        <v>0.75</v>
      </c>
      <c r="D140" s="163">
        <v>0.75</v>
      </c>
      <c r="E140" s="24" t="s">
        <v>9</v>
      </c>
      <c r="F140" s="31" t="s">
        <v>9</v>
      </c>
      <c r="G140" s="27" t="s">
        <v>9</v>
      </c>
    </row>
    <row r="141" spans="1:8" ht="17.100000000000001" customHeight="1" x14ac:dyDescent="0.2">
      <c r="A141" s="24" t="s">
        <v>9</v>
      </c>
      <c r="B141" s="162" t="s">
        <v>840</v>
      </c>
      <c r="C141" s="163">
        <v>0.56999999999999995</v>
      </c>
      <c r="D141" s="163">
        <v>0.56999999999999995</v>
      </c>
      <c r="E141" s="24" t="s">
        <v>9</v>
      </c>
      <c r="F141" s="31" t="s">
        <v>9</v>
      </c>
      <c r="G141" s="27" t="s">
        <v>9</v>
      </c>
    </row>
    <row r="142" spans="1:8" ht="14.1" customHeight="1" x14ac:dyDescent="0.2">
      <c r="A142" s="24" t="s">
        <v>9</v>
      </c>
      <c r="B142" s="21" t="s">
        <v>9</v>
      </c>
      <c r="C142" s="21" t="s">
        <v>9</v>
      </c>
      <c r="D142" s="24" t="s">
        <v>9</v>
      </c>
      <c r="E142" s="24" t="s">
        <v>9</v>
      </c>
      <c r="F142" s="24" t="s">
        <v>9</v>
      </c>
      <c r="G142" s="24" t="s">
        <v>9</v>
      </c>
    </row>
    <row r="143" spans="1:8" s="197" customFormat="1" x14ac:dyDescent="0.2">
      <c r="B143" s="208" t="s">
        <v>841</v>
      </c>
      <c r="C143" s="208"/>
      <c r="D143" s="208"/>
      <c r="E143" s="208"/>
      <c r="F143" s="208"/>
    </row>
    <row r="144" spans="1:8" ht="14.1" customHeight="1" x14ac:dyDescent="0.2">
      <c r="A144" s="24"/>
      <c r="B144" s="182"/>
      <c r="C144" s="182"/>
      <c r="D144" s="24"/>
      <c r="E144" s="24"/>
      <c r="F144" s="24"/>
      <c r="G144" s="24"/>
    </row>
    <row r="145" spans="1:7" ht="29.1" customHeight="1" x14ac:dyDescent="0.2">
      <c r="A145" s="24" t="s">
        <v>9</v>
      </c>
      <c r="B145" s="205" t="s">
        <v>148</v>
      </c>
      <c r="C145" s="206"/>
      <c r="D145" s="4" t="s">
        <v>138</v>
      </c>
      <c r="E145" s="24" t="s">
        <v>9</v>
      </c>
      <c r="F145" s="24" t="s">
        <v>9</v>
      </c>
      <c r="G145" s="24" t="s">
        <v>9</v>
      </c>
    </row>
    <row r="146" spans="1:7" ht="29.1" customHeight="1" x14ac:dyDescent="0.2">
      <c r="A146" s="24" t="s">
        <v>9</v>
      </c>
      <c r="B146" s="205" t="s">
        <v>149</v>
      </c>
      <c r="C146" s="206"/>
      <c r="D146" s="4" t="s">
        <v>138</v>
      </c>
      <c r="E146" s="24" t="s">
        <v>9</v>
      </c>
      <c r="F146" s="24" t="s">
        <v>9</v>
      </c>
      <c r="G146" s="24" t="s">
        <v>9</v>
      </c>
    </row>
    <row r="147" spans="1:7" ht="17.100000000000001" customHeight="1" x14ac:dyDescent="0.2">
      <c r="A147" s="24" t="s">
        <v>9</v>
      </c>
      <c r="B147" s="205" t="s">
        <v>150</v>
      </c>
      <c r="C147" s="206"/>
      <c r="D147" s="29">
        <v>0.34972929218923027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205" t="s">
        <v>151</v>
      </c>
      <c r="C148" s="206"/>
      <c r="D148" s="4" t="s">
        <v>138</v>
      </c>
      <c r="E148" s="24" t="s">
        <v>9</v>
      </c>
      <c r="F148" s="24" t="s">
        <v>9</v>
      </c>
      <c r="G148" s="24" t="s">
        <v>9</v>
      </c>
    </row>
  </sheetData>
  <mergeCells count="15">
    <mergeCell ref="B147:C147"/>
    <mergeCell ref="B148:C148"/>
    <mergeCell ref="B128:C128"/>
    <mergeCell ref="B129:C129"/>
    <mergeCell ref="B130:C130"/>
    <mergeCell ref="B138:C138"/>
    <mergeCell ref="B145:C145"/>
    <mergeCell ref="B146:C146"/>
    <mergeCell ref="B143:F143"/>
    <mergeCell ref="B127:C127"/>
    <mergeCell ref="B124:F124"/>
    <mergeCell ref="B125:F12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4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  <col min="10" max="10" width="9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434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398</v>
      </c>
      <c r="C7" s="6" t="s">
        <v>399</v>
      </c>
      <c r="D7" s="6" t="s">
        <v>169</v>
      </c>
      <c r="E7" s="7">
        <v>621607</v>
      </c>
      <c r="F7" s="8">
        <v>9826.3634559999991</v>
      </c>
      <c r="G7" s="9">
        <v>6.1570349000000003E-2</v>
      </c>
      <c r="H7" s="156"/>
    </row>
    <row r="8" spans="1:8" x14ac:dyDescent="0.2">
      <c r="A8" s="5">
        <v>2</v>
      </c>
      <c r="B8" s="6" t="s">
        <v>50</v>
      </c>
      <c r="C8" s="6" t="s">
        <v>51</v>
      </c>
      <c r="D8" s="6" t="s">
        <v>22</v>
      </c>
      <c r="E8" s="7">
        <v>447548</v>
      </c>
      <c r="F8" s="8">
        <v>6703.821492</v>
      </c>
      <c r="G8" s="9">
        <v>4.2005023000000002E-2</v>
      </c>
      <c r="H8" s="156"/>
    </row>
    <row r="9" spans="1:8" x14ac:dyDescent="0.2">
      <c r="A9" s="5">
        <v>3</v>
      </c>
      <c r="B9" s="6" t="s">
        <v>20</v>
      </c>
      <c r="C9" s="6" t="s">
        <v>21</v>
      </c>
      <c r="D9" s="6" t="s">
        <v>22</v>
      </c>
      <c r="E9" s="7">
        <v>1055895</v>
      </c>
      <c r="F9" s="8">
        <v>6661.6415550000002</v>
      </c>
      <c r="G9" s="9">
        <v>4.1740731000000003E-2</v>
      </c>
      <c r="H9" s="156"/>
    </row>
    <row r="10" spans="1:8" x14ac:dyDescent="0.2">
      <c r="A10" s="5">
        <v>4</v>
      </c>
      <c r="B10" s="6" t="s">
        <v>402</v>
      </c>
      <c r="C10" s="6" t="s">
        <v>403</v>
      </c>
      <c r="D10" s="6" t="s">
        <v>22</v>
      </c>
      <c r="E10" s="7">
        <v>1464373</v>
      </c>
      <c r="F10" s="8">
        <v>6138.6516160000001</v>
      </c>
      <c r="G10" s="9">
        <v>3.8463762999999998E-2</v>
      </c>
      <c r="H10" s="156"/>
    </row>
    <row r="11" spans="1:8" x14ac:dyDescent="0.2">
      <c r="A11" s="5">
        <v>5</v>
      </c>
      <c r="B11" s="6" t="s">
        <v>299</v>
      </c>
      <c r="C11" s="6" t="s">
        <v>300</v>
      </c>
      <c r="D11" s="6" t="s">
        <v>169</v>
      </c>
      <c r="E11" s="7">
        <v>223002</v>
      </c>
      <c r="F11" s="8">
        <v>5799.1670100000001</v>
      </c>
      <c r="G11" s="9">
        <v>3.6336609999999998E-2</v>
      </c>
      <c r="H11" s="156"/>
    </row>
    <row r="12" spans="1:8" x14ac:dyDescent="0.2">
      <c r="A12" s="5">
        <v>6</v>
      </c>
      <c r="B12" s="6" t="s">
        <v>12</v>
      </c>
      <c r="C12" s="6" t="s">
        <v>13</v>
      </c>
      <c r="D12" s="6" t="s">
        <v>14</v>
      </c>
      <c r="E12" s="7">
        <v>380598</v>
      </c>
      <c r="F12" s="8">
        <v>5711.0632889999997</v>
      </c>
      <c r="G12" s="9">
        <v>3.5784567000000003E-2</v>
      </c>
      <c r="H12" s="156"/>
    </row>
    <row r="13" spans="1:8" x14ac:dyDescent="0.2">
      <c r="A13" s="5">
        <v>7</v>
      </c>
      <c r="B13" s="6" t="s">
        <v>311</v>
      </c>
      <c r="C13" s="6" t="s">
        <v>312</v>
      </c>
      <c r="D13" s="6" t="s">
        <v>261</v>
      </c>
      <c r="E13" s="7">
        <v>179565</v>
      </c>
      <c r="F13" s="8">
        <v>5226.0597600000001</v>
      </c>
      <c r="G13" s="9">
        <v>3.2745615999999998E-2</v>
      </c>
      <c r="H13" s="156"/>
    </row>
    <row r="14" spans="1:8" x14ac:dyDescent="0.2">
      <c r="A14" s="5">
        <v>8</v>
      </c>
      <c r="B14" s="6" t="s">
        <v>356</v>
      </c>
      <c r="C14" s="6" t="s">
        <v>357</v>
      </c>
      <c r="D14" s="6" t="s">
        <v>22</v>
      </c>
      <c r="E14" s="7">
        <v>659600</v>
      </c>
      <c r="F14" s="8">
        <v>4935.7867999999999</v>
      </c>
      <c r="G14" s="9">
        <v>3.0926814E-2</v>
      </c>
      <c r="H14" s="156"/>
    </row>
    <row r="15" spans="1:8" x14ac:dyDescent="0.2">
      <c r="A15" s="5">
        <v>9</v>
      </c>
      <c r="B15" s="6" t="s">
        <v>15</v>
      </c>
      <c r="C15" s="6" t="s">
        <v>16</v>
      </c>
      <c r="D15" s="6" t="s">
        <v>17</v>
      </c>
      <c r="E15" s="7">
        <v>227576</v>
      </c>
      <c r="F15" s="8">
        <v>4803.3328439999996</v>
      </c>
      <c r="G15" s="9">
        <v>3.0096879999999999E-2</v>
      </c>
      <c r="H15" s="156"/>
    </row>
    <row r="16" spans="1:8" x14ac:dyDescent="0.2">
      <c r="A16" s="5">
        <v>10</v>
      </c>
      <c r="B16" s="6" t="s">
        <v>435</v>
      </c>
      <c r="C16" s="6" t="s">
        <v>436</v>
      </c>
      <c r="D16" s="6" t="s">
        <v>28</v>
      </c>
      <c r="E16" s="7">
        <v>207750</v>
      </c>
      <c r="F16" s="8">
        <v>4133.2901250000004</v>
      </c>
      <c r="G16" s="9">
        <v>2.5898503999999999E-2</v>
      </c>
      <c r="H16" s="156"/>
    </row>
    <row r="17" spans="1:8" x14ac:dyDescent="0.2">
      <c r="A17" s="5">
        <v>11</v>
      </c>
      <c r="B17" s="6" t="s">
        <v>335</v>
      </c>
      <c r="C17" s="6" t="s">
        <v>336</v>
      </c>
      <c r="D17" s="6" t="s">
        <v>196</v>
      </c>
      <c r="E17" s="7">
        <v>118248</v>
      </c>
      <c r="F17" s="8">
        <v>4049.166264</v>
      </c>
      <c r="G17" s="9">
        <v>2.5371398E-2</v>
      </c>
      <c r="H17" s="156"/>
    </row>
    <row r="18" spans="1:8" x14ac:dyDescent="0.2">
      <c r="A18" s="5">
        <v>12</v>
      </c>
      <c r="B18" s="6" t="s">
        <v>319</v>
      </c>
      <c r="C18" s="6" t="s">
        <v>320</v>
      </c>
      <c r="D18" s="6" t="s">
        <v>73</v>
      </c>
      <c r="E18" s="7">
        <v>539841</v>
      </c>
      <c r="F18" s="8">
        <v>3938.679936</v>
      </c>
      <c r="G18" s="9">
        <v>2.4679109000000001E-2</v>
      </c>
      <c r="H18" s="156"/>
    </row>
    <row r="19" spans="1:8" x14ac:dyDescent="0.2">
      <c r="A19" s="5">
        <v>13</v>
      </c>
      <c r="B19" s="6" t="s">
        <v>301</v>
      </c>
      <c r="C19" s="6" t="s">
        <v>302</v>
      </c>
      <c r="D19" s="6" t="s">
        <v>172</v>
      </c>
      <c r="E19" s="7">
        <v>107960</v>
      </c>
      <c r="F19" s="8">
        <v>3907.9900600000001</v>
      </c>
      <c r="G19" s="9">
        <v>2.4486812E-2</v>
      </c>
      <c r="H19" s="156"/>
    </row>
    <row r="20" spans="1:8" x14ac:dyDescent="0.2">
      <c r="A20" s="5">
        <v>14</v>
      </c>
      <c r="B20" s="6" t="s">
        <v>400</v>
      </c>
      <c r="C20" s="6" t="s">
        <v>401</v>
      </c>
      <c r="D20" s="6" t="s">
        <v>166</v>
      </c>
      <c r="E20" s="7">
        <v>152311</v>
      </c>
      <c r="F20" s="8">
        <v>3770.0780275000002</v>
      </c>
      <c r="G20" s="9">
        <v>2.3622678000000001E-2</v>
      </c>
      <c r="H20" s="156"/>
    </row>
    <row r="21" spans="1:8" x14ac:dyDescent="0.2">
      <c r="A21" s="5">
        <v>15</v>
      </c>
      <c r="B21" s="6" t="s">
        <v>57</v>
      </c>
      <c r="C21" s="6" t="s">
        <v>58</v>
      </c>
      <c r="D21" s="6" t="s">
        <v>17</v>
      </c>
      <c r="E21" s="7">
        <v>802261</v>
      </c>
      <c r="F21" s="8">
        <v>3755.3837410000001</v>
      </c>
      <c r="G21" s="9">
        <v>2.3530605999999999E-2</v>
      </c>
      <c r="H21" s="156"/>
    </row>
    <row r="22" spans="1:8" x14ac:dyDescent="0.2">
      <c r="A22" s="5">
        <v>16</v>
      </c>
      <c r="B22" s="6" t="s">
        <v>297</v>
      </c>
      <c r="C22" s="6" t="s">
        <v>298</v>
      </c>
      <c r="D22" s="6" t="s">
        <v>971</v>
      </c>
      <c r="E22" s="7">
        <v>346051</v>
      </c>
      <c r="F22" s="8">
        <v>3669.5248040000001</v>
      </c>
      <c r="G22" s="9">
        <v>2.2992628000000001E-2</v>
      </c>
      <c r="H22" s="156"/>
    </row>
    <row r="23" spans="1:8" x14ac:dyDescent="0.2">
      <c r="A23" s="5">
        <v>17</v>
      </c>
      <c r="B23" s="6" t="s">
        <v>36</v>
      </c>
      <c r="C23" s="6" t="s">
        <v>37</v>
      </c>
      <c r="D23" s="6" t="s">
        <v>972</v>
      </c>
      <c r="E23" s="7">
        <v>51856</v>
      </c>
      <c r="F23" s="8">
        <v>3513.7625600000001</v>
      </c>
      <c r="G23" s="9">
        <v>2.2016648E-2</v>
      </c>
      <c r="H23" s="156"/>
    </row>
    <row r="24" spans="1:8" x14ac:dyDescent="0.2">
      <c r="A24" s="5">
        <v>18</v>
      </c>
      <c r="B24" s="6" t="s">
        <v>368</v>
      </c>
      <c r="C24" s="6" t="s">
        <v>369</v>
      </c>
      <c r="D24" s="6" t="s">
        <v>169</v>
      </c>
      <c r="E24" s="7">
        <v>353677</v>
      </c>
      <c r="F24" s="8">
        <v>3478.4132949999998</v>
      </c>
      <c r="G24" s="9">
        <v>2.1795155E-2</v>
      </c>
      <c r="H24" s="156"/>
    </row>
    <row r="25" spans="1:8" x14ac:dyDescent="0.2">
      <c r="A25" s="5">
        <v>19</v>
      </c>
      <c r="B25" s="6" t="s">
        <v>307</v>
      </c>
      <c r="C25" s="6" t="s">
        <v>308</v>
      </c>
      <c r="D25" s="6" t="s">
        <v>22</v>
      </c>
      <c r="E25" s="7">
        <v>330173</v>
      </c>
      <c r="F25" s="8">
        <v>3420.0970204999999</v>
      </c>
      <c r="G25" s="9">
        <v>2.1429755000000002E-2</v>
      </c>
      <c r="H25" s="156"/>
    </row>
    <row r="26" spans="1:8" x14ac:dyDescent="0.2">
      <c r="A26" s="5">
        <v>20</v>
      </c>
      <c r="B26" s="6" t="s">
        <v>103</v>
      </c>
      <c r="C26" s="6" t="s">
        <v>104</v>
      </c>
      <c r="D26" s="6" t="s">
        <v>78</v>
      </c>
      <c r="E26" s="7">
        <v>609661</v>
      </c>
      <c r="F26" s="8">
        <v>3400.3842275000002</v>
      </c>
      <c r="G26" s="9">
        <v>2.1306238000000002E-2</v>
      </c>
      <c r="H26" s="156"/>
    </row>
    <row r="27" spans="1:8" x14ac:dyDescent="0.2">
      <c r="A27" s="5">
        <v>21</v>
      </c>
      <c r="B27" s="6" t="s">
        <v>378</v>
      </c>
      <c r="C27" s="6" t="s">
        <v>379</v>
      </c>
      <c r="D27" s="6" t="s">
        <v>73</v>
      </c>
      <c r="E27" s="7">
        <v>441591</v>
      </c>
      <c r="F27" s="8">
        <v>3331.3625040000002</v>
      </c>
      <c r="G27" s="9">
        <v>2.0873760000000002E-2</v>
      </c>
      <c r="H27" s="156"/>
    </row>
    <row r="28" spans="1:8" x14ac:dyDescent="0.2">
      <c r="A28" s="5">
        <v>22</v>
      </c>
      <c r="B28" s="6" t="s">
        <v>97</v>
      </c>
      <c r="C28" s="6" t="s">
        <v>98</v>
      </c>
      <c r="D28" s="6" t="s">
        <v>28</v>
      </c>
      <c r="E28" s="7">
        <v>59000</v>
      </c>
      <c r="F28" s="8">
        <v>3324.2959999999998</v>
      </c>
      <c r="G28" s="9">
        <v>2.0829482E-2</v>
      </c>
      <c r="H28" s="156"/>
    </row>
    <row r="29" spans="1:8" x14ac:dyDescent="0.2">
      <c r="A29" s="5">
        <v>23</v>
      </c>
      <c r="B29" s="6" t="s">
        <v>321</v>
      </c>
      <c r="C29" s="6" t="s">
        <v>322</v>
      </c>
      <c r="D29" s="6" t="s">
        <v>63</v>
      </c>
      <c r="E29" s="7">
        <v>748756</v>
      </c>
      <c r="F29" s="8">
        <v>3254.0935760000002</v>
      </c>
      <c r="G29" s="9">
        <v>2.0389606000000001E-2</v>
      </c>
      <c r="H29" s="156"/>
    </row>
    <row r="30" spans="1:8" x14ac:dyDescent="0.2">
      <c r="A30" s="5">
        <v>24</v>
      </c>
      <c r="B30" s="6" t="s">
        <v>384</v>
      </c>
      <c r="C30" s="6" t="s">
        <v>385</v>
      </c>
      <c r="D30" s="6" t="s">
        <v>169</v>
      </c>
      <c r="E30" s="7">
        <v>134132</v>
      </c>
      <c r="F30" s="8">
        <v>2862.6451440000001</v>
      </c>
      <c r="G30" s="9">
        <v>1.7936855000000002E-2</v>
      </c>
      <c r="H30" s="156"/>
    </row>
    <row r="31" spans="1:8" x14ac:dyDescent="0.2">
      <c r="A31" s="5">
        <v>25</v>
      </c>
      <c r="B31" s="6" t="s">
        <v>430</v>
      </c>
      <c r="C31" s="6" t="s">
        <v>431</v>
      </c>
      <c r="D31" s="6" t="s">
        <v>432</v>
      </c>
      <c r="E31" s="7">
        <v>715000</v>
      </c>
      <c r="F31" s="8">
        <v>2660.1574999999998</v>
      </c>
      <c r="G31" s="9">
        <v>1.6668102000000001E-2</v>
      </c>
      <c r="H31" s="156"/>
    </row>
    <row r="32" spans="1:8" x14ac:dyDescent="0.2">
      <c r="A32" s="5">
        <v>26</v>
      </c>
      <c r="B32" s="6" t="s">
        <v>74</v>
      </c>
      <c r="C32" s="6" t="s">
        <v>75</v>
      </c>
      <c r="D32" s="6" t="s">
        <v>28</v>
      </c>
      <c r="E32" s="7">
        <v>286278</v>
      </c>
      <c r="F32" s="8">
        <v>2575.0706100000002</v>
      </c>
      <c r="G32" s="9">
        <v>1.6134961E-2</v>
      </c>
      <c r="H32" s="156"/>
    </row>
    <row r="33" spans="1:8" x14ac:dyDescent="0.2">
      <c r="A33" s="5">
        <v>27</v>
      </c>
      <c r="B33" s="6" t="s">
        <v>224</v>
      </c>
      <c r="C33" s="6" t="s">
        <v>225</v>
      </c>
      <c r="D33" s="6" t="s">
        <v>40</v>
      </c>
      <c r="E33" s="7">
        <v>314607</v>
      </c>
      <c r="F33" s="8">
        <v>2564.5189605</v>
      </c>
      <c r="G33" s="9">
        <v>1.6068847000000001E-2</v>
      </c>
      <c r="H33" s="156"/>
    </row>
    <row r="34" spans="1:8" x14ac:dyDescent="0.2">
      <c r="A34" s="5">
        <v>28</v>
      </c>
      <c r="B34" s="6" t="s">
        <v>428</v>
      </c>
      <c r="C34" s="6" t="s">
        <v>429</v>
      </c>
      <c r="D34" s="6" t="s">
        <v>191</v>
      </c>
      <c r="E34" s="7">
        <v>748945</v>
      </c>
      <c r="F34" s="8">
        <v>2563.638735</v>
      </c>
      <c r="G34" s="9">
        <v>1.6063331E-2</v>
      </c>
      <c r="H34" s="156"/>
    </row>
    <row r="35" spans="1:8" x14ac:dyDescent="0.2">
      <c r="A35" s="5">
        <v>29</v>
      </c>
      <c r="B35" s="6" t="s">
        <v>437</v>
      </c>
      <c r="C35" s="6" t="s">
        <v>438</v>
      </c>
      <c r="D35" s="6" t="s">
        <v>196</v>
      </c>
      <c r="E35" s="7">
        <v>242316</v>
      </c>
      <c r="F35" s="8">
        <v>2355.0692039999999</v>
      </c>
      <c r="G35" s="9">
        <v>1.4756468999999999E-2</v>
      </c>
      <c r="H35" s="156"/>
    </row>
    <row r="36" spans="1:8" x14ac:dyDescent="0.2">
      <c r="A36" s="5">
        <v>30</v>
      </c>
      <c r="B36" s="6" t="s">
        <v>23</v>
      </c>
      <c r="C36" s="6" t="s">
        <v>24</v>
      </c>
      <c r="D36" s="6" t="s">
        <v>25</v>
      </c>
      <c r="E36" s="7">
        <v>445934</v>
      </c>
      <c r="F36" s="8">
        <v>2344.0520710000001</v>
      </c>
      <c r="G36" s="9">
        <v>1.4687438000000001E-2</v>
      </c>
      <c r="H36" s="156"/>
    </row>
    <row r="37" spans="1:8" x14ac:dyDescent="0.2">
      <c r="A37" s="5">
        <v>31</v>
      </c>
      <c r="B37" s="6" t="s">
        <v>439</v>
      </c>
      <c r="C37" s="6" t="s">
        <v>440</v>
      </c>
      <c r="D37" s="6" t="s">
        <v>166</v>
      </c>
      <c r="E37" s="7">
        <v>351207</v>
      </c>
      <c r="F37" s="8">
        <v>2325.6927540000001</v>
      </c>
      <c r="G37" s="9">
        <v>1.4572401E-2</v>
      </c>
      <c r="H37" s="156"/>
    </row>
    <row r="38" spans="1:8" ht="25.5" x14ac:dyDescent="0.2">
      <c r="A38" s="5">
        <v>32</v>
      </c>
      <c r="B38" s="6" t="s">
        <v>376</v>
      </c>
      <c r="C38" s="6" t="s">
        <v>377</v>
      </c>
      <c r="D38" s="6" t="s">
        <v>68</v>
      </c>
      <c r="E38" s="7">
        <v>111832</v>
      </c>
      <c r="F38" s="8">
        <v>2274.495132</v>
      </c>
      <c r="G38" s="9">
        <v>1.4251606E-2</v>
      </c>
      <c r="H38" s="156"/>
    </row>
    <row r="39" spans="1:8" x14ac:dyDescent="0.2">
      <c r="A39" s="5">
        <v>33</v>
      </c>
      <c r="B39" s="6" t="s">
        <v>418</v>
      </c>
      <c r="C39" s="6" t="s">
        <v>419</v>
      </c>
      <c r="D39" s="6" t="s">
        <v>196</v>
      </c>
      <c r="E39" s="7">
        <v>51253</v>
      </c>
      <c r="F39" s="8">
        <v>2259.3603724999998</v>
      </c>
      <c r="G39" s="9">
        <v>1.4156774E-2</v>
      </c>
      <c r="H39" s="156"/>
    </row>
    <row r="40" spans="1:8" x14ac:dyDescent="0.2">
      <c r="A40" s="5">
        <v>34</v>
      </c>
      <c r="B40" s="6" t="s">
        <v>364</v>
      </c>
      <c r="C40" s="6" t="s">
        <v>365</v>
      </c>
      <c r="D40" s="6" t="s">
        <v>63</v>
      </c>
      <c r="E40" s="7">
        <v>100278</v>
      </c>
      <c r="F40" s="8">
        <v>2241.7146899999998</v>
      </c>
      <c r="G40" s="9">
        <v>1.4046209E-2</v>
      </c>
      <c r="H40" s="156"/>
    </row>
    <row r="41" spans="1:8" x14ac:dyDescent="0.2">
      <c r="A41" s="5">
        <v>35</v>
      </c>
      <c r="B41" s="6" t="s">
        <v>305</v>
      </c>
      <c r="C41" s="6" t="s">
        <v>306</v>
      </c>
      <c r="D41" s="6" t="s">
        <v>196</v>
      </c>
      <c r="E41" s="7">
        <v>197997</v>
      </c>
      <c r="F41" s="8">
        <v>2236.0791195000002</v>
      </c>
      <c r="G41" s="9">
        <v>1.4010897E-2</v>
      </c>
      <c r="H41" s="156"/>
    </row>
    <row r="42" spans="1:8" x14ac:dyDescent="0.2">
      <c r="A42" s="5">
        <v>36</v>
      </c>
      <c r="B42" s="6" t="s">
        <v>362</v>
      </c>
      <c r="C42" s="6" t="s">
        <v>363</v>
      </c>
      <c r="D42" s="6" t="s">
        <v>166</v>
      </c>
      <c r="E42" s="7">
        <v>164501</v>
      </c>
      <c r="F42" s="8">
        <v>2208.6726764999999</v>
      </c>
      <c r="G42" s="9">
        <v>1.3839173E-2</v>
      </c>
      <c r="H42" s="156"/>
    </row>
    <row r="43" spans="1:8" x14ac:dyDescent="0.2">
      <c r="A43" s="5">
        <v>37</v>
      </c>
      <c r="B43" s="6" t="s">
        <v>441</v>
      </c>
      <c r="C43" s="6" t="s">
        <v>442</v>
      </c>
      <c r="D43" s="6" t="s">
        <v>196</v>
      </c>
      <c r="E43" s="7">
        <v>39902</v>
      </c>
      <c r="F43" s="8">
        <v>2163.9054110000002</v>
      </c>
      <c r="G43" s="9">
        <v>1.3558669000000001E-2</v>
      </c>
      <c r="H43" s="156"/>
    </row>
    <row r="44" spans="1:8" x14ac:dyDescent="0.2">
      <c r="A44" s="5">
        <v>38</v>
      </c>
      <c r="B44" s="6" t="s">
        <v>90</v>
      </c>
      <c r="C44" s="6" t="s">
        <v>91</v>
      </c>
      <c r="D44" s="6" t="s">
        <v>92</v>
      </c>
      <c r="E44" s="7">
        <v>1708106</v>
      </c>
      <c r="F44" s="8">
        <v>2094.137956</v>
      </c>
      <c r="G44" s="9">
        <v>1.3121518E-2</v>
      </c>
      <c r="H44" s="156"/>
    </row>
    <row r="45" spans="1:8" x14ac:dyDescent="0.2">
      <c r="A45" s="5">
        <v>39</v>
      </c>
      <c r="B45" s="6" t="s">
        <v>315</v>
      </c>
      <c r="C45" s="6" t="s">
        <v>316</v>
      </c>
      <c r="D45" s="6" t="s">
        <v>975</v>
      </c>
      <c r="E45" s="7">
        <v>59335</v>
      </c>
      <c r="F45" s="8">
        <v>1827.6366700000001</v>
      </c>
      <c r="G45" s="9">
        <v>1.1451665E-2</v>
      </c>
      <c r="H45" s="156"/>
    </row>
    <row r="46" spans="1:8" x14ac:dyDescent="0.2">
      <c r="A46" s="5">
        <v>40</v>
      </c>
      <c r="B46" s="6" t="s">
        <v>343</v>
      </c>
      <c r="C46" s="6" t="s">
        <v>344</v>
      </c>
      <c r="D46" s="6" t="s">
        <v>345</v>
      </c>
      <c r="E46" s="7">
        <v>213937</v>
      </c>
      <c r="F46" s="8">
        <v>1818.1435945000001</v>
      </c>
      <c r="G46" s="9">
        <v>1.1392183E-2</v>
      </c>
      <c r="H46" s="156"/>
    </row>
    <row r="47" spans="1:8" x14ac:dyDescent="0.2">
      <c r="A47" s="5">
        <v>41</v>
      </c>
      <c r="B47" s="6" t="s">
        <v>309</v>
      </c>
      <c r="C47" s="6" t="s">
        <v>310</v>
      </c>
      <c r="D47" s="6" t="s">
        <v>63</v>
      </c>
      <c r="E47" s="7">
        <v>177499</v>
      </c>
      <c r="F47" s="8">
        <v>1814.8385255000001</v>
      </c>
      <c r="G47" s="9">
        <v>1.1371473999999999E-2</v>
      </c>
      <c r="H47" s="156"/>
    </row>
    <row r="48" spans="1:8" x14ac:dyDescent="0.2">
      <c r="A48" s="5">
        <v>42</v>
      </c>
      <c r="B48" s="6" t="s">
        <v>424</v>
      </c>
      <c r="C48" s="6" t="s">
        <v>425</v>
      </c>
      <c r="D48" s="6" t="s">
        <v>166</v>
      </c>
      <c r="E48" s="7">
        <v>150778</v>
      </c>
      <c r="F48" s="8">
        <v>1755.5836429999999</v>
      </c>
      <c r="G48" s="9">
        <v>1.1000193E-2</v>
      </c>
      <c r="H48" s="156"/>
    </row>
    <row r="49" spans="1:8" x14ac:dyDescent="0.2">
      <c r="A49" s="5">
        <v>43</v>
      </c>
      <c r="B49" s="6" t="s">
        <v>71</v>
      </c>
      <c r="C49" s="6" t="s">
        <v>72</v>
      </c>
      <c r="D49" s="6" t="s">
        <v>73</v>
      </c>
      <c r="E49" s="7">
        <v>300000</v>
      </c>
      <c r="F49" s="8">
        <v>1725.6</v>
      </c>
      <c r="G49" s="9">
        <v>1.0812321E-2</v>
      </c>
      <c r="H49" s="156"/>
    </row>
    <row r="50" spans="1:8" x14ac:dyDescent="0.2">
      <c r="A50" s="5">
        <v>44</v>
      </c>
      <c r="B50" s="6" t="s">
        <v>18</v>
      </c>
      <c r="C50" s="6" t="s">
        <v>19</v>
      </c>
      <c r="D50" s="6" t="s">
        <v>972</v>
      </c>
      <c r="E50" s="7">
        <v>162509</v>
      </c>
      <c r="F50" s="8">
        <v>1666.9360675</v>
      </c>
      <c r="G50" s="9">
        <v>1.0444742E-2</v>
      </c>
      <c r="H50" s="156"/>
    </row>
    <row r="51" spans="1:8" x14ac:dyDescent="0.2">
      <c r="A51" s="5">
        <v>45</v>
      </c>
      <c r="B51" s="6" t="s">
        <v>386</v>
      </c>
      <c r="C51" s="6" t="s">
        <v>387</v>
      </c>
      <c r="D51" s="6" t="s">
        <v>971</v>
      </c>
      <c r="E51" s="7">
        <v>13683</v>
      </c>
      <c r="F51" s="8">
        <v>1656.8813115</v>
      </c>
      <c r="G51" s="9">
        <v>1.0381741E-2</v>
      </c>
      <c r="H51" s="156"/>
    </row>
    <row r="52" spans="1:8" x14ac:dyDescent="0.2">
      <c r="A52" s="5">
        <v>46</v>
      </c>
      <c r="B52" s="6" t="s">
        <v>420</v>
      </c>
      <c r="C52" s="6" t="s">
        <v>421</v>
      </c>
      <c r="D52" s="6" t="s">
        <v>971</v>
      </c>
      <c r="E52" s="7">
        <v>105259</v>
      </c>
      <c r="F52" s="8">
        <v>1649.4085299999999</v>
      </c>
      <c r="G52" s="9">
        <v>1.0334918E-2</v>
      </c>
      <c r="H52" s="156"/>
    </row>
    <row r="53" spans="1:8" x14ac:dyDescent="0.2">
      <c r="A53" s="5">
        <v>47</v>
      </c>
      <c r="B53" s="6" t="s">
        <v>443</v>
      </c>
      <c r="C53" s="6" t="s">
        <v>444</v>
      </c>
      <c r="D53" s="6" t="s">
        <v>92</v>
      </c>
      <c r="E53" s="7">
        <v>229341</v>
      </c>
      <c r="F53" s="8">
        <v>1423.060905</v>
      </c>
      <c r="G53" s="9">
        <v>8.9166609999999993E-3</v>
      </c>
      <c r="H53" s="156"/>
    </row>
    <row r="54" spans="1:8" x14ac:dyDescent="0.2">
      <c r="A54" s="5">
        <v>48</v>
      </c>
      <c r="B54" s="6" t="s">
        <v>445</v>
      </c>
      <c r="C54" s="6" t="s">
        <v>446</v>
      </c>
      <c r="D54" s="6" t="s">
        <v>191</v>
      </c>
      <c r="E54" s="7">
        <v>525000</v>
      </c>
      <c r="F54" s="8">
        <v>1271.0250000000001</v>
      </c>
      <c r="G54" s="9">
        <v>7.9640300000000004E-3</v>
      </c>
      <c r="H54" s="156"/>
    </row>
    <row r="55" spans="1:8" x14ac:dyDescent="0.2">
      <c r="A55" s="3" t="s">
        <v>9</v>
      </c>
      <c r="B55" s="3" t="s">
        <v>9</v>
      </c>
      <c r="C55" s="4" t="s">
        <v>105</v>
      </c>
      <c r="D55" s="3" t="s">
        <v>9</v>
      </c>
      <c r="E55" s="3" t="s">
        <v>9</v>
      </c>
      <c r="F55" s="10">
        <v>159090.73454549999</v>
      </c>
      <c r="G55" s="11">
        <v>0.99683591000000005</v>
      </c>
      <c r="H55" s="156"/>
    </row>
    <row r="56" spans="1:8" x14ac:dyDescent="0.2">
      <c r="A56" s="3" t="s">
        <v>9</v>
      </c>
      <c r="B56" s="3" t="s">
        <v>9</v>
      </c>
      <c r="C56" s="12" t="s">
        <v>9</v>
      </c>
      <c r="D56" s="3" t="s">
        <v>9</v>
      </c>
      <c r="E56" s="3" t="s">
        <v>9</v>
      </c>
      <c r="F56" s="13" t="s">
        <v>9</v>
      </c>
      <c r="G56" s="13" t="s">
        <v>9</v>
      </c>
      <c r="H56" s="156"/>
    </row>
    <row r="57" spans="1:8" x14ac:dyDescent="0.2">
      <c r="A57" s="3" t="s">
        <v>9</v>
      </c>
      <c r="B57" s="3" t="s">
        <v>9</v>
      </c>
      <c r="C57" s="4" t="s">
        <v>106</v>
      </c>
      <c r="D57" s="3" t="s">
        <v>9</v>
      </c>
      <c r="E57" s="3" t="s">
        <v>9</v>
      </c>
      <c r="F57" s="3" t="s">
        <v>9</v>
      </c>
      <c r="G57" s="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105</v>
      </c>
      <c r="D58" s="3" t="s">
        <v>9</v>
      </c>
      <c r="E58" s="3" t="s">
        <v>9</v>
      </c>
      <c r="F58" s="14">
        <v>0</v>
      </c>
      <c r="G58" s="15">
        <v>0</v>
      </c>
      <c r="H58" s="156"/>
    </row>
    <row r="59" spans="1:8" x14ac:dyDescent="0.2">
      <c r="A59" s="3" t="s">
        <v>9</v>
      </c>
      <c r="B59" s="3" t="s">
        <v>9</v>
      </c>
      <c r="C59" s="12" t="s">
        <v>9</v>
      </c>
      <c r="D59" s="3" t="s">
        <v>9</v>
      </c>
      <c r="E59" s="3" t="s">
        <v>9</v>
      </c>
      <c r="F59" s="13" t="s">
        <v>9</v>
      </c>
      <c r="G59" s="1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107</v>
      </c>
      <c r="D60" s="3" t="s">
        <v>9</v>
      </c>
      <c r="E60" s="3" t="s">
        <v>9</v>
      </c>
      <c r="F60" s="3" t="s">
        <v>9</v>
      </c>
      <c r="G60" s="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105</v>
      </c>
      <c r="D61" s="3" t="s">
        <v>9</v>
      </c>
      <c r="E61" s="3" t="s">
        <v>9</v>
      </c>
      <c r="F61" s="14">
        <v>0</v>
      </c>
      <c r="G61" s="15">
        <v>0</v>
      </c>
      <c r="H61" s="156"/>
    </row>
    <row r="62" spans="1:8" x14ac:dyDescent="0.2">
      <c r="A62" s="3" t="s">
        <v>9</v>
      </c>
      <c r="B62" s="3" t="s">
        <v>9</v>
      </c>
      <c r="C62" s="12" t="s">
        <v>9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111</v>
      </c>
      <c r="D63" s="3" t="s">
        <v>9</v>
      </c>
      <c r="E63" s="3" t="s">
        <v>9</v>
      </c>
      <c r="F63" s="3" t="s">
        <v>9</v>
      </c>
      <c r="G63" s="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105</v>
      </c>
      <c r="D64" s="3" t="s">
        <v>9</v>
      </c>
      <c r="E64" s="3" t="s">
        <v>9</v>
      </c>
      <c r="F64" s="14">
        <v>0</v>
      </c>
      <c r="G64" s="15">
        <v>0</v>
      </c>
      <c r="H64" s="156"/>
    </row>
    <row r="65" spans="1:8" x14ac:dyDescent="0.2">
      <c r="A65" s="3" t="s">
        <v>9</v>
      </c>
      <c r="B65" s="3" t="s">
        <v>9</v>
      </c>
      <c r="C65" s="12" t="s">
        <v>9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112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105</v>
      </c>
      <c r="D67" s="3" t="s">
        <v>9</v>
      </c>
      <c r="E67" s="3" t="s">
        <v>9</v>
      </c>
      <c r="F67" s="14">
        <v>0</v>
      </c>
      <c r="G67" s="15">
        <v>0</v>
      </c>
      <c r="H67" s="156"/>
    </row>
    <row r="68" spans="1:8" x14ac:dyDescent="0.2">
      <c r="A68" s="3" t="s">
        <v>9</v>
      </c>
      <c r="B68" s="3" t="s">
        <v>9</v>
      </c>
      <c r="C68" s="12" t="s">
        <v>9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113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105</v>
      </c>
      <c r="D70" s="3" t="s">
        <v>9</v>
      </c>
      <c r="E70" s="3" t="s">
        <v>9</v>
      </c>
      <c r="F70" s="14">
        <v>0</v>
      </c>
      <c r="G70" s="15">
        <v>0</v>
      </c>
      <c r="H70" s="156"/>
    </row>
    <row r="71" spans="1:8" x14ac:dyDescent="0.2">
      <c r="A71" s="3" t="s">
        <v>9</v>
      </c>
      <c r="B71" s="3" t="s">
        <v>9</v>
      </c>
      <c r="C71" s="12" t="s">
        <v>9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114</v>
      </c>
      <c r="D72" s="3" t="s">
        <v>9</v>
      </c>
      <c r="E72" s="3" t="s">
        <v>9</v>
      </c>
      <c r="F72" s="10">
        <v>159090.73454549999</v>
      </c>
      <c r="G72" s="11">
        <v>0.99683591000000005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115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11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4">
        <v>0</v>
      </c>
      <c r="G76" s="15">
        <v>0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116</v>
      </c>
      <c r="D78" s="3" t="s">
        <v>9</v>
      </c>
      <c r="E78" s="3" t="s">
        <v>9</v>
      </c>
      <c r="F78" s="3" t="s">
        <v>9</v>
      </c>
      <c r="G78" s="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117</v>
      </c>
      <c r="D81" s="3" t="s">
        <v>9</v>
      </c>
      <c r="E81" s="3" t="s">
        <v>9</v>
      </c>
      <c r="F81" s="3" t="s">
        <v>9</v>
      </c>
      <c r="G81" s="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118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119</v>
      </c>
      <c r="D87" s="3" t="s">
        <v>9</v>
      </c>
      <c r="E87" s="3" t="s">
        <v>9</v>
      </c>
      <c r="F87" s="10">
        <v>0</v>
      </c>
      <c r="G87" s="11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120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121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122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4">
        <v>0</v>
      </c>
      <c r="G94" s="15">
        <v>0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123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124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5">
        <v>1</v>
      </c>
      <c r="B100" s="6"/>
      <c r="C100" s="6" t="s">
        <v>125</v>
      </c>
      <c r="D100" s="6"/>
      <c r="E100" s="16" t="s">
        <v>9</v>
      </c>
      <c r="F100" s="8">
        <v>855.50714579999999</v>
      </c>
      <c r="G100" s="9">
        <v>5.360465E-3</v>
      </c>
      <c r="H100" s="8">
        <v>3.3326163573085874</v>
      </c>
    </row>
    <row r="101" spans="1:8" x14ac:dyDescent="0.2">
      <c r="A101" s="5">
        <v>2</v>
      </c>
      <c r="B101" s="6"/>
      <c r="C101" s="6" t="s">
        <v>126</v>
      </c>
      <c r="D101" s="6"/>
      <c r="E101" s="16" t="s">
        <v>9</v>
      </c>
      <c r="F101" s="8">
        <v>611.0450634</v>
      </c>
      <c r="G101" s="9">
        <v>3.8287059999999999E-3</v>
      </c>
      <c r="H101" s="8">
        <v>3.2337849550915885</v>
      </c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0">
        <v>1466.5522092000001</v>
      </c>
      <c r="G102" s="11">
        <v>9.1891709999999995E-3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127</v>
      </c>
      <c r="D104" s="3" t="s">
        <v>9</v>
      </c>
      <c r="E104" s="3" t="s">
        <v>9</v>
      </c>
      <c r="F104" s="10">
        <v>1466.5522092000001</v>
      </c>
      <c r="G104" s="11">
        <v>9.1891709999999995E-3</v>
      </c>
      <c r="H104" s="156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3" t="s">
        <v>9</v>
      </c>
      <c r="G105" s="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128</v>
      </c>
      <c r="D106" s="3" t="s">
        <v>9</v>
      </c>
      <c r="E106" s="3" t="s">
        <v>9</v>
      </c>
      <c r="F106" s="3" t="s">
        <v>9</v>
      </c>
      <c r="G106" s="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129</v>
      </c>
      <c r="D107" s="3" t="s">
        <v>9</v>
      </c>
      <c r="E107" s="3" t="s">
        <v>9</v>
      </c>
      <c r="F107" s="3" t="s">
        <v>9</v>
      </c>
      <c r="G107" s="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130</v>
      </c>
      <c r="D110" s="3" t="s">
        <v>9</v>
      </c>
      <c r="E110" s="3" t="s">
        <v>9</v>
      </c>
      <c r="F110" s="3" t="s">
        <v>9</v>
      </c>
      <c r="G110" s="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131</v>
      </c>
      <c r="D111" s="3" t="s">
        <v>9</v>
      </c>
      <c r="E111" s="3" t="s">
        <v>9</v>
      </c>
      <c r="F111" s="3" t="s">
        <v>9</v>
      </c>
      <c r="G111" s="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105</v>
      </c>
      <c r="D112" s="3" t="s">
        <v>9</v>
      </c>
      <c r="E112" s="3" t="s">
        <v>9</v>
      </c>
      <c r="F112" s="14">
        <v>0</v>
      </c>
      <c r="G112" s="15">
        <v>0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132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4">
        <v>0</v>
      </c>
      <c r="G116" s="15">
        <v>0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6" t="s">
        <v>9</v>
      </c>
      <c r="C118" s="6" t="s">
        <v>9</v>
      </c>
      <c r="D118" s="4" t="s">
        <v>9</v>
      </c>
      <c r="E118" s="3" t="s">
        <v>9</v>
      </c>
      <c r="F118" s="6" t="s">
        <v>9</v>
      </c>
      <c r="G118" s="16" t="s">
        <v>9</v>
      </c>
      <c r="H118" s="156"/>
    </row>
    <row r="119" spans="1:8" x14ac:dyDescent="0.2">
      <c r="A119" s="16" t="s">
        <v>9</v>
      </c>
      <c r="B119" s="6" t="s">
        <v>9</v>
      </c>
      <c r="C119" s="6" t="s">
        <v>133</v>
      </c>
      <c r="D119" s="6" t="s">
        <v>9</v>
      </c>
      <c r="E119" s="16" t="s">
        <v>9</v>
      </c>
      <c r="F119" s="8">
        <v>-961.57740661000003</v>
      </c>
      <c r="G119" s="9">
        <v>-6.0250829999999997E-3</v>
      </c>
      <c r="H119" s="156"/>
    </row>
    <row r="120" spans="1:8" x14ac:dyDescent="0.2">
      <c r="A120" s="12" t="s">
        <v>9</v>
      </c>
      <c r="B120" s="12" t="s">
        <v>9</v>
      </c>
      <c r="C120" s="4" t="s">
        <v>134</v>
      </c>
      <c r="D120" s="17" t="s">
        <v>9</v>
      </c>
      <c r="E120" s="17" t="s">
        <v>9</v>
      </c>
      <c r="F120" s="10">
        <v>159595.70934808996</v>
      </c>
      <c r="G120" s="11">
        <v>0.99999999799999995</v>
      </c>
      <c r="H120" s="156"/>
    </row>
    <row r="121" spans="1:8" ht="14.1" customHeight="1" x14ac:dyDescent="0.2">
      <c r="A121" s="18" t="s">
        <v>9</v>
      </c>
      <c r="B121" s="18" t="s">
        <v>9</v>
      </c>
      <c r="C121" s="18" t="s">
        <v>9</v>
      </c>
      <c r="D121" s="19" t="s">
        <v>9</v>
      </c>
      <c r="E121" s="19" t="s">
        <v>9</v>
      </c>
      <c r="F121" s="19" t="s">
        <v>9</v>
      </c>
      <c r="G121" s="19" t="s">
        <v>9</v>
      </c>
    </row>
    <row r="122" spans="1:8" ht="14.1" customHeight="1" x14ac:dyDescent="0.2">
      <c r="A122" s="20" t="s">
        <v>9</v>
      </c>
      <c r="B122" s="200" t="s">
        <v>9</v>
      </c>
      <c r="C122" s="200"/>
      <c r="D122" s="200"/>
      <c r="E122" s="200"/>
      <c r="F122" s="200"/>
      <c r="G122" s="22" t="s">
        <v>9</v>
      </c>
    </row>
    <row r="123" spans="1:8" ht="14.1" customHeight="1" x14ac:dyDescent="0.2">
      <c r="A123" s="20" t="s">
        <v>9</v>
      </c>
      <c r="B123" s="200" t="s">
        <v>9</v>
      </c>
      <c r="C123" s="200"/>
      <c r="D123" s="200"/>
      <c r="E123" s="200"/>
      <c r="F123" s="200"/>
      <c r="G123" s="22" t="s">
        <v>9</v>
      </c>
    </row>
    <row r="124" spans="1:8" ht="14.1" customHeight="1" x14ac:dyDescent="0.2">
      <c r="A124" s="20" t="s">
        <v>9</v>
      </c>
      <c r="B124" s="20" t="s">
        <v>9</v>
      </c>
      <c r="C124" s="20" t="s">
        <v>9</v>
      </c>
      <c r="D124" s="22" t="s">
        <v>9</v>
      </c>
      <c r="E124" s="22" t="s">
        <v>9</v>
      </c>
      <c r="F124" s="22" t="s">
        <v>9</v>
      </c>
      <c r="G124" s="22" t="s">
        <v>9</v>
      </c>
    </row>
    <row r="125" spans="1:8" ht="14.1" customHeight="1" x14ac:dyDescent="0.2">
      <c r="A125" s="20" t="s">
        <v>9</v>
      </c>
      <c r="B125" s="198" t="s">
        <v>136</v>
      </c>
      <c r="C125" s="199"/>
      <c r="D125" s="13" t="s">
        <v>9</v>
      </c>
      <c r="E125" s="23" t="s">
        <v>9</v>
      </c>
      <c r="F125" s="22" t="s">
        <v>9</v>
      </c>
      <c r="G125" s="22" t="s">
        <v>9</v>
      </c>
    </row>
    <row r="126" spans="1:8" ht="29.1" customHeight="1" x14ac:dyDescent="0.2">
      <c r="A126" s="20" t="s">
        <v>9</v>
      </c>
      <c r="B126" s="205" t="s">
        <v>137</v>
      </c>
      <c r="C126" s="206"/>
      <c r="D126" s="4" t="s">
        <v>138</v>
      </c>
      <c r="E126" s="23" t="s">
        <v>9</v>
      </c>
      <c r="F126" s="22" t="s">
        <v>9</v>
      </c>
      <c r="G126" s="22" t="s">
        <v>9</v>
      </c>
    </row>
    <row r="127" spans="1:8" ht="17.100000000000001" customHeight="1" x14ac:dyDescent="0.2">
      <c r="A127" s="20" t="s">
        <v>9</v>
      </c>
      <c r="B127" s="205" t="s">
        <v>139</v>
      </c>
      <c r="C127" s="206"/>
      <c r="D127" s="4" t="s">
        <v>138</v>
      </c>
      <c r="E127" s="23" t="s">
        <v>9</v>
      </c>
      <c r="F127" s="22" t="s">
        <v>9</v>
      </c>
      <c r="G127" s="22" t="s">
        <v>9</v>
      </c>
    </row>
    <row r="128" spans="1:8" ht="17.100000000000001" customHeight="1" x14ac:dyDescent="0.2">
      <c r="A128" s="20" t="s">
        <v>9</v>
      </c>
      <c r="B128" s="205" t="s">
        <v>140</v>
      </c>
      <c r="C128" s="206"/>
      <c r="D128" s="13" t="s">
        <v>9</v>
      </c>
      <c r="E128" s="23" t="s">
        <v>9</v>
      </c>
      <c r="F128" s="22" t="s">
        <v>9</v>
      </c>
      <c r="G128" s="22" t="s">
        <v>9</v>
      </c>
    </row>
    <row r="129" spans="1:7" ht="24" customHeight="1" x14ac:dyDescent="0.2">
      <c r="A129" s="24" t="s">
        <v>9</v>
      </c>
      <c r="B129" s="25" t="s">
        <v>9</v>
      </c>
      <c r="C129" s="25" t="s">
        <v>141</v>
      </c>
      <c r="D129" s="25" t="s">
        <v>142</v>
      </c>
      <c r="E129" s="24" t="s">
        <v>9</v>
      </c>
      <c r="F129" s="24" t="s">
        <v>9</v>
      </c>
      <c r="G129" s="24" t="s">
        <v>9</v>
      </c>
    </row>
    <row r="130" spans="1:7" ht="18" customHeight="1" x14ac:dyDescent="0.2">
      <c r="A130" s="24" t="s">
        <v>9</v>
      </c>
      <c r="B130" s="25" t="s">
        <v>143</v>
      </c>
      <c r="C130" s="25" t="s">
        <v>144</v>
      </c>
      <c r="D130" s="25" t="s">
        <v>145</v>
      </c>
      <c r="E130" s="24" t="s">
        <v>9</v>
      </c>
      <c r="F130" s="24" t="s">
        <v>9</v>
      </c>
      <c r="G130" s="24" t="s">
        <v>9</v>
      </c>
    </row>
    <row r="131" spans="1:7" ht="17.100000000000001" customHeight="1" x14ac:dyDescent="0.2">
      <c r="A131" s="24" t="s">
        <v>9</v>
      </c>
      <c r="B131" s="6" t="s">
        <v>146</v>
      </c>
      <c r="C131" s="26">
        <v>49.034599999999998</v>
      </c>
      <c r="D131" s="26">
        <v>51.023899999999998</v>
      </c>
      <c r="E131" s="24" t="s">
        <v>9</v>
      </c>
      <c r="F131" s="21" t="s">
        <v>9</v>
      </c>
      <c r="G131" s="27" t="s">
        <v>9</v>
      </c>
    </row>
    <row r="132" spans="1:7" ht="17.100000000000001" customHeight="1" x14ac:dyDescent="0.2">
      <c r="A132" s="24" t="s">
        <v>9</v>
      </c>
      <c r="B132" s="6" t="s">
        <v>839</v>
      </c>
      <c r="C132" s="26">
        <v>24.365500000000001</v>
      </c>
      <c r="D132" s="26">
        <v>23.617100000000001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6" t="s">
        <v>147</v>
      </c>
      <c r="C133" s="26">
        <v>45.679699999999997</v>
      </c>
      <c r="D133" s="26">
        <v>47.484299999999998</v>
      </c>
      <c r="E133" s="24" t="s">
        <v>9</v>
      </c>
      <c r="F133" s="21" t="s">
        <v>9</v>
      </c>
      <c r="G133" s="27" t="s">
        <v>9</v>
      </c>
    </row>
    <row r="134" spans="1:7" ht="17.100000000000001" customHeight="1" x14ac:dyDescent="0.2">
      <c r="A134" s="24" t="s">
        <v>9</v>
      </c>
      <c r="B134" s="6" t="s">
        <v>840</v>
      </c>
      <c r="C134" s="26">
        <v>22.221399999999999</v>
      </c>
      <c r="D134" s="26">
        <v>21.516400000000001</v>
      </c>
      <c r="E134" s="24" t="s">
        <v>9</v>
      </c>
      <c r="F134" s="21" t="s">
        <v>9</v>
      </c>
      <c r="G134" s="27" t="s">
        <v>9</v>
      </c>
    </row>
    <row r="135" spans="1:7" ht="14.1" customHeight="1" x14ac:dyDescent="0.2">
      <c r="A135" s="24" t="s">
        <v>9</v>
      </c>
      <c r="B135" s="24" t="s">
        <v>9</v>
      </c>
      <c r="C135" s="24" t="s">
        <v>9</v>
      </c>
      <c r="D135" s="24" t="s">
        <v>9</v>
      </c>
      <c r="E135" s="24" t="s">
        <v>9</v>
      </c>
      <c r="F135" s="24" t="s">
        <v>9</v>
      </c>
      <c r="G135" s="24" t="s">
        <v>9</v>
      </c>
    </row>
    <row r="136" spans="1:7" ht="29.1" customHeight="1" x14ac:dyDescent="0.2">
      <c r="A136" s="167" t="s">
        <v>9</v>
      </c>
      <c r="B136" s="207" t="s">
        <v>986</v>
      </c>
      <c r="C136" s="207"/>
      <c r="D136" s="160"/>
      <c r="E136" s="167" t="s">
        <v>9</v>
      </c>
      <c r="F136" s="167" t="s">
        <v>9</v>
      </c>
      <c r="G136" s="167" t="s">
        <v>9</v>
      </c>
    </row>
    <row r="137" spans="1:7" s="166" customFormat="1" ht="15" x14ac:dyDescent="0.2">
      <c r="A137" s="148" t="s">
        <v>9</v>
      </c>
      <c r="B137" s="161" t="s">
        <v>143</v>
      </c>
      <c r="C137" s="161" t="s">
        <v>878</v>
      </c>
      <c r="D137" s="161" t="s">
        <v>879</v>
      </c>
      <c r="E137" s="148" t="s">
        <v>9</v>
      </c>
      <c r="F137" s="148" t="s">
        <v>9</v>
      </c>
      <c r="G137" s="148" t="s">
        <v>9</v>
      </c>
    </row>
    <row r="138" spans="1:7" ht="17.100000000000001" customHeight="1" x14ac:dyDescent="0.2">
      <c r="A138" s="24" t="s">
        <v>9</v>
      </c>
      <c r="B138" s="162" t="s">
        <v>839</v>
      </c>
      <c r="C138" s="163">
        <v>1.7370000000000001</v>
      </c>
      <c r="D138" s="163">
        <v>1.7370000000000001</v>
      </c>
      <c r="E138" s="24" t="s">
        <v>9</v>
      </c>
      <c r="F138" s="31" t="s">
        <v>9</v>
      </c>
      <c r="G138" s="27" t="s">
        <v>9</v>
      </c>
    </row>
    <row r="139" spans="1:7" ht="17.100000000000001" customHeight="1" x14ac:dyDescent="0.2">
      <c r="A139" s="24" t="s">
        <v>9</v>
      </c>
      <c r="B139" s="162" t="s">
        <v>840</v>
      </c>
      <c r="C139" s="163">
        <v>1.583</v>
      </c>
      <c r="D139" s="163">
        <v>1.583</v>
      </c>
      <c r="E139" s="24" t="s">
        <v>9</v>
      </c>
      <c r="F139" s="31" t="s">
        <v>9</v>
      </c>
      <c r="G139" s="27" t="s">
        <v>9</v>
      </c>
    </row>
    <row r="140" spans="1:7" ht="17.100000000000001" customHeight="1" x14ac:dyDescent="0.2">
      <c r="A140" s="24"/>
      <c r="B140" s="182"/>
      <c r="C140" s="195"/>
      <c r="D140" s="195"/>
      <c r="E140" s="24"/>
      <c r="F140" s="182"/>
      <c r="G140" s="27"/>
    </row>
    <row r="141" spans="1:7" s="197" customFormat="1" x14ac:dyDescent="0.2">
      <c r="B141" s="208" t="s">
        <v>841</v>
      </c>
      <c r="C141" s="208"/>
      <c r="D141" s="208"/>
      <c r="E141" s="208"/>
      <c r="F141" s="208"/>
    </row>
    <row r="142" spans="1:7" ht="14.1" customHeight="1" x14ac:dyDescent="0.2">
      <c r="A142" s="24" t="s">
        <v>9</v>
      </c>
      <c r="B142" s="21" t="s">
        <v>9</v>
      </c>
      <c r="C142" s="21" t="s">
        <v>9</v>
      </c>
      <c r="D142" s="24" t="s">
        <v>9</v>
      </c>
      <c r="E142" s="24" t="s">
        <v>9</v>
      </c>
      <c r="F142" s="24" t="s">
        <v>9</v>
      </c>
      <c r="G142" s="24" t="s">
        <v>9</v>
      </c>
    </row>
    <row r="143" spans="1:7" ht="29.1" customHeight="1" x14ac:dyDescent="0.2">
      <c r="A143" s="24" t="s">
        <v>9</v>
      </c>
      <c r="B143" s="205" t="s">
        <v>148</v>
      </c>
      <c r="C143" s="206"/>
      <c r="D143" s="4" t="s">
        <v>138</v>
      </c>
      <c r="E143" s="24" t="s">
        <v>9</v>
      </c>
      <c r="F143" s="24" t="s">
        <v>9</v>
      </c>
      <c r="G143" s="24" t="s">
        <v>9</v>
      </c>
    </row>
    <row r="144" spans="1:7" ht="29.1" customHeight="1" x14ac:dyDescent="0.2">
      <c r="A144" s="24" t="s">
        <v>9</v>
      </c>
      <c r="B144" s="205" t="s">
        <v>149</v>
      </c>
      <c r="C144" s="206"/>
      <c r="D144" s="4" t="s">
        <v>138</v>
      </c>
      <c r="E144" s="24" t="s">
        <v>9</v>
      </c>
      <c r="F144" s="24" t="s">
        <v>9</v>
      </c>
      <c r="G144" s="24" t="s">
        <v>9</v>
      </c>
    </row>
    <row r="145" spans="1:7" ht="17.100000000000001" customHeight="1" x14ac:dyDescent="0.2">
      <c r="A145" s="24" t="s">
        <v>9</v>
      </c>
      <c r="B145" s="205" t="s">
        <v>150</v>
      </c>
      <c r="C145" s="206"/>
      <c r="D145" s="29">
        <v>0.90005894947325882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205" t="s">
        <v>151</v>
      </c>
      <c r="C146" s="206"/>
      <c r="D146" s="4" t="s">
        <v>138</v>
      </c>
      <c r="E146" s="24" t="s">
        <v>9</v>
      </c>
      <c r="F146" s="24" t="s">
        <v>9</v>
      </c>
      <c r="G146" s="24" t="s">
        <v>9</v>
      </c>
    </row>
  </sheetData>
  <mergeCells count="15">
    <mergeCell ref="B145:C145"/>
    <mergeCell ref="B146:C146"/>
    <mergeCell ref="B126:C126"/>
    <mergeCell ref="B127:C127"/>
    <mergeCell ref="B128:C128"/>
    <mergeCell ref="B136:C136"/>
    <mergeCell ref="B143:C143"/>
    <mergeCell ref="B144:C144"/>
    <mergeCell ref="B141:F141"/>
    <mergeCell ref="B125:C125"/>
    <mergeCell ref="B122:F122"/>
    <mergeCell ref="B123:F12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6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447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23314</v>
      </c>
      <c r="F7" s="8">
        <v>874.100145</v>
      </c>
      <c r="G7" s="9">
        <v>3.6766715999999998E-2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68334</v>
      </c>
      <c r="F8" s="8">
        <v>848.67411300000003</v>
      </c>
      <c r="G8" s="9">
        <v>3.5697237E-2</v>
      </c>
      <c r="H8" s="156"/>
    </row>
    <row r="9" spans="1:8" x14ac:dyDescent="0.2">
      <c r="A9" s="5">
        <v>3</v>
      </c>
      <c r="B9" s="6" t="s">
        <v>292</v>
      </c>
      <c r="C9" s="6" t="s">
        <v>293</v>
      </c>
      <c r="D9" s="6" t="s">
        <v>28</v>
      </c>
      <c r="E9" s="7">
        <v>89666</v>
      </c>
      <c r="F9" s="8">
        <v>604.84200299999998</v>
      </c>
      <c r="G9" s="9">
        <v>2.5441083E-2</v>
      </c>
      <c r="H9" s="156"/>
    </row>
    <row r="10" spans="1:8" x14ac:dyDescent="0.2">
      <c r="A10" s="5">
        <v>4</v>
      </c>
      <c r="B10" s="6" t="s">
        <v>31</v>
      </c>
      <c r="C10" s="6" t="s">
        <v>32</v>
      </c>
      <c r="D10" s="6" t="s">
        <v>972</v>
      </c>
      <c r="E10" s="7">
        <v>18912</v>
      </c>
      <c r="F10" s="8">
        <v>539.27567999999997</v>
      </c>
      <c r="G10" s="9">
        <v>2.2683208999999999E-2</v>
      </c>
      <c r="H10" s="156"/>
    </row>
    <row r="11" spans="1:8" x14ac:dyDescent="0.2">
      <c r="A11" s="5">
        <v>5</v>
      </c>
      <c r="B11" s="6" t="s">
        <v>158</v>
      </c>
      <c r="C11" s="6" t="s">
        <v>159</v>
      </c>
      <c r="D11" s="6" t="s">
        <v>28</v>
      </c>
      <c r="E11" s="7">
        <v>76859</v>
      </c>
      <c r="F11" s="8">
        <v>532.97873549999997</v>
      </c>
      <c r="G11" s="9">
        <v>2.2418344E-2</v>
      </c>
      <c r="H11" s="156"/>
    </row>
    <row r="12" spans="1:8" x14ac:dyDescent="0.2">
      <c r="A12" s="5">
        <v>6</v>
      </c>
      <c r="B12" s="6" t="s">
        <v>156</v>
      </c>
      <c r="C12" s="6" t="s">
        <v>157</v>
      </c>
      <c r="D12" s="6" t="s">
        <v>155</v>
      </c>
      <c r="E12" s="7">
        <v>44471</v>
      </c>
      <c r="F12" s="8">
        <v>530.67244300000004</v>
      </c>
      <c r="G12" s="9">
        <v>2.2321336000000001E-2</v>
      </c>
      <c r="H12" s="156"/>
    </row>
    <row r="13" spans="1:8" x14ac:dyDescent="0.2">
      <c r="A13" s="5">
        <v>7</v>
      </c>
      <c r="B13" s="6" t="s">
        <v>164</v>
      </c>
      <c r="C13" s="6" t="s">
        <v>165</v>
      </c>
      <c r="D13" s="6" t="s">
        <v>166</v>
      </c>
      <c r="E13" s="7">
        <v>564175</v>
      </c>
      <c r="F13" s="8">
        <v>530.32449999999994</v>
      </c>
      <c r="G13" s="9">
        <v>2.2306701000000002E-2</v>
      </c>
      <c r="H13" s="156"/>
    </row>
    <row r="14" spans="1:8" x14ac:dyDescent="0.2">
      <c r="A14" s="5">
        <v>8</v>
      </c>
      <c r="B14" s="6" t="s">
        <v>160</v>
      </c>
      <c r="C14" s="6" t="s">
        <v>161</v>
      </c>
      <c r="D14" s="6" t="s">
        <v>28</v>
      </c>
      <c r="E14" s="7">
        <v>77404</v>
      </c>
      <c r="F14" s="8">
        <v>522.47699999999998</v>
      </c>
      <c r="G14" s="9">
        <v>2.1976616000000001E-2</v>
      </c>
      <c r="H14" s="156"/>
    </row>
    <row r="15" spans="1:8" x14ac:dyDescent="0.2">
      <c r="A15" s="5">
        <v>9</v>
      </c>
      <c r="B15" s="6" t="s">
        <v>48</v>
      </c>
      <c r="C15" s="6" t="s">
        <v>49</v>
      </c>
      <c r="D15" s="6" t="s">
        <v>28</v>
      </c>
      <c r="E15" s="7">
        <v>51448</v>
      </c>
      <c r="F15" s="8">
        <v>520.52513999999996</v>
      </c>
      <c r="G15" s="9">
        <v>2.1894516999999999E-2</v>
      </c>
      <c r="H15" s="156"/>
    </row>
    <row r="16" spans="1:8" x14ac:dyDescent="0.2">
      <c r="A16" s="5">
        <v>10</v>
      </c>
      <c r="B16" s="6" t="s">
        <v>448</v>
      </c>
      <c r="C16" s="6" t="s">
        <v>449</v>
      </c>
      <c r="D16" s="6" t="s">
        <v>63</v>
      </c>
      <c r="E16" s="7">
        <v>161016</v>
      </c>
      <c r="F16" s="8">
        <v>504.86566800000003</v>
      </c>
      <c r="G16" s="9">
        <v>2.1235842000000001E-2</v>
      </c>
      <c r="H16" s="156"/>
    </row>
    <row r="17" spans="1:8" x14ac:dyDescent="0.2">
      <c r="A17" s="5">
        <v>11</v>
      </c>
      <c r="B17" s="6" t="s">
        <v>167</v>
      </c>
      <c r="C17" s="6" t="s">
        <v>168</v>
      </c>
      <c r="D17" s="6" t="s">
        <v>169</v>
      </c>
      <c r="E17" s="7">
        <v>193164</v>
      </c>
      <c r="F17" s="8">
        <v>501.646908</v>
      </c>
      <c r="G17" s="9">
        <v>2.1100454000000001E-2</v>
      </c>
      <c r="H17" s="156"/>
    </row>
    <row r="18" spans="1:8" x14ac:dyDescent="0.2">
      <c r="A18" s="5">
        <v>12</v>
      </c>
      <c r="B18" s="6" t="s">
        <v>173</v>
      </c>
      <c r="C18" s="6" t="s">
        <v>174</v>
      </c>
      <c r="D18" s="6" t="s">
        <v>63</v>
      </c>
      <c r="E18" s="7">
        <v>116159</v>
      </c>
      <c r="F18" s="8">
        <v>469.92123450000003</v>
      </c>
      <c r="G18" s="9">
        <v>1.9765997E-2</v>
      </c>
      <c r="H18" s="156"/>
    </row>
    <row r="19" spans="1:8" x14ac:dyDescent="0.2">
      <c r="A19" s="5">
        <v>13</v>
      </c>
      <c r="B19" s="6" t="s">
        <v>170</v>
      </c>
      <c r="C19" s="6" t="s">
        <v>171</v>
      </c>
      <c r="D19" s="6" t="s">
        <v>172</v>
      </c>
      <c r="E19" s="7">
        <v>35594</v>
      </c>
      <c r="F19" s="8">
        <v>467.24243799999999</v>
      </c>
      <c r="G19" s="9">
        <v>1.9653319999999998E-2</v>
      </c>
      <c r="H19" s="156"/>
    </row>
    <row r="20" spans="1:8" x14ac:dyDescent="0.2">
      <c r="A20" s="5">
        <v>14</v>
      </c>
      <c r="B20" s="6" t="s">
        <v>179</v>
      </c>
      <c r="C20" s="6" t="s">
        <v>180</v>
      </c>
      <c r="D20" s="6" t="s">
        <v>169</v>
      </c>
      <c r="E20" s="7">
        <v>14600</v>
      </c>
      <c r="F20" s="8">
        <v>429.07209999999998</v>
      </c>
      <c r="G20" s="9">
        <v>1.8047786E-2</v>
      </c>
      <c r="H20" s="156"/>
    </row>
    <row r="21" spans="1:8" x14ac:dyDescent="0.2">
      <c r="A21" s="5">
        <v>15</v>
      </c>
      <c r="B21" s="6" t="s">
        <v>185</v>
      </c>
      <c r="C21" s="6" t="s">
        <v>186</v>
      </c>
      <c r="D21" s="6" t="s">
        <v>172</v>
      </c>
      <c r="E21" s="7">
        <v>178406</v>
      </c>
      <c r="F21" s="8">
        <v>399.62943999999999</v>
      </c>
      <c r="G21" s="9">
        <v>1.6809358E-2</v>
      </c>
      <c r="H21" s="156"/>
    </row>
    <row r="22" spans="1:8" x14ac:dyDescent="0.2">
      <c r="A22" s="5">
        <v>16</v>
      </c>
      <c r="B22" s="6" t="s">
        <v>329</v>
      </c>
      <c r="C22" s="6" t="s">
        <v>330</v>
      </c>
      <c r="D22" s="6" t="s">
        <v>191</v>
      </c>
      <c r="E22" s="7">
        <v>11524</v>
      </c>
      <c r="F22" s="8">
        <v>396.85198800000001</v>
      </c>
      <c r="G22" s="9">
        <v>1.6692532E-2</v>
      </c>
      <c r="H22" s="156"/>
    </row>
    <row r="23" spans="1:8" x14ac:dyDescent="0.2">
      <c r="A23" s="5">
        <v>17</v>
      </c>
      <c r="B23" s="6" t="s">
        <v>181</v>
      </c>
      <c r="C23" s="6" t="s">
        <v>182</v>
      </c>
      <c r="D23" s="6" t="s">
        <v>972</v>
      </c>
      <c r="E23" s="7">
        <v>154145</v>
      </c>
      <c r="F23" s="8">
        <v>389.44734249999999</v>
      </c>
      <c r="G23" s="9">
        <v>1.6381074999999998E-2</v>
      </c>
      <c r="H23" s="156"/>
    </row>
    <row r="24" spans="1:8" x14ac:dyDescent="0.2">
      <c r="A24" s="5">
        <v>18</v>
      </c>
      <c r="B24" s="6" t="s">
        <v>187</v>
      </c>
      <c r="C24" s="6" t="s">
        <v>188</v>
      </c>
      <c r="D24" s="6" t="s">
        <v>973</v>
      </c>
      <c r="E24" s="7">
        <v>121208</v>
      </c>
      <c r="F24" s="8">
        <v>374.16909600000002</v>
      </c>
      <c r="G24" s="9">
        <v>1.5738436000000001E-2</v>
      </c>
      <c r="H24" s="156"/>
    </row>
    <row r="25" spans="1:8" x14ac:dyDescent="0.2">
      <c r="A25" s="5">
        <v>19</v>
      </c>
      <c r="B25" s="6" t="s">
        <v>189</v>
      </c>
      <c r="C25" s="6" t="s">
        <v>190</v>
      </c>
      <c r="D25" s="6" t="s">
        <v>191</v>
      </c>
      <c r="E25" s="7">
        <v>31765</v>
      </c>
      <c r="F25" s="8">
        <v>371.20578999999998</v>
      </c>
      <c r="G25" s="9">
        <v>1.5613792E-2</v>
      </c>
      <c r="H25" s="156"/>
    </row>
    <row r="26" spans="1:8" x14ac:dyDescent="0.2">
      <c r="A26" s="5">
        <v>20</v>
      </c>
      <c r="B26" s="6" t="s">
        <v>192</v>
      </c>
      <c r="C26" s="6" t="s">
        <v>193</v>
      </c>
      <c r="D26" s="6" t="s">
        <v>196</v>
      </c>
      <c r="E26" s="7">
        <v>53835</v>
      </c>
      <c r="F26" s="8">
        <v>370.73472750000002</v>
      </c>
      <c r="G26" s="9">
        <v>1.5593978E-2</v>
      </c>
      <c r="H26" s="156"/>
    </row>
    <row r="27" spans="1:8" x14ac:dyDescent="0.2">
      <c r="A27" s="5">
        <v>21</v>
      </c>
      <c r="B27" s="6" t="s">
        <v>194</v>
      </c>
      <c r="C27" s="6" t="s">
        <v>195</v>
      </c>
      <c r="D27" s="6" t="s">
        <v>196</v>
      </c>
      <c r="E27" s="7">
        <v>88782</v>
      </c>
      <c r="F27" s="8">
        <v>366.40331400000002</v>
      </c>
      <c r="G27" s="9">
        <v>1.5411789E-2</v>
      </c>
      <c r="H27" s="156"/>
    </row>
    <row r="28" spans="1:8" x14ac:dyDescent="0.2">
      <c r="A28" s="5">
        <v>22</v>
      </c>
      <c r="B28" s="6" t="s">
        <v>450</v>
      </c>
      <c r="C28" s="6" t="s">
        <v>451</v>
      </c>
      <c r="D28" s="6" t="s">
        <v>35</v>
      </c>
      <c r="E28" s="7">
        <v>29564</v>
      </c>
      <c r="F28" s="8">
        <v>359.74953399999998</v>
      </c>
      <c r="G28" s="9">
        <v>1.5131914999999999E-2</v>
      </c>
      <c r="H28" s="156"/>
    </row>
    <row r="29" spans="1:8" x14ac:dyDescent="0.2">
      <c r="A29" s="5">
        <v>23</v>
      </c>
      <c r="B29" s="6" t="s">
        <v>199</v>
      </c>
      <c r="C29" s="6" t="s">
        <v>200</v>
      </c>
      <c r="D29" s="6" t="s">
        <v>63</v>
      </c>
      <c r="E29" s="7">
        <v>102433</v>
      </c>
      <c r="F29" s="8">
        <v>353.90601500000002</v>
      </c>
      <c r="G29" s="9">
        <v>1.4886122999999999E-2</v>
      </c>
      <c r="H29" s="156"/>
    </row>
    <row r="30" spans="1:8" x14ac:dyDescent="0.2">
      <c r="A30" s="5">
        <v>24</v>
      </c>
      <c r="B30" s="6" t="s">
        <v>206</v>
      </c>
      <c r="C30" s="6" t="s">
        <v>207</v>
      </c>
      <c r="D30" s="6" t="s">
        <v>73</v>
      </c>
      <c r="E30" s="7">
        <v>79781</v>
      </c>
      <c r="F30" s="8">
        <v>344.29490550000003</v>
      </c>
      <c r="G30" s="9">
        <v>1.4481857000000001E-2</v>
      </c>
      <c r="H30" s="156"/>
    </row>
    <row r="31" spans="1:8" x14ac:dyDescent="0.2">
      <c r="A31" s="5">
        <v>25</v>
      </c>
      <c r="B31" s="6" t="s">
        <v>197</v>
      </c>
      <c r="C31" s="6" t="s">
        <v>198</v>
      </c>
      <c r="D31" s="6" t="s">
        <v>169</v>
      </c>
      <c r="E31" s="7">
        <v>7989</v>
      </c>
      <c r="F31" s="8">
        <v>343.79463149999998</v>
      </c>
      <c r="G31" s="9">
        <v>1.4460814000000001E-2</v>
      </c>
      <c r="H31" s="156"/>
    </row>
    <row r="32" spans="1:8" x14ac:dyDescent="0.2">
      <c r="A32" s="5">
        <v>26</v>
      </c>
      <c r="B32" s="6" t="s">
        <v>208</v>
      </c>
      <c r="C32" s="6" t="s">
        <v>209</v>
      </c>
      <c r="D32" s="6" t="s">
        <v>976</v>
      </c>
      <c r="E32" s="7">
        <v>42000</v>
      </c>
      <c r="F32" s="8">
        <v>343.53899999999999</v>
      </c>
      <c r="G32" s="9">
        <v>1.4450062E-2</v>
      </c>
      <c r="H32" s="156"/>
    </row>
    <row r="33" spans="1:8" x14ac:dyDescent="0.2">
      <c r="A33" s="5">
        <v>27</v>
      </c>
      <c r="B33" s="6" t="s">
        <v>201</v>
      </c>
      <c r="C33" s="6" t="s">
        <v>202</v>
      </c>
      <c r="D33" s="6" t="s">
        <v>40</v>
      </c>
      <c r="E33" s="7">
        <v>307287</v>
      </c>
      <c r="F33" s="8">
        <v>340.01306549999998</v>
      </c>
      <c r="G33" s="9">
        <v>1.4301751999999999E-2</v>
      </c>
      <c r="H33" s="156"/>
    </row>
    <row r="34" spans="1:8" x14ac:dyDescent="0.2">
      <c r="A34" s="5">
        <v>28</v>
      </c>
      <c r="B34" s="6" t="s">
        <v>210</v>
      </c>
      <c r="C34" s="6" t="s">
        <v>211</v>
      </c>
      <c r="D34" s="6" t="s">
        <v>169</v>
      </c>
      <c r="E34" s="7">
        <v>38730</v>
      </c>
      <c r="F34" s="8">
        <v>332.92308000000003</v>
      </c>
      <c r="G34" s="9">
        <v>1.4003531E-2</v>
      </c>
      <c r="H34" s="156"/>
    </row>
    <row r="35" spans="1:8" x14ac:dyDescent="0.2">
      <c r="A35" s="5">
        <v>29</v>
      </c>
      <c r="B35" s="6" t="s">
        <v>183</v>
      </c>
      <c r="C35" s="6" t="s">
        <v>184</v>
      </c>
      <c r="D35" s="6" t="s">
        <v>43</v>
      </c>
      <c r="E35" s="7">
        <v>76646</v>
      </c>
      <c r="F35" s="8">
        <v>326.35866800000002</v>
      </c>
      <c r="G35" s="9">
        <v>1.3727415999999999E-2</v>
      </c>
      <c r="H35" s="156"/>
    </row>
    <row r="36" spans="1:8" x14ac:dyDescent="0.2">
      <c r="A36" s="5">
        <v>30</v>
      </c>
      <c r="B36" s="6" t="s">
        <v>452</v>
      </c>
      <c r="C36" s="6" t="s">
        <v>453</v>
      </c>
      <c r="D36" s="6" t="s">
        <v>166</v>
      </c>
      <c r="E36" s="7">
        <v>92049</v>
      </c>
      <c r="F36" s="8">
        <v>324.19657799999999</v>
      </c>
      <c r="G36" s="9">
        <v>1.3636474000000001E-2</v>
      </c>
      <c r="H36" s="156"/>
    </row>
    <row r="37" spans="1:8" x14ac:dyDescent="0.2">
      <c r="A37" s="5">
        <v>31</v>
      </c>
      <c r="B37" s="6" t="s">
        <v>212</v>
      </c>
      <c r="C37" s="6" t="s">
        <v>213</v>
      </c>
      <c r="D37" s="6" t="s">
        <v>28</v>
      </c>
      <c r="E37" s="7">
        <v>21494</v>
      </c>
      <c r="F37" s="8">
        <v>315.82208900000001</v>
      </c>
      <c r="G37" s="9">
        <v>1.3284223E-2</v>
      </c>
      <c r="H37" s="156"/>
    </row>
    <row r="38" spans="1:8" x14ac:dyDescent="0.2">
      <c r="A38" s="5">
        <v>32</v>
      </c>
      <c r="B38" s="6" t="s">
        <v>218</v>
      </c>
      <c r="C38" s="6" t="s">
        <v>219</v>
      </c>
      <c r="D38" s="6" t="s">
        <v>63</v>
      </c>
      <c r="E38" s="7">
        <v>41610</v>
      </c>
      <c r="F38" s="8">
        <v>305.77108500000003</v>
      </c>
      <c r="G38" s="9">
        <v>1.2861454E-2</v>
      </c>
      <c r="H38" s="156"/>
    </row>
    <row r="39" spans="1:8" x14ac:dyDescent="0.2">
      <c r="A39" s="5">
        <v>33</v>
      </c>
      <c r="B39" s="6" t="s">
        <v>79</v>
      </c>
      <c r="C39" s="6" t="s">
        <v>80</v>
      </c>
      <c r="D39" s="6" t="s">
        <v>63</v>
      </c>
      <c r="E39" s="7">
        <v>130267</v>
      </c>
      <c r="F39" s="8">
        <v>303.97804450000001</v>
      </c>
      <c r="G39" s="9">
        <v>1.2786034E-2</v>
      </c>
      <c r="H39" s="156"/>
    </row>
    <row r="40" spans="1:8" x14ac:dyDescent="0.2">
      <c r="A40" s="5">
        <v>34</v>
      </c>
      <c r="B40" s="6" t="s">
        <v>38</v>
      </c>
      <c r="C40" s="6" t="s">
        <v>39</v>
      </c>
      <c r="D40" s="6" t="s">
        <v>40</v>
      </c>
      <c r="E40" s="7">
        <v>108670</v>
      </c>
      <c r="F40" s="8">
        <v>303.94999000000001</v>
      </c>
      <c r="G40" s="9">
        <v>1.2784854E-2</v>
      </c>
      <c r="H40" s="156"/>
    </row>
    <row r="41" spans="1:8" x14ac:dyDescent="0.2">
      <c r="A41" s="5">
        <v>35</v>
      </c>
      <c r="B41" s="6" t="s">
        <v>454</v>
      </c>
      <c r="C41" s="6" t="s">
        <v>455</v>
      </c>
      <c r="D41" s="6" t="s">
        <v>68</v>
      </c>
      <c r="E41" s="7">
        <v>68578</v>
      </c>
      <c r="F41" s="8">
        <v>285.42163599999998</v>
      </c>
      <c r="G41" s="9">
        <v>1.2005508E-2</v>
      </c>
      <c r="H41" s="156"/>
    </row>
    <row r="42" spans="1:8" x14ac:dyDescent="0.2">
      <c r="A42" s="5">
        <v>36</v>
      </c>
      <c r="B42" s="6" t="s">
        <v>456</v>
      </c>
      <c r="C42" s="6" t="s">
        <v>457</v>
      </c>
      <c r="D42" s="6" t="s">
        <v>63</v>
      </c>
      <c r="E42" s="7">
        <v>34343</v>
      </c>
      <c r="F42" s="8">
        <v>280.25605150000001</v>
      </c>
      <c r="G42" s="9">
        <v>1.1788231E-2</v>
      </c>
      <c r="H42" s="156"/>
    </row>
    <row r="43" spans="1:8" x14ac:dyDescent="0.2">
      <c r="A43" s="5">
        <v>37</v>
      </c>
      <c r="B43" s="6" t="s">
        <v>216</v>
      </c>
      <c r="C43" s="6" t="s">
        <v>217</v>
      </c>
      <c r="D43" s="6" t="s">
        <v>54</v>
      </c>
      <c r="E43" s="7">
        <v>24997</v>
      </c>
      <c r="F43" s="8">
        <v>277.77916249999998</v>
      </c>
      <c r="G43" s="9">
        <v>1.1684048000000001E-2</v>
      </c>
      <c r="H43" s="156"/>
    </row>
    <row r="44" spans="1:8" x14ac:dyDescent="0.2">
      <c r="A44" s="5">
        <v>38</v>
      </c>
      <c r="B44" s="6" t="s">
        <v>228</v>
      </c>
      <c r="C44" s="6" t="s">
        <v>229</v>
      </c>
      <c r="D44" s="6" t="s">
        <v>35</v>
      </c>
      <c r="E44" s="7">
        <v>348703</v>
      </c>
      <c r="F44" s="8">
        <v>275.824073</v>
      </c>
      <c r="G44" s="9">
        <v>1.1601812E-2</v>
      </c>
      <c r="H44" s="156"/>
    </row>
    <row r="45" spans="1:8" ht="25.5" x14ac:dyDescent="0.2">
      <c r="A45" s="5">
        <v>39</v>
      </c>
      <c r="B45" s="6" t="s">
        <v>214</v>
      </c>
      <c r="C45" s="6" t="s">
        <v>215</v>
      </c>
      <c r="D45" s="6" t="s">
        <v>63</v>
      </c>
      <c r="E45" s="7">
        <v>12284</v>
      </c>
      <c r="F45" s="8">
        <v>273.83492799999999</v>
      </c>
      <c r="G45" s="9">
        <v>1.1518143999999999E-2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166</v>
      </c>
      <c r="E46" s="7">
        <v>49859</v>
      </c>
      <c r="F46" s="8">
        <v>269.86183749999998</v>
      </c>
      <c r="G46" s="9">
        <v>1.1351026E-2</v>
      </c>
      <c r="H46" s="156"/>
    </row>
    <row r="47" spans="1:8" x14ac:dyDescent="0.2">
      <c r="A47" s="5">
        <v>41</v>
      </c>
      <c r="B47" s="6" t="s">
        <v>232</v>
      </c>
      <c r="C47" s="6" t="s">
        <v>233</v>
      </c>
      <c r="D47" s="6" t="s">
        <v>166</v>
      </c>
      <c r="E47" s="7">
        <v>497258</v>
      </c>
      <c r="F47" s="8">
        <v>268.02206200000001</v>
      </c>
      <c r="G47" s="9">
        <v>1.1273640999999999E-2</v>
      </c>
      <c r="H47" s="156"/>
    </row>
    <row r="48" spans="1:8" x14ac:dyDescent="0.2">
      <c r="A48" s="5">
        <v>42</v>
      </c>
      <c r="B48" s="6" t="s">
        <v>46</v>
      </c>
      <c r="C48" s="6" t="s">
        <v>47</v>
      </c>
      <c r="D48" s="6" t="s">
        <v>28</v>
      </c>
      <c r="E48" s="7">
        <v>14565</v>
      </c>
      <c r="F48" s="8">
        <v>267.95230500000002</v>
      </c>
      <c r="G48" s="9">
        <v>1.1270707E-2</v>
      </c>
      <c r="H48" s="156"/>
    </row>
    <row r="49" spans="1:8" x14ac:dyDescent="0.2">
      <c r="A49" s="5">
        <v>43</v>
      </c>
      <c r="B49" s="6" t="s">
        <v>458</v>
      </c>
      <c r="C49" s="6" t="s">
        <v>459</v>
      </c>
      <c r="D49" s="6" t="s">
        <v>239</v>
      </c>
      <c r="E49" s="7">
        <v>45800</v>
      </c>
      <c r="F49" s="8">
        <v>267.08269999999999</v>
      </c>
      <c r="G49" s="9">
        <v>1.1234129000000001E-2</v>
      </c>
      <c r="H49" s="156"/>
    </row>
    <row r="50" spans="1:8" x14ac:dyDescent="0.2">
      <c r="A50" s="5">
        <v>44</v>
      </c>
      <c r="B50" s="6" t="s">
        <v>234</v>
      </c>
      <c r="C50" s="6" t="s">
        <v>235</v>
      </c>
      <c r="D50" s="6" t="s">
        <v>73</v>
      </c>
      <c r="E50" s="7">
        <v>60329</v>
      </c>
      <c r="F50" s="8">
        <v>257.27302049999997</v>
      </c>
      <c r="G50" s="9">
        <v>1.0821511000000001E-2</v>
      </c>
      <c r="H50" s="156"/>
    </row>
    <row r="51" spans="1:8" x14ac:dyDescent="0.2">
      <c r="A51" s="5">
        <v>45</v>
      </c>
      <c r="B51" s="6" t="s">
        <v>224</v>
      </c>
      <c r="C51" s="6" t="s">
        <v>225</v>
      </c>
      <c r="D51" s="6" t="s">
        <v>40</v>
      </c>
      <c r="E51" s="7">
        <v>31488</v>
      </c>
      <c r="F51" s="8">
        <v>256.67443200000002</v>
      </c>
      <c r="G51" s="9">
        <v>1.0796333E-2</v>
      </c>
      <c r="H51" s="156"/>
    </row>
    <row r="52" spans="1:8" x14ac:dyDescent="0.2">
      <c r="A52" s="5">
        <v>46</v>
      </c>
      <c r="B52" s="6" t="s">
        <v>162</v>
      </c>
      <c r="C52" s="6" t="s">
        <v>163</v>
      </c>
      <c r="D52" s="6" t="s">
        <v>169</v>
      </c>
      <c r="E52" s="7">
        <v>25144</v>
      </c>
      <c r="F52" s="8">
        <v>252.47090399999999</v>
      </c>
      <c r="G52" s="9">
        <v>1.0619521999999999E-2</v>
      </c>
      <c r="H52" s="156"/>
    </row>
    <row r="53" spans="1:8" x14ac:dyDescent="0.2">
      <c r="A53" s="5">
        <v>47</v>
      </c>
      <c r="B53" s="6" t="s">
        <v>240</v>
      </c>
      <c r="C53" s="6" t="s">
        <v>241</v>
      </c>
      <c r="D53" s="6" t="s">
        <v>191</v>
      </c>
      <c r="E53" s="7">
        <v>68046</v>
      </c>
      <c r="F53" s="8">
        <v>252.11043000000001</v>
      </c>
      <c r="G53" s="9">
        <v>1.060436E-2</v>
      </c>
      <c r="H53" s="156"/>
    </row>
    <row r="54" spans="1:8" x14ac:dyDescent="0.2">
      <c r="A54" s="5">
        <v>48</v>
      </c>
      <c r="B54" s="6" t="s">
        <v>242</v>
      </c>
      <c r="C54" s="6" t="s">
        <v>243</v>
      </c>
      <c r="D54" s="6" t="s">
        <v>196</v>
      </c>
      <c r="E54" s="7">
        <v>15127</v>
      </c>
      <c r="F54" s="8">
        <v>251.89480399999999</v>
      </c>
      <c r="G54" s="9">
        <v>1.059529E-2</v>
      </c>
      <c r="H54" s="156"/>
    </row>
    <row r="55" spans="1:8" x14ac:dyDescent="0.2">
      <c r="A55" s="5">
        <v>49</v>
      </c>
      <c r="B55" s="6" t="s">
        <v>288</v>
      </c>
      <c r="C55" s="6" t="s">
        <v>289</v>
      </c>
      <c r="D55" s="6" t="s">
        <v>28</v>
      </c>
      <c r="E55" s="7">
        <v>21807</v>
      </c>
      <c r="F55" s="8">
        <v>241.28355149999999</v>
      </c>
      <c r="G55" s="9">
        <v>1.0148956000000001E-2</v>
      </c>
      <c r="H55" s="156"/>
    </row>
    <row r="56" spans="1:8" x14ac:dyDescent="0.2">
      <c r="A56" s="5">
        <v>50</v>
      </c>
      <c r="B56" s="6" t="s">
        <v>237</v>
      </c>
      <c r="C56" s="6" t="s">
        <v>238</v>
      </c>
      <c r="D56" s="6" t="s">
        <v>239</v>
      </c>
      <c r="E56" s="7">
        <v>129053</v>
      </c>
      <c r="F56" s="8">
        <v>240.167633</v>
      </c>
      <c r="G56" s="9">
        <v>1.0102018000000001E-2</v>
      </c>
      <c r="H56" s="156"/>
    </row>
    <row r="57" spans="1:8" x14ac:dyDescent="0.2">
      <c r="A57" s="5">
        <v>51</v>
      </c>
      <c r="B57" s="6" t="s">
        <v>247</v>
      </c>
      <c r="C57" s="6" t="s">
        <v>248</v>
      </c>
      <c r="D57" s="6" t="s">
        <v>166</v>
      </c>
      <c r="E57" s="7">
        <v>44656</v>
      </c>
      <c r="F57" s="8">
        <v>233.79648800000001</v>
      </c>
      <c r="G57" s="9">
        <v>9.8340319999999995E-3</v>
      </c>
      <c r="H57" s="156"/>
    </row>
    <row r="58" spans="1:8" x14ac:dyDescent="0.2">
      <c r="A58" s="5">
        <v>52</v>
      </c>
      <c r="B58" s="6" t="s">
        <v>249</v>
      </c>
      <c r="C58" s="6" t="s">
        <v>250</v>
      </c>
      <c r="D58" s="6" t="s">
        <v>73</v>
      </c>
      <c r="E58" s="7">
        <v>63174</v>
      </c>
      <c r="F58" s="8">
        <v>228.468771</v>
      </c>
      <c r="G58" s="9">
        <v>9.6099359999999995E-3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57937</v>
      </c>
      <c r="F59" s="8">
        <v>228.27178000000001</v>
      </c>
      <c r="G59" s="9">
        <v>9.6016499999999998E-3</v>
      </c>
      <c r="H59" s="156"/>
    </row>
    <row r="60" spans="1:8" x14ac:dyDescent="0.2">
      <c r="A60" s="5">
        <v>54</v>
      </c>
      <c r="B60" s="6" t="s">
        <v>257</v>
      </c>
      <c r="C60" s="6" t="s">
        <v>258</v>
      </c>
      <c r="D60" s="6" t="s">
        <v>977</v>
      </c>
      <c r="E60" s="7">
        <v>244575</v>
      </c>
      <c r="F60" s="8">
        <v>224.64213749999999</v>
      </c>
      <c r="G60" s="9">
        <v>9.4489789999999997E-3</v>
      </c>
      <c r="H60" s="156"/>
    </row>
    <row r="61" spans="1:8" x14ac:dyDescent="0.2">
      <c r="A61" s="5">
        <v>55</v>
      </c>
      <c r="B61" s="6" t="s">
        <v>460</v>
      </c>
      <c r="C61" s="6" t="s">
        <v>461</v>
      </c>
      <c r="D61" s="6" t="s">
        <v>28</v>
      </c>
      <c r="E61" s="7">
        <v>37025</v>
      </c>
      <c r="F61" s="8">
        <v>224.46406250000001</v>
      </c>
      <c r="G61" s="9">
        <v>9.4414890000000008E-3</v>
      </c>
      <c r="H61" s="156"/>
    </row>
    <row r="62" spans="1:8" x14ac:dyDescent="0.2">
      <c r="A62" s="5">
        <v>56</v>
      </c>
      <c r="B62" s="6" t="s">
        <v>264</v>
      </c>
      <c r="C62" s="6" t="s">
        <v>265</v>
      </c>
      <c r="D62" s="6" t="s">
        <v>975</v>
      </c>
      <c r="E62" s="7">
        <v>44268</v>
      </c>
      <c r="F62" s="8">
        <v>221.16292799999999</v>
      </c>
      <c r="G62" s="9">
        <v>9.3026350000000001E-3</v>
      </c>
      <c r="H62" s="156"/>
    </row>
    <row r="63" spans="1:8" x14ac:dyDescent="0.2">
      <c r="A63" s="5">
        <v>57</v>
      </c>
      <c r="B63" s="6" t="s">
        <v>259</v>
      </c>
      <c r="C63" s="6" t="s">
        <v>260</v>
      </c>
      <c r="D63" s="6" t="s">
        <v>261</v>
      </c>
      <c r="E63" s="7">
        <v>27872</v>
      </c>
      <c r="F63" s="8">
        <v>220.98315199999999</v>
      </c>
      <c r="G63" s="9">
        <v>9.2950729999999992E-3</v>
      </c>
      <c r="H63" s="156"/>
    </row>
    <row r="64" spans="1:8" x14ac:dyDescent="0.2">
      <c r="A64" s="5">
        <v>58</v>
      </c>
      <c r="B64" s="6" t="s">
        <v>203</v>
      </c>
      <c r="C64" s="6" t="s">
        <v>204</v>
      </c>
      <c r="D64" s="6" t="s">
        <v>205</v>
      </c>
      <c r="E64" s="7">
        <v>26884</v>
      </c>
      <c r="F64" s="8">
        <v>212.30294799999999</v>
      </c>
      <c r="G64" s="9">
        <v>8.9299630000000008E-3</v>
      </c>
      <c r="H64" s="156"/>
    </row>
    <row r="65" spans="1:8" x14ac:dyDescent="0.2">
      <c r="A65" s="5">
        <v>59</v>
      </c>
      <c r="B65" s="6" t="s">
        <v>270</v>
      </c>
      <c r="C65" s="6" t="s">
        <v>271</v>
      </c>
      <c r="D65" s="6" t="s">
        <v>22</v>
      </c>
      <c r="E65" s="7">
        <v>201808</v>
      </c>
      <c r="F65" s="8">
        <v>208.87128000000001</v>
      </c>
      <c r="G65" s="9">
        <v>8.7856189999999997E-3</v>
      </c>
      <c r="H65" s="156"/>
    </row>
    <row r="66" spans="1:8" x14ac:dyDescent="0.2">
      <c r="A66" s="5">
        <v>60</v>
      </c>
      <c r="B66" s="6" t="s">
        <v>266</v>
      </c>
      <c r="C66" s="6" t="s">
        <v>267</v>
      </c>
      <c r="D66" s="6" t="s">
        <v>191</v>
      </c>
      <c r="E66" s="7">
        <v>31011</v>
      </c>
      <c r="F66" s="8">
        <v>199.05960899999999</v>
      </c>
      <c r="G66" s="9">
        <v>8.3729170000000006E-3</v>
      </c>
      <c r="H66" s="156"/>
    </row>
    <row r="67" spans="1:8" x14ac:dyDescent="0.2">
      <c r="A67" s="5">
        <v>61</v>
      </c>
      <c r="B67" s="6" t="s">
        <v>462</v>
      </c>
      <c r="C67" s="6" t="s">
        <v>463</v>
      </c>
      <c r="D67" s="6" t="s">
        <v>166</v>
      </c>
      <c r="E67" s="7">
        <v>25528</v>
      </c>
      <c r="F67" s="8">
        <v>191.46</v>
      </c>
      <c r="G67" s="9">
        <v>8.0532599999999996E-3</v>
      </c>
      <c r="H67" s="156"/>
    </row>
    <row r="68" spans="1:8" x14ac:dyDescent="0.2">
      <c r="A68" s="5">
        <v>62</v>
      </c>
      <c r="B68" s="6" t="s">
        <v>272</v>
      </c>
      <c r="C68" s="6" t="s">
        <v>273</v>
      </c>
      <c r="D68" s="6" t="s">
        <v>274</v>
      </c>
      <c r="E68" s="7">
        <v>75410</v>
      </c>
      <c r="F68" s="8">
        <v>190.33484000000001</v>
      </c>
      <c r="G68" s="9">
        <v>8.0059329999999998E-3</v>
      </c>
      <c r="H68" s="156"/>
    </row>
    <row r="69" spans="1:8" x14ac:dyDescent="0.2">
      <c r="A69" s="5">
        <v>63</v>
      </c>
      <c r="B69" s="6" t="s">
        <v>464</v>
      </c>
      <c r="C69" s="6" t="s">
        <v>465</v>
      </c>
      <c r="D69" s="6" t="s">
        <v>974</v>
      </c>
      <c r="E69" s="7">
        <v>249507</v>
      </c>
      <c r="F69" s="8">
        <v>186.13222200000001</v>
      </c>
      <c r="G69" s="9">
        <v>7.8291609999999994E-3</v>
      </c>
      <c r="H69" s="156"/>
    </row>
    <row r="70" spans="1:8" ht="25.5" x14ac:dyDescent="0.2">
      <c r="A70" s="5">
        <v>64</v>
      </c>
      <c r="B70" s="6" t="s">
        <v>251</v>
      </c>
      <c r="C70" s="6" t="s">
        <v>252</v>
      </c>
      <c r="D70" s="6" t="s">
        <v>155</v>
      </c>
      <c r="E70" s="7">
        <v>43941</v>
      </c>
      <c r="F70" s="8">
        <v>165.745452</v>
      </c>
      <c r="G70" s="9">
        <v>6.9716450000000003E-3</v>
      </c>
      <c r="H70" s="156"/>
    </row>
    <row r="71" spans="1:8" x14ac:dyDescent="0.2">
      <c r="A71" s="5">
        <v>65</v>
      </c>
      <c r="B71" s="6" t="s">
        <v>294</v>
      </c>
      <c r="C71" s="6" t="s">
        <v>295</v>
      </c>
      <c r="D71" s="6" t="s">
        <v>975</v>
      </c>
      <c r="E71" s="7">
        <v>379760</v>
      </c>
      <c r="F71" s="8">
        <v>144.49868000000001</v>
      </c>
      <c r="G71" s="9">
        <v>6.0779559999999998E-3</v>
      </c>
      <c r="H71" s="156"/>
    </row>
    <row r="72" spans="1:8" x14ac:dyDescent="0.2">
      <c r="A72" s="5">
        <v>66</v>
      </c>
      <c r="B72" s="6" t="s">
        <v>281</v>
      </c>
      <c r="C72" s="6" t="s">
        <v>282</v>
      </c>
      <c r="D72" s="6" t="s">
        <v>155</v>
      </c>
      <c r="E72" s="7">
        <v>9154</v>
      </c>
      <c r="F72" s="8">
        <v>143.296716</v>
      </c>
      <c r="G72" s="9">
        <v>6.0273979999999998E-3</v>
      </c>
      <c r="H72" s="156"/>
    </row>
    <row r="73" spans="1:8" x14ac:dyDescent="0.2">
      <c r="A73" s="5">
        <v>67</v>
      </c>
      <c r="B73" s="6" t="s">
        <v>220</v>
      </c>
      <c r="C73" s="6" t="s">
        <v>221</v>
      </c>
      <c r="D73" s="6" t="s">
        <v>191</v>
      </c>
      <c r="E73" s="7">
        <v>32954</v>
      </c>
      <c r="F73" s="8">
        <v>142.22946400000001</v>
      </c>
      <c r="G73" s="9">
        <v>5.9825069999999998E-3</v>
      </c>
      <c r="H73" s="156"/>
    </row>
    <row r="74" spans="1:8" x14ac:dyDescent="0.2">
      <c r="A74" s="5">
        <v>68</v>
      </c>
      <c r="B74" s="6" t="s">
        <v>255</v>
      </c>
      <c r="C74" s="6" t="s">
        <v>256</v>
      </c>
      <c r="D74" s="6" t="s">
        <v>63</v>
      </c>
      <c r="E74" s="7">
        <v>21557</v>
      </c>
      <c r="F74" s="8">
        <v>141.92050950000001</v>
      </c>
      <c r="G74" s="9">
        <v>5.9695119999999997E-3</v>
      </c>
      <c r="H74" s="156"/>
    </row>
    <row r="75" spans="1:8" x14ac:dyDescent="0.2">
      <c r="A75" s="5">
        <v>69</v>
      </c>
      <c r="B75" s="6" t="s">
        <v>279</v>
      </c>
      <c r="C75" s="6" t="s">
        <v>280</v>
      </c>
      <c r="D75" s="6" t="s">
        <v>974</v>
      </c>
      <c r="E75" s="7">
        <v>9296</v>
      </c>
      <c r="F75" s="8">
        <v>141.443288</v>
      </c>
      <c r="G75" s="9">
        <v>5.9494389999999999E-3</v>
      </c>
      <c r="H75" s="156"/>
    </row>
    <row r="76" spans="1:8" x14ac:dyDescent="0.2">
      <c r="A76" s="5">
        <v>70</v>
      </c>
      <c r="B76" s="6" t="s">
        <v>244</v>
      </c>
      <c r="C76" s="6" t="s">
        <v>245</v>
      </c>
      <c r="D76" s="6" t="s">
        <v>246</v>
      </c>
      <c r="E76" s="7">
        <v>29874</v>
      </c>
      <c r="F76" s="8">
        <v>128.45820000000001</v>
      </c>
      <c r="G76" s="9">
        <v>5.403255E-3</v>
      </c>
      <c r="H76" s="156"/>
    </row>
    <row r="77" spans="1:8" x14ac:dyDescent="0.2">
      <c r="A77" s="5">
        <v>71</v>
      </c>
      <c r="B77" s="6" t="s">
        <v>283</v>
      </c>
      <c r="C77" s="6" t="s">
        <v>284</v>
      </c>
      <c r="D77" s="6" t="s">
        <v>169</v>
      </c>
      <c r="E77" s="7">
        <v>20451</v>
      </c>
      <c r="F77" s="8">
        <v>124.43410950000001</v>
      </c>
      <c r="G77" s="9">
        <v>5.2339930000000002E-3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0">
        <v>22963.2426595</v>
      </c>
      <c r="G78" s="11">
        <v>0.96588821499999999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106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107</v>
      </c>
      <c r="D83" s="3" t="s">
        <v>9</v>
      </c>
      <c r="E83" s="3" t="s">
        <v>9</v>
      </c>
      <c r="F83" s="3" t="s">
        <v>9</v>
      </c>
      <c r="G83" s="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111</v>
      </c>
      <c r="D86" s="3" t="s">
        <v>9</v>
      </c>
      <c r="E86" s="3" t="s">
        <v>9</v>
      </c>
      <c r="F86" s="3" t="s">
        <v>9</v>
      </c>
      <c r="G86" s="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112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113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114</v>
      </c>
      <c r="D95" s="3" t="s">
        <v>9</v>
      </c>
      <c r="E95" s="3" t="s">
        <v>9</v>
      </c>
      <c r="F95" s="10">
        <v>22963.2426595</v>
      </c>
      <c r="G95" s="11">
        <v>0.96588821499999999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115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116</v>
      </c>
      <c r="D101" s="3" t="s">
        <v>9</v>
      </c>
      <c r="E101" s="3" t="s">
        <v>9</v>
      </c>
      <c r="F101" s="3" t="s">
        <v>9</v>
      </c>
      <c r="G101" s="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4">
        <v>0</v>
      </c>
      <c r="G102" s="15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117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118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119</v>
      </c>
      <c r="D110" s="3" t="s">
        <v>9</v>
      </c>
      <c r="E110" s="3" t="s">
        <v>9</v>
      </c>
      <c r="F110" s="10">
        <v>0</v>
      </c>
      <c r="G110" s="11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120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121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4">
        <v>0</v>
      </c>
      <c r="G114" s="15">
        <v>0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122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105</v>
      </c>
      <c r="D117" s="3" t="s">
        <v>9</v>
      </c>
      <c r="E117" s="3" t="s">
        <v>9</v>
      </c>
      <c r="F117" s="14">
        <v>0</v>
      </c>
      <c r="G117" s="15">
        <v>0</v>
      </c>
      <c r="H117" s="156"/>
    </row>
    <row r="118" spans="1:8" x14ac:dyDescent="0.2">
      <c r="A118" s="3" t="s">
        <v>9</v>
      </c>
      <c r="B118" s="3" t="s">
        <v>9</v>
      </c>
      <c r="C118" s="12" t="s">
        <v>9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123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105</v>
      </c>
      <c r="D120" s="3" t="s">
        <v>9</v>
      </c>
      <c r="E120" s="3" t="s">
        <v>9</v>
      </c>
      <c r="F120" s="14">
        <v>0</v>
      </c>
      <c r="G120" s="15">
        <v>0</v>
      </c>
      <c r="H120" s="156"/>
    </row>
    <row r="121" spans="1:8" x14ac:dyDescent="0.2">
      <c r="A121" s="3" t="s">
        <v>9</v>
      </c>
      <c r="B121" s="3" t="s">
        <v>9</v>
      </c>
      <c r="C121" s="12" t="s">
        <v>9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124</v>
      </c>
      <c r="D122" s="3" t="s">
        <v>9</v>
      </c>
      <c r="E122" s="3" t="s">
        <v>9</v>
      </c>
      <c r="F122" s="13" t="s">
        <v>9</v>
      </c>
      <c r="G122" s="13" t="s">
        <v>9</v>
      </c>
      <c r="H122" s="156"/>
    </row>
    <row r="123" spans="1:8" x14ac:dyDescent="0.2">
      <c r="A123" s="5">
        <v>1</v>
      </c>
      <c r="B123" s="6"/>
      <c r="C123" s="6" t="s">
        <v>125</v>
      </c>
      <c r="D123" s="6"/>
      <c r="E123" s="16" t="s">
        <v>9</v>
      </c>
      <c r="F123" s="8">
        <v>494.1665519</v>
      </c>
      <c r="G123" s="9">
        <v>2.0785812000000001E-2</v>
      </c>
      <c r="H123" s="8">
        <v>3.3326163573085874</v>
      </c>
    </row>
    <row r="124" spans="1:8" x14ac:dyDescent="0.2">
      <c r="A124" s="5">
        <v>2</v>
      </c>
      <c r="B124" s="6"/>
      <c r="C124" s="6" t="s">
        <v>126</v>
      </c>
      <c r="D124" s="6"/>
      <c r="E124" s="16" t="s">
        <v>9</v>
      </c>
      <c r="F124" s="8">
        <v>352.9579291</v>
      </c>
      <c r="G124" s="9">
        <v>1.4846244E-2</v>
      </c>
      <c r="H124" s="8">
        <v>3.2337849550915885</v>
      </c>
    </row>
    <row r="125" spans="1:8" x14ac:dyDescent="0.2">
      <c r="A125" s="3" t="s">
        <v>9</v>
      </c>
      <c r="B125" s="3" t="s">
        <v>9</v>
      </c>
      <c r="C125" s="4" t="s">
        <v>105</v>
      </c>
      <c r="D125" s="3" t="s">
        <v>9</v>
      </c>
      <c r="E125" s="3" t="s">
        <v>9</v>
      </c>
      <c r="F125" s="10">
        <v>847.12448099999995</v>
      </c>
      <c r="G125" s="11">
        <v>3.5632056000000002E-2</v>
      </c>
      <c r="H125" s="156"/>
    </row>
    <row r="126" spans="1:8" x14ac:dyDescent="0.2">
      <c r="A126" s="3" t="s">
        <v>9</v>
      </c>
      <c r="B126" s="3" t="s">
        <v>9</v>
      </c>
      <c r="C126" s="12" t="s">
        <v>9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127</v>
      </c>
      <c r="D127" s="3" t="s">
        <v>9</v>
      </c>
      <c r="E127" s="3" t="s">
        <v>9</v>
      </c>
      <c r="F127" s="10">
        <v>847.12448099999995</v>
      </c>
      <c r="G127" s="11">
        <v>3.5632056000000002E-2</v>
      </c>
      <c r="H127" s="156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128</v>
      </c>
      <c r="D129" s="3" t="s">
        <v>9</v>
      </c>
      <c r="E129" s="3" t="s">
        <v>9</v>
      </c>
      <c r="F129" s="3" t="s">
        <v>9</v>
      </c>
      <c r="G129" s="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129</v>
      </c>
      <c r="D130" s="3" t="s">
        <v>9</v>
      </c>
      <c r="E130" s="3" t="s">
        <v>9</v>
      </c>
      <c r="F130" s="3" t="s">
        <v>9</v>
      </c>
      <c r="G130" s="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105</v>
      </c>
      <c r="D131" s="3" t="s">
        <v>9</v>
      </c>
      <c r="E131" s="3" t="s">
        <v>9</v>
      </c>
      <c r="F131" s="14">
        <v>0</v>
      </c>
      <c r="G131" s="15">
        <v>0</v>
      </c>
      <c r="H131" s="156"/>
    </row>
    <row r="132" spans="1:8" x14ac:dyDescent="0.2">
      <c r="A132" s="3" t="s">
        <v>9</v>
      </c>
      <c r="B132" s="3" t="s">
        <v>9</v>
      </c>
      <c r="C132" s="12" t="s">
        <v>9</v>
      </c>
      <c r="D132" s="3" t="s">
        <v>9</v>
      </c>
      <c r="E132" s="3" t="s">
        <v>9</v>
      </c>
      <c r="F132" s="13" t="s">
        <v>9</v>
      </c>
      <c r="G132" s="1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130</v>
      </c>
      <c r="D133" s="3" t="s">
        <v>9</v>
      </c>
      <c r="E133" s="3" t="s">
        <v>9</v>
      </c>
      <c r="F133" s="3" t="s">
        <v>9</v>
      </c>
      <c r="G133" s="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131</v>
      </c>
      <c r="D134" s="3" t="s">
        <v>9</v>
      </c>
      <c r="E134" s="3" t="s">
        <v>9</v>
      </c>
      <c r="F134" s="3" t="s">
        <v>9</v>
      </c>
      <c r="G134" s="3" t="s">
        <v>9</v>
      </c>
      <c r="H134" s="156"/>
    </row>
    <row r="135" spans="1:8" x14ac:dyDescent="0.2">
      <c r="A135" s="3" t="s">
        <v>9</v>
      </c>
      <c r="B135" s="3" t="s">
        <v>9</v>
      </c>
      <c r="C135" s="4" t="s">
        <v>105</v>
      </c>
      <c r="D135" s="3" t="s">
        <v>9</v>
      </c>
      <c r="E135" s="3" t="s">
        <v>9</v>
      </c>
      <c r="F135" s="14">
        <v>0</v>
      </c>
      <c r="G135" s="15">
        <v>0</v>
      </c>
      <c r="H135" s="156"/>
    </row>
    <row r="136" spans="1:8" x14ac:dyDescent="0.2">
      <c r="A136" s="3" t="s">
        <v>9</v>
      </c>
      <c r="B136" s="3" t="s">
        <v>9</v>
      </c>
      <c r="C136" s="12" t="s">
        <v>9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12" t="s">
        <v>9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4" t="s">
        <v>132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3" t="s">
        <v>9</v>
      </c>
      <c r="C139" s="4" t="s">
        <v>105</v>
      </c>
      <c r="D139" s="3" t="s">
        <v>9</v>
      </c>
      <c r="E139" s="3" t="s">
        <v>9</v>
      </c>
      <c r="F139" s="14">
        <v>0</v>
      </c>
      <c r="G139" s="15">
        <v>0</v>
      </c>
      <c r="H139" s="156"/>
    </row>
    <row r="140" spans="1:8" x14ac:dyDescent="0.2">
      <c r="A140" s="3" t="s">
        <v>9</v>
      </c>
      <c r="B140" s="3" t="s">
        <v>9</v>
      </c>
      <c r="C140" s="12" t="s">
        <v>9</v>
      </c>
      <c r="D140" s="3" t="s">
        <v>9</v>
      </c>
      <c r="E140" s="3" t="s">
        <v>9</v>
      </c>
      <c r="F140" s="13" t="s">
        <v>9</v>
      </c>
      <c r="G140" s="13" t="s">
        <v>9</v>
      </c>
      <c r="H140" s="156"/>
    </row>
    <row r="141" spans="1:8" x14ac:dyDescent="0.2">
      <c r="A141" s="3" t="s">
        <v>9</v>
      </c>
      <c r="B141" s="6" t="s">
        <v>9</v>
      </c>
      <c r="C141" s="6" t="s">
        <v>9</v>
      </c>
      <c r="D141" s="4" t="s">
        <v>9</v>
      </c>
      <c r="E141" s="3" t="s">
        <v>9</v>
      </c>
      <c r="F141" s="6" t="s">
        <v>9</v>
      </c>
      <c r="G141" s="16" t="s">
        <v>9</v>
      </c>
      <c r="H141" s="156"/>
    </row>
    <row r="142" spans="1:8" x14ac:dyDescent="0.2">
      <c r="A142" s="16" t="s">
        <v>9</v>
      </c>
      <c r="B142" s="6" t="s">
        <v>9</v>
      </c>
      <c r="C142" s="6" t="s">
        <v>133</v>
      </c>
      <c r="D142" s="6" t="s">
        <v>9</v>
      </c>
      <c r="E142" s="16" t="s">
        <v>9</v>
      </c>
      <c r="F142" s="8">
        <v>-36.143278899999999</v>
      </c>
      <c r="G142" s="9">
        <v>-1.520272E-3</v>
      </c>
      <c r="H142" s="156"/>
    </row>
    <row r="143" spans="1:8" x14ac:dyDescent="0.2">
      <c r="A143" s="12" t="s">
        <v>9</v>
      </c>
      <c r="B143" s="12" t="s">
        <v>9</v>
      </c>
      <c r="C143" s="4" t="s">
        <v>134</v>
      </c>
      <c r="D143" s="17" t="s">
        <v>9</v>
      </c>
      <c r="E143" s="17" t="s">
        <v>9</v>
      </c>
      <c r="F143" s="10">
        <v>23774.2238616</v>
      </c>
      <c r="G143" s="11">
        <v>0.99999999900000003</v>
      </c>
      <c r="H143" s="156"/>
    </row>
    <row r="144" spans="1:8" ht="14.1" customHeight="1" x14ac:dyDescent="0.2">
      <c r="A144" s="18" t="s">
        <v>9</v>
      </c>
      <c r="B144" s="18" t="s">
        <v>9</v>
      </c>
      <c r="C144" s="18" t="s">
        <v>9</v>
      </c>
      <c r="D144" s="19" t="s">
        <v>9</v>
      </c>
      <c r="E144" s="19" t="s">
        <v>9</v>
      </c>
      <c r="F144" s="19" t="s">
        <v>9</v>
      </c>
      <c r="G144" s="19" t="s">
        <v>9</v>
      </c>
    </row>
    <row r="145" spans="1:7" ht="14.1" customHeight="1" x14ac:dyDescent="0.2">
      <c r="A145" s="20" t="s">
        <v>9</v>
      </c>
      <c r="B145" s="200" t="s">
        <v>9</v>
      </c>
      <c r="C145" s="200"/>
      <c r="D145" s="200"/>
      <c r="E145" s="200"/>
      <c r="F145" s="200"/>
      <c r="G145" s="22" t="s">
        <v>9</v>
      </c>
    </row>
    <row r="146" spans="1:7" ht="14.1" customHeight="1" x14ac:dyDescent="0.2">
      <c r="A146" s="20" t="s">
        <v>9</v>
      </c>
      <c r="B146" s="200" t="s">
        <v>9</v>
      </c>
      <c r="C146" s="200"/>
      <c r="D146" s="200"/>
      <c r="E146" s="200"/>
      <c r="F146" s="200"/>
      <c r="G146" s="22" t="s">
        <v>9</v>
      </c>
    </row>
    <row r="147" spans="1:7" ht="14.1" customHeight="1" x14ac:dyDescent="0.2">
      <c r="A147" s="20" t="s">
        <v>9</v>
      </c>
      <c r="B147" s="20" t="s">
        <v>9</v>
      </c>
      <c r="C147" s="20" t="s">
        <v>9</v>
      </c>
      <c r="D147" s="22" t="s">
        <v>9</v>
      </c>
      <c r="E147" s="22" t="s">
        <v>9</v>
      </c>
      <c r="F147" s="22" t="s">
        <v>9</v>
      </c>
      <c r="G147" s="22" t="s">
        <v>9</v>
      </c>
    </row>
    <row r="148" spans="1:7" ht="14.1" customHeight="1" x14ac:dyDescent="0.2">
      <c r="A148" s="20" t="s">
        <v>9</v>
      </c>
      <c r="B148" s="198" t="s">
        <v>136</v>
      </c>
      <c r="C148" s="199"/>
      <c r="D148" s="13" t="s">
        <v>9</v>
      </c>
      <c r="E148" s="23" t="s">
        <v>9</v>
      </c>
      <c r="F148" s="22" t="s">
        <v>9</v>
      </c>
      <c r="G148" s="22" t="s">
        <v>9</v>
      </c>
    </row>
    <row r="149" spans="1:7" ht="29.1" customHeight="1" x14ac:dyDescent="0.2">
      <c r="A149" s="20" t="s">
        <v>9</v>
      </c>
      <c r="B149" s="205" t="s">
        <v>137</v>
      </c>
      <c r="C149" s="206"/>
      <c r="D149" s="4" t="s">
        <v>138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05" t="s">
        <v>139</v>
      </c>
      <c r="C150" s="206"/>
      <c r="D150" s="4" t="s">
        <v>138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05" t="s">
        <v>140</v>
      </c>
      <c r="C151" s="206"/>
      <c r="D151" s="13" t="s">
        <v>9</v>
      </c>
      <c r="E151" s="23" t="s">
        <v>9</v>
      </c>
      <c r="F151" s="22" t="s">
        <v>9</v>
      </c>
      <c r="G151" s="22" t="s">
        <v>9</v>
      </c>
    </row>
    <row r="152" spans="1:7" ht="24" customHeight="1" x14ac:dyDescent="0.2">
      <c r="A152" s="24" t="s">
        <v>9</v>
      </c>
      <c r="B152" s="25" t="s">
        <v>9</v>
      </c>
      <c r="C152" s="25" t="s">
        <v>141</v>
      </c>
      <c r="D152" s="25" t="s">
        <v>142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5" t="s">
        <v>143</v>
      </c>
      <c r="C153" s="25" t="s">
        <v>144</v>
      </c>
      <c r="D153" s="25" t="s">
        <v>145</v>
      </c>
      <c r="E153" s="24" t="s">
        <v>9</v>
      </c>
      <c r="F153" s="24" t="s">
        <v>9</v>
      </c>
      <c r="G153" s="24" t="s">
        <v>9</v>
      </c>
    </row>
    <row r="154" spans="1:7" ht="17.100000000000001" customHeight="1" x14ac:dyDescent="0.2">
      <c r="A154" s="24" t="s">
        <v>9</v>
      </c>
      <c r="B154" s="6" t="s">
        <v>146</v>
      </c>
      <c r="C154" s="26">
        <v>12.267200000000001</v>
      </c>
      <c r="D154" s="26">
        <v>13.126200000000001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839</v>
      </c>
      <c r="C155" s="26">
        <v>12.267200000000001</v>
      </c>
      <c r="D155" s="26">
        <v>13.126200000000001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147</v>
      </c>
      <c r="C156" s="26">
        <v>11.9777</v>
      </c>
      <c r="D156" s="26">
        <v>12.8117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840</v>
      </c>
      <c r="C157" s="26">
        <v>11.9777</v>
      </c>
      <c r="D157" s="26">
        <v>12.8117</v>
      </c>
      <c r="E157" s="24" t="s">
        <v>9</v>
      </c>
      <c r="F157" s="21" t="s">
        <v>9</v>
      </c>
      <c r="G157" s="27" t="s">
        <v>9</v>
      </c>
    </row>
    <row r="158" spans="1:7" ht="14.1" customHeight="1" x14ac:dyDescent="0.2">
      <c r="A158" s="24" t="s">
        <v>9</v>
      </c>
      <c r="B158" s="24" t="s">
        <v>9</v>
      </c>
      <c r="C158" s="24" t="s">
        <v>9</v>
      </c>
      <c r="D158" s="24" t="s">
        <v>9</v>
      </c>
      <c r="E158" s="24" t="s">
        <v>9</v>
      </c>
      <c r="F158" s="24" t="s">
        <v>9</v>
      </c>
      <c r="G158" s="24" t="s">
        <v>9</v>
      </c>
    </row>
    <row r="159" spans="1:7" ht="17.100000000000001" customHeight="1" x14ac:dyDescent="0.2">
      <c r="A159" s="24" t="s">
        <v>9</v>
      </c>
      <c r="B159" s="205" t="s">
        <v>1013</v>
      </c>
      <c r="C159" s="206"/>
      <c r="D159" s="4" t="s">
        <v>138</v>
      </c>
      <c r="E159" s="24" t="s">
        <v>9</v>
      </c>
      <c r="F159" s="24" t="s">
        <v>9</v>
      </c>
      <c r="G159" s="24" t="s">
        <v>9</v>
      </c>
    </row>
    <row r="160" spans="1:7" ht="18" customHeight="1" x14ac:dyDescent="0.2">
      <c r="A160" s="24" t="s">
        <v>9</v>
      </c>
      <c r="B160" s="30"/>
      <c r="C160" s="30"/>
      <c r="D160" s="28" t="s">
        <v>9</v>
      </c>
      <c r="E160" s="24" t="s">
        <v>9</v>
      </c>
      <c r="F160" s="24" t="s">
        <v>9</v>
      </c>
      <c r="G160" s="24" t="s">
        <v>9</v>
      </c>
    </row>
    <row r="161" spans="1:7" s="197" customFormat="1" x14ac:dyDescent="0.2">
      <c r="B161" s="208" t="s">
        <v>841</v>
      </c>
      <c r="C161" s="208"/>
      <c r="D161" s="208"/>
      <c r="E161" s="208"/>
      <c r="F161" s="208"/>
    </row>
    <row r="162" spans="1:7" ht="14.1" customHeight="1" x14ac:dyDescent="0.2">
      <c r="A162" s="24" t="s">
        <v>9</v>
      </c>
      <c r="B162" s="21" t="s">
        <v>9</v>
      </c>
      <c r="C162" s="21" t="s">
        <v>9</v>
      </c>
      <c r="D162" s="24" t="s">
        <v>9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05" t="s">
        <v>148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05" t="s">
        <v>149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  <row r="165" spans="1:7" ht="17.100000000000001" customHeight="1" x14ac:dyDescent="0.2">
      <c r="A165" s="24" t="s">
        <v>9</v>
      </c>
      <c r="B165" s="205" t="s">
        <v>150</v>
      </c>
      <c r="C165" s="206"/>
      <c r="D165" s="29">
        <v>0.45639709542094464</v>
      </c>
      <c r="E165" s="24" t="s">
        <v>9</v>
      </c>
      <c r="F165" s="21" t="s">
        <v>9</v>
      </c>
      <c r="G165" s="27" t="s">
        <v>9</v>
      </c>
    </row>
    <row r="166" spans="1:7" ht="17.100000000000001" customHeight="1" x14ac:dyDescent="0.2">
      <c r="A166" s="24" t="s">
        <v>9</v>
      </c>
      <c r="B166" s="205" t="s">
        <v>151</v>
      </c>
      <c r="C166" s="206"/>
      <c r="D166" s="4" t="s">
        <v>138</v>
      </c>
      <c r="E166" s="24" t="s">
        <v>9</v>
      </c>
      <c r="F166" s="24" t="s">
        <v>9</v>
      </c>
      <c r="G166" s="24" t="s">
        <v>9</v>
      </c>
    </row>
  </sheetData>
  <mergeCells count="15"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67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466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25278</v>
      </c>
      <c r="F7" s="8">
        <v>947.73541499999999</v>
      </c>
      <c r="G7" s="9">
        <v>3.6732323999999997E-2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74035</v>
      </c>
      <c r="F8" s="8">
        <v>919.47768250000001</v>
      </c>
      <c r="G8" s="9">
        <v>3.5637110999999999E-2</v>
      </c>
      <c r="H8" s="156"/>
    </row>
    <row r="9" spans="1:8" x14ac:dyDescent="0.2">
      <c r="A9" s="5">
        <v>3</v>
      </c>
      <c r="B9" s="6" t="s">
        <v>292</v>
      </c>
      <c r="C9" s="6" t="s">
        <v>293</v>
      </c>
      <c r="D9" s="6" t="s">
        <v>28</v>
      </c>
      <c r="E9" s="7">
        <v>98456</v>
      </c>
      <c r="F9" s="8">
        <v>664.13494800000001</v>
      </c>
      <c r="G9" s="9">
        <v>2.5740538E-2</v>
      </c>
      <c r="H9" s="156"/>
    </row>
    <row r="10" spans="1:8" x14ac:dyDescent="0.2">
      <c r="A10" s="5">
        <v>4</v>
      </c>
      <c r="B10" s="6" t="s">
        <v>160</v>
      </c>
      <c r="C10" s="6" t="s">
        <v>161</v>
      </c>
      <c r="D10" s="6" t="s">
        <v>28</v>
      </c>
      <c r="E10" s="7">
        <v>90886</v>
      </c>
      <c r="F10" s="8">
        <v>613.48050000000001</v>
      </c>
      <c r="G10" s="9">
        <v>2.3777274000000001E-2</v>
      </c>
      <c r="H10" s="156"/>
    </row>
    <row r="11" spans="1:8" x14ac:dyDescent="0.2">
      <c r="A11" s="5">
        <v>5</v>
      </c>
      <c r="B11" s="6" t="s">
        <v>31</v>
      </c>
      <c r="C11" s="6" t="s">
        <v>32</v>
      </c>
      <c r="D11" s="6" t="s">
        <v>972</v>
      </c>
      <c r="E11" s="7">
        <v>20510</v>
      </c>
      <c r="F11" s="8">
        <v>584.84265000000005</v>
      </c>
      <c r="G11" s="9">
        <v>2.2667328E-2</v>
      </c>
      <c r="H11" s="156"/>
    </row>
    <row r="12" spans="1:8" x14ac:dyDescent="0.2">
      <c r="A12" s="5">
        <v>6</v>
      </c>
      <c r="B12" s="6" t="s">
        <v>158</v>
      </c>
      <c r="C12" s="6" t="s">
        <v>159</v>
      </c>
      <c r="D12" s="6" t="s">
        <v>28</v>
      </c>
      <c r="E12" s="7">
        <v>84041</v>
      </c>
      <c r="F12" s="8">
        <v>582.78231449999998</v>
      </c>
      <c r="G12" s="9">
        <v>2.2587474E-2</v>
      </c>
      <c r="H12" s="156"/>
    </row>
    <row r="13" spans="1:8" x14ac:dyDescent="0.2">
      <c r="A13" s="5">
        <v>7</v>
      </c>
      <c r="B13" s="6" t="s">
        <v>164</v>
      </c>
      <c r="C13" s="6" t="s">
        <v>165</v>
      </c>
      <c r="D13" s="6" t="s">
        <v>166</v>
      </c>
      <c r="E13" s="7">
        <v>611133</v>
      </c>
      <c r="F13" s="8">
        <v>574.46501999999998</v>
      </c>
      <c r="G13" s="9">
        <v>2.2265112E-2</v>
      </c>
      <c r="H13" s="156"/>
    </row>
    <row r="14" spans="1:8" x14ac:dyDescent="0.2">
      <c r="A14" s="5">
        <v>8</v>
      </c>
      <c r="B14" s="6" t="s">
        <v>48</v>
      </c>
      <c r="C14" s="6" t="s">
        <v>49</v>
      </c>
      <c r="D14" s="6" t="s">
        <v>28</v>
      </c>
      <c r="E14" s="7">
        <v>55216</v>
      </c>
      <c r="F14" s="8">
        <v>558.64787999999999</v>
      </c>
      <c r="G14" s="9">
        <v>2.1652070999999998E-2</v>
      </c>
      <c r="H14" s="156"/>
    </row>
    <row r="15" spans="1:8" x14ac:dyDescent="0.2">
      <c r="A15" s="5">
        <v>9</v>
      </c>
      <c r="B15" s="6" t="s">
        <v>448</v>
      </c>
      <c r="C15" s="6" t="s">
        <v>449</v>
      </c>
      <c r="D15" s="6" t="s">
        <v>63</v>
      </c>
      <c r="E15" s="7">
        <v>175415</v>
      </c>
      <c r="F15" s="8">
        <v>550.01373249999995</v>
      </c>
      <c r="G15" s="9">
        <v>2.1317428999999999E-2</v>
      </c>
      <c r="H15" s="156"/>
    </row>
    <row r="16" spans="1:8" x14ac:dyDescent="0.2">
      <c r="A16" s="5">
        <v>10</v>
      </c>
      <c r="B16" s="6" t="s">
        <v>167</v>
      </c>
      <c r="C16" s="6" t="s">
        <v>168</v>
      </c>
      <c r="D16" s="6" t="s">
        <v>169</v>
      </c>
      <c r="E16" s="7">
        <v>209761</v>
      </c>
      <c r="F16" s="8">
        <v>544.74931700000002</v>
      </c>
      <c r="G16" s="9">
        <v>2.1113390999999999E-2</v>
      </c>
      <c r="H16" s="156"/>
    </row>
    <row r="17" spans="1:8" x14ac:dyDescent="0.2">
      <c r="A17" s="5">
        <v>11</v>
      </c>
      <c r="B17" s="6" t="s">
        <v>173</v>
      </c>
      <c r="C17" s="6" t="s">
        <v>174</v>
      </c>
      <c r="D17" s="6" t="s">
        <v>63</v>
      </c>
      <c r="E17" s="7">
        <v>126176</v>
      </c>
      <c r="F17" s="8">
        <v>510.44500799999997</v>
      </c>
      <c r="G17" s="9">
        <v>1.9783825000000001E-2</v>
      </c>
      <c r="H17" s="156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172</v>
      </c>
      <c r="E18" s="7">
        <v>38624</v>
      </c>
      <c r="F18" s="8">
        <v>507.017248</v>
      </c>
      <c r="G18" s="9">
        <v>1.9650971999999999E-2</v>
      </c>
      <c r="H18" s="156"/>
    </row>
    <row r="19" spans="1:8" x14ac:dyDescent="0.2">
      <c r="A19" s="5">
        <v>13</v>
      </c>
      <c r="B19" s="6" t="s">
        <v>179</v>
      </c>
      <c r="C19" s="6" t="s">
        <v>180</v>
      </c>
      <c r="D19" s="6" t="s">
        <v>169</v>
      </c>
      <c r="E19" s="7">
        <v>15854</v>
      </c>
      <c r="F19" s="8">
        <v>465.92527899999999</v>
      </c>
      <c r="G19" s="9">
        <v>1.8058329000000001E-2</v>
      </c>
      <c r="H19" s="156"/>
    </row>
    <row r="20" spans="1:8" x14ac:dyDescent="0.2">
      <c r="A20" s="5">
        <v>14</v>
      </c>
      <c r="B20" s="6" t="s">
        <v>181</v>
      </c>
      <c r="C20" s="6" t="s">
        <v>182</v>
      </c>
      <c r="D20" s="6" t="s">
        <v>972</v>
      </c>
      <c r="E20" s="7">
        <v>174815</v>
      </c>
      <c r="F20" s="8">
        <v>441.6700975</v>
      </c>
      <c r="G20" s="9">
        <v>1.7118247E-2</v>
      </c>
      <c r="H20" s="156"/>
    </row>
    <row r="21" spans="1:8" x14ac:dyDescent="0.2">
      <c r="A21" s="5">
        <v>15</v>
      </c>
      <c r="B21" s="6" t="s">
        <v>185</v>
      </c>
      <c r="C21" s="6" t="s">
        <v>186</v>
      </c>
      <c r="D21" s="6" t="s">
        <v>172</v>
      </c>
      <c r="E21" s="7">
        <v>194334</v>
      </c>
      <c r="F21" s="8">
        <v>435.30815999999999</v>
      </c>
      <c r="G21" s="9">
        <v>1.6871671000000001E-2</v>
      </c>
      <c r="H21" s="156"/>
    </row>
    <row r="22" spans="1:8" x14ac:dyDescent="0.2">
      <c r="A22" s="5">
        <v>16</v>
      </c>
      <c r="B22" s="6" t="s">
        <v>329</v>
      </c>
      <c r="C22" s="6" t="s">
        <v>330</v>
      </c>
      <c r="D22" s="6" t="s">
        <v>191</v>
      </c>
      <c r="E22" s="7">
        <v>12356</v>
      </c>
      <c r="F22" s="8">
        <v>425.50357200000002</v>
      </c>
      <c r="G22" s="9">
        <v>1.6491664999999999E-2</v>
      </c>
      <c r="H22" s="156"/>
    </row>
    <row r="23" spans="1:8" x14ac:dyDescent="0.2">
      <c r="A23" s="5">
        <v>17</v>
      </c>
      <c r="B23" s="6" t="s">
        <v>187</v>
      </c>
      <c r="C23" s="6" t="s">
        <v>188</v>
      </c>
      <c r="D23" s="6" t="s">
        <v>973</v>
      </c>
      <c r="E23" s="7">
        <v>131301</v>
      </c>
      <c r="F23" s="8">
        <v>405.326187</v>
      </c>
      <c r="G23" s="9">
        <v>1.5709629999999999E-2</v>
      </c>
      <c r="H23" s="156"/>
    </row>
    <row r="24" spans="1:8" x14ac:dyDescent="0.2">
      <c r="A24" s="5">
        <v>18</v>
      </c>
      <c r="B24" s="6" t="s">
        <v>192</v>
      </c>
      <c r="C24" s="6" t="s">
        <v>193</v>
      </c>
      <c r="D24" s="6" t="s">
        <v>196</v>
      </c>
      <c r="E24" s="7">
        <v>58282</v>
      </c>
      <c r="F24" s="8">
        <v>401.358993</v>
      </c>
      <c r="G24" s="9">
        <v>1.5555869E-2</v>
      </c>
      <c r="H24" s="156"/>
    </row>
    <row r="25" spans="1:8" x14ac:dyDescent="0.2">
      <c r="A25" s="5">
        <v>19</v>
      </c>
      <c r="B25" s="6" t="s">
        <v>189</v>
      </c>
      <c r="C25" s="6" t="s">
        <v>190</v>
      </c>
      <c r="D25" s="6" t="s">
        <v>191</v>
      </c>
      <c r="E25" s="7">
        <v>34302</v>
      </c>
      <c r="F25" s="8">
        <v>400.85317199999997</v>
      </c>
      <c r="G25" s="9">
        <v>1.5536265E-2</v>
      </c>
      <c r="H25" s="156"/>
    </row>
    <row r="26" spans="1:8" x14ac:dyDescent="0.2">
      <c r="A26" s="5">
        <v>20</v>
      </c>
      <c r="B26" s="6" t="s">
        <v>194</v>
      </c>
      <c r="C26" s="6" t="s">
        <v>195</v>
      </c>
      <c r="D26" s="6" t="s">
        <v>196</v>
      </c>
      <c r="E26" s="7">
        <v>96348</v>
      </c>
      <c r="F26" s="8">
        <v>397.628196</v>
      </c>
      <c r="G26" s="9">
        <v>1.5411271000000001E-2</v>
      </c>
      <c r="H26" s="156"/>
    </row>
    <row r="27" spans="1:8" x14ac:dyDescent="0.2">
      <c r="A27" s="5">
        <v>21</v>
      </c>
      <c r="B27" s="6" t="s">
        <v>199</v>
      </c>
      <c r="C27" s="6" t="s">
        <v>200</v>
      </c>
      <c r="D27" s="6" t="s">
        <v>63</v>
      </c>
      <c r="E27" s="7">
        <v>111421</v>
      </c>
      <c r="F27" s="8">
        <v>384.95955500000002</v>
      </c>
      <c r="G27" s="9">
        <v>1.4920259999999999E-2</v>
      </c>
      <c r="H27" s="156"/>
    </row>
    <row r="28" spans="1:8" x14ac:dyDescent="0.2">
      <c r="A28" s="5">
        <v>22</v>
      </c>
      <c r="B28" s="6" t="s">
        <v>208</v>
      </c>
      <c r="C28" s="6" t="s">
        <v>209</v>
      </c>
      <c r="D28" s="6" t="s">
        <v>976</v>
      </c>
      <c r="E28" s="7">
        <v>46000</v>
      </c>
      <c r="F28" s="8">
        <v>376.25700000000001</v>
      </c>
      <c r="G28" s="9">
        <v>1.4582967E-2</v>
      </c>
      <c r="H28" s="156"/>
    </row>
    <row r="29" spans="1:8" x14ac:dyDescent="0.2">
      <c r="A29" s="5">
        <v>23</v>
      </c>
      <c r="B29" s="6" t="s">
        <v>206</v>
      </c>
      <c r="C29" s="6" t="s">
        <v>207</v>
      </c>
      <c r="D29" s="6" t="s">
        <v>73</v>
      </c>
      <c r="E29" s="7">
        <v>86680</v>
      </c>
      <c r="F29" s="8">
        <v>374.06754000000001</v>
      </c>
      <c r="G29" s="9">
        <v>1.4498107999999999E-2</v>
      </c>
      <c r="H29" s="156"/>
    </row>
    <row r="30" spans="1:8" x14ac:dyDescent="0.2">
      <c r="A30" s="5">
        <v>24</v>
      </c>
      <c r="B30" s="6" t="s">
        <v>197</v>
      </c>
      <c r="C30" s="6" t="s">
        <v>198</v>
      </c>
      <c r="D30" s="6" t="s">
        <v>169</v>
      </c>
      <c r="E30" s="7">
        <v>8654</v>
      </c>
      <c r="F30" s="8">
        <v>372.41190899999998</v>
      </c>
      <c r="G30" s="9">
        <v>1.4433939E-2</v>
      </c>
      <c r="H30" s="156"/>
    </row>
    <row r="31" spans="1:8" x14ac:dyDescent="0.2">
      <c r="A31" s="5">
        <v>25</v>
      </c>
      <c r="B31" s="6" t="s">
        <v>201</v>
      </c>
      <c r="C31" s="6" t="s">
        <v>202</v>
      </c>
      <c r="D31" s="6" t="s">
        <v>40</v>
      </c>
      <c r="E31" s="7">
        <v>332221</v>
      </c>
      <c r="F31" s="8">
        <v>367.60253649999999</v>
      </c>
      <c r="G31" s="9">
        <v>1.4247536999999999E-2</v>
      </c>
      <c r="H31" s="156"/>
    </row>
    <row r="32" spans="1:8" x14ac:dyDescent="0.2">
      <c r="A32" s="5">
        <v>26</v>
      </c>
      <c r="B32" s="6" t="s">
        <v>210</v>
      </c>
      <c r="C32" s="6" t="s">
        <v>211</v>
      </c>
      <c r="D32" s="6" t="s">
        <v>169</v>
      </c>
      <c r="E32" s="7">
        <v>42130</v>
      </c>
      <c r="F32" s="8">
        <v>362.14947999999998</v>
      </c>
      <c r="G32" s="9">
        <v>1.4036187E-2</v>
      </c>
      <c r="H32" s="156"/>
    </row>
    <row r="33" spans="1:8" x14ac:dyDescent="0.2">
      <c r="A33" s="5">
        <v>27</v>
      </c>
      <c r="B33" s="6" t="s">
        <v>38</v>
      </c>
      <c r="C33" s="6" t="s">
        <v>39</v>
      </c>
      <c r="D33" s="6" t="s">
        <v>40</v>
      </c>
      <c r="E33" s="7">
        <v>125724</v>
      </c>
      <c r="F33" s="8">
        <v>351.65002800000002</v>
      </c>
      <c r="G33" s="9">
        <v>1.3629250000000001E-2</v>
      </c>
      <c r="H33" s="156"/>
    </row>
    <row r="34" spans="1:8" x14ac:dyDescent="0.2">
      <c r="A34" s="5">
        <v>28</v>
      </c>
      <c r="B34" s="6" t="s">
        <v>183</v>
      </c>
      <c r="C34" s="6" t="s">
        <v>184</v>
      </c>
      <c r="D34" s="6" t="s">
        <v>43</v>
      </c>
      <c r="E34" s="7">
        <v>81720</v>
      </c>
      <c r="F34" s="8">
        <v>347.96375999999998</v>
      </c>
      <c r="G34" s="9">
        <v>1.3486377000000001E-2</v>
      </c>
      <c r="H34" s="156"/>
    </row>
    <row r="35" spans="1:8" x14ac:dyDescent="0.2">
      <c r="A35" s="5">
        <v>29</v>
      </c>
      <c r="B35" s="6" t="s">
        <v>212</v>
      </c>
      <c r="C35" s="6" t="s">
        <v>213</v>
      </c>
      <c r="D35" s="6" t="s">
        <v>28</v>
      </c>
      <c r="E35" s="7">
        <v>23281</v>
      </c>
      <c r="F35" s="8">
        <v>342.07937349999997</v>
      </c>
      <c r="G35" s="9">
        <v>1.3258310000000001E-2</v>
      </c>
      <c r="H35" s="156"/>
    </row>
    <row r="36" spans="1:8" x14ac:dyDescent="0.2">
      <c r="A36" s="5">
        <v>30</v>
      </c>
      <c r="B36" s="6" t="s">
        <v>452</v>
      </c>
      <c r="C36" s="6" t="s">
        <v>453</v>
      </c>
      <c r="D36" s="6" t="s">
        <v>166</v>
      </c>
      <c r="E36" s="7">
        <v>95977</v>
      </c>
      <c r="F36" s="8">
        <v>338.03099400000002</v>
      </c>
      <c r="G36" s="9">
        <v>1.3101402999999999E-2</v>
      </c>
      <c r="H36" s="156"/>
    </row>
    <row r="37" spans="1:8" x14ac:dyDescent="0.2">
      <c r="A37" s="5">
        <v>31</v>
      </c>
      <c r="B37" s="6" t="s">
        <v>218</v>
      </c>
      <c r="C37" s="6" t="s">
        <v>219</v>
      </c>
      <c r="D37" s="6" t="s">
        <v>63</v>
      </c>
      <c r="E37" s="7">
        <v>45220</v>
      </c>
      <c r="F37" s="8">
        <v>332.29917</v>
      </c>
      <c r="G37" s="9">
        <v>1.2879249000000001E-2</v>
      </c>
      <c r="H37" s="156"/>
    </row>
    <row r="38" spans="1:8" x14ac:dyDescent="0.2">
      <c r="A38" s="5">
        <v>32</v>
      </c>
      <c r="B38" s="6" t="s">
        <v>79</v>
      </c>
      <c r="C38" s="6" t="s">
        <v>80</v>
      </c>
      <c r="D38" s="6" t="s">
        <v>63</v>
      </c>
      <c r="E38" s="7">
        <v>141346</v>
      </c>
      <c r="F38" s="8">
        <v>329.83089100000001</v>
      </c>
      <c r="G38" s="9">
        <v>1.2783584000000001E-2</v>
      </c>
      <c r="H38" s="156"/>
    </row>
    <row r="39" spans="1:8" x14ac:dyDescent="0.2">
      <c r="A39" s="5">
        <v>33</v>
      </c>
      <c r="B39" s="6" t="s">
        <v>450</v>
      </c>
      <c r="C39" s="6" t="s">
        <v>451</v>
      </c>
      <c r="D39" s="6" t="s">
        <v>35</v>
      </c>
      <c r="E39" s="7">
        <v>26488</v>
      </c>
      <c r="F39" s="8">
        <v>322.31922800000001</v>
      </c>
      <c r="G39" s="9">
        <v>1.2492447E-2</v>
      </c>
      <c r="H39" s="156"/>
    </row>
    <row r="40" spans="1:8" x14ac:dyDescent="0.2">
      <c r="A40" s="5">
        <v>34</v>
      </c>
      <c r="B40" s="6" t="s">
        <v>454</v>
      </c>
      <c r="C40" s="6" t="s">
        <v>455</v>
      </c>
      <c r="D40" s="6" t="s">
        <v>68</v>
      </c>
      <c r="E40" s="7">
        <v>75234</v>
      </c>
      <c r="F40" s="8">
        <v>313.12390799999997</v>
      </c>
      <c r="G40" s="9">
        <v>1.2136055E-2</v>
      </c>
      <c r="H40" s="156"/>
    </row>
    <row r="41" spans="1:8" x14ac:dyDescent="0.2">
      <c r="A41" s="5">
        <v>35</v>
      </c>
      <c r="B41" s="6" t="s">
        <v>456</v>
      </c>
      <c r="C41" s="6" t="s">
        <v>457</v>
      </c>
      <c r="D41" s="6" t="s">
        <v>63</v>
      </c>
      <c r="E41" s="7">
        <v>37170</v>
      </c>
      <c r="F41" s="8">
        <v>303.325785</v>
      </c>
      <c r="G41" s="9">
        <v>1.1756299E-2</v>
      </c>
      <c r="H41" s="156"/>
    </row>
    <row r="42" spans="1:8" x14ac:dyDescent="0.2">
      <c r="A42" s="5">
        <v>36</v>
      </c>
      <c r="B42" s="6" t="s">
        <v>216</v>
      </c>
      <c r="C42" s="6" t="s">
        <v>217</v>
      </c>
      <c r="D42" s="6" t="s">
        <v>54</v>
      </c>
      <c r="E42" s="7">
        <v>27146</v>
      </c>
      <c r="F42" s="8">
        <v>301.65992499999999</v>
      </c>
      <c r="G42" s="9">
        <v>1.1691734000000001E-2</v>
      </c>
      <c r="H42" s="156"/>
    </row>
    <row r="43" spans="1:8" x14ac:dyDescent="0.2">
      <c r="A43" s="5">
        <v>37</v>
      </c>
      <c r="B43" s="6" t="s">
        <v>222</v>
      </c>
      <c r="C43" s="6" t="s">
        <v>223</v>
      </c>
      <c r="D43" s="6" t="s">
        <v>972</v>
      </c>
      <c r="E43" s="7">
        <v>157111</v>
      </c>
      <c r="F43" s="8">
        <v>301.57456450000001</v>
      </c>
      <c r="G43" s="9">
        <v>1.1688425000000001E-2</v>
      </c>
      <c r="H43" s="156"/>
    </row>
    <row r="44" spans="1:8" x14ac:dyDescent="0.2">
      <c r="A44" s="5">
        <v>38</v>
      </c>
      <c r="B44" s="6" t="s">
        <v>228</v>
      </c>
      <c r="C44" s="6" t="s">
        <v>229</v>
      </c>
      <c r="D44" s="6" t="s">
        <v>35</v>
      </c>
      <c r="E44" s="7">
        <v>378656</v>
      </c>
      <c r="F44" s="8">
        <v>299.51689599999997</v>
      </c>
      <c r="G44" s="9">
        <v>1.1608673999999999E-2</v>
      </c>
      <c r="H44" s="156"/>
    </row>
    <row r="45" spans="1:8" x14ac:dyDescent="0.2">
      <c r="A45" s="5">
        <v>39</v>
      </c>
      <c r="B45" s="6" t="s">
        <v>156</v>
      </c>
      <c r="C45" s="6" t="s">
        <v>157</v>
      </c>
      <c r="D45" s="6" t="s">
        <v>155</v>
      </c>
      <c r="E45" s="7">
        <v>24941</v>
      </c>
      <c r="F45" s="8">
        <v>297.62095299999999</v>
      </c>
      <c r="G45" s="9">
        <v>1.1535191E-2</v>
      </c>
      <c r="H45" s="156"/>
    </row>
    <row r="46" spans="1:8" x14ac:dyDescent="0.2">
      <c r="A46" s="5">
        <v>40</v>
      </c>
      <c r="B46" s="6" t="s">
        <v>458</v>
      </c>
      <c r="C46" s="6" t="s">
        <v>459</v>
      </c>
      <c r="D46" s="6" t="s">
        <v>239</v>
      </c>
      <c r="E46" s="7">
        <v>50258</v>
      </c>
      <c r="F46" s="8">
        <v>293.07952699999998</v>
      </c>
      <c r="G46" s="9">
        <v>1.1359174999999999E-2</v>
      </c>
      <c r="H46" s="156"/>
    </row>
    <row r="47" spans="1:8" x14ac:dyDescent="0.2">
      <c r="A47" s="5">
        <v>41</v>
      </c>
      <c r="B47" s="6" t="s">
        <v>46</v>
      </c>
      <c r="C47" s="6" t="s">
        <v>47</v>
      </c>
      <c r="D47" s="6" t="s">
        <v>28</v>
      </c>
      <c r="E47" s="7">
        <v>15903</v>
      </c>
      <c r="F47" s="8">
        <v>292.56749100000002</v>
      </c>
      <c r="G47" s="9">
        <v>1.1339329E-2</v>
      </c>
      <c r="H47" s="156"/>
    </row>
    <row r="48" spans="1:8" x14ac:dyDescent="0.2">
      <c r="A48" s="5">
        <v>42</v>
      </c>
      <c r="B48" s="6" t="s">
        <v>226</v>
      </c>
      <c r="C48" s="6" t="s">
        <v>227</v>
      </c>
      <c r="D48" s="6" t="s">
        <v>166</v>
      </c>
      <c r="E48" s="7">
        <v>54004</v>
      </c>
      <c r="F48" s="8">
        <v>292.29665</v>
      </c>
      <c r="G48" s="9">
        <v>1.1328832E-2</v>
      </c>
      <c r="H48" s="156"/>
    </row>
    <row r="49" spans="1:8" x14ac:dyDescent="0.2">
      <c r="A49" s="5">
        <v>43</v>
      </c>
      <c r="B49" s="6" t="s">
        <v>232</v>
      </c>
      <c r="C49" s="6" t="s">
        <v>233</v>
      </c>
      <c r="D49" s="6" t="s">
        <v>166</v>
      </c>
      <c r="E49" s="7">
        <v>539678</v>
      </c>
      <c r="F49" s="8">
        <v>290.88644199999999</v>
      </c>
      <c r="G49" s="9">
        <v>1.1274175000000001E-2</v>
      </c>
      <c r="H49" s="156"/>
    </row>
    <row r="50" spans="1:8" x14ac:dyDescent="0.2">
      <c r="A50" s="5">
        <v>44</v>
      </c>
      <c r="B50" s="6" t="s">
        <v>234</v>
      </c>
      <c r="C50" s="6" t="s">
        <v>235</v>
      </c>
      <c r="D50" s="6" t="s">
        <v>73</v>
      </c>
      <c r="E50" s="7">
        <v>65469</v>
      </c>
      <c r="F50" s="8">
        <v>279.19255049999998</v>
      </c>
      <c r="G50" s="9">
        <v>1.0820943E-2</v>
      </c>
      <c r="H50" s="156"/>
    </row>
    <row r="51" spans="1:8" x14ac:dyDescent="0.2">
      <c r="A51" s="5">
        <v>45</v>
      </c>
      <c r="B51" s="6" t="s">
        <v>224</v>
      </c>
      <c r="C51" s="6" t="s">
        <v>225</v>
      </c>
      <c r="D51" s="6" t="s">
        <v>40</v>
      </c>
      <c r="E51" s="7">
        <v>34149</v>
      </c>
      <c r="F51" s="8">
        <v>278.36557349999998</v>
      </c>
      <c r="G51" s="9">
        <v>1.0788891E-2</v>
      </c>
      <c r="H51" s="156"/>
    </row>
    <row r="52" spans="1:8" x14ac:dyDescent="0.2">
      <c r="A52" s="5">
        <v>46</v>
      </c>
      <c r="B52" s="6" t="s">
        <v>242</v>
      </c>
      <c r="C52" s="6" t="s">
        <v>243</v>
      </c>
      <c r="D52" s="6" t="s">
        <v>196</v>
      </c>
      <c r="E52" s="7">
        <v>16433</v>
      </c>
      <c r="F52" s="8">
        <v>273.64231599999999</v>
      </c>
      <c r="G52" s="9">
        <v>1.0605827E-2</v>
      </c>
      <c r="H52" s="156"/>
    </row>
    <row r="53" spans="1:8" x14ac:dyDescent="0.2">
      <c r="A53" s="5">
        <v>47</v>
      </c>
      <c r="B53" s="6" t="s">
        <v>240</v>
      </c>
      <c r="C53" s="6" t="s">
        <v>241</v>
      </c>
      <c r="D53" s="6" t="s">
        <v>191</v>
      </c>
      <c r="E53" s="7">
        <v>73821</v>
      </c>
      <c r="F53" s="8">
        <v>273.50680499999999</v>
      </c>
      <c r="G53" s="9">
        <v>1.0600574999999999E-2</v>
      </c>
      <c r="H53" s="156"/>
    </row>
    <row r="54" spans="1:8" x14ac:dyDescent="0.2">
      <c r="A54" s="5">
        <v>48</v>
      </c>
      <c r="B54" s="6" t="s">
        <v>162</v>
      </c>
      <c r="C54" s="6" t="s">
        <v>163</v>
      </c>
      <c r="D54" s="6" t="s">
        <v>169</v>
      </c>
      <c r="E54" s="7">
        <v>26950</v>
      </c>
      <c r="F54" s="8">
        <v>270.60494999999997</v>
      </c>
      <c r="G54" s="9">
        <v>1.0488104999999999E-2</v>
      </c>
      <c r="H54" s="156"/>
    </row>
    <row r="55" spans="1:8" x14ac:dyDescent="0.2">
      <c r="A55" s="5">
        <v>49</v>
      </c>
      <c r="B55" s="6" t="s">
        <v>288</v>
      </c>
      <c r="C55" s="6" t="s">
        <v>289</v>
      </c>
      <c r="D55" s="6" t="s">
        <v>28</v>
      </c>
      <c r="E55" s="7">
        <v>23876</v>
      </c>
      <c r="F55" s="8">
        <v>264.17600199999998</v>
      </c>
      <c r="G55" s="9">
        <v>1.0238931999999999E-2</v>
      </c>
      <c r="H55" s="156"/>
    </row>
    <row r="56" spans="1:8" x14ac:dyDescent="0.2">
      <c r="A56" s="5">
        <v>50</v>
      </c>
      <c r="B56" s="6" t="s">
        <v>237</v>
      </c>
      <c r="C56" s="6" t="s">
        <v>238</v>
      </c>
      <c r="D56" s="6" t="s">
        <v>239</v>
      </c>
      <c r="E56" s="7">
        <v>140250</v>
      </c>
      <c r="F56" s="8">
        <v>261.00524999999999</v>
      </c>
      <c r="G56" s="9">
        <v>1.011604E-2</v>
      </c>
      <c r="H56" s="156"/>
    </row>
    <row r="57" spans="1:8" x14ac:dyDescent="0.2">
      <c r="A57" s="5">
        <v>51</v>
      </c>
      <c r="B57" s="6" t="s">
        <v>247</v>
      </c>
      <c r="C57" s="6" t="s">
        <v>248</v>
      </c>
      <c r="D57" s="6" t="s">
        <v>166</v>
      </c>
      <c r="E57" s="7">
        <v>48460</v>
      </c>
      <c r="F57" s="8">
        <v>253.71233000000001</v>
      </c>
      <c r="G57" s="9">
        <v>9.8333810000000004E-3</v>
      </c>
      <c r="H57" s="156"/>
    </row>
    <row r="58" spans="1:8" x14ac:dyDescent="0.2">
      <c r="A58" s="5">
        <v>52</v>
      </c>
      <c r="B58" s="6" t="s">
        <v>203</v>
      </c>
      <c r="C58" s="6" t="s">
        <v>204</v>
      </c>
      <c r="D58" s="6" t="s">
        <v>205</v>
      </c>
      <c r="E58" s="7">
        <v>31437</v>
      </c>
      <c r="F58" s="8">
        <v>248.25798900000001</v>
      </c>
      <c r="G58" s="9">
        <v>9.6219819999999994E-3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62864</v>
      </c>
      <c r="F59" s="8">
        <v>247.68415999999999</v>
      </c>
      <c r="G59" s="9">
        <v>9.5997410000000002E-3</v>
      </c>
      <c r="H59" s="156"/>
    </row>
    <row r="60" spans="1:8" x14ac:dyDescent="0.2">
      <c r="A60" s="5">
        <v>54</v>
      </c>
      <c r="B60" s="6" t="s">
        <v>249</v>
      </c>
      <c r="C60" s="6" t="s">
        <v>250</v>
      </c>
      <c r="D60" s="6" t="s">
        <v>73</v>
      </c>
      <c r="E60" s="7">
        <v>68454</v>
      </c>
      <c r="F60" s="8">
        <v>247.56389100000001</v>
      </c>
      <c r="G60" s="9">
        <v>9.5950800000000006E-3</v>
      </c>
      <c r="H60" s="156"/>
    </row>
    <row r="61" spans="1:8" x14ac:dyDescent="0.2">
      <c r="A61" s="5">
        <v>55</v>
      </c>
      <c r="B61" s="6" t="s">
        <v>460</v>
      </c>
      <c r="C61" s="6" t="s">
        <v>461</v>
      </c>
      <c r="D61" s="6" t="s">
        <v>28</v>
      </c>
      <c r="E61" s="7">
        <v>40294</v>
      </c>
      <c r="F61" s="8">
        <v>244.282375</v>
      </c>
      <c r="G61" s="9">
        <v>9.4678950000000005E-3</v>
      </c>
      <c r="H61" s="156"/>
    </row>
    <row r="62" spans="1:8" x14ac:dyDescent="0.2">
      <c r="A62" s="5">
        <v>56</v>
      </c>
      <c r="B62" s="6" t="s">
        <v>257</v>
      </c>
      <c r="C62" s="6" t="s">
        <v>258</v>
      </c>
      <c r="D62" s="6" t="s">
        <v>977</v>
      </c>
      <c r="E62" s="7">
        <v>265375</v>
      </c>
      <c r="F62" s="8">
        <v>243.7469375</v>
      </c>
      <c r="G62" s="9">
        <v>9.4471420000000004E-3</v>
      </c>
      <c r="H62" s="156"/>
    </row>
    <row r="63" spans="1:8" x14ac:dyDescent="0.2">
      <c r="A63" s="5">
        <v>57</v>
      </c>
      <c r="B63" s="6" t="s">
        <v>264</v>
      </c>
      <c r="C63" s="6" t="s">
        <v>265</v>
      </c>
      <c r="D63" s="6" t="s">
        <v>975</v>
      </c>
      <c r="E63" s="7">
        <v>48094</v>
      </c>
      <c r="F63" s="8">
        <v>240.277624</v>
      </c>
      <c r="G63" s="9">
        <v>9.3126790000000008E-3</v>
      </c>
      <c r="H63" s="156"/>
    </row>
    <row r="64" spans="1:8" x14ac:dyDescent="0.2">
      <c r="A64" s="5">
        <v>58</v>
      </c>
      <c r="B64" s="6" t="s">
        <v>259</v>
      </c>
      <c r="C64" s="6" t="s">
        <v>260</v>
      </c>
      <c r="D64" s="6" t="s">
        <v>261</v>
      </c>
      <c r="E64" s="7">
        <v>30195</v>
      </c>
      <c r="F64" s="8">
        <v>239.40105750000001</v>
      </c>
      <c r="G64" s="9">
        <v>9.2787049999999999E-3</v>
      </c>
      <c r="H64" s="156"/>
    </row>
    <row r="65" spans="1:8" x14ac:dyDescent="0.2">
      <c r="A65" s="5">
        <v>59</v>
      </c>
      <c r="B65" s="6" t="s">
        <v>220</v>
      </c>
      <c r="C65" s="6" t="s">
        <v>221</v>
      </c>
      <c r="D65" s="6" t="s">
        <v>191</v>
      </c>
      <c r="E65" s="7">
        <v>54815</v>
      </c>
      <c r="F65" s="8">
        <v>236.58153999999999</v>
      </c>
      <c r="G65" s="9">
        <v>9.1694259999999996E-3</v>
      </c>
      <c r="H65" s="156"/>
    </row>
    <row r="66" spans="1:8" x14ac:dyDescent="0.2">
      <c r="A66" s="5">
        <v>60</v>
      </c>
      <c r="B66" s="6" t="s">
        <v>462</v>
      </c>
      <c r="C66" s="6" t="s">
        <v>463</v>
      </c>
      <c r="D66" s="6" t="s">
        <v>166</v>
      </c>
      <c r="E66" s="7">
        <v>30109</v>
      </c>
      <c r="F66" s="8">
        <v>225.8175</v>
      </c>
      <c r="G66" s="9">
        <v>8.7522329999999999E-3</v>
      </c>
      <c r="H66" s="156"/>
    </row>
    <row r="67" spans="1:8" x14ac:dyDescent="0.2">
      <c r="A67" s="5">
        <v>61</v>
      </c>
      <c r="B67" s="6" t="s">
        <v>270</v>
      </c>
      <c r="C67" s="6" t="s">
        <v>271</v>
      </c>
      <c r="D67" s="6" t="s">
        <v>22</v>
      </c>
      <c r="E67" s="7">
        <v>216684</v>
      </c>
      <c r="F67" s="8">
        <v>224.26794000000001</v>
      </c>
      <c r="G67" s="9">
        <v>8.6921759999999994E-3</v>
      </c>
      <c r="H67" s="156"/>
    </row>
    <row r="68" spans="1:8" x14ac:dyDescent="0.2">
      <c r="A68" s="5">
        <v>62</v>
      </c>
      <c r="B68" s="6" t="s">
        <v>266</v>
      </c>
      <c r="C68" s="6" t="s">
        <v>267</v>
      </c>
      <c r="D68" s="6" t="s">
        <v>191</v>
      </c>
      <c r="E68" s="7">
        <v>33763</v>
      </c>
      <c r="F68" s="8">
        <v>216.72469699999999</v>
      </c>
      <c r="G68" s="9">
        <v>8.3998149999999997E-3</v>
      </c>
      <c r="H68" s="156"/>
    </row>
    <row r="69" spans="1:8" ht="25.5" x14ac:dyDescent="0.2">
      <c r="A69" s="5">
        <v>63</v>
      </c>
      <c r="B69" s="6" t="s">
        <v>214</v>
      </c>
      <c r="C69" s="6" t="s">
        <v>215</v>
      </c>
      <c r="D69" s="6" t="s">
        <v>63</v>
      </c>
      <c r="E69" s="7">
        <v>9707</v>
      </c>
      <c r="F69" s="8">
        <v>216.38844399999999</v>
      </c>
      <c r="G69" s="9">
        <v>8.3867820000000006E-3</v>
      </c>
      <c r="H69" s="156"/>
    </row>
    <row r="70" spans="1:8" x14ac:dyDescent="0.2">
      <c r="A70" s="5">
        <v>64</v>
      </c>
      <c r="B70" s="6" t="s">
        <v>272</v>
      </c>
      <c r="C70" s="6" t="s">
        <v>273</v>
      </c>
      <c r="D70" s="6" t="s">
        <v>274</v>
      </c>
      <c r="E70" s="7">
        <v>81931</v>
      </c>
      <c r="F70" s="8">
        <v>206.79384400000001</v>
      </c>
      <c r="G70" s="9">
        <v>8.0149149999999992E-3</v>
      </c>
      <c r="H70" s="156"/>
    </row>
    <row r="71" spans="1:8" x14ac:dyDescent="0.2">
      <c r="A71" s="5">
        <v>65</v>
      </c>
      <c r="B71" s="6" t="s">
        <v>464</v>
      </c>
      <c r="C71" s="6" t="s">
        <v>465</v>
      </c>
      <c r="D71" s="6" t="s">
        <v>974</v>
      </c>
      <c r="E71" s="7">
        <v>266331</v>
      </c>
      <c r="F71" s="8">
        <v>198.68292600000001</v>
      </c>
      <c r="G71" s="9">
        <v>7.7005520000000003E-3</v>
      </c>
      <c r="H71" s="156"/>
    </row>
    <row r="72" spans="1:8" ht="25.5" x14ac:dyDescent="0.2">
      <c r="A72" s="5">
        <v>66</v>
      </c>
      <c r="B72" s="6" t="s">
        <v>251</v>
      </c>
      <c r="C72" s="6" t="s">
        <v>252</v>
      </c>
      <c r="D72" s="6" t="s">
        <v>155</v>
      </c>
      <c r="E72" s="7">
        <v>47615</v>
      </c>
      <c r="F72" s="8">
        <v>179.60378</v>
      </c>
      <c r="G72" s="9">
        <v>6.9610820000000004E-3</v>
      </c>
      <c r="H72" s="156"/>
    </row>
    <row r="73" spans="1:8" x14ac:dyDescent="0.2">
      <c r="A73" s="5">
        <v>67</v>
      </c>
      <c r="B73" s="6" t="s">
        <v>255</v>
      </c>
      <c r="C73" s="6" t="s">
        <v>256</v>
      </c>
      <c r="D73" s="6" t="s">
        <v>63</v>
      </c>
      <c r="E73" s="7">
        <v>23426</v>
      </c>
      <c r="F73" s="8">
        <v>154.22507100000001</v>
      </c>
      <c r="G73" s="9">
        <v>5.9774540000000001E-3</v>
      </c>
      <c r="H73" s="156"/>
    </row>
    <row r="74" spans="1:8" x14ac:dyDescent="0.2">
      <c r="A74" s="5">
        <v>68</v>
      </c>
      <c r="B74" s="6" t="s">
        <v>279</v>
      </c>
      <c r="C74" s="6" t="s">
        <v>280</v>
      </c>
      <c r="D74" s="6" t="s">
        <v>974</v>
      </c>
      <c r="E74" s="7">
        <v>10084</v>
      </c>
      <c r="F74" s="8">
        <v>153.43310199999999</v>
      </c>
      <c r="G74" s="9">
        <v>5.9467590000000002E-3</v>
      </c>
      <c r="H74" s="156"/>
    </row>
    <row r="75" spans="1:8" x14ac:dyDescent="0.2">
      <c r="A75" s="5">
        <v>69</v>
      </c>
      <c r="B75" s="6" t="s">
        <v>294</v>
      </c>
      <c r="C75" s="6" t="s">
        <v>295</v>
      </c>
      <c r="D75" s="6" t="s">
        <v>975</v>
      </c>
      <c r="E75" s="7">
        <v>402399</v>
      </c>
      <c r="F75" s="8">
        <v>153.1128195</v>
      </c>
      <c r="G75" s="9">
        <v>5.9343460000000001E-3</v>
      </c>
      <c r="H75" s="156"/>
    </row>
    <row r="76" spans="1:8" x14ac:dyDescent="0.2">
      <c r="A76" s="5">
        <v>70</v>
      </c>
      <c r="B76" s="6" t="s">
        <v>281</v>
      </c>
      <c r="C76" s="6" t="s">
        <v>282</v>
      </c>
      <c r="D76" s="6" t="s">
        <v>155</v>
      </c>
      <c r="E76" s="7">
        <v>9638</v>
      </c>
      <c r="F76" s="8">
        <v>150.87325200000001</v>
      </c>
      <c r="G76" s="9">
        <v>5.847545E-3</v>
      </c>
      <c r="H76" s="156"/>
    </row>
    <row r="77" spans="1:8" x14ac:dyDescent="0.2">
      <c r="A77" s="5">
        <v>71</v>
      </c>
      <c r="B77" s="6" t="s">
        <v>244</v>
      </c>
      <c r="C77" s="6" t="s">
        <v>245</v>
      </c>
      <c r="D77" s="6" t="s">
        <v>246</v>
      </c>
      <c r="E77" s="7">
        <v>32337</v>
      </c>
      <c r="F77" s="8">
        <v>139.04910000000001</v>
      </c>
      <c r="G77" s="9">
        <v>5.3892640000000004E-3</v>
      </c>
      <c r="H77" s="156"/>
    </row>
    <row r="78" spans="1:8" x14ac:dyDescent="0.2">
      <c r="A78" s="5">
        <v>72</v>
      </c>
      <c r="B78" s="6" t="s">
        <v>283</v>
      </c>
      <c r="C78" s="6" t="s">
        <v>284</v>
      </c>
      <c r="D78" s="6" t="s">
        <v>169</v>
      </c>
      <c r="E78" s="7">
        <v>22156</v>
      </c>
      <c r="F78" s="8">
        <v>134.80818199999999</v>
      </c>
      <c r="G78" s="9">
        <v>5.2248950000000002E-3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0">
        <v>24974.420987000001</v>
      </c>
      <c r="G79" s="11">
        <v>0.96795846500000005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106</v>
      </c>
      <c r="D81" s="3" t="s">
        <v>9</v>
      </c>
      <c r="E81" s="3" t="s">
        <v>9</v>
      </c>
      <c r="F81" s="3" t="s">
        <v>9</v>
      </c>
      <c r="G81" s="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107</v>
      </c>
      <c r="D84" s="3" t="s">
        <v>9</v>
      </c>
      <c r="E84" s="3" t="s">
        <v>9</v>
      </c>
      <c r="F84" s="3" t="s">
        <v>9</v>
      </c>
      <c r="G84" s="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111</v>
      </c>
      <c r="D87" s="3" t="s">
        <v>9</v>
      </c>
      <c r="E87" s="3" t="s">
        <v>9</v>
      </c>
      <c r="F87" s="3" t="s">
        <v>9</v>
      </c>
      <c r="G87" s="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105</v>
      </c>
      <c r="D88" s="3" t="s">
        <v>9</v>
      </c>
      <c r="E88" s="3" t="s">
        <v>9</v>
      </c>
      <c r="F88" s="14">
        <v>0</v>
      </c>
      <c r="G88" s="15">
        <v>0</v>
      </c>
      <c r="H88" s="156"/>
    </row>
    <row r="89" spans="1:8" x14ac:dyDescent="0.2">
      <c r="A89" s="3" t="s">
        <v>9</v>
      </c>
      <c r="B89" s="3" t="s">
        <v>9</v>
      </c>
      <c r="C89" s="12" t="s">
        <v>9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112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113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4">
        <v>0</v>
      </c>
      <c r="G94" s="15">
        <v>0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114</v>
      </c>
      <c r="D96" s="3" t="s">
        <v>9</v>
      </c>
      <c r="E96" s="3" t="s">
        <v>9</v>
      </c>
      <c r="F96" s="10">
        <v>24974.420987000001</v>
      </c>
      <c r="G96" s="11">
        <v>0.96795846500000005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115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11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116</v>
      </c>
      <c r="D102" s="3" t="s">
        <v>9</v>
      </c>
      <c r="E102" s="3" t="s">
        <v>9</v>
      </c>
      <c r="F102" s="3" t="s">
        <v>9</v>
      </c>
      <c r="G102" s="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105</v>
      </c>
      <c r="D103" s="3" t="s">
        <v>9</v>
      </c>
      <c r="E103" s="3" t="s">
        <v>9</v>
      </c>
      <c r="F103" s="14">
        <v>0</v>
      </c>
      <c r="G103" s="15">
        <v>0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117</v>
      </c>
      <c r="D105" s="3" t="s">
        <v>9</v>
      </c>
      <c r="E105" s="3" t="s">
        <v>9</v>
      </c>
      <c r="F105" s="3" t="s">
        <v>9</v>
      </c>
      <c r="G105" s="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105</v>
      </c>
      <c r="D106" s="3" t="s">
        <v>9</v>
      </c>
      <c r="E106" s="3" t="s">
        <v>9</v>
      </c>
      <c r="F106" s="14">
        <v>0</v>
      </c>
      <c r="G106" s="15">
        <v>0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118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105</v>
      </c>
      <c r="D109" s="3" t="s">
        <v>9</v>
      </c>
      <c r="E109" s="3" t="s">
        <v>9</v>
      </c>
      <c r="F109" s="14">
        <v>0</v>
      </c>
      <c r="G109" s="15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119</v>
      </c>
      <c r="D111" s="3" t="s">
        <v>9</v>
      </c>
      <c r="E111" s="3" t="s">
        <v>9</v>
      </c>
      <c r="F111" s="10">
        <v>0</v>
      </c>
      <c r="G111" s="11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120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121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105</v>
      </c>
      <c r="D115" s="3" t="s">
        <v>9</v>
      </c>
      <c r="E115" s="3" t="s">
        <v>9</v>
      </c>
      <c r="F115" s="14">
        <v>0</v>
      </c>
      <c r="G115" s="15">
        <v>0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122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105</v>
      </c>
      <c r="D118" s="3" t="s">
        <v>9</v>
      </c>
      <c r="E118" s="3" t="s">
        <v>9</v>
      </c>
      <c r="F118" s="14">
        <v>0</v>
      </c>
      <c r="G118" s="15">
        <v>0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123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105</v>
      </c>
      <c r="D121" s="3" t="s">
        <v>9</v>
      </c>
      <c r="E121" s="3" t="s">
        <v>9</v>
      </c>
      <c r="F121" s="14">
        <v>0</v>
      </c>
      <c r="G121" s="15">
        <v>0</v>
      </c>
      <c r="H121" s="156"/>
    </row>
    <row r="122" spans="1:8" x14ac:dyDescent="0.2">
      <c r="A122" s="3" t="s">
        <v>9</v>
      </c>
      <c r="B122" s="3" t="s">
        <v>9</v>
      </c>
      <c r="C122" s="12" t="s">
        <v>9</v>
      </c>
      <c r="D122" s="3" t="s">
        <v>9</v>
      </c>
      <c r="E122" s="3" t="s">
        <v>9</v>
      </c>
      <c r="F122" s="13" t="s">
        <v>9</v>
      </c>
      <c r="G122" s="13" t="s">
        <v>9</v>
      </c>
      <c r="H122" s="156"/>
    </row>
    <row r="123" spans="1:8" x14ac:dyDescent="0.2">
      <c r="A123" s="3" t="s">
        <v>9</v>
      </c>
      <c r="B123" s="3" t="s">
        <v>9</v>
      </c>
      <c r="C123" s="4" t="s">
        <v>124</v>
      </c>
      <c r="D123" s="3" t="s">
        <v>9</v>
      </c>
      <c r="E123" s="3" t="s">
        <v>9</v>
      </c>
      <c r="F123" s="13" t="s">
        <v>9</v>
      </c>
      <c r="G123" s="13" t="s">
        <v>9</v>
      </c>
      <c r="H123" s="156"/>
    </row>
    <row r="124" spans="1:8" x14ac:dyDescent="0.2">
      <c r="A124" s="5">
        <v>1</v>
      </c>
      <c r="B124" s="6"/>
      <c r="C124" s="6" t="s">
        <v>125</v>
      </c>
      <c r="D124" s="6"/>
      <c r="E124" s="16" t="s">
        <v>9</v>
      </c>
      <c r="F124" s="8">
        <v>505.4054228</v>
      </c>
      <c r="G124" s="9">
        <v>1.9588499999999998E-2</v>
      </c>
      <c r="H124" s="8">
        <v>3.3326163573085874</v>
      </c>
    </row>
    <row r="125" spans="1:8" x14ac:dyDescent="0.2">
      <c r="A125" s="5">
        <v>2</v>
      </c>
      <c r="B125" s="6"/>
      <c r="C125" s="6" t="s">
        <v>126</v>
      </c>
      <c r="D125" s="6"/>
      <c r="E125" s="16" t="s">
        <v>9</v>
      </c>
      <c r="F125" s="8">
        <v>360.98521799999997</v>
      </c>
      <c r="G125" s="9">
        <v>1.3991063E-2</v>
      </c>
      <c r="H125" s="8">
        <v>3.2337849550915885</v>
      </c>
    </row>
    <row r="126" spans="1:8" x14ac:dyDescent="0.2">
      <c r="A126" s="3" t="s">
        <v>9</v>
      </c>
      <c r="B126" s="3" t="s">
        <v>9</v>
      </c>
      <c r="C126" s="4" t="s">
        <v>105</v>
      </c>
      <c r="D126" s="3" t="s">
        <v>9</v>
      </c>
      <c r="E126" s="3" t="s">
        <v>9</v>
      </c>
      <c r="F126" s="10">
        <v>866.39064080000003</v>
      </c>
      <c r="G126" s="11">
        <v>3.3579563E-2</v>
      </c>
      <c r="H126" s="156"/>
    </row>
    <row r="127" spans="1:8" x14ac:dyDescent="0.2">
      <c r="A127" s="3" t="s">
        <v>9</v>
      </c>
      <c r="B127" s="3" t="s">
        <v>9</v>
      </c>
      <c r="C127" s="12" t="s">
        <v>9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127</v>
      </c>
      <c r="D128" s="3" t="s">
        <v>9</v>
      </c>
      <c r="E128" s="3" t="s">
        <v>9</v>
      </c>
      <c r="F128" s="10">
        <v>866.39064080000003</v>
      </c>
      <c r="G128" s="11">
        <v>3.3579563E-2</v>
      </c>
      <c r="H128" s="156"/>
    </row>
    <row r="129" spans="1:8" x14ac:dyDescent="0.2">
      <c r="A129" s="3" t="s">
        <v>9</v>
      </c>
      <c r="B129" s="3" t="s">
        <v>9</v>
      </c>
      <c r="C129" s="13" t="s">
        <v>9</v>
      </c>
      <c r="D129" s="3" t="s">
        <v>9</v>
      </c>
      <c r="E129" s="3" t="s">
        <v>9</v>
      </c>
      <c r="F129" s="3" t="s">
        <v>9</v>
      </c>
      <c r="G129" s="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128</v>
      </c>
      <c r="D130" s="3" t="s">
        <v>9</v>
      </c>
      <c r="E130" s="3" t="s">
        <v>9</v>
      </c>
      <c r="F130" s="3" t="s">
        <v>9</v>
      </c>
      <c r="G130" s="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129</v>
      </c>
      <c r="D131" s="3" t="s">
        <v>9</v>
      </c>
      <c r="E131" s="3" t="s">
        <v>9</v>
      </c>
      <c r="F131" s="3" t="s">
        <v>9</v>
      </c>
      <c r="G131" s="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105</v>
      </c>
      <c r="D132" s="3" t="s">
        <v>9</v>
      </c>
      <c r="E132" s="3" t="s">
        <v>9</v>
      </c>
      <c r="F132" s="14">
        <v>0</v>
      </c>
      <c r="G132" s="15">
        <v>0</v>
      </c>
      <c r="H132" s="156"/>
    </row>
    <row r="133" spans="1:8" x14ac:dyDescent="0.2">
      <c r="A133" s="3" t="s">
        <v>9</v>
      </c>
      <c r="B133" s="3" t="s">
        <v>9</v>
      </c>
      <c r="C133" s="12" t="s">
        <v>9</v>
      </c>
      <c r="D133" s="3" t="s">
        <v>9</v>
      </c>
      <c r="E133" s="3" t="s">
        <v>9</v>
      </c>
      <c r="F133" s="13" t="s">
        <v>9</v>
      </c>
      <c r="G133" s="1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130</v>
      </c>
      <c r="D134" s="3" t="s">
        <v>9</v>
      </c>
      <c r="E134" s="3" t="s">
        <v>9</v>
      </c>
      <c r="F134" s="3" t="s">
        <v>9</v>
      </c>
      <c r="G134" s="3" t="s">
        <v>9</v>
      </c>
      <c r="H134" s="156"/>
    </row>
    <row r="135" spans="1:8" x14ac:dyDescent="0.2">
      <c r="A135" s="3" t="s">
        <v>9</v>
      </c>
      <c r="B135" s="3" t="s">
        <v>9</v>
      </c>
      <c r="C135" s="4" t="s">
        <v>131</v>
      </c>
      <c r="D135" s="3" t="s">
        <v>9</v>
      </c>
      <c r="E135" s="3" t="s">
        <v>9</v>
      </c>
      <c r="F135" s="3" t="s">
        <v>9</v>
      </c>
      <c r="G135" s="3" t="s">
        <v>9</v>
      </c>
      <c r="H135" s="156"/>
    </row>
    <row r="136" spans="1:8" x14ac:dyDescent="0.2">
      <c r="A136" s="3" t="s">
        <v>9</v>
      </c>
      <c r="B136" s="3" t="s">
        <v>9</v>
      </c>
      <c r="C136" s="4" t="s">
        <v>105</v>
      </c>
      <c r="D136" s="3" t="s">
        <v>9</v>
      </c>
      <c r="E136" s="3" t="s">
        <v>9</v>
      </c>
      <c r="F136" s="14">
        <v>0</v>
      </c>
      <c r="G136" s="15">
        <v>0</v>
      </c>
      <c r="H136" s="156"/>
    </row>
    <row r="137" spans="1:8" x14ac:dyDescent="0.2">
      <c r="A137" s="3" t="s">
        <v>9</v>
      </c>
      <c r="B137" s="3" t="s">
        <v>9</v>
      </c>
      <c r="C137" s="12" t="s">
        <v>9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12" t="s">
        <v>9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3" t="s">
        <v>9</v>
      </c>
      <c r="C139" s="4" t="s">
        <v>132</v>
      </c>
      <c r="D139" s="3" t="s">
        <v>9</v>
      </c>
      <c r="E139" s="3" t="s">
        <v>9</v>
      </c>
      <c r="F139" s="13" t="s">
        <v>9</v>
      </c>
      <c r="G139" s="13" t="s">
        <v>9</v>
      </c>
      <c r="H139" s="156"/>
    </row>
    <row r="140" spans="1:8" x14ac:dyDescent="0.2">
      <c r="A140" s="3" t="s">
        <v>9</v>
      </c>
      <c r="B140" s="3" t="s">
        <v>9</v>
      </c>
      <c r="C140" s="4" t="s">
        <v>105</v>
      </c>
      <c r="D140" s="3" t="s">
        <v>9</v>
      </c>
      <c r="E140" s="3" t="s">
        <v>9</v>
      </c>
      <c r="F140" s="14">
        <v>0</v>
      </c>
      <c r="G140" s="15">
        <v>0</v>
      </c>
      <c r="H140" s="156"/>
    </row>
    <row r="141" spans="1:8" x14ac:dyDescent="0.2">
      <c r="A141" s="3" t="s">
        <v>9</v>
      </c>
      <c r="B141" s="3" t="s">
        <v>9</v>
      </c>
      <c r="C141" s="12" t="s">
        <v>9</v>
      </c>
      <c r="D141" s="3" t="s">
        <v>9</v>
      </c>
      <c r="E141" s="3" t="s">
        <v>9</v>
      </c>
      <c r="F141" s="13" t="s">
        <v>9</v>
      </c>
      <c r="G141" s="13" t="s">
        <v>9</v>
      </c>
      <c r="H141" s="156"/>
    </row>
    <row r="142" spans="1:8" x14ac:dyDescent="0.2">
      <c r="A142" s="3" t="s">
        <v>9</v>
      </c>
      <c r="B142" s="6" t="s">
        <v>9</v>
      </c>
      <c r="C142" s="6" t="s">
        <v>9</v>
      </c>
      <c r="D142" s="4" t="s">
        <v>9</v>
      </c>
      <c r="E142" s="3" t="s">
        <v>9</v>
      </c>
      <c r="F142" s="6" t="s">
        <v>9</v>
      </c>
      <c r="G142" s="16" t="s">
        <v>9</v>
      </c>
      <c r="H142" s="156"/>
    </row>
    <row r="143" spans="1:8" x14ac:dyDescent="0.2">
      <c r="A143" s="16" t="s">
        <v>9</v>
      </c>
      <c r="B143" s="6" t="s">
        <v>9</v>
      </c>
      <c r="C143" s="6" t="s">
        <v>133</v>
      </c>
      <c r="D143" s="6" t="s">
        <v>9</v>
      </c>
      <c r="E143" s="16" t="s">
        <v>9</v>
      </c>
      <c r="F143" s="8">
        <v>-39.682786190000002</v>
      </c>
      <c r="G143" s="9">
        <v>-1.5380249999999999E-3</v>
      </c>
      <c r="H143" s="156"/>
    </row>
    <row r="144" spans="1:8" x14ac:dyDescent="0.2">
      <c r="A144" s="12" t="s">
        <v>9</v>
      </c>
      <c r="B144" s="12" t="s">
        <v>9</v>
      </c>
      <c r="C144" s="4" t="s">
        <v>134</v>
      </c>
      <c r="D144" s="17" t="s">
        <v>9</v>
      </c>
      <c r="E144" s="17" t="s">
        <v>9</v>
      </c>
      <c r="F144" s="10">
        <v>25801.12884161</v>
      </c>
      <c r="G144" s="11">
        <v>1.000000003</v>
      </c>
      <c r="H144" s="156"/>
    </row>
    <row r="145" spans="1:7" ht="14.1" customHeight="1" x14ac:dyDescent="0.2">
      <c r="A145" s="18" t="s">
        <v>9</v>
      </c>
      <c r="B145" s="18" t="s">
        <v>9</v>
      </c>
      <c r="C145" s="18" t="s">
        <v>9</v>
      </c>
      <c r="D145" s="19" t="s">
        <v>9</v>
      </c>
      <c r="E145" s="19" t="s">
        <v>9</v>
      </c>
      <c r="F145" s="19" t="s">
        <v>9</v>
      </c>
      <c r="G145" s="19" t="s">
        <v>9</v>
      </c>
    </row>
    <row r="146" spans="1:7" ht="14.1" customHeight="1" x14ac:dyDescent="0.2">
      <c r="A146" s="20" t="s">
        <v>9</v>
      </c>
      <c r="B146" s="200" t="s">
        <v>9</v>
      </c>
      <c r="C146" s="200"/>
      <c r="D146" s="200"/>
      <c r="E146" s="200"/>
      <c r="F146" s="200"/>
      <c r="G146" s="22" t="s">
        <v>9</v>
      </c>
    </row>
    <row r="147" spans="1:7" ht="14.1" customHeight="1" x14ac:dyDescent="0.2">
      <c r="A147" s="20" t="s">
        <v>9</v>
      </c>
      <c r="B147" s="200" t="s">
        <v>9</v>
      </c>
      <c r="C147" s="200"/>
      <c r="D147" s="200"/>
      <c r="E147" s="200"/>
      <c r="F147" s="200"/>
      <c r="G147" s="22" t="s">
        <v>9</v>
      </c>
    </row>
    <row r="148" spans="1:7" ht="14.1" customHeight="1" x14ac:dyDescent="0.2">
      <c r="A148" s="20" t="s">
        <v>9</v>
      </c>
      <c r="B148" s="20" t="s">
        <v>9</v>
      </c>
      <c r="C148" s="20" t="s">
        <v>9</v>
      </c>
      <c r="D148" s="22" t="s">
        <v>9</v>
      </c>
      <c r="E148" s="22" t="s">
        <v>9</v>
      </c>
      <c r="F148" s="22" t="s">
        <v>9</v>
      </c>
      <c r="G148" s="22" t="s">
        <v>9</v>
      </c>
    </row>
    <row r="149" spans="1:7" ht="14.1" customHeight="1" x14ac:dyDescent="0.2">
      <c r="A149" s="20" t="s">
        <v>9</v>
      </c>
      <c r="B149" s="198" t="s">
        <v>136</v>
      </c>
      <c r="C149" s="199"/>
      <c r="D149" s="13" t="s">
        <v>9</v>
      </c>
      <c r="E149" s="23" t="s">
        <v>9</v>
      </c>
      <c r="F149" s="22" t="s">
        <v>9</v>
      </c>
      <c r="G149" s="22" t="s">
        <v>9</v>
      </c>
    </row>
    <row r="150" spans="1:7" ht="29.1" customHeight="1" x14ac:dyDescent="0.2">
      <c r="A150" s="20" t="s">
        <v>9</v>
      </c>
      <c r="B150" s="205" t="s">
        <v>137</v>
      </c>
      <c r="C150" s="206"/>
      <c r="D150" s="4" t="s">
        <v>138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05" t="s">
        <v>139</v>
      </c>
      <c r="C151" s="206"/>
      <c r="D151" s="4" t="s">
        <v>138</v>
      </c>
      <c r="E151" s="23" t="s">
        <v>9</v>
      </c>
      <c r="F151" s="22" t="s">
        <v>9</v>
      </c>
      <c r="G151" s="22" t="s">
        <v>9</v>
      </c>
    </row>
    <row r="152" spans="1:7" ht="17.100000000000001" customHeight="1" x14ac:dyDescent="0.2">
      <c r="A152" s="20" t="s">
        <v>9</v>
      </c>
      <c r="B152" s="205" t="s">
        <v>140</v>
      </c>
      <c r="C152" s="206"/>
      <c r="D152" s="13" t="s">
        <v>9</v>
      </c>
      <c r="E152" s="23" t="s">
        <v>9</v>
      </c>
      <c r="F152" s="22" t="s">
        <v>9</v>
      </c>
      <c r="G152" s="22" t="s">
        <v>9</v>
      </c>
    </row>
    <row r="153" spans="1:7" ht="24" customHeight="1" x14ac:dyDescent="0.2">
      <c r="A153" s="24" t="s">
        <v>9</v>
      </c>
      <c r="B153" s="25" t="s">
        <v>9</v>
      </c>
      <c r="C153" s="25" t="s">
        <v>141</v>
      </c>
      <c r="D153" s="25" t="s">
        <v>142</v>
      </c>
      <c r="E153" s="24" t="s">
        <v>9</v>
      </c>
      <c r="F153" s="24" t="s">
        <v>9</v>
      </c>
      <c r="G153" s="24" t="s">
        <v>9</v>
      </c>
    </row>
    <row r="154" spans="1:7" ht="18" customHeight="1" x14ac:dyDescent="0.2">
      <c r="A154" s="24" t="s">
        <v>9</v>
      </c>
      <c r="B154" s="25" t="s">
        <v>143</v>
      </c>
      <c r="C154" s="25" t="s">
        <v>144</v>
      </c>
      <c r="D154" s="25" t="s">
        <v>145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6" t="s">
        <v>146</v>
      </c>
      <c r="C155" s="26">
        <v>12.6952</v>
      </c>
      <c r="D155" s="26">
        <v>13.6122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839</v>
      </c>
      <c r="C156" s="26">
        <v>12.6952</v>
      </c>
      <c r="D156" s="26">
        <v>13.6122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147</v>
      </c>
      <c r="C157" s="26">
        <v>12.288399999999999</v>
      </c>
      <c r="D157" s="26">
        <v>13.1677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6" t="s">
        <v>840</v>
      </c>
      <c r="C158" s="26">
        <v>12.288399999999999</v>
      </c>
      <c r="D158" s="26">
        <v>13.1677</v>
      </c>
      <c r="E158" s="24" t="s">
        <v>9</v>
      </c>
      <c r="F158" s="21" t="s">
        <v>9</v>
      </c>
      <c r="G158" s="27" t="s">
        <v>9</v>
      </c>
    </row>
    <row r="159" spans="1:7" ht="14.1" customHeight="1" x14ac:dyDescent="0.2">
      <c r="A159" s="24" t="s">
        <v>9</v>
      </c>
      <c r="B159" s="24" t="s">
        <v>9</v>
      </c>
      <c r="C159" s="24" t="s">
        <v>9</v>
      </c>
      <c r="D159" s="24" t="s">
        <v>9</v>
      </c>
      <c r="E159" s="24" t="s">
        <v>9</v>
      </c>
      <c r="F159" s="24" t="s">
        <v>9</v>
      </c>
      <c r="G159" s="24" t="s">
        <v>9</v>
      </c>
    </row>
    <row r="160" spans="1:7" ht="17.100000000000001" customHeight="1" x14ac:dyDescent="0.2">
      <c r="A160" s="24" t="s">
        <v>9</v>
      </c>
      <c r="B160" s="205" t="s">
        <v>1013</v>
      </c>
      <c r="C160" s="206"/>
      <c r="D160" s="4" t="s">
        <v>138</v>
      </c>
      <c r="E160" s="24" t="s">
        <v>9</v>
      </c>
      <c r="F160" s="24" t="s">
        <v>9</v>
      </c>
      <c r="G160" s="24" t="s">
        <v>9</v>
      </c>
    </row>
    <row r="161" spans="1:7" ht="18" customHeight="1" x14ac:dyDescent="0.2">
      <c r="A161" s="24" t="s">
        <v>9</v>
      </c>
      <c r="B161" s="30"/>
      <c r="C161" s="30"/>
      <c r="D161" s="28" t="s">
        <v>9</v>
      </c>
      <c r="E161" s="24" t="s">
        <v>9</v>
      </c>
      <c r="F161" s="24" t="s">
        <v>9</v>
      </c>
      <c r="G161" s="24" t="s">
        <v>9</v>
      </c>
    </row>
    <row r="162" spans="1:7" s="197" customFormat="1" x14ac:dyDescent="0.2">
      <c r="B162" s="208" t="s">
        <v>841</v>
      </c>
      <c r="C162" s="208"/>
      <c r="D162" s="208"/>
      <c r="E162" s="208"/>
      <c r="F162" s="208"/>
    </row>
    <row r="163" spans="1:7" ht="14.1" customHeight="1" x14ac:dyDescent="0.2">
      <c r="A163" s="24" t="s">
        <v>9</v>
      </c>
      <c r="B163" s="21" t="s">
        <v>9</v>
      </c>
      <c r="C163" s="21" t="s">
        <v>9</v>
      </c>
      <c r="D163" s="24" t="s">
        <v>9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05" t="s">
        <v>148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  <row r="165" spans="1:7" ht="29.1" customHeight="1" x14ac:dyDescent="0.2">
      <c r="A165" s="24" t="s">
        <v>9</v>
      </c>
      <c r="B165" s="205" t="s">
        <v>149</v>
      </c>
      <c r="C165" s="206"/>
      <c r="D165" s="4" t="s">
        <v>138</v>
      </c>
      <c r="E165" s="24" t="s">
        <v>9</v>
      </c>
      <c r="F165" s="24" t="s">
        <v>9</v>
      </c>
      <c r="G165" s="24" t="s">
        <v>9</v>
      </c>
    </row>
    <row r="166" spans="1:7" ht="17.100000000000001" customHeight="1" x14ac:dyDescent="0.2">
      <c r="A166" s="24" t="s">
        <v>9</v>
      </c>
      <c r="B166" s="205" t="s">
        <v>150</v>
      </c>
      <c r="C166" s="206"/>
      <c r="D166" s="29">
        <v>0.4558657160966621</v>
      </c>
      <c r="E166" s="24" t="s">
        <v>9</v>
      </c>
      <c r="F166" s="21" t="s">
        <v>9</v>
      </c>
      <c r="G166" s="27" t="s">
        <v>9</v>
      </c>
    </row>
    <row r="167" spans="1:7" ht="17.100000000000001" customHeight="1" x14ac:dyDescent="0.2">
      <c r="A167" s="24" t="s">
        <v>9</v>
      </c>
      <c r="B167" s="205" t="s">
        <v>151</v>
      </c>
      <c r="C167" s="206"/>
      <c r="D167" s="4" t="s">
        <v>138</v>
      </c>
      <c r="E167" s="24" t="s">
        <v>9</v>
      </c>
      <c r="F167" s="24" t="s">
        <v>9</v>
      </c>
      <c r="G167" s="24" t="s">
        <v>9</v>
      </c>
    </row>
  </sheetData>
  <mergeCells count="15"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B149:C149"/>
    <mergeCell ref="B146:F146"/>
    <mergeCell ref="B147:F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6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467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22417</v>
      </c>
      <c r="F7" s="8">
        <v>840.46937249999996</v>
      </c>
      <c r="G7" s="9">
        <v>3.6604172999999997E-2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65780</v>
      </c>
      <c r="F8" s="8">
        <v>816.95470999999998</v>
      </c>
      <c r="G8" s="9">
        <v>3.5580061000000003E-2</v>
      </c>
      <c r="H8" s="156"/>
    </row>
    <row r="9" spans="1:8" x14ac:dyDescent="0.2">
      <c r="A9" s="5">
        <v>3</v>
      </c>
      <c r="B9" s="6" t="s">
        <v>292</v>
      </c>
      <c r="C9" s="6" t="s">
        <v>293</v>
      </c>
      <c r="D9" s="6" t="s">
        <v>28</v>
      </c>
      <c r="E9" s="7">
        <v>97000</v>
      </c>
      <c r="F9" s="8">
        <v>654.31349999999998</v>
      </c>
      <c r="G9" s="9">
        <v>2.8496700999999999E-2</v>
      </c>
      <c r="H9" s="156"/>
    </row>
    <row r="10" spans="1:8" x14ac:dyDescent="0.2">
      <c r="A10" s="5">
        <v>4</v>
      </c>
      <c r="B10" s="6" t="s">
        <v>448</v>
      </c>
      <c r="C10" s="6" t="s">
        <v>449</v>
      </c>
      <c r="D10" s="6" t="s">
        <v>63</v>
      </c>
      <c r="E10" s="7">
        <v>164997</v>
      </c>
      <c r="F10" s="8">
        <v>517.3480935</v>
      </c>
      <c r="G10" s="9">
        <v>2.2531575000000002E-2</v>
      </c>
      <c r="H10" s="156"/>
    </row>
    <row r="11" spans="1:8" x14ac:dyDescent="0.2">
      <c r="A11" s="5">
        <v>5</v>
      </c>
      <c r="B11" s="6" t="s">
        <v>31</v>
      </c>
      <c r="C11" s="6" t="s">
        <v>32</v>
      </c>
      <c r="D11" s="6" t="s">
        <v>972</v>
      </c>
      <c r="E11" s="7">
        <v>18110</v>
      </c>
      <c r="F11" s="8">
        <v>516.40665000000001</v>
      </c>
      <c r="G11" s="9">
        <v>2.2490573999999999E-2</v>
      </c>
      <c r="H11" s="156"/>
    </row>
    <row r="12" spans="1:8" x14ac:dyDescent="0.2">
      <c r="A12" s="5">
        <v>6</v>
      </c>
      <c r="B12" s="6" t="s">
        <v>158</v>
      </c>
      <c r="C12" s="6" t="s">
        <v>159</v>
      </c>
      <c r="D12" s="6" t="s">
        <v>28</v>
      </c>
      <c r="E12" s="7">
        <v>73643</v>
      </c>
      <c r="F12" s="8">
        <v>510.67738350000002</v>
      </c>
      <c r="G12" s="9">
        <v>2.2241052000000001E-2</v>
      </c>
      <c r="H12" s="156"/>
    </row>
    <row r="13" spans="1:8" x14ac:dyDescent="0.2">
      <c r="A13" s="5">
        <v>7</v>
      </c>
      <c r="B13" s="6" t="s">
        <v>164</v>
      </c>
      <c r="C13" s="6" t="s">
        <v>165</v>
      </c>
      <c r="D13" s="6" t="s">
        <v>166</v>
      </c>
      <c r="E13" s="7">
        <v>541813</v>
      </c>
      <c r="F13" s="8">
        <v>509.30421999999999</v>
      </c>
      <c r="G13" s="9">
        <v>2.2181248000000001E-2</v>
      </c>
      <c r="H13" s="156"/>
    </row>
    <row r="14" spans="1:8" x14ac:dyDescent="0.2">
      <c r="A14" s="5">
        <v>8</v>
      </c>
      <c r="B14" s="6" t="s">
        <v>160</v>
      </c>
      <c r="C14" s="6" t="s">
        <v>161</v>
      </c>
      <c r="D14" s="6" t="s">
        <v>28</v>
      </c>
      <c r="E14" s="7">
        <v>74492</v>
      </c>
      <c r="F14" s="8">
        <v>502.82100000000003</v>
      </c>
      <c r="G14" s="9">
        <v>2.1898891E-2</v>
      </c>
      <c r="H14" s="156"/>
    </row>
    <row r="15" spans="1:8" x14ac:dyDescent="0.2">
      <c r="A15" s="5">
        <v>9</v>
      </c>
      <c r="B15" s="6" t="s">
        <v>48</v>
      </c>
      <c r="C15" s="6" t="s">
        <v>49</v>
      </c>
      <c r="D15" s="6" t="s">
        <v>28</v>
      </c>
      <c r="E15" s="7">
        <v>48732</v>
      </c>
      <c r="F15" s="8">
        <v>493.04601000000002</v>
      </c>
      <c r="G15" s="9">
        <v>2.147317E-2</v>
      </c>
      <c r="H15" s="156"/>
    </row>
    <row r="16" spans="1:8" x14ac:dyDescent="0.2">
      <c r="A16" s="5">
        <v>10</v>
      </c>
      <c r="B16" s="6" t="s">
        <v>167</v>
      </c>
      <c r="C16" s="6" t="s">
        <v>168</v>
      </c>
      <c r="D16" s="6" t="s">
        <v>169</v>
      </c>
      <c r="E16" s="7">
        <v>184729</v>
      </c>
      <c r="F16" s="8">
        <v>479.74121300000002</v>
      </c>
      <c r="G16" s="9">
        <v>2.0893717999999999E-2</v>
      </c>
      <c r="H16" s="156"/>
    </row>
    <row r="17" spans="1:8" x14ac:dyDescent="0.2">
      <c r="A17" s="5">
        <v>11</v>
      </c>
      <c r="B17" s="6" t="s">
        <v>189</v>
      </c>
      <c r="C17" s="6" t="s">
        <v>190</v>
      </c>
      <c r="D17" s="6" t="s">
        <v>191</v>
      </c>
      <c r="E17" s="7">
        <v>39769</v>
      </c>
      <c r="F17" s="8">
        <v>464.74053400000003</v>
      </c>
      <c r="G17" s="9">
        <v>2.0240408000000001E-2</v>
      </c>
      <c r="H17" s="156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172</v>
      </c>
      <c r="E18" s="7">
        <v>34336</v>
      </c>
      <c r="F18" s="8">
        <v>450.72867200000002</v>
      </c>
      <c r="G18" s="9">
        <v>1.9630162E-2</v>
      </c>
      <c r="H18" s="156"/>
    </row>
    <row r="19" spans="1:8" x14ac:dyDescent="0.2">
      <c r="A19" s="5">
        <v>13</v>
      </c>
      <c r="B19" s="6" t="s">
        <v>173</v>
      </c>
      <c r="C19" s="6" t="s">
        <v>174</v>
      </c>
      <c r="D19" s="6" t="s">
        <v>63</v>
      </c>
      <c r="E19" s="7">
        <v>111247</v>
      </c>
      <c r="F19" s="8">
        <v>450.04973849999999</v>
      </c>
      <c r="G19" s="9">
        <v>1.9600592999999999E-2</v>
      </c>
      <c r="H19" s="156"/>
    </row>
    <row r="20" spans="1:8" x14ac:dyDescent="0.2">
      <c r="A20" s="5">
        <v>14</v>
      </c>
      <c r="B20" s="6" t="s">
        <v>468</v>
      </c>
      <c r="C20" s="6" t="s">
        <v>469</v>
      </c>
      <c r="D20" s="6" t="s">
        <v>196</v>
      </c>
      <c r="E20" s="7">
        <v>84664</v>
      </c>
      <c r="F20" s="8">
        <v>415.57324399999999</v>
      </c>
      <c r="G20" s="9">
        <v>1.8099071000000001E-2</v>
      </c>
      <c r="H20" s="156"/>
    </row>
    <row r="21" spans="1:8" x14ac:dyDescent="0.2">
      <c r="A21" s="5">
        <v>15</v>
      </c>
      <c r="B21" s="6" t="s">
        <v>179</v>
      </c>
      <c r="C21" s="6" t="s">
        <v>180</v>
      </c>
      <c r="D21" s="6" t="s">
        <v>169</v>
      </c>
      <c r="E21" s="7">
        <v>13964</v>
      </c>
      <c r="F21" s="8">
        <v>410.38101399999999</v>
      </c>
      <c r="G21" s="9">
        <v>1.7872939000000001E-2</v>
      </c>
      <c r="H21" s="156"/>
    </row>
    <row r="22" spans="1:8" x14ac:dyDescent="0.2">
      <c r="A22" s="5">
        <v>16</v>
      </c>
      <c r="B22" s="6" t="s">
        <v>185</v>
      </c>
      <c r="C22" s="6" t="s">
        <v>186</v>
      </c>
      <c r="D22" s="6" t="s">
        <v>172</v>
      </c>
      <c r="E22" s="7">
        <v>171020</v>
      </c>
      <c r="F22" s="8">
        <v>383.08479999999997</v>
      </c>
      <c r="G22" s="9">
        <v>1.6684132000000001E-2</v>
      </c>
      <c r="H22" s="156"/>
    </row>
    <row r="23" spans="1:8" x14ac:dyDescent="0.2">
      <c r="A23" s="5">
        <v>17</v>
      </c>
      <c r="B23" s="6" t="s">
        <v>181</v>
      </c>
      <c r="C23" s="6" t="s">
        <v>182</v>
      </c>
      <c r="D23" s="6" t="s">
        <v>972</v>
      </c>
      <c r="E23" s="7">
        <v>151609</v>
      </c>
      <c r="F23" s="8">
        <v>383.04013850000001</v>
      </c>
      <c r="G23" s="9">
        <v>1.6682187000000001E-2</v>
      </c>
      <c r="H23" s="156"/>
    </row>
    <row r="24" spans="1:8" x14ac:dyDescent="0.2">
      <c r="A24" s="5">
        <v>18</v>
      </c>
      <c r="B24" s="6" t="s">
        <v>187</v>
      </c>
      <c r="C24" s="6" t="s">
        <v>188</v>
      </c>
      <c r="D24" s="6" t="s">
        <v>973</v>
      </c>
      <c r="E24" s="7">
        <v>116812</v>
      </c>
      <c r="F24" s="8">
        <v>360.59864399999998</v>
      </c>
      <c r="G24" s="9">
        <v>1.5704814000000001E-2</v>
      </c>
      <c r="H24" s="156"/>
    </row>
    <row r="25" spans="1:8" x14ac:dyDescent="0.2">
      <c r="A25" s="5">
        <v>19</v>
      </c>
      <c r="B25" s="6" t="s">
        <v>329</v>
      </c>
      <c r="C25" s="6" t="s">
        <v>330</v>
      </c>
      <c r="D25" s="6" t="s">
        <v>191</v>
      </c>
      <c r="E25" s="7">
        <v>10312</v>
      </c>
      <c r="F25" s="8">
        <v>355.11434400000002</v>
      </c>
      <c r="G25" s="9">
        <v>1.5465961E-2</v>
      </c>
      <c r="H25" s="156"/>
    </row>
    <row r="26" spans="1:8" x14ac:dyDescent="0.2">
      <c r="A26" s="5">
        <v>20</v>
      </c>
      <c r="B26" s="6" t="s">
        <v>192</v>
      </c>
      <c r="C26" s="6" t="s">
        <v>193</v>
      </c>
      <c r="D26" s="6" t="s">
        <v>196</v>
      </c>
      <c r="E26" s="7">
        <v>51431</v>
      </c>
      <c r="F26" s="8">
        <v>354.17958149999998</v>
      </c>
      <c r="G26" s="9">
        <v>1.542525E-2</v>
      </c>
      <c r="H26" s="156"/>
    </row>
    <row r="27" spans="1:8" x14ac:dyDescent="0.2">
      <c r="A27" s="5">
        <v>21</v>
      </c>
      <c r="B27" s="6" t="s">
        <v>38</v>
      </c>
      <c r="C27" s="6" t="s">
        <v>39</v>
      </c>
      <c r="D27" s="6" t="s">
        <v>40</v>
      </c>
      <c r="E27" s="7">
        <v>125414</v>
      </c>
      <c r="F27" s="8">
        <v>350.78295800000001</v>
      </c>
      <c r="G27" s="9">
        <v>1.5277321E-2</v>
      </c>
      <c r="H27" s="156"/>
    </row>
    <row r="28" spans="1:8" x14ac:dyDescent="0.2">
      <c r="A28" s="5">
        <v>22</v>
      </c>
      <c r="B28" s="6" t="s">
        <v>194</v>
      </c>
      <c r="C28" s="6" t="s">
        <v>195</v>
      </c>
      <c r="D28" s="6" t="s">
        <v>196</v>
      </c>
      <c r="E28" s="7">
        <v>84682</v>
      </c>
      <c r="F28" s="8">
        <v>349.48261400000001</v>
      </c>
      <c r="G28" s="9">
        <v>1.5220688E-2</v>
      </c>
      <c r="H28" s="156"/>
    </row>
    <row r="29" spans="1:8" x14ac:dyDescent="0.2">
      <c r="A29" s="5">
        <v>23</v>
      </c>
      <c r="B29" s="6" t="s">
        <v>458</v>
      </c>
      <c r="C29" s="6" t="s">
        <v>459</v>
      </c>
      <c r="D29" s="6" t="s">
        <v>239</v>
      </c>
      <c r="E29" s="7">
        <v>59631</v>
      </c>
      <c r="F29" s="8">
        <v>347.73817650000001</v>
      </c>
      <c r="G29" s="9">
        <v>1.5144714E-2</v>
      </c>
      <c r="H29" s="156"/>
    </row>
    <row r="30" spans="1:8" x14ac:dyDescent="0.2">
      <c r="A30" s="5">
        <v>24</v>
      </c>
      <c r="B30" s="6" t="s">
        <v>199</v>
      </c>
      <c r="C30" s="6" t="s">
        <v>200</v>
      </c>
      <c r="D30" s="6" t="s">
        <v>63</v>
      </c>
      <c r="E30" s="7">
        <v>98339</v>
      </c>
      <c r="F30" s="8">
        <v>339.76124499999997</v>
      </c>
      <c r="G30" s="9">
        <v>1.4797302E-2</v>
      </c>
      <c r="H30" s="156"/>
    </row>
    <row r="31" spans="1:8" x14ac:dyDescent="0.2">
      <c r="A31" s="5">
        <v>25</v>
      </c>
      <c r="B31" s="6" t="s">
        <v>218</v>
      </c>
      <c r="C31" s="6" t="s">
        <v>219</v>
      </c>
      <c r="D31" s="6" t="s">
        <v>63</v>
      </c>
      <c r="E31" s="7">
        <v>45220</v>
      </c>
      <c r="F31" s="8">
        <v>332.29917</v>
      </c>
      <c r="G31" s="9">
        <v>1.4472313000000001E-2</v>
      </c>
      <c r="H31" s="156"/>
    </row>
    <row r="32" spans="1:8" x14ac:dyDescent="0.2">
      <c r="A32" s="5">
        <v>26</v>
      </c>
      <c r="B32" s="6" t="s">
        <v>197</v>
      </c>
      <c r="C32" s="6" t="s">
        <v>198</v>
      </c>
      <c r="D32" s="6" t="s">
        <v>169</v>
      </c>
      <c r="E32" s="7">
        <v>7685</v>
      </c>
      <c r="F32" s="8">
        <v>330.7124475</v>
      </c>
      <c r="G32" s="9">
        <v>1.4403208000000001E-2</v>
      </c>
      <c r="H32" s="156"/>
    </row>
    <row r="33" spans="1:8" x14ac:dyDescent="0.2">
      <c r="A33" s="5">
        <v>27</v>
      </c>
      <c r="B33" s="6" t="s">
        <v>206</v>
      </c>
      <c r="C33" s="6" t="s">
        <v>207</v>
      </c>
      <c r="D33" s="6" t="s">
        <v>73</v>
      </c>
      <c r="E33" s="7">
        <v>76500</v>
      </c>
      <c r="F33" s="8">
        <v>330.13574999999997</v>
      </c>
      <c r="G33" s="9">
        <v>1.4378092E-2</v>
      </c>
      <c r="H33" s="156"/>
    </row>
    <row r="34" spans="1:8" x14ac:dyDescent="0.2">
      <c r="A34" s="5">
        <v>28</v>
      </c>
      <c r="B34" s="6" t="s">
        <v>208</v>
      </c>
      <c r="C34" s="6" t="s">
        <v>209</v>
      </c>
      <c r="D34" s="6" t="s">
        <v>976</v>
      </c>
      <c r="E34" s="7">
        <v>40169</v>
      </c>
      <c r="F34" s="8">
        <v>328.56233550000002</v>
      </c>
      <c r="G34" s="9">
        <v>1.4309567E-2</v>
      </c>
      <c r="H34" s="156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169</v>
      </c>
      <c r="E35" s="7">
        <v>37221</v>
      </c>
      <c r="F35" s="8">
        <v>319.95171599999998</v>
      </c>
      <c r="G35" s="9">
        <v>1.3934556000000001E-2</v>
      </c>
      <c r="H35" s="156"/>
    </row>
    <row r="36" spans="1:8" x14ac:dyDescent="0.2">
      <c r="A36" s="5">
        <v>30</v>
      </c>
      <c r="B36" s="6" t="s">
        <v>201</v>
      </c>
      <c r="C36" s="6" t="s">
        <v>202</v>
      </c>
      <c r="D36" s="6" t="s">
        <v>40</v>
      </c>
      <c r="E36" s="7">
        <v>288303</v>
      </c>
      <c r="F36" s="8">
        <v>319.00726950000001</v>
      </c>
      <c r="G36" s="9">
        <v>1.3893424E-2</v>
      </c>
      <c r="H36" s="156"/>
    </row>
    <row r="37" spans="1:8" x14ac:dyDescent="0.2">
      <c r="A37" s="5">
        <v>31</v>
      </c>
      <c r="B37" s="6" t="s">
        <v>212</v>
      </c>
      <c r="C37" s="6" t="s">
        <v>213</v>
      </c>
      <c r="D37" s="6" t="s">
        <v>28</v>
      </c>
      <c r="E37" s="7">
        <v>20665</v>
      </c>
      <c r="F37" s="8">
        <v>303.64117750000003</v>
      </c>
      <c r="G37" s="9">
        <v>1.3224199000000001E-2</v>
      </c>
      <c r="H37" s="156"/>
    </row>
    <row r="38" spans="1:8" x14ac:dyDescent="0.2">
      <c r="A38" s="5">
        <v>32</v>
      </c>
      <c r="B38" s="6" t="s">
        <v>224</v>
      </c>
      <c r="C38" s="6" t="s">
        <v>225</v>
      </c>
      <c r="D38" s="6" t="s">
        <v>40</v>
      </c>
      <c r="E38" s="7">
        <v>36572</v>
      </c>
      <c r="F38" s="8">
        <v>298.11665799999997</v>
      </c>
      <c r="G38" s="9">
        <v>1.2983595000000001E-2</v>
      </c>
      <c r="H38" s="156"/>
    </row>
    <row r="39" spans="1:8" x14ac:dyDescent="0.2">
      <c r="A39" s="5">
        <v>33</v>
      </c>
      <c r="B39" s="6" t="s">
        <v>79</v>
      </c>
      <c r="C39" s="6" t="s">
        <v>80</v>
      </c>
      <c r="D39" s="6" t="s">
        <v>63</v>
      </c>
      <c r="E39" s="7">
        <v>125556</v>
      </c>
      <c r="F39" s="8">
        <v>292.98492599999997</v>
      </c>
      <c r="G39" s="9">
        <v>1.2760097E-2</v>
      </c>
      <c r="H39" s="156"/>
    </row>
    <row r="40" spans="1:8" x14ac:dyDescent="0.2">
      <c r="A40" s="5">
        <v>34</v>
      </c>
      <c r="B40" s="6" t="s">
        <v>450</v>
      </c>
      <c r="C40" s="6" t="s">
        <v>451</v>
      </c>
      <c r="D40" s="6" t="s">
        <v>35</v>
      </c>
      <c r="E40" s="7">
        <v>23869</v>
      </c>
      <c r="F40" s="8">
        <v>290.4499265</v>
      </c>
      <c r="G40" s="9">
        <v>1.2649693E-2</v>
      </c>
      <c r="H40" s="156"/>
    </row>
    <row r="41" spans="1:8" x14ac:dyDescent="0.2">
      <c r="A41" s="5">
        <v>35</v>
      </c>
      <c r="B41" s="6" t="s">
        <v>454</v>
      </c>
      <c r="C41" s="6" t="s">
        <v>455</v>
      </c>
      <c r="D41" s="6" t="s">
        <v>68</v>
      </c>
      <c r="E41" s="7">
        <v>66186</v>
      </c>
      <c r="F41" s="8">
        <v>275.46613200000002</v>
      </c>
      <c r="G41" s="9">
        <v>1.1997117999999999E-2</v>
      </c>
      <c r="H41" s="156"/>
    </row>
    <row r="42" spans="1:8" x14ac:dyDescent="0.2">
      <c r="A42" s="5">
        <v>36</v>
      </c>
      <c r="B42" s="6" t="s">
        <v>216</v>
      </c>
      <c r="C42" s="6" t="s">
        <v>217</v>
      </c>
      <c r="D42" s="6" t="s">
        <v>54</v>
      </c>
      <c r="E42" s="7">
        <v>23929</v>
      </c>
      <c r="F42" s="8">
        <v>265.91101250000003</v>
      </c>
      <c r="G42" s="9">
        <v>1.1580972E-2</v>
      </c>
      <c r="H42" s="156"/>
    </row>
    <row r="43" spans="1:8" x14ac:dyDescent="0.2">
      <c r="A43" s="5">
        <v>37</v>
      </c>
      <c r="B43" s="6" t="s">
        <v>228</v>
      </c>
      <c r="C43" s="6" t="s">
        <v>229</v>
      </c>
      <c r="D43" s="6" t="s">
        <v>35</v>
      </c>
      <c r="E43" s="7">
        <v>334561</v>
      </c>
      <c r="F43" s="8">
        <v>264.63775099999998</v>
      </c>
      <c r="G43" s="9">
        <v>1.1525519E-2</v>
      </c>
      <c r="H43" s="156"/>
    </row>
    <row r="44" spans="1:8" x14ac:dyDescent="0.2">
      <c r="A44" s="5">
        <v>38</v>
      </c>
      <c r="B44" s="6" t="s">
        <v>456</v>
      </c>
      <c r="C44" s="6" t="s">
        <v>457</v>
      </c>
      <c r="D44" s="6" t="s">
        <v>63</v>
      </c>
      <c r="E44" s="7">
        <v>32427</v>
      </c>
      <c r="F44" s="8">
        <v>264.62053350000002</v>
      </c>
      <c r="G44" s="9">
        <v>1.1524769000000001E-2</v>
      </c>
      <c r="H44" s="156"/>
    </row>
    <row r="45" spans="1:8" x14ac:dyDescent="0.2">
      <c r="A45" s="5">
        <v>39</v>
      </c>
      <c r="B45" s="6" t="s">
        <v>464</v>
      </c>
      <c r="C45" s="6" t="s">
        <v>465</v>
      </c>
      <c r="D45" s="6" t="s">
        <v>974</v>
      </c>
      <c r="E45" s="7">
        <v>349791</v>
      </c>
      <c r="F45" s="8">
        <v>260.94408600000003</v>
      </c>
      <c r="G45" s="9">
        <v>1.1364653000000001E-2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166</v>
      </c>
      <c r="E46" s="7">
        <v>47844</v>
      </c>
      <c r="F46" s="8">
        <v>258.95564999999999</v>
      </c>
      <c r="G46" s="9">
        <v>1.1278052E-2</v>
      </c>
      <c r="H46" s="156"/>
    </row>
    <row r="47" spans="1:8" x14ac:dyDescent="0.2">
      <c r="A47" s="5">
        <v>41</v>
      </c>
      <c r="B47" s="6" t="s">
        <v>232</v>
      </c>
      <c r="C47" s="6" t="s">
        <v>233</v>
      </c>
      <c r="D47" s="6" t="s">
        <v>166</v>
      </c>
      <c r="E47" s="7">
        <v>476454</v>
      </c>
      <c r="F47" s="8">
        <v>256.80870599999997</v>
      </c>
      <c r="G47" s="9">
        <v>1.1184548000000001E-2</v>
      </c>
      <c r="H47" s="156"/>
    </row>
    <row r="48" spans="1:8" x14ac:dyDescent="0.2">
      <c r="A48" s="5">
        <v>42</v>
      </c>
      <c r="B48" s="6" t="s">
        <v>46</v>
      </c>
      <c r="C48" s="6" t="s">
        <v>47</v>
      </c>
      <c r="D48" s="6" t="s">
        <v>28</v>
      </c>
      <c r="E48" s="7">
        <v>13819</v>
      </c>
      <c r="F48" s="8">
        <v>254.22814299999999</v>
      </c>
      <c r="G48" s="9">
        <v>1.1072159E-2</v>
      </c>
      <c r="H48" s="156"/>
    </row>
    <row r="49" spans="1:8" x14ac:dyDescent="0.2">
      <c r="A49" s="5">
        <v>43</v>
      </c>
      <c r="B49" s="6" t="s">
        <v>234</v>
      </c>
      <c r="C49" s="6" t="s">
        <v>235</v>
      </c>
      <c r="D49" s="6" t="s">
        <v>73</v>
      </c>
      <c r="E49" s="7">
        <v>58166</v>
      </c>
      <c r="F49" s="8">
        <v>248.04890700000001</v>
      </c>
      <c r="G49" s="9">
        <v>1.0803040999999999E-2</v>
      </c>
      <c r="H49" s="156"/>
    </row>
    <row r="50" spans="1:8" x14ac:dyDescent="0.2">
      <c r="A50" s="5">
        <v>44</v>
      </c>
      <c r="B50" s="6" t="s">
        <v>240</v>
      </c>
      <c r="C50" s="6" t="s">
        <v>241</v>
      </c>
      <c r="D50" s="6" t="s">
        <v>191</v>
      </c>
      <c r="E50" s="7">
        <v>65216</v>
      </c>
      <c r="F50" s="8">
        <v>241.62528</v>
      </c>
      <c r="G50" s="9">
        <v>1.0523279E-2</v>
      </c>
      <c r="H50" s="156"/>
    </row>
    <row r="51" spans="1:8" x14ac:dyDescent="0.2">
      <c r="A51" s="5">
        <v>45</v>
      </c>
      <c r="B51" s="6" t="s">
        <v>242</v>
      </c>
      <c r="C51" s="6" t="s">
        <v>243</v>
      </c>
      <c r="D51" s="6" t="s">
        <v>196</v>
      </c>
      <c r="E51" s="7">
        <v>14493</v>
      </c>
      <c r="F51" s="8">
        <v>241.337436</v>
      </c>
      <c r="G51" s="9">
        <v>1.0510742999999999E-2</v>
      </c>
      <c r="H51" s="156"/>
    </row>
    <row r="52" spans="1:8" x14ac:dyDescent="0.2">
      <c r="A52" s="5">
        <v>46</v>
      </c>
      <c r="B52" s="6" t="s">
        <v>288</v>
      </c>
      <c r="C52" s="6" t="s">
        <v>289</v>
      </c>
      <c r="D52" s="6" t="s">
        <v>28</v>
      </c>
      <c r="E52" s="7">
        <v>21594</v>
      </c>
      <c r="F52" s="8">
        <v>238.92681300000001</v>
      </c>
      <c r="G52" s="9">
        <v>1.0405754999999999E-2</v>
      </c>
      <c r="H52" s="156"/>
    </row>
    <row r="53" spans="1:8" x14ac:dyDescent="0.2">
      <c r="A53" s="5">
        <v>47</v>
      </c>
      <c r="B53" s="6" t="s">
        <v>162</v>
      </c>
      <c r="C53" s="6" t="s">
        <v>163</v>
      </c>
      <c r="D53" s="6" t="s">
        <v>169</v>
      </c>
      <c r="E53" s="7">
        <v>23760</v>
      </c>
      <c r="F53" s="8">
        <v>238.57416000000001</v>
      </c>
      <c r="G53" s="9">
        <v>1.0390396E-2</v>
      </c>
      <c r="H53" s="156"/>
    </row>
    <row r="54" spans="1:8" x14ac:dyDescent="0.2">
      <c r="A54" s="5">
        <v>48</v>
      </c>
      <c r="B54" s="6" t="s">
        <v>237</v>
      </c>
      <c r="C54" s="6" t="s">
        <v>238</v>
      </c>
      <c r="D54" s="6" t="s">
        <v>239</v>
      </c>
      <c r="E54" s="7">
        <v>123782</v>
      </c>
      <c r="F54" s="8">
        <v>230.35830200000001</v>
      </c>
      <c r="G54" s="9">
        <v>1.0032579E-2</v>
      </c>
      <c r="H54" s="156"/>
    </row>
    <row r="55" spans="1:8" x14ac:dyDescent="0.2">
      <c r="A55" s="5">
        <v>49</v>
      </c>
      <c r="B55" s="6" t="s">
        <v>183</v>
      </c>
      <c r="C55" s="6" t="s">
        <v>184</v>
      </c>
      <c r="D55" s="6" t="s">
        <v>43</v>
      </c>
      <c r="E55" s="7">
        <v>53690</v>
      </c>
      <c r="F55" s="8">
        <v>228.61202</v>
      </c>
      <c r="G55" s="9">
        <v>9.9565239999999996E-3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43055</v>
      </c>
      <c r="F56" s="8">
        <v>225.41445250000001</v>
      </c>
      <c r="G56" s="9">
        <v>9.8172639999999992E-3</v>
      </c>
      <c r="H56" s="156"/>
    </row>
    <row r="57" spans="1:8" x14ac:dyDescent="0.2">
      <c r="A57" s="5">
        <v>51</v>
      </c>
      <c r="B57" s="6" t="s">
        <v>255</v>
      </c>
      <c r="C57" s="6" t="s">
        <v>256</v>
      </c>
      <c r="D57" s="6" t="s">
        <v>63</v>
      </c>
      <c r="E57" s="7">
        <v>34229</v>
      </c>
      <c r="F57" s="8">
        <v>225.3466215</v>
      </c>
      <c r="G57" s="9">
        <v>9.8143099999999997E-3</v>
      </c>
      <c r="H57" s="156"/>
    </row>
    <row r="58" spans="1:8" x14ac:dyDescent="0.2">
      <c r="A58" s="5">
        <v>52</v>
      </c>
      <c r="B58" s="6" t="s">
        <v>203</v>
      </c>
      <c r="C58" s="6" t="s">
        <v>204</v>
      </c>
      <c r="D58" s="6" t="s">
        <v>205</v>
      </c>
      <c r="E58" s="7">
        <v>28480</v>
      </c>
      <c r="F58" s="8">
        <v>224.90656000000001</v>
      </c>
      <c r="G58" s="9">
        <v>9.7951440000000004E-3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55842</v>
      </c>
      <c r="F59" s="8">
        <v>220.01748000000001</v>
      </c>
      <c r="G59" s="9">
        <v>9.5822149999999998E-3</v>
      </c>
      <c r="H59" s="156"/>
    </row>
    <row r="60" spans="1:8" x14ac:dyDescent="0.2">
      <c r="A60" s="5">
        <v>54</v>
      </c>
      <c r="B60" s="6" t="s">
        <v>249</v>
      </c>
      <c r="C60" s="6" t="s">
        <v>250</v>
      </c>
      <c r="D60" s="6" t="s">
        <v>73</v>
      </c>
      <c r="E60" s="7">
        <v>60710</v>
      </c>
      <c r="F60" s="8">
        <v>219.557715</v>
      </c>
      <c r="G60" s="9">
        <v>9.5621909999999994E-3</v>
      </c>
      <c r="H60" s="156"/>
    </row>
    <row r="61" spans="1:8" x14ac:dyDescent="0.2">
      <c r="A61" s="5">
        <v>55</v>
      </c>
      <c r="B61" s="6" t="s">
        <v>257</v>
      </c>
      <c r="C61" s="6" t="s">
        <v>258</v>
      </c>
      <c r="D61" s="6" t="s">
        <v>977</v>
      </c>
      <c r="E61" s="7">
        <v>235730</v>
      </c>
      <c r="F61" s="8">
        <v>216.51800499999999</v>
      </c>
      <c r="G61" s="9">
        <v>9.4298049999999994E-3</v>
      </c>
      <c r="H61" s="156"/>
    </row>
    <row r="62" spans="1:8" x14ac:dyDescent="0.2">
      <c r="A62" s="5">
        <v>56</v>
      </c>
      <c r="B62" s="6" t="s">
        <v>460</v>
      </c>
      <c r="C62" s="6" t="s">
        <v>461</v>
      </c>
      <c r="D62" s="6" t="s">
        <v>28</v>
      </c>
      <c r="E62" s="7">
        <v>35318</v>
      </c>
      <c r="F62" s="8">
        <v>214.115375</v>
      </c>
      <c r="G62" s="9">
        <v>9.3251659999999993E-3</v>
      </c>
      <c r="H62" s="156"/>
    </row>
    <row r="63" spans="1:8" x14ac:dyDescent="0.2">
      <c r="A63" s="5">
        <v>57</v>
      </c>
      <c r="B63" s="6" t="s">
        <v>259</v>
      </c>
      <c r="C63" s="6" t="s">
        <v>260</v>
      </c>
      <c r="D63" s="6" t="s">
        <v>261</v>
      </c>
      <c r="E63" s="7">
        <v>26891</v>
      </c>
      <c r="F63" s="8">
        <v>213.20529350000001</v>
      </c>
      <c r="G63" s="9">
        <v>9.2855300000000002E-3</v>
      </c>
      <c r="H63" s="156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975</v>
      </c>
      <c r="E64" s="7">
        <v>42347</v>
      </c>
      <c r="F64" s="8">
        <v>211.56561199999999</v>
      </c>
      <c r="G64" s="9">
        <v>9.2141180000000003E-3</v>
      </c>
      <c r="H64" s="156"/>
    </row>
    <row r="65" spans="1:8" x14ac:dyDescent="0.2">
      <c r="A65" s="5">
        <v>59</v>
      </c>
      <c r="B65" s="6" t="s">
        <v>220</v>
      </c>
      <c r="C65" s="6" t="s">
        <v>221</v>
      </c>
      <c r="D65" s="6" t="s">
        <v>191</v>
      </c>
      <c r="E65" s="7">
        <v>46515</v>
      </c>
      <c r="F65" s="8">
        <v>200.75873999999999</v>
      </c>
      <c r="G65" s="9">
        <v>8.7434569999999996E-3</v>
      </c>
      <c r="H65" s="156"/>
    </row>
    <row r="66" spans="1:8" x14ac:dyDescent="0.2">
      <c r="A66" s="5">
        <v>60</v>
      </c>
      <c r="B66" s="6" t="s">
        <v>462</v>
      </c>
      <c r="C66" s="6" t="s">
        <v>463</v>
      </c>
      <c r="D66" s="6" t="s">
        <v>166</v>
      </c>
      <c r="E66" s="7">
        <v>26475</v>
      </c>
      <c r="F66" s="8">
        <v>198.5625</v>
      </c>
      <c r="G66" s="9">
        <v>8.6478059999999992E-3</v>
      </c>
      <c r="H66" s="156"/>
    </row>
    <row r="67" spans="1:8" x14ac:dyDescent="0.2">
      <c r="A67" s="5">
        <v>61</v>
      </c>
      <c r="B67" s="6" t="s">
        <v>270</v>
      </c>
      <c r="C67" s="6" t="s">
        <v>271</v>
      </c>
      <c r="D67" s="6" t="s">
        <v>22</v>
      </c>
      <c r="E67" s="7">
        <v>191773</v>
      </c>
      <c r="F67" s="8">
        <v>198.48505499999999</v>
      </c>
      <c r="G67" s="9">
        <v>8.644433E-3</v>
      </c>
      <c r="H67" s="156"/>
    </row>
    <row r="68" spans="1:8" x14ac:dyDescent="0.2">
      <c r="A68" s="5">
        <v>62</v>
      </c>
      <c r="B68" s="6" t="s">
        <v>266</v>
      </c>
      <c r="C68" s="6" t="s">
        <v>267</v>
      </c>
      <c r="D68" s="6" t="s">
        <v>191</v>
      </c>
      <c r="E68" s="7">
        <v>29625</v>
      </c>
      <c r="F68" s="8">
        <v>190.16287500000001</v>
      </c>
      <c r="G68" s="9">
        <v>8.2819850000000004E-3</v>
      </c>
      <c r="H68" s="156"/>
    </row>
    <row r="69" spans="1:8" x14ac:dyDescent="0.2">
      <c r="A69" s="5">
        <v>63</v>
      </c>
      <c r="B69" s="6" t="s">
        <v>452</v>
      </c>
      <c r="C69" s="6" t="s">
        <v>453</v>
      </c>
      <c r="D69" s="6" t="s">
        <v>166</v>
      </c>
      <c r="E69" s="7">
        <v>53184</v>
      </c>
      <c r="F69" s="8">
        <v>187.31404800000001</v>
      </c>
      <c r="G69" s="9">
        <v>8.1579129999999993E-3</v>
      </c>
      <c r="H69" s="156"/>
    </row>
    <row r="70" spans="1:8" ht="25.5" x14ac:dyDescent="0.2">
      <c r="A70" s="5">
        <v>64</v>
      </c>
      <c r="B70" s="6" t="s">
        <v>214</v>
      </c>
      <c r="C70" s="6" t="s">
        <v>215</v>
      </c>
      <c r="D70" s="6" t="s">
        <v>63</v>
      </c>
      <c r="E70" s="7">
        <v>8392</v>
      </c>
      <c r="F70" s="8">
        <v>187.07446400000001</v>
      </c>
      <c r="G70" s="9">
        <v>8.1474779999999997E-3</v>
      </c>
      <c r="H70" s="156"/>
    </row>
    <row r="71" spans="1:8" x14ac:dyDescent="0.2">
      <c r="A71" s="5">
        <v>65</v>
      </c>
      <c r="B71" s="6" t="s">
        <v>272</v>
      </c>
      <c r="C71" s="6" t="s">
        <v>273</v>
      </c>
      <c r="D71" s="6" t="s">
        <v>274</v>
      </c>
      <c r="E71" s="7">
        <v>72207</v>
      </c>
      <c r="F71" s="8">
        <v>182.25046800000001</v>
      </c>
      <c r="G71" s="9">
        <v>7.9373829999999992E-3</v>
      </c>
      <c r="H71" s="156"/>
    </row>
    <row r="72" spans="1:8" ht="25.5" x14ac:dyDescent="0.2">
      <c r="A72" s="5">
        <v>66</v>
      </c>
      <c r="B72" s="6" t="s">
        <v>251</v>
      </c>
      <c r="C72" s="6" t="s">
        <v>252</v>
      </c>
      <c r="D72" s="6" t="s">
        <v>155</v>
      </c>
      <c r="E72" s="7">
        <v>42212</v>
      </c>
      <c r="F72" s="8">
        <v>159.22366400000001</v>
      </c>
      <c r="G72" s="9">
        <v>6.9345190000000001E-3</v>
      </c>
      <c r="H72" s="156"/>
    </row>
    <row r="73" spans="1:8" x14ac:dyDescent="0.2">
      <c r="A73" s="5">
        <v>67</v>
      </c>
      <c r="B73" s="6" t="s">
        <v>279</v>
      </c>
      <c r="C73" s="6" t="s">
        <v>280</v>
      </c>
      <c r="D73" s="6" t="s">
        <v>974</v>
      </c>
      <c r="E73" s="7">
        <v>8929</v>
      </c>
      <c r="F73" s="8">
        <v>135.85919949999999</v>
      </c>
      <c r="G73" s="9">
        <v>5.916948E-3</v>
      </c>
      <c r="H73" s="156"/>
    </row>
    <row r="74" spans="1:8" x14ac:dyDescent="0.2">
      <c r="A74" s="5">
        <v>68</v>
      </c>
      <c r="B74" s="6" t="s">
        <v>281</v>
      </c>
      <c r="C74" s="6" t="s">
        <v>282</v>
      </c>
      <c r="D74" s="6" t="s">
        <v>155</v>
      </c>
      <c r="E74" s="7">
        <v>8196</v>
      </c>
      <c r="F74" s="8">
        <v>128.300184</v>
      </c>
      <c r="G74" s="9">
        <v>5.5877369999999997E-3</v>
      </c>
      <c r="H74" s="156"/>
    </row>
    <row r="75" spans="1:8" x14ac:dyDescent="0.2">
      <c r="A75" s="5">
        <v>69</v>
      </c>
      <c r="B75" s="6" t="s">
        <v>244</v>
      </c>
      <c r="C75" s="6" t="s">
        <v>245</v>
      </c>
      <c r="D75" s="6" t="s">
        <v>246</v>
      </c>
      <c r="E75" s="7">
        <v>28730</v>
      </c>
      <c r="F75" s="8">
        <v>123.539</v>
      </c>
      <c r="G75" s="9">
        <v>5.3803779999999999E-3</v>
      </c>
      <c r="H75" s="156"/>
    </row>
    <row r="76" spans="1:8" x14ac:dyDescent="0.2">
      <c r="A76" s="5">
        <v>70</v>
      </c>
      <c r="B76" s="6" t="s">
        <v>294</v>
      </c>
      <c r="C76" s="6" t="s">
        <v>295</v>
      </c>
      <c r="D76" s="6" t="s">
        <v>975</v>
      </c>
      <c r="E76" s="7">
        <v>319686</v>
      </c>
      <c r="F76" s="8">
        <v>121.640523</v>
      </c>
      <c r="G76" s="9">
        <v>5.2976949999999998E-3</v>
      </c>
      <c r="H76" s="156"/>
    </row>
    <row r="77" spans="1:8" x14ac:dyDescent="0.2">
      <c r="A77" s="5">
        <v>71</v>
      </c>
      <c r="B77" s="6" t="s">
        <v>283</v>
      </c>
      <c r="C77" s="6" t="s">
        <v>284</v>
      </c>
      <c r="D77" s="6" t="s">
        <v>169</v>
      </c>
      <c r="E77" s="7">
        <v>19732</v>
      </c>
      <c r="F77" s="8">
        <v>120.059354</v>
      </c>
      <c r="G77" s="9">
        <v>5.2288320000000001E-3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0">
        <v>22275.131354000001</v>
      </c>
      <c r="G78" s="11">
        <v>0.97012786299999998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106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107</v>
      </c>
      <c r="D83" s="3" t="s">
        <v>9</v>
      </c>
      <c r="E83" s="3" t="s">
        <v>9</v>
      </c>
      <c r="F83" s="3" t="s">
        <v>9</v>
      </c>
      <c r="G83" s="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111</v>
      </c>
      <c r="D86" s="3" t="s">
        <v>9</v>
      </c>
      <c r="E86" s="3" t="s">
        <v>9</v>
      </c>
      <c r="F86" s="3" t="s">
        <v>9</v>
      </c>
      <c r="G86" s="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112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113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114</v>
      </c>
      <c r="D95" s="3" t="s">
        <v>9</v>
      </c>
      <c r="E95" s="3" t="s">
        <v>9</v>
      </c>
      <c r="F95" s="10">
        <v>22275.131354000001</v>
      </c>
      <c r="G95" s="11">
        <v>0.97012786299999998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115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116</v>
      </c>
      <c r="D101" s="3" t="s">
        <v>9</v>
      </c>
      <c r="E101" s="3" t="s">
        <v>9</v>
      </c>
      <c r="F101" s="3" t="s">
        <v>9</v>
      </c>
      <c r="G101" s="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4">
        <v>0</v>
      </c>
      <c r="G102" s="15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117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118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119</v>
      </c>
      <c r="D110" s="3" t="s">
        <v>9</v>
      </c>
      <c r="E110" s="3" t="s">
        <v>9</v>
      </c>
      <c r="F110" s="10">
        <v>0</v>
      </c>
      <c r="G110" s="11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120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121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4">
        <v>0</v>
      </c>
      <c r="G114" s="15">
        <v>0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122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105</v>
      </c>
      <c r="D117" s="3" t="s">
        <v>9</v>
      </c>
      <c r="E117" s="3" t="s">
        <v>9</v>
      </c>
      <c r="F117" s="14">
        <v>0</v>
      </c>
      <c r="G117" s="15">
        <v>0</v>
      </c>
      <c r="H117" s="156"/>
    </row>
    <row r="118" spans="1:8" x14ac:dyDescent="0.2">
      <c r="A118" s="3" t="s">
        <v>9</v>
      </c>
      <c r="B118" s="3" t="s">
        <v>9</v>
      </c>
      <c r="C118" s="12" t="s">
        <v>9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123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105</v>
      </c>
      <c r="D120" s="3" t="s">
        <v>9</v>
      </c>
      <c r="E120" s="3" t="s">
        <v>9</v>
      </c>
      <c r="F120" s="14">
        <v>0</v>
      </c>
      <c r="G120" s="15">
        <v>0</v>
      </c>
      <c r="H120" s="156"/>
    </row>
    <row r="121" spans="1:8" x14ac:dyDescent="0.2">
      <c r="A121" s="3" t="s">
        <v>9</v>
      </c>
      <c r="B121" s="3" t="s">
        <v>9</v>
      </c>
      <c r="C121" s="12" t="s">
        <v>9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124</v>
      </c>
      <c r="D122" s="3" t="s">
        <v>9</v>
      </c>
      <c r="E122" s="3" t="s">
        <v>9</v>
      </c>
      <c r="F122" s="13" t="s">
        <v>9</v>
      </c>
      <c r="G122" s="13" t="s">
        <v>9</v>
      </c>
      <c r="H122" s="156"/>
    </row>
    <row r="123" spans="1:8" x14ac:dyDescent="0.2">
      <c r="A123" s="5">
        <v>1</v>
      </c>
      <c r="B123" s="6"/>
      <c r="C123" s="6" t="s">
        <v>125</v>
      </c>
      <c r="D123" s="6"/>
      <c r="E123" s="16" t="s">
        <v>9</v>
      </c>
      <c r="F123" s="8">
        <v>420.86555900000002</v>
      </c>
      <c r="G123" s="9">
        <v>1.8329562000000001E-2</v>
      </c>
      <c r="H123" s="8">
        <v>3.3326163573085874</v>
      </c>
    </row>
    <row r="124" spans="1:8" x14ac:dyDescent="0.2">
      <c r="A124" s="5">
        <v>2</v>
      </c>
      <c r="B124" s="6"/>
      <c r="C124" s="6" t="s">
        <v>126</v>
      </c>
      <c r="D124" s="6"/>
      <c r="E124" s="16" t="s">
        <v>9</v>
      </c>
      <c r="F124" s="8">
        <v>300.60276770000002</v>
      </c>
      <c r="G124" s="9">
        <v>1.309187E-2</v>
      </c>
      <c r="H124" s="8">
        <v>3.2337849550915885</v>
      </c>
    </row>
    <row r="125" spans="1:8" x14ac:dyDescent="0.2">
      <c r="A125" s="3" t="s">
        <v>9</v>
      </c>
      <c r="B125" s="3" t="s">
        <v>9</v>
      </c>
      <c r="C125" s="4" t="s">
        <v>105</v>
      </c>
      <c r="D125" s="3" t="s">
        <v>9</v>
      </c>
      <c r="E125" s="3" t="s">
        <v>9</v>
      </c>
      <c r="F125" s="10">
        <v>721.46832670000003</v>
      </c>
      <c r="G125" s="11">
        <v>3.1421431999999999E-2</v>
      </c>
      <c r="H125" s="156"/>
    </row>
    <row r="126" spans="1:8" x14ac:dyDescent="0.2">
      <c r="A126" s="3" t="s">
        <v>9</v>
      </c>
      <c r="B126" s="3" t="s">
        <v>9</v>
      </c>
      <c r="C126" s="12" t="s">
        <v>9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127</v>
      </c>
      <c r="D127" s="3" t="s">
        <v>9</v>
      </c>
      <c r="E127" s="3" t="s">
        <v>9</v>
      </c>
      <c r="F127" s="10">
        <v>721.46832670000003</v>
      </c>
      <c r="G127" s="11">
        <v>3.1421431999999999E-2</v>
      </c>
      <c r="H127" s="156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128</v>
      </c>
      <c r="D129" s="3" t="s">
        <v>9</v>
      </c>
      <c r="E129" s="3" t="s">
        <v>9</v>
      </c>
      <c r="F129" s="3" t="s">
        <v>9</v>
      </c>
      <c r="G129" s="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129</v>
      </c>
      <c r="D130" s="3" t="s">
        <v>9</v>
      </c>
      <c r="E130" s="3" t="s">
        <v>9</v>
      </c>
      <c r="F130" s="3" t="s">
        <v>9</v>
      </c>
      <c r="G130" s="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105</v>
      </c>
      <c r="D131" s="3" t="s">
        <v>9</v>
      </c>
      <c r="E131" s="3" t="s">
        <v>9</v>
      </c>
      <c r="F131" s="14">
        <v>0</v>
      </c>
      <c r="G131" s="15">
        <v>0</v>
      </c>
      <c r="H131" s="156"/>
    </row>
    <row r="132" spans="1:8" x14ac:dyDescent="0.2">
      <c r="A132" s="3" t="s">
        <v>9</v>
      </c>
      <c r="B132" s="3" t="s">
        <v>9</v>
      </c>
      <c r="C132" s="12" t="s">
        <v>9</v>
      </c>
      <c r="D132" s="3" t="s">
        <v>9</v>
      </c>
      <c r="E132" s="3" t="s">
        <v>9</v>
      </c>
      <c r="F132" s="13" t="s">
        <v>9</v>
      </c>
      <c r="G132" s="1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130</v>
      </c>
      <c r="D133" s="3" t="s">
        <v>9</v>
      </c>
      <c r="E133" s="3" t="s">
        <v>9</v>
      </c>
      <c r="F133" s="3" t="s">
        <v>9</v>
      </c>
      <c r="G133" s="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131</v>
      </c>
      <c r="D134" s="3" t="s">
        <v>9</v>
      </c>
      <c r="E134" s="3" t="s">
        <v>9</v>
      </c>
      <c r="F134" s="3" t="s">
        <v>9</v>
      </c>
      <c r="G134" s="3" t="s">
        <v>9</v>
      </c>
      <c r="H134" s="156"/>
    </row>
    <row r="135" spans="1:8" x14ac:dyDescent="0.2">
      <c r="A135" s="3" t="s">
        <v>9</v>
      </c>
      <c r="B135" s="3" t="s">
        <v>9</v>
      </c>
      <c r="C135" s="4" t="s">
        <v>105</v>
      </c>
      <c r="D135" s="3" t="s">
        <v>9</v>
      </c>
      <c r="E135" s="3" t="s">
        <v>9</v>
      </c>
      <c r="F135" s="14">
        <v>0</v>
      </c>
      <c r="G135" s="15">
        <v>0</v>
      </c>
      <c r="H135" s="156"/>
    </row>
    <row r="136" spans="1:8" x14ac:dyDescent="0.2">
      <c r="A136" s="3" t="s">
        <v>9</v>
      </c>
      <c r="B136" s="3" t="s">
        <v>9</v>
      </c>
      <c r="C136" s="12" t="s">
        <v>9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12" t="s">
        <v>9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4" t="s">
        <v>132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3" t="s">
        <v>9</v>
      </c>
      <c r="C139" s="4" t="s">
        <v>105</v>
      </c>
      <c r="D139" s="3" t="s">
        <v>9</v>
      </c>
      <c r="E139" s="3" t="s">
        <v>9</v>
      </c>
      <c r="F139" s="14">
        <v>0</v>
      </c>
      <c r="G139" s="15">
        <v>0</v>
      </c>
      <c r="H139" s="156"/>
    </row>
    <row r="140" spans="1:8" x14ac:dyDescent="0.2">
      <c r="A140" s="3" t="s">
        <v>9</v>
      </c>
      <c r="B140" s="3" t="s">
        <v>9</v>
      </c>
      <c r="C140" s="12" t="s">
        <v>9</v>
      </c>
      <c r="D140" s="3" t="s">
        <v>9</v>
      </c>
      <c r="E140" s="3" t="s">
        <v>9</v>
      </c>
      <c r="F140" s="13" t="s">
        <v>9</v>
      </c>
      <c r="G140" s="13" t="s">
        <v>9</v>
      </c>
      <c r="H140" s="156"/>
    </row>
    <row r="141" spans="1:8" x14ac:dyDescent="0.2">
      <c r="A141" s="3" t="s">
        <v>9</v>
      </c>
      <c r="B141" s="6" t="s">
        <v>9</v>
      </c>
      <c r="C141" s="6" t="s">
        <v>9</v>
      </c>
      <c r="D141" s="4" t="s">
        <v>9</v>
      </c>
      <c r="E141" s="3" t="s">
        <v>9</v>
      </c>
      <c r="F141" s="6" t="s">
        <v>9</v>
      </c>
      <c r="G141" s="16" t="s">
        <v>9</v>
      </c>
      <c r="H141" s="156"/>
    </row>
    <row r="142" spans="1:8" x14ac:dyDescent="0.2">
      <c r="A142" s="16" t="s">
        <v>9</v>
      </c>
      <c r="B142" s="6" t="s">
        <v>9</v>
      </c>
      <c r="C142" s="6" t="s">
        <v>133</v>
      </c>
      <c r="D142" s="6" t="s">
        <v>9</v>
      </c>
      <c r="E142" s="16" t="s">
        <v>9</v>
      </c>
      <c r="F142" s="8">
        <v>-35.573414499999998</v>
      </c>
      <c r="G142" s="9">
        <v>-1.549295E-3</v>
      </c>
      <c r="H142" s="156"/>
    </row>
    <row r="143" spans="1:8" x14ac:dyDescent="0.2">
      <c r="A143" s="12" t="s">
        <v>9</v>
      </c>
      <c r="B143" s="12" t="s">
        <v>9</v>
      </c>
      <c r="C143" s="4" t="s">
        <v>134</v>
      </c>
      <c r="D143" s="17" t="s">
        <v>9</v>
      </c>
      <c r="E143" s="17" t="s">
        <v>9</v>
      </c>
      <c r="F143" s="10">
        <v>22961.026266199999</v>
      </c>
      <c r="G143" s="11">
        <v>1</v>
      </c>
      <c r="H143" s="156"/>
    </row>
    <row r="144" spans="1:8" ht="14.1" customHeight="1" x14ac:dyDescent="0.2">
      <c r="A144" s="18" t="s">
        <v>9</v>
      </c>
      <c r="B144" s="18" t="s">
        <v>9</v>
      </c>
      <c r="C144" s="18" t="s">
        <v>9</v>
      </c>
      <c r="D144" s="19" t="s">
        <v>9</v>
      </c>
      <c r="E144" s="19" t="s">
        <v>9</v>
      </c>
      <c r="F144" s="19" t="s">
        <v>9</v>
      </c>
      <c r="G144" s="19" t="s">
        <v>9</v>
      </c>
    </row>
    <row r="145" spans="1:7" ht="14.1" customHeight="1" x14ac:dyDescent="0.2">
      <c r="A145" s="20" t="s">
        <v>9</v>
      </c>
      <c r="B145" s="200" t="s">
        <v>9</v>
      </c>
      <c r="C145" s="200"/>
      <c r="D145" s="200"/>
      <c r="E145" s="200"/>
      <c r="F145" s="200"/>
      <c r="G145" s="22" t="s">
        <v>9</v>
      </c>
    </row>
    <row r="146" spans="1:7" ht="14.1" customHeight="1" x14ac:dyDescent="0.2">
      <c r="A146" s="20" t="s">
        <v>9</v>
      </c>
      <c r="B146" s="200" t="s">
        <v>9</v>
      </c>
      <c r="C146" s="200"/>
      <c r="D146" s="200"/>
      <c r="E146" s="200"/>
      <c r="F146" s="200"/>
      <c r="G146" s="22" t="s">
        <v>9</v>
      </c>
    </row>
    <row r="147" spans="1:7" ht="14.1" customHeight="1" x14ac:dyDescent="0.2">
      <c r="A147" s="20" t="s">
        <v>9</v>
      </c>
      <c r="B147" s="20" t="s">
        <v>9</v>
      </c>
      <c r="C147" s="20" t="s">
        <v>9</v>
      </c>
      <c r="D147" s="22" t="s">
        <v>9</v>
      </c>
      <c r="E147" s="22" t="s">
        <v>9</v>
      </c>
      <c r="F147" s="22" t="s">
        <v>9</v>
      </c>
      <c r="G147" s="22" t="s">
        <v>9</v>
      </c>
    </row>
    <row r="148" spans="1:7" ht="14.1" customHeight="1" x14ac:dyDescent="0.2">
      <c r="A148" s="20" t="s">
        <v>9</v>
      </c>
      <c r="B148" s="198" t="s">
        <v>136</v>
      </c>
      <c r="C148" s="199"/>
      <c r="D148" s="13" t="s">
        <v>9</v>
      </c>
      <c r="E148" s="23" t="s">
        <v>9</v>
      </c>
      <c r="F148" s="22" t="s">
        <v>9</v>
      </c>
      <c r="G148" s="22" t="s">
        <v>9</v>
      </c>
    </row>
    <row r="149" spans="1:7" ht="29.1" customHeight="1" x14ac:dyDescent="0.2">
      <c r="A149" s="20" t="s">
        <v>9</v>
      </c>
      <c r="B149" s="205" t="s">
        <v>137</v>
      </c>
      <c r="C149" s="206"/>
      <c r="D149" s="4" t="s">
        <v>138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05" t="s">
        <v>139</v>
      </c>
      <c r="C150" s="206"/>
      <c r="D150" s="4" t="s">
        <v>138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05" t="s">
        <v>140</v>
      </c>
      <c r="C151" s="206"/>
      <c r="D151" s="13" t="s">
        <v>9</v>
      </c>
      <c r="E151" s="23" t="s">
        <v>9</v>
      </c>
      <c r="F151" s="22" t="s">
        <v>9</v>
      </c>
      <c r="G151" s="22" t="s">
        <v>9</v>
      </c>
    </row>
    <row r="152" spans="1:7" ht="24" customHeight="1" x14ac:dyDescent="0.2">
      <c r="A152" s="24" t="s">
        <v>9</v>
      </c>
      <c r="B152" s="25" t="s">
        <v>9</v>
      </c>
      <c r="C152" s="25" t="s">
        <v>141</v>
      </c>
      <c r="D152" s="25" t="s">
        <v>142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5" t="s">
        <v>143</v>
      </c>
      <c r="C153" s="25" t="s">
        <v>144</v>
      </c>
      <c r="D153" s="25" t="s">
        <v>145</v>
      </c>
      <c r="E153" s="24" t="s">
        <v>9</v>
      </c>
      <c r="F153" s="24" t="s">
        <v>9</v>
      </c>
      <c r="G153" s="24" t="s">
        <v>9</v>
      </c>
    </row>
    <row r="154" spans="1:7" ht="17.100000000000001" customHeight="1" x14ac:dyDescent="0.2">
      <c r="A154" s="24" t="s">
        <v>9</v>
      </c>
      <c r="B154" s="6" t="s">
        <v>146</v>
      </c>
      <c r="C154" s="26">
        <v>13.9993</v>
      </c>
      <c r="D154" s="26">
        <v>15.064500000000001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839</v>
      </c>
      <c r="C155" s="26">
        <v>13.7423</v>
      </c>
      <c r="D155" s="26">
        <v>14.7879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147</v>
      </c>
      <c r="C156" s="26">
        <v>13.6441</v>
      </c>
      <c r="D156" s="26">
        <v>14.6751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840</v>
      </c>
      <c r="C157" s="26">
        <v>13.387</v>
      </c>
      <c r="D157" s="26">
        <v>14.3986</v>
      </c>
      <c r="E157" s="24" t="s">
        <v>9</v>
      </c>
      <c r="F157" s="21" t="s">
        <v>9</v>
      </c>
      <c r="G157" s="27" t="s">
        <v>9</v>
      </c>
    </row>
    <row r="158" spans="1:7" ht="14.1" customHeight="1" x14ac:dyDescent="0.2">
      <c r="A158" s="24" t="s">
        <v>9</v>
      </c>
      <c r="B158" s="24" t="s">
        <v>9</v>
      </c>
      <c r="C158" s="24" t="s">
        <v>9</v>
      </c>
      <c r="D158" s="24" t="s">
        <v>9</v>
      </c>
      <c r="E158" s="24" t="s">
        <v>9</v>
      </c>
      <c r="F158" s="24" t="s">
        <v>9</v>
      </c>
      <c r="G158" s="24" t="s">
        <v>9</v>
      </c>
    </row>
    <row r="159" spans="1:7" ht="17.100000000000001" customHeight="1" x14ac:dyDescent="0.2">
      <c r="A159" s="24" t="s">
        <v>9</v>
      </c>
      <c r="B159" s="205" t="s">
        <v>1013</v>
      </c>
      <c r="C159" s="206"/>
      <c r="D159" s="4" t="s">
        <v>138</v>
      </c>
      <c r="E159" s="24" t="s">
        <v>9</v>
      </c>
      <c r="F159" s="24" t="s">
        <v>9</v>
      </c>
      <c r="G159" s="24" t="s">
        <v>9</v>
      </c>
    </row>
    <row r="160" spans="1:7" ht="18" customHeight="1" x14ac:dyDescent="0.2">
      <c r="A160" s="24" t="s">
        <v>9</v>
      </c>
      <c r="B160" s="30"/>
      <c r="C160" s="30"/>
      <c r="D160" s="28" t="s">
        <v>9</v>
      </c>
      <c r="E160" s="24" t="s">
        <v>9</v>
      </c>
      <c r="F160" s="24" t="s">
        <v>9</v>
      </c>
      <c r="G160" s="24" t="s">
        <v>9</v>
      </c>
    </row>
    <row r="161" spans="1:7" s="197" customFormat="1" x14ac:dyDescent="0.2">
      <c r="B161" s="208" t="s">
        <v>841</v>
      </c>
      <c r="C161" s="208"/>
      <c r="D161" s="208"/>
      <c r="E161" s="208"/>
      <c r="F161" s="208"/>
    </row>
    <row r="162" spans="1:7" ht="14.1" customHeight="1" x14ac:dyDescent="0.2">
      <c r="A162" s="24" t="s">
        <v>9</v>
      </c>
      <c r="B162" s="21" t="s">
        <v>9</v>
      </c>
      <c r="C162" s="21" t="s">
        <v>9</v>
      </c>
      <c r="D162" s="24" t="s">
        <v>9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05" t="s">
        <v>148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05" t="s">
        <v>149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  <row r="165" spans="1:7" ht="17.100000000000001" customHeight="1" x14ac:dyDescent="0.2">
      <c r="A165" s="24" t="s">
        <v>9</v>
      </c>
      <c r="B165" s="205" t="s">
        <v>150</v>
      </c>
      <c r="C165" s="206"/>
      <c r="D165" s="29">
        <v>0.48494363796924222</v>
      </c>
      <c r="E165" s="24" t="s">
        <v>9</v>
      </c>
      <c r="F165" s="21" t="s">
        <v>9</v>
      </c>
      <c r="G165" s="27" t="s">
        <v>9</v>
      </c>
    </row>
    <row r="166" spans="1:7" ht="17.100000000000001" customHeight="1" x14ac:dyDescent="0.2">
      <c r="A166" s="24" t="s">
        <v>9</v>
      </c>
      <c r="B166" s="205" t="s">
        <v>151</v>
      </c>
      <c r="C166" s="206"/>
      <c r="D166" s="4" t="s">
        <v>138</v>
      </c>
      <c r="E166" s="24" t="s">
        <v>9</v>
      </c>
      <c r="F166" s="24" t="s">
        <v>9</v>
      </c>
      <c r="G166" s="24" t="s">
        <v>9</v>
      </c>
    </row>
  </sheetData>
  <mergeCells count="15"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470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16133</v>
      </c>
      <c r="F7" s="8">
        <v>604.86650250000002</v>
      </c>
      <c r="G7" s="9">
        <v>3.6787476999999999E-2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47303</v>
      </c>
      <c r="F8" s="8">
        <v>587.47960850000004</v>
      </c>
      <c r="G8" s="9">
        <v>3.5730021000000001E-2</v>
      </c>
      <c r="H8" s="156"/>
    </row>
    <row r="9" spans="1:8" x14ac:dyDescent="0.2">
      <c r="A9" s="5">
        <v>3</v>
      </c>
      <c r="B9" s="6" t="s">
        <v>292</v>
      </c>
      <c r="C9" s="6" t="s">
        <v>293</v>
      </c>
      <c r="D9" s="6" t="s">
        <v>28</v>
      </c>
      <c r="E9" s="7">
        <v>72000</v>
      </c>
      <c r="F9" s="8">
        <v>485.67599999999999</v>
      </c>
      <c r="G9" s="9">
        <v>2.9538410000000001E-2</v>
      </c>
      <c r="H9" s="156"/>
    </row>
    <row r="10" spans="1:8" x14ac:dyDescent="0.2">
      <c r="A10" s="5">
        <v>4</v>
      </c>
      <c r="B10" s="6" t="s">
        <v>158</v>
      </c>
      <c r="C10" s="6" t="s">
        <v>159</v>
      </c>
      <c r="D10" s="6" t="s">
        <v>28</v>
      </c>
      <c r="E10" s="7">
        <v>58698</v>
      </c>
      <c r="F10" s="8">
        <v>407.04128100000003</v>
      </c>
      <c r="G10" s="9">
        <v>2.4755912000000001E-2</v>
      </c>
      <c r="H10" s="156"/>
    </row>
    <row r="11" spans="1:8" x14ac:dyDescent="0.2">
      <c r="A11" s="5">
        <v>5</v>
      </c>
      <c r="B11" s="6" t="s">
        <v>160</v>
      </c>
      <c r="C11" s="6" t="s">
        <v>161</v>
      </c>
      <c r="D11" s="6" t="s">
        <v>28</v>
      </c>
      <c r="E11" s="7">
        <v>55758</v>
      </c>
      <c r="F11" s="8">
        <v>376.36649999999997</v>
      </c>
      <c r="G11" s="9">
        <v>2.2890297E-2</v>
      </c>
      <c r="H11" s="156"/>
    </row>
    <row r="12" spans="1:8" x14ac:dyDescent="0.2">
      <c r="A12" s="5">
        <v>6</v>
      </c>
      <c r="B12" s="6" t="s">
        <v>31</v>
      </c>
      <c r="C12" s="6" t="s">
        <v>32</v>
      </c>
      <c r="D12" s="6" t="s">
        <v>972</v>
      </c>
      <c r="E12" s="7">
        <v>13080</v>
      </c>
      <c r="F12" s="8">
        <v>372.97620000000001</v>
      </c>
      <c r="G12" s="9">
        <v>2.2684102000000001E-2</v>
      </c>
      <c r="H12" s="156"/>
    </row>
    <row r="13" spans="1:8" x14ac:dyDescent="0.2">
      <c r="A13" s="5">
        <v>7</v>
      </c>
      <c r="B13" s="6" t="s">
        <v>164</v>
      </c>
      <c r="C13" s="6" t="s">
        <v>165</v>
      </c>
      <c r="D13" s="6" t="s">
        <v>166</v>
      </c>
      <c r="E13" s="7">
        <v>389455</v>
      </c>
      <c r="F13" s="8">
        <v>366.08769999999998</v>
      </c>
      <c r="G13" s="9">
        <v>2.2265149000000001E-2</v>
      </c>
      <c r="H13" s="156"/>
    </row>
    <row r="14" spans="1:8" x14ac:dyDescent="0.2">
      <c r="A14" s="5">
        <v>8</v>
      </c>
      <c r="B14" s="6" t="s">
        <v>167</v>
      </c>
      <c r="C14" s="6" t="s">
        <v>168</v>
      </c>
      <c r="D14" s="6" t="s">
        <v>169</v>
      </c>
      <c r="E14" s="7">
        <v>134408</v>
      </c>
      <c r="F14" s="8">
        <v>349.05757599999998</v>
      </c>
      <c r="G14" s="9">
        <v>2.1229391E-2</v>
      </c>
      <c r="H14" s="156"/>
    </row>
    <row r="15" spans="1:8" x14ac:dyDescent="0.2">
      <c r="A15" s="5">
        <v>9</v>
      </c>
      <c r="B15" s="6" t="s">
        <v>173</v>
      </c>
      <c r="C15" s="6" t="s">
        <v>174</v>
      </c>
      <c r="D15" s="6" t="s">
        <v>63</v>
      </c>
      <c r="E15" s="7">
        <v>80777</v>
      </c>
      <c r="F15" s="8">
        <v>326.78335349999998</v>
      </c>
      <c r="G15" s="9">
        <v>1.9874691999999999E-2</v>
      </c>
      <c r="H15" s="156"/>
    </row>
    <row r="16" spans="1:8" x14ac:dyDescent="0.2">
      <c r="A16" s="5">
        <v>10</v>
      </c>
      <c r="B16" s="6" t="s">
        <v>170</v>
      </c>
      <c r="C16" s="6" t="s">
        <v>171</v>
      </c>
      <c r="D16" s="6" t="s">
        <v>172</v>
      </c>
      <c r="E16" s="7">
        <v>24588</v>
      </c>
      <c r="F16" s="8">
        <v>322.76667600000002</v>
      </c>
      <c r="G16" s="9">
        <v>1.9630400999999999E-2</v>
      </c>
      <c r="H16" s="156"/>
    </row>
    <row r="17" spans="1:8" x14ac:dyDescent="0.2">
      <c r="A17" s="5">
        <v>11</v>
      </c>
      <c r="B17" s="6" t="s">
        <v>48</v>
      </c>
      <c r="C17" s="6" t="s">
        <v>49</v>
      </c>
      <c r="D17" s="6" t="s">
        <v>28</v>
      </c>
      <c r="E17" s="7">
        <v>31667</v>
      </c>
      <c r="F17" s="8">
        <v>320.3908725</v>
      </c>
      <c r="G17" s="9">
        <v>1.9485906000000001E-2</v>
      </c>
      <c r="H17" s="156"/>
    </row>
    <row r="18" spans="1:8" x14ac:dyDescent="0.2">
      <c r="A18" s="5">
        <v>12</v>
      </c>
      <c r="B18" s="6" t="s">
        <v>448</v>
      </c>
      <c r="C18" s="6" t="s">
        <v>449</v>
      </c>
      <c r="D18" s="6" t="s">
        <v>63</v>
      </c>
      <c r="E18" s="7">
        <v>101250</v>
      </c>
      <c r="F18" s="8">
        <v>317.46937500000001</v>
      </c>
      <c r="G18" s="9">
        <v>1.9308222999999999E-2</v>
      </c>
      <c r="H18" s="156"/>
    </row>
    <row r="19" spans="1:8" x14ac:dyDescent="0.2">
      <c r="A19" s="5">
        <v>13</v>
      </c>
      <c r="B19" s="6" t="s">
        <v>468</v>
      </c>
      <c r="C19" s="6" t="s">
        <v>469</v>
      </c>
      <c r="D19" s="6" t="s">
        <v>196</v>
      </c>
      <c r="E19" s="7">
        <v>62069</v>
      </c>
      <c r="F19" s="8">
        <v>304.66568649999999</v>
      </c>
      <c r="G19" s="9">
        <v>1.8529514E-2</v>
      </c>
      <c r="H19" s="156"/>
    </row>
    <row r="20" spans="1:8" x14ac:dyDescent="0.2">
      <c r="A20" s="5">
        <v>14</v>
      </c>
      <c r="B20" s="6" t="s">
        <v>179</v>
      </c>
      <c r="C20" s="6" t="s">
        <v>180</v>
      </c>
      <c r="D20" s="6" t="s">
        <v>169</v>
      </c>
      <c r="E20" s="7">
        <v>10158</v>
      </c>
      <c r="F20" s="8">
        <v>298.52838300000002</v>
      </c>
      <c r="G20" s="9">
        <v>1.8156248E-2</v>
      </c>
      <c r="H20" s="156"/>
    </row>
    <row r="21" spans="1:8" x14ac:dyDescent="0.2">
      <c r="A21" s="5">
        <v>15</v>
      </c>
      <c r="B21" s="6" t="s">
        <v>181</v>
      </c>
      <c r="C21" s="6" t="s">
        <v>182</v>
      </c>
      <c r="D21" s="6" t="s">
        <v>972</v>
      </c>
      <c r="E21" s="7">
        <v>111054</v>
      </c>
      <c r="F21" s="8">
        <v>280.57793099999998</v>
      </c>
      <c r="G21" s="9">
        <v>1.7064515999999998E-2</v>
      </c>
      <c r="H21" s="156"/>
    </row>
    <row r="22" spans="1:8" x14ac:dyDescent="0.2">
      <c r="A22" s="5">
        <v>16</v>
      </c>
      <c r="B22" s="6" t="s">
        <v>185</v>
      </c>
      <c r="C22" s="6" t="s">
        <v>186</v>
      </c>
      <c r="D22" s="6" t="s">
        <v>172</v>
      </c>
      <c r="E22" s="7">
        <v>124748</v>
      </c>
      <c r="F22" s="8">
        <v>279.43552</v>
      </c>
      <c r="G22" s="9">
        <v>1.6995036000000002E-2</v>
      </c>
      <c r="H22" s="156"/>
    </row>
    <row r="23" spans="1:8" x14ac:dyDescent="0.2">
      <c r="A23" s="5">
        <v>17</v>
      </c>
      <c r="B23" s="6" t="s">
        <v>189</v>
      </c>
      <c r="C23" s="6" t="s">
        <v>190</v>
      </c>
      <c r="D23" s="6" t="s">
        <v>191</v>
      </c>
      <c r="E23" s="7">
        <v>22184</v>
      </c>
      <c r="F23" s="8">
        <v>259.24222400000002</v>
      </c>
      <c r="G23" s="9">
        <v>1.5766895999999999E-2</v>
      </c>
      <c r="H23" s="156"/>
    </row>
    <row r="24" spans="1:8" x14ac:dyDescent="0.2">
      <c r="A24" s="5">
        <v>18</v>
      </c>
      <c r="B24" s="6" t="s">
        <v>187</v>
      </c>
      <c r="C24" s="6" t="s">
        <v>188</v>
      </c>
      <c r="D24" s="6" t="s">
        <v>973</v>
      </c>
      <c r="E24" s="7">
        <v>83551</v>
      </c>
      <c r="F24" s="8">
        <v>257.92193700000001</v>
      </c>
      <c r="G24" s="9">
        <v>1.5686598E-2</v>
      </c>
      <c r="H24" s="156"/>
    </row>
    <row r="25" spans="1:8" x14ac:dyDescent="0.2">
      <c r="A25" s="5">
        <v>19</v>
      </c>
      <c r="B25" s="6" t="s">
        <v>192</v>
      </c>
      <c r="C25" s="6" t="s">
        <v>193</v>
      </c>
      <c r="D25" s="6" t="s">
        <v>196</v>
      </c>
      <c r="E25" s="7">
        <v>37335</v>
      </c>
      <c r="F25" s="8">
        <v>257.10747750000002</v>
      </c>
      <c r="G25" s="9">
        <v>1.5637063E-2</v>
      </c>
      <c r="H25" s="156"/>
    </row>
    <row r="26" spans="1:8" x14ac:dyDescent="0.2">
      <c r="A26" s="5">
        <v>20</v>
      </c>
      <c r="B26" s="6" t="s">
        <v>194</v>
      </c>
      <c r="C26" s="6" t="s">
        <v>195</v>
      </c>
      <c r="D26" s="6" t="s">
        <v>196</v>
      </c>
      <c r="E26" s="7">
        <v>61648</v>
      </c>
      <c r="F26" s="8">
        <v>254.42129600000001</v>
      </c>
      <c r="G26" s="9">
        <v>1.5473692000000001E-2</v>
      </c>
      <c r="H26" s="156"/>
    </row>
    <row r="27" spans="1:8" x14ac:dyDescent="0.2">
      <c r="A27" s="5">
        <v>21</v>
      </c>
      <c r="B27" s="6" t="s">
        <v>458</v>
      </c>
      <c r="C27" s="6" t="s">
        <v>459</v>
      </c>
      <c r="D27" s="6" t="s">
        <v>239</v>
      </c>
      <c r="E27" s="7">
        <v>43487</v>
      </c>
      <c r="F27" s="8">
        <v>253.59444049999999</v>
      </c>
      <c r="G27" s="9">
        <v>1.5423403E-2</v>
      </c>
      <c r="H27" s="156"/>
    </row>
    <row r="28" spans="1:8" x14ac:dyDescent="0.2">
      <c r="A28" s="5">
        <v>22</v>
      </c>
      <c r="B28" s="6" t="s">
        <v>208</v>
      </c>
      <c r="C28" s="6" t="s">
        <v>209</v>
      </c>
      <c r="D28" s="6" t="s">
        <v>976</v>
      </c>
      <c r="E28" s="7">
        <v>30000</v>
      </c>
      <c r="F28" s="8">
        <v>245.38499999999999</v>
      </c>
      <c r="G28" s="9">
        <v>1.4924112E-2</v>
      </c>
      <c r="H28" s="156"/>
    </row>
    <row r="29" spans="1:8" x14ac:dyDescent="0.2">
      <c r="A29" s="5">
        <v>23</v>
      </c>
      <c r="B29" s="6" t="s">
        <v>199</v>
      </c>
      <c r="C29" s="6" t="s">
        <v>200</v>
      </c>
      <c r="D29" s="6" t="s">
        <v>63</v>
      </c>
      <c r="E29" s="7">
        <v>70796</v>
      </c>
      <c r="F29" s="8">
        <v>244.60017999999999</v>
      </c>
      <c r="G29" s="9">
        <v>1.4876379E-2</v>
      </c>
      <c r="H29" s="156"/>
    </row>
    <row r="30" spans="1:8" x14ac:dyDescent="0.2">
      <c r="A30" s="5">
        <v>24</v>
      </c>
      <c r="B30" s="6" t="s">
        <v>162</v>
      </c>
      <c r="C30" s="6" t="s">
        <v>163</v>
      </c>
      <c r="D30" s="6" t="s">
        <v>169</v>
      </c>
      <c r="E30" s="7">
        <v>23992</v>
      </c>
      <c r="F30" s="8">
        <v>240.903672</v>
      </c>
      <c r="G30" s="9">
        <v>1.4651561E-2</v>
      </c>
      <c r="H30" s="156"/>
    </row>
    <row r="31" spans="1:8" x14ac:dyDescent="0.2">
      <c r="A31" s="5">
        <v>25</v>
      </c>
      <c r="B31" s="6" t="s">
        <v>206</v>
      </c>
      <c r="C31" s="6" t="s">
        <v>207</v>
      </c>
      <c r="D31" s="6" t="s">
        <v>73</v>
      </c>
      <c r="E31" s="7">
        <v>55539</v>
      </c>
      <c r="F31" s="8">
        <v>239.67855449999999</v>
      </c>
      <c r="G31" s="9">
        <v>1.4577049999999999E-2</v>
      </c>
      <c r="H31" s="156"/>
    </row>
    <row r="32" spans="1:8" x14ac:dyDescent="0.2">
      <c r="A32" s="5">
        <v>26</v>
      </c>
      <c r="B32" s="6" t="s">
        <v>197</v>
      </c>
      <c r="C32" s="6" t="s">
        <v>198</v>
      </c>
      <c r="D32" s="6" t="s">
        <v>169</v>
      </c>
      <c r="E32" s="7">
        <v>5528</v>
      </c>
      <c r="F32" s="8">
        <v>237.88918799999999</v>
      </c>
      <c r="G32" s="9">
        <v>1.4468223000000001E-2</v>
      </c>
      <c r="H32" s="156"/>
    </row>
    <row r="33" spans="1:8" ht="25.5" x14ac:dyDescent="0.2">
      <c r="A33" s="5">
        <v>27</v>
      </c>
      <c r="B33" s="6" t="s">
        <v>214</v>
      </c>
      <c r="C33" s="6" t="s">
        <v>215</v>
      </c>
      <c r="D33" s="6" t="s">
        <v>63</v>
      </c>
      <c r="E33" s="7">
        <v>10609</v>
      </c>
      <c r="F33" s="8">
        <v>236.49582799999999</v>
      </c>
      <c r="G33" s="9">
        <v>1.4383480000000001E-2</v>
      </c>
      <c r="H33" s="156"/>
    </row>
    <row r="34" spans="1:8" x14ac:dyDescent="0.2">
      <c r="A34" s="5">
        <v>28</v>
      </c>
      <c r="B34" s="6" t="s">
        <v>329</v>
      </c>
      <c r="C34" s="6" t="s">
        <v>330</v>
      </c>
      <c r="D34" s="6" t="s">
        <v>191</v>
      </c>
      <c r="E34" s="7">
        <v>6790</v>
      </c>
      <c r="F34" s="8">
        <v>233.82722999999999</v>
      </c>
      <c r="G34" s="9">
        <v>1.4221177999999999E-2</v>
      </c>
      <c r="H34" s="156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169</v>
      </c>
      <c r="E35" s="7">
        <v>26792</v>
      </c>
      <c r="F35" s="8">
        <v>230.30403200000001</v>
      </c>
      <c r="G35" s="9">
        <v>1.4006899999999999E-2</v>
      </c>
      <c r="H35" s="156"/>
    </row>
    <row r="36" spans="1:8" x14ac:dyDescent="0.2">
      <c r="A36" s="5">
        <v>30</v>
      </c>
      <c r="B36" s="6" t="s">
        <v>201</v>
      </c>
      <c r="C36" s="6" t="s">
        <v>202</v>
      </c>
      <c r="D36" s="6" t="s">
        <v>40</v>
      </c>
      <c r="E36" s="7">
        <v>203257</v>
      </c>
      <c r="F36" s="8">
        <v>224.90387050000001</v>
      </c>
      <c r="G36" s="9">
        <v>1.3678466E-2</v>
      </c>
      <c r="H36" s="156"/>
    </row>
    <row r="37" spans="1:8" x14ac:dyDescent="0.2">
      <c r="A37" s="5">
        <v>31</v>
      </c>
      <c r="B37" s="6" t="s">
        <v>212</v>
      </c>
      <c r="C37" s="6" t="s">
        <v>213</v>
      </c>
      <c r="D37" s="6" t="s">
        <v>28</v>
      </c>
      <c r="E37" s="7">
        <v>14859</v>
      </c>
      <c r="F37" s="8">
        <v>218.33071649999999</v>
      </c>
      <c r="G37" s="9">
        <v>1.3278692999999999E-2</v>
      </c>
      <c r="H37" s="156"/>
    </row>
    <row r="38" spans="1:8" x14ac:dyDescent="0.2">
      <c r="A38" s="5">
        <v>32</v>
      </c>
      <c r="B38" s="6" t="s">
        <v>224</v>
      </c>
      <c r="C38" s="6" t="s">
        <v>225</v>
      </c>
      <c r="D38" s="6" t="s">
        <v>40</v>
      </c>
      <c r="E38" s="7">
        <v>26331</v>
      </c>
      <c r="F38" s="8">
        <v>214.6371465</v>
      </c>
      <c r="G38" s="9">
        <v>1.3054052999999999E-2</v>
      </c>
      <c r="H38" s="156"/>
    </row>
    <row r="39" spans="1:8" x14ac:dyDescent="0.2">
      <c r="A39" s="5">
        <v>33</v>
      </c>
      <c r="B39" s="6" t="s">
        <v>450</v>
      </c>
      <c r="C39" s="6" t="s">
        <v>451</v>
      </c>
      <c r="D39" s="6" t="s">
        <v>35</v>
      </c>
      <c r="E39" s="7">
        <v>17534</v>
      </c>
      <c r="F39" s="8">
        <v>213.36247900000001</v>
      </c>
      <c r="G39" s="9">
        <v>1.2976527999999999E-2</v>
      </c>
      <c r="H39" s="156"/>
    </row>
    <row r="40" spans="1:8" x14ac:dyDescent="0.2">
      <c r="A40" s="5">
        <v>34</v>
      </c>
      <c r="B40" s="6" t="s">
        <v>218</v>
      </c>
      <c r="C40" s="6" t="s">
        <v>219</v>
      </c>
      <c r="D40" s="6" t="s">
        <v>63</v>
      </c>
      <c r="E40" s="7">
        <v>28880</v>
      </c>
      <c r="F40" s="8">
        <v>212.22468000000001</v>
      </c>
      <c r="G40" s="9">
        <v>1.2907327999999999E-2</v>
      </c>
      <c r="H40" s="156"/>
    </row>
    <row r="41" spans="1:8" x14ac:dyDescent="0.2">
      <c r="A41" s="5">
        <v>35</v>
      </c>
      <c r="B41" s="6" t="s">
        <v>79</v>
      </c>
      <c r="C41" s="6" t="s">
        <v>80</v>
      </c>
      <c r="D41" s="6" t="s">
        <v>63</v>
      </c>
      <c r="E41" s="7">
        <v>89882</v>
      </c>
      <c r="F41" s="8">
        <v>209.73964699999999</v>
      </c>
      <c r="G41" s="9">
        <v>1.2756191E-2</v>
      </c>
      <c r="H41" s="156"/>
    </row>
    <row r="42" spans="1:8" x14ac:dyDescent="0.2">
      <c r="A42" s="5">
        <v>36</v>
      </c>
      <c r="B42" s="6" t="s">
        <v>454</v>
      </c>
      <c r="C42" s="6" t="s">
        <v>455</v>
      </c>
      <c r="D42" s="6" t="s">
        <v>68</v>
      </c>
      <c r="E42" s="7">
        <v>47887</v>
      </c>
      <c r="F42" s="8">
        <v>199.30569399999999</v>
      </c>
      <c r="G42" s="9">
        <v>1.2121607E-2</v>
      </c>
      <c r="H42" s="156"/>
    </row>
    <row r="43" spans="1:8" x14ac:dyDescent="0.2">
      <c r="A43" s="5">
        <v>37</v>
      </c>
      <c r="B43" s="6" t="s">
        <v>456</v>
      </c>
      <c r="C43" s="6" t="s">
        <v>457</v>
      </c>
      <c r="D43" s="6" t="s">
        <v>63</v>
      </c>
      <c r="E43" s="7">
        <v>24137</v>
      </c>
      <c r="F43" s="8">
        <v>196.9699885</v>
      </c>
      <c r="G43" s="9">
        <v>1.1979551E-2</v>
      </c>
      <c r="H43" s="156"/>
    </row>
    <row r="44" spans="1:8" x14ac:dyDescent="0.2">
      <c r="A44" s="5">
        <v>38</v>
      </c>
      <c r="B44" s="6" t="s">
        <v>216</v>
      </c>
      <c r="C44" s="6" t="s">
        <v>217</v>
      </c>
      <c r="D44" s="6" t="s">
        <v>54</v>
      </c>
      <c r="E44" s="7">
        <v>17301</v>
      </c>
      <c r="F44" s="8">
        <v>192.2573625</v>
      </c>
      <c r="G44" s="9">
        <v>1.1692933000000001E-2</v>
      </c>
      <c r="H44" s="156"/>
    </row>
    <row r="45" spans="1:8" x14ac:dyDescent="0.2">
      <c r="A45" s="5">
        <v>39</v>
      </c>
      <c r="B45" s="6" t="s">
        <v>228</v>
      </c>
      <c r="C45" s="6" t="s">
        <v>229</v>
      </c>
      <c r="D45" s="6" t="s">
        <v>35</v>
      </c>
      <c r="E45" s="7">
        <v>240780</v>
      </c>
      <c r="F45" s="8">
        <v>190.45697999999999</v>
      </c>
      <c r="G45" s="9">
        <v>1.1583435E-2</v>
      </c>
      <c r="H45" s="156"/>
    </row>
    <row r="46" spans="1:8" x14ac:dyDescent="0.2">
      <c r="A46" s="5">
        <v>40</v>
      </c>
      <c r="B46" s="6" t="s">
        <v>464</v>
      </c>
      <c r="C46" s="6" t="s">
        <v>465</v>
      </c>
      <c r="D46" s="6" t="s">
        <v>974</v>
      </c>
      <c r="E46" s="7">
        <v>253726</v>
      </c>
      <c r="F46" s="8">
        <v>189.279596</v>
      </c>
      <c r="G46" s="9">
        <v>1.1511828E-2</v>
      </c>
      <c r="H46" s="156"/>
    </row>
    <row r="47" spans="1:8" x14ac:dyDescent="0.2">
      <c r="A47" s="5">
        <v>41</v>
      </c>
      <c r="B47" s="6" t="s">
        <v>240</v>
      </c>
      <c r="C47" s="6" t="s">
        <v>241</v>
      </c>
      <c r="D47" s="6" t="s">
        <v>191</v>
      </c>
      <c r="E47" s="7">
        <v>50534</v>
      </c>
      <c r="F47" s="8">
        <v>187.22846999999999</v>
      </c>
      <c r="G47" s="9">
        <v>1.1387080000000001E-2</v>
      </c>
      <c r="H47" s="156"/>
    </row>
    <row r="48" spans="1:8" x14ac:dyDescent="0.2">
      <c r="A48" s="5">
        <v>42</v>
      </c>
      <c r="B48" s="6" t="s">
        <v>46</v>
      </c>
      <c r="C48" s="6" t="s">
        <v>47</v>
      </c>
      <c r="D48" s="6" t="s">
        <v>28</v>
      </c>
      <c r="E48" s="7">
        <v>10114</v>
      </c>
      <c r="F48" s="8">
        <v>186.06725800000001</v>
      </c>
      <c r="G48" s="9">
        <v>1.1316456000000001E-2</v>
      </c>
      <c r="H48" s="156"/>
    </row>
    <row r="49" spans="1:8" x14ac:dyDescent="0.2">
      <c r="A49" s="5">
        <v>43</v>
      </c>
      <c r="B49" s="6" t="s">
        <v>226</v>
      </c>
      <c r="C49" s="6" t="s">
        <v>227</v>
      </c>
      <c r="D49" s="6" t="s">
        <v>166</v>
      </c>
      <c r="E49" s="7">
        <v>34234</v>
      </c>
      <c r="F49" s="8">
        <v>185.29152500000001</v>
      </c>
      <c r="G49" s="9">
        <v>1.1269276E-2</v>
      </c>
      <c r="H49" s="156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166</v>
      </c>
      <c r="E50" s="7">
        <v>343505</v>
      </c>
      <c r="F50" s="8">
        <v>185.14919499999999</v>
      </c>
      <c r="G50" s="9">
        <v>1.1260620000000001E-2</v>
      </c>
      <c r="H50" s="156"/>
    </row>
    <row r="51" spans="1:8" x14ac:dyDescent="0.2">
      <c r="A51" s="5">
        <v>45</v>
      </c>
      <c r="B51" s="6" t="s">
        <v>234</v>
      </c>
      <c r="C51" s="6" t="s">
        <v>235</v>
      </c>
      <c r="D51" s="6" t="s">
        <v>73</v>
      </c>
      <c r="E51" s="7">
        <v>41627</v>
      </c>
      <c r="F51" s="8">
        <v>177.51834149999999</v>
      </c>
      <c r="G51" s="9">
        <v>1.0796518E-2</v>
      </c>
      <c r="H51" s="156"/>
    </row>
    <row r="52" spans="1:8" x14ac:dyDescent="0.2">
      <c r="A52" s="5">
        <v>46</v>
      </c>
      <c r="B52" s="6" t="s">
        <v>242</v>
      </c>
      <c r="C52" s="6" t="s">
        <v>243</v>
      </c>
      <c r="D52" s="6" t="s">
        <v>196</v>
      </c>
      <c r="E52" s="7">
        <v>10472</v>
      </c>
      <c r="F52" s="8">
        <v>174.37974399999999</v>
      </c>
      <c r="G52" s="9">
        <v>1.0605631000000001E-2</v>
      </c>
      <c r="H52" s="156"/>
    </row>
    <row r="53" spans="1:8" x14ac:dyDescent="0.2">
      <c r="A53" s="5">
        <v>47</v>
      </c>
      <c r="B53" s="6" t="s">
        <v>183</v>
      </c>
      <c r="C53" s="6" t="s">
        <v>184</v>
      </c>
      <c r="D53" s="6" t="s">
        <v>43</v>
      </c>
      <c r="E53" s="7">
        <v>39951</v>
      </c>
      <c r="F53" s="8">
        <v>170.111358</v>
      </c>
      <c r="G53" s="9">
        <v>1.0346031E-2</v>
      </c>
      <c r="H53" s="156"/>
    </row>
    <row r="54" spans="1:8" x14ac:dyDescent="0.2">
      <c r="A54" s="5">
        <v>48</v>
      </c>
      <c r="B54" s="6" t="s">
        <v>288</v>
      </c>
      <c r="C54" s="6" t="s">
        <v>289</v>
      </c>
      <c r="D54" s="6" t="s">
        <v>28</v>
      </c>
      <c r="E54" s="7">
        <v>15183</v>
      </c>
      <c r="F54" s="8">
        <v>167.99230349999999</v>
      </c>
      <c r="G54" s="9">
        <v>1.0217152E-2</v>
      </c>
      <c r="H54" s="156"/>
    </row>
    <row r="55" spans="1:8" x14ac:dyDescent="0.2">
      <c r="A55" s="5">
        <v>49</v>
      </c>
      <c r="B55" s="6" t="s">
        <v>237</v>
      </c>
      <c r="C55" s="6" t="s">
        <v>238</v>
      </c>
      <c r="D55" s="6" t="s">
        <v>239</v>
      </c>
      <c r="E55" s="7">
        <v>89345</v>
      </c>
      <c r="F55" s="8">
        <v>166.27104499999999</v>
      </c>
      <c r="G55" s="9">
        <v>1.0112467E-2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30812</v>
      </c>
      <c r="F56" s="8">
        <v>161.316226</v>
      </c>
      <c r="G56" s="9">
        <v>9.8111190000000001E-3</v>
      </c>
      <c r="H56" s="156"/>
    </row>
    <row r="57" spans="1:8" x14ac:dyDescent="0.2">
      <c r="A57" s="5">
        <v>51</v>
      </c>
      <c r="B57" s="6" t="s">
        <v>255</v>
      </c>
      <c r="C57" s="6" t="s">
        <v>256</v>
      </c>
      <c r="D57" s="6" t="s">
        <v>63</v>
      </c>
      <c r="E57" s="7">
        <v>24424</v>
      </c>
      <c r="F57" s="8">
        <v>160.79540399999999</v>
      </c>
      <c r="G57" s="9">
        <v>9.7794430000000005E-3</v>
      </c>
      <c r="H57" s="156"/>
    </row>
    <row r="58" spans="1:8" x14ac:dyDescent="0.2">
      <c r="A58" s="5">
        <v>52</v>
      </c>
      <c r="B58" s="6" t="s">
        <v>253</v>
      </c>
      <c r="C58" s="6" t="s">
        <v>254</v>
      </c>
      <c r="D58" s="6" t="s">
        <v>975</v>
      </c>
      <c r="E58" s="7">
        <v>39975</v>
      </c>
      <c r="F58" s="8">
        <v>157.50149999999999</v>
      </c>
      <c r="G58" s="9">
        <v>9.5791100000000001E-3</v>
      </c>
      <c r="H58" s="156"/>
    </row>
    <row r="59" spans="1:8" x14ac:dyDescent="0.2">
      <c r="A59" s="5">
        <v>53</v>
      </c>
      <c r="B59" s="6" t="s">
        <v>249</v>
      </c>
      <c r="C59" s="6" t="s">
        <v>250</v>
      </c>
      <c r="D59" s="6" t="s">
        <v>73</v>
      </c>
      <c r="E59" s="7">
        <v>43436</v>
      </c>
      <c r="F59" s="8">
        <v>157.08629400000001</v>
      </c>
      <c r="G59" s="9">
        <v>9.5538580000000001E-3</v>
      </c>
      <c r="H59" s="156"/>
    </row>
    <row r="60" spans="1:8" x14ac:dyDescent="0.2">
      <c r="A60" s="5">
        <v>54</v>
      </c>
      <c r="B60" s="6" t="s">
        <v>460</v>
      </c>
      <c r="C60" s="6" t="s">
        <v>461</v>
      </c>
      <c r="D60" s="6" t="s">
        <v>28</v>
      </c>
      <c r="E60" s="7">
        <v>25628</v>
      </c>
      <c r="F60" s="8">
        <v>155.36975000000001</v>
      </c>
      <c r="G60" s="9">
        <v>9.4494590000000003E-3</v>
      </c>
      <c r="H60" s="156"/>
    </row>
    <row r="61" spans="1:8" x14ac:dyDescent="0.2">
      <c r="A61" s="5">
        <v>55</v>
      </c>
      <c r="B61" s="6" t="s">
        <v>203</v>
      </c>
      <c r="C61" s="6" t="s">
        <v>204</v>
      </c>
      <c r="D61" s="6" t="s">
        <v>205</v>
      </c>
      <c r="E61" s="7">
        <v>19644</v>
      </c>
      <c r="F61" s="8">
        <v>155.128668</v>
      </c>
      <c r="G61" s="9">
        <v>9.434797E-3</v>
      </c>
      <c r="H61" s="156"/>
    </row>
    <row r="62" spans="1:8" x14ac:dyDescent="0.2">
      <c r="A62" s="5">
        <v>56</v>
      </c>
      <c r="B62" s="6" t="s">
        <v>257</v>
      </c>
      <c r="C62" s="6" t="s">
        <v>258</v>
      </c>
      <c r="D62" s="6" t="s">
        <v>977</v>
      </c>
      <c r="E62" s="7">
        <v>168751</v>
      </c>
      <c r="F62" s="8">
        <v>154.9977935</v>
      </c>
      <c r="G62" s="9">
        <v>9.4268370000000004E-3</v>
      </c>
      <c r="H62" s="156"/>
    </row>
    <row r="63" spans="1:8" x14ac:dyDescent="0.2">
      <c r="A63" s="5">
        <v>57</v>
      </c>
      <c r="B63" s="6" t="s">
        <v>259</v>
      </c>
      <c r="C63" s="6" t="s">
        <v>260</v>
      </c>
      <c r="D63" s="6" t="s">
        <v>261</v>
      </c>
      <c r="E63" s="7">
        <v>19334</v>
      </c>
      <c r="F63" s="8">
        <v>153.28961899999999</v>
      </c>
      <c r="G63" s="9">
        <v>9.3229469999999998E-3</v>
      </c>
      <c r="H63" s="156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975</v>
      </c>
      <c r="E64" s="7">
        <v>30619</v>
      </c>
      <c r="F64" s="8">
        <v>152.97252399999999</v>
      </c>
      <c r="G64" s="9">
        <v>9.3036620000000007E-3</v>
      </c>
      <c r="H64" s="156"/>
    </row>
    <row r="65" spans="1:8" x14ac:dyDescent="0.2">
      <c r="A65" s="5">
        <v>59</v>
      </c>
      <c r="B65" s="6" t="s">
        <v>270</v>
      </c>
      <c r="C65" s="6" t="s">
        <v>271</v>
      </c>
      <c r="D65" s="6" t="s">
        <v>22</v>
      </c>
      <c r="E65" s="7">
        <v>140383</v>
      </c>
      <c r="F65" s="8">
        <v>145.29640499999999</v>
      </c>
      <c r="G65" s="9">
        <v>8.8368059999999991E-3</v>
      </c>
      <c r="H65" s="156"/>
    </row>
    <row r="66" spans="1:8" x14ac:dyDescent="0.2">
      <c r="A66" s="5">
        <v>60</v>
      </c>
      <c r="B66" s="6" t="s">
        <v>462</v>
      </c>
      <c r="C66" s="6" t="s">
        <v>463</v>
      </c>
      <c r="D66" s="6" t="s">
        <v>166</v>
      </c>
      <c r="E66" s="7">
        <v>19196</v>
      </c>
      <c r="F66" s="8">
        <v>143.97</v>
      </c>
      <c r="G66" s="9">
        <v>8.7561359999999994E-3</v>
      </c>
      <c r="H66" s="156"/>
    </row>
    <row r="67" spans="1:8" x14ac:dyDescent="0.2">
      <c r="A67" s="5">
        <v>61</v>
      </c>
      <c r="B67" s="6" t="s">
        <v>220</v>
      </c>
      <c r="C67" s="6" t="s">
        <v>221</v>
      </c>
      <c r="D67" s="6" t="s">
        <v>191</v>
      </c>
      <c r="E67" s="7">
        <v>32998</v>
      </c>
      <c r="F67" s="8">
        <v>142.41936799999999</v>
      </c>
      <c r="G67" s="9">
        <v>8.6618270000000004E-3</v>
      </c>
      <c r="H67" s="156"/>
    </row>
    <row r="68" spans="1:8" x14ac:dyDescent="0.2">
      <c r="A68" s="5">
        <v>62</v>
      </c>
      <c r="B68" s="6" t="s">
        <v>266</v>
      </c>
      <c r="C68" s="6" t="s">
        <v>267</v>
      </c>
      <c r="D68" s="6" t="s">
        <v>191</v>
      </c>
      <c r="E68" s="7">
        <v>21471</v>
      </c>
      <c r="F68" s="8">
        <v>137.822349</v>
      </c>
      <c r="G68" s="9">
        <v>8.3822410000000003E-3</v>
      </c>
      <c r="H68" s="156"/>
    </row>
    <row r="69" spans="1:8" x14ac:dyDescent="0.2">
      <c r="A69" s="5">
        <v>63</v>
      </c>
      <c r="B69" s="6" t="s">
        <v>272</v>
      </c>
      <c r="C69" s="6" t="s">
        <v>273</v>
      </c>
      <c r="D69" s="6" t="s">
        <v>274</v>
      </c>
      <c r="E69" s="7">
        <v>52168</v>
      </c>
      <c r="F69" s="8">
        <v>131.672032</v>
      </c>
      <c r="G69" s="9">
        <v>8.0081830000000003E-3</v>
      </c>
      <c r="H69" s="156"/>
    </row>
    <row r="70" spans="1:8" x14ac:dyDescent="0.2">
      <c r="A70" s="5">
        <v>64</v>
      </c>
      <c r="B70" s="6" t="s">
        <v>452</v>
      </c>
      <c r="C70" s="6" t="s">
        <v>453</v>
      </c>
      <c r="D70" s="6" t="s">
        <v>166</v>
      </c>
      <c r="E70" s="7">
        <v>33000</v>
      </c>
      <c r="F70" s="8">
        <v>116.226</v>
      </c>
      <c r="G70" s="9">
        <v>7.0687689999999999E-3</v>
      </c>
      <c r="H70" s="156"/>
    </row>
    <row r="71" spans="1:8" ht="25.5" x14ac:dyDescent="0.2">
      <c r="A71" s="5">
        <v>65</v>
      </c>
      <c r="B71" s="6" t="s">
        <v>251</v>
      </c>
      <c r="C71" s="6" t="s">
        <v>252</v>
      </c>
      <c r="D71" s="6" t="s">
        <v>155</v>
      </c>
      <c r="E71" s="7">
        <v>30198</v>
      </c>
      <c r="F71" s="8">
        <v>113.906856</v>
      </c>
      <c r="G71" s="9">
        <v>6.9277200000000001E-3</v>
      </c>
      <c r="H71" s="156"/>
    </row>
    <row r="72" spans="1:8" x14ac:dyDescent="0.2">
      <c r="A72" s="5">
        <v>66</v>
      </c>
      <c r="B72" s="6" t="s">
        <v>38</v>
      </c>
      <c r="C72" s="6" t="s">
        <v>39</v>
      </c>
      <c r="D72" s="6" t="s">
        <v>40</v>
      </c>
      <c r="E72" s="7">
        <v>40384</v>
      </c>
      <c r="F72" s="8">
        <v>112.954048</v>
      </c>
      <c r="G72" s="9">
        <v>6.8697710000000002E-3</v>
      </c>
      <c r="H72" s="156"/>
    </row>
    <row r="73" spans="1:8" x14ac:dyDescent="0.2">
      <c r="A73" s="5">
        <v>67</v>
      </c>
      <c r="B73" s="6" t="s">
        <v>281</v>
      </c>
      <c r="C73" s="6" t="s">
        <v>282</v>
      </c>
      <c r="D73" s="6" t="s">
        <v>155</v>
      </c>
      <c r="E73" s="7">
        <v>6324</v>
      </c>
      <c r="F73" s="8">
        <v>98.995896000000002</v>
      </c>
      <c r="G73" s="9">
        <v>6.0208479999999997E-3</v>
      </c>
      <c r="H73" s="156"/>
    </row>
    <row r="74" spans="1:8" x14ac:dyDescent="0.2">
      <c r="A74" s="5">
        <v>68</v>
      </c>
      <c r="B74" s="6" t="s">
        <v>279</v>
      </c>
      <c r="C74" s="6" t="s">
        <v>280</v>
      </c>
      <c r="D74" s="6" t="s">
        <v>974</v>
      </c>
      <c r="E74" s="7">
        <v>6421</v>
      </c>
      <c r="F74" s="8">
        <v>97.698725499999995</v>
      </c>
      <c r="G74" s="9">
        <v>5.9419549999999996E-3</v>
      </c>
      <c r="H74" s="156"/>
    </row>
    <row r="75" spans="1:8" x14ac:dyDescent="0.2">
      <c r="A75" s="5">
        <v>69</v>
      </c>
      <c r="B75" s="6" t="s">
        <v>294</v>
      </c>
      <c r="C75" s="6" t="s">
        <v>295</v>
      </c>
      <c r="D75" s="6" t="s">
        <v>975</v>
      </c>
      <c r="E75" s="7">
        <v>244905</v>
      </c>
      <c r="F75" s="8">
        <v>93.186352499999998</v>
      </c>
      <c r="G75" s="9">
        <v>5.667516E-3</v>
      </c>
      <c r="H75" s="156"/>
    </row>
    <row r="76" spans="1:8" x14ac:dyDescent="0.2">
      <c r="A76" s="5">
        <v>70</v>
      </c>
      <c r="B76" s="6" t="s">
        <v>244</v>
      </c>
      <c r="C76" s="6" t="s">
        <v>245</v>
      </c>
      <c r="D76" s="6" t="s">
        <v>246</v>
      </c>
      <c r="E76" s="7">
        <v>20561</v>
      </c>
      <c r="F76" s="8">
        <v>88.412300000000002</v>
      </c>
      <c r="G76" s="9">
        <v>5.3771629999999999E-3</v>
      </c>
      <c r="H76" s="156"/>
    </row>
    <row r="77" spans="1:8" x14ac:dyDescent="0.2">
      <c r="A77" s="5">
        <v>71</v>
      </c>
      <c r="B77" s="6" t="s">
        <v>283</v>
      </c>
      <c r="C77" s="6" t="s">
        <v>284</v>
      </c>
      <c r="D77" s="6" t="s">
        <v>169</v>
      </c>
      <c r="E77" s="7">
        <v>14186</v>
      </c>
      <c r="F77" s="8">
        <v>86.314717000000002</v>
      </c>
      <c r="G77" s="9">
        <v>5.2495889999999998E-3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0">
        <v>15970.350452999999</v>
      </c>
      <c r="G78" s="11">
        <v>0.97130342999999997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106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107</v>
      </c>
      <c r="D83" s="3" t="s">
        <v>9</v>
      </c>
      <c r="E83" s="3" t="s">
        <v>9</v>
      </c>
      <c r="F83" s="3" t="s">
        <v>9</v>
      </c>
      <c r="G83" s="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111</v>
      </c>
      <c r="D86" s="3" t="s">
        <v>9</v>
      </c>
      <c r="E86" s="3" t="s">
        <v>9</v>
      </c>
      <c r="F86" s="3" t="s">
        <v>9</v>
      </c>
      <c r="G86" s="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112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113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114</v>
      </c>
      <c r="D95" s="3" t="s">
        <v>9</v>
      </c>
      <c r="E95" s="3" t="s">
        <v>9</v>
      </c>
      <c r="F95" s="10">
        <v>15970.350452999999</v>
      </c>
      <c r="G95" s="11">
        <v>0.97130342999999997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115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116</v>
      </c>
      <c r="D101" s="3" t="s">
        <v>9</v>
      </c>
      <c r="E101" s="3" t="s">
        <v>9</v>
      </c>
      <c r="F101" s="3" t="s">
        <v>9</v>
      </c>
      <c r="G101" s="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4">
        <v>0</v>
      </c>
      <c r="G102" s="15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117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118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119</v>
      </c>
      <c r="D110" s="3" t="s">
        <v>9</v>
      </c>
      <c r="E110" s="3" t="s">
        <v>9</v>
      </c>
      <c r="F110" s="10">
        <v>0</v>
      </c>
      <c r="G110" s="11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120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121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4">
        <v>0</v>
      </c>
      <c r="G114" s="15">
        <v>0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122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105</v>
      </c>
      <c r="D117" s="3" t="s">
        <v>9</v>
      </c>
      <c r="E117" s="3" t="s">
        <v>9</v>
      </c>
      <c r="F117" s="14">
        <v>0</v>
      </c>
      <c r="G117" s="15">
        <v>0</v>
      </c>
      <c r="H117" s="156"/>
    </row>
    <row r="118" spans="1:8" x14ac:dyDescent="0.2">
      <c r="A118" s="3" t="s">
        <v>9</v>
      </c>
      <c r="B118" s="3" t="s">
        <v>9</v>
      </c>
      <c r="C118" s="12" t="s">
        <v>9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123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105</v>
      </c>
      <c r="D120" s="3" t="s">
        <v>9</v>
      </c>
      <c r="E120" s="3" t="s">
        <v>9</v>
      </c>
      <c r="F120" s="14">
        <v>0</v>
      </c>
      <c r="G120" s="15">
        <v>0</v>
      </c>
      <c r="H120" s="156"/>
    </row>
    <row r="121" spans="1:8" x14ac:dyDescent="0.2">
      <c r="A121" s="3" t="s">
        <v>9</v>
      </c>
      <c r="B121" s="3" t="s">
        <v>9</v>
      </c>
      <c r="C121" s="12" t="s">
        <v>9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124</v>
      </c>
      <c r="D122" s="3" t="s">
        <v>9</v>
      </c>
      <c r="E122" s="3" t="s">
        <v>9</v>
      </c>
      <c r="F122" s="13" t="s">
        <v>9</v>
      </c>
      <c r="G122" s="13" t="s">
        <v>9</v>
      </c>
      <c r="H122" s="156"/>
    </row>
    <row r="123" spans="1:8" x14ac:dyDescent="0.2">
      <c r="A123" s="5">
        <v>1</v>
      </c>
      <c r="B123" s="6"/>
      <c r="C123" s="6" t="s">
        <v>125</v>
      </c>
      <c r="D123" s="6"/>
      <c r="E123" s="16" t="s">
        <v>9</v>
      </c>
      <c r="F123" s="8">
        <v>289.85543139999999</v>
      </c>
      <c r="G123" s="9">
        <v>1.7628766000000001E-2</v>
      </c>
      <c r="H123" s="8">
        <v>3.3326163573085874</v>
      </c>
    </row>
    <row r="124" spans="1:8" x14ac:dyDescent="0.2">
      <c r="A124" s="5">
        <v>2</v>
      </c>
      <c r="B124" s="6"/>
      <c r="C124" s="6" t="s">
        <v>126</v>
      </c>
      <c r="D124" s="6"/>
      <c r="E124" s="16" t="s">
        <v>9</v>
      </c>
      <c r="F124" s="8">
        <v>207.02895799999999</v>
      </c>
      <c r="G124" s="9">
        <v>1.2591329E-2</v>
      </c>
      <c r="H124" s="8">
        <v>3.2337849550915885</v>
      </c>
    </row>
    <row r="125" spans="1:8" x14ac:dyDescent="0.2">
      <c r="A125" s="3" t="s">
        <v>9</v>
      </c>
      <c r="B125" s="3" t="s">
        <v>9</v>
      </c>
      <c r="C125" s="4" t="s">
        <v>105</v>
      </c>
      <c r="D125" s="3" t="s">
        <v>9</v>
      </c>
      <c r="E125" s="3" t="s">
        <v>9</v>
      </c>
      <c r="F125" s="10">
        <v>496.88438939999998</v>
      </c>
      <c r="G125" s="11">
        <v>3.0220094999999999E-2</v>
      </c>
      <c r="H125" s="156"/>
    </row>
    <row r="126" spans="1:8" x14ac:dyDescent="0.2">
      <c r="A126" s="3" t="s">
        <v>9</v>
      </c>
      <c r="B126" s="3" t="s">
        <v>9</v>
      </c>
      <c r="C126" s="12" t="s">
        <v>9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127</v>
      </c>
      <c r="D127" s="3" t="s">
        <v>9</v>
      </c>
      <c r="E127" s="3" t="s">
        <v>9</v>
      </c>
      <c r="F127" s="10">
        <v>496.88438939999998</v>
      </c>
      <c r="G127" s="11">
        <v>3.0220094999999999E-2</v>
      </c>
      <c r="H127" s="156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128</v>
      </c>
      <c r="D129" s="3" t="s">
        <v>9</v>
      </c>
      <c r="E129" s="3" t="s">
        <v>9</v>
      </c>
      <c r="F129" s="3" t="s">
        <v>9</v>
      </c>
      <c r="G129" s="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129</v>
      </c>
      <c r="D130" s="3" t="s">
        <v>9</v>
      </c>
      <c r="E130" s="3" t="s">
        <v>9</v>
      </c>
      <c r="F130" s="3" t="s">
        <v>9</v>
      </c>
      <c r="G130" s="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105</v>
      </c>
      <c r="D131" s="3" t="s">
        <v>9</v>
      </c>
      <c r="E131" s="3" t="s">
        <v>9</v>
      </c>
      <c r="F131" s="14">
        <v>0</v>
      </c>
      <c r="G131" s="15">
        <v>0</v>
      </c>
      <c r="H131" s="156"/>
    </row>
    <row r="132" spans="1:8" x14ac:dyDescent="0.2">
      <c r="A132" s="3" t="s">
        <v>9</v>
      </c>
      <c r="B132" s="3" t="s">
        <v>9</v>
      </c>
      <c r="C132" s="12" t="s">
        <v>9</v>
      </c>
      <c r="D132" s="3" t="s">
        <v>9</v>
      </c>
      <c r="E132" s="3" t="s">
        <v>9</v>
      </c>
      <c r="F132" s="13" t="s">
        <v>9</v>
      </c>
      <c r="G132" s="1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130</v>
      </c>
      <c r="D133" s="3" t="s">
        <v>9</v>
      </c>
      <c r="E133" s="3" t="s">
        <v>9</v>
      </c>
      <c r="F133" s="3" t="s">
        <v>9</v>
      </c>
      <c r="G133" s="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131</v>
      </c>
      <c r="D134" s="3" t="s">
        <v>9</v>
      </c>
      <c r="E134" s="3" t="s">
        <v>9</v>
      </c>
      <c r="F134" s="3" t="s">
        <v>9</v>
      </c>
      <c r="G134" s="3" t="s">
        <v>9</v>
      </c>
      <c r="H134" s="156"/>
    </row>
    <row r="135" spans="1:8" x14ac:dyDescent="0.2">
      <c r="A135" s="3" t="s">
        <v>9</v>
      </c>
      <c r="B135" s="3" t="s">
        <v>9</v>
      </c>
      <c r="C135" s="4" t="s">
        <v>105</v>
      </c>
      <c r="D135" s="3" t="s">
        <v>9</v>
      </c>
      <c r="E135" s="3" t="s">
        <v>9</v>
      </c>
      <c r="F135" s="14">
        <v>0</v>
      </c>
      <c r="G135" s="15">
        <v>0</v>
      </c>
      <c r="H135" s="156"/>
    </row>
    <row r="136" spans="1:8" x14ac:dyDescent="0.2">
      <c r="A136" s="3" t="s">
        <v>9</v>
      </c>
      <c r="B136" s="3" t="s">
        <v>9</v>
      </c>
      <c r="C136" s="12" t="s">
        <v>9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12" t="s">
        <v>9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4" t="s">
        <v>132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3" t="s">
        <v>9</v>
      </c>
      <c r="C139" s="4" t="s">
        <v>105</v>
      </c>
      <c r="D139" s="3" t="s">
        <v>9</v>
      </c>
      <c r="E139" s="3" t="s">
        <v>9</v>
      </c>
      <c r="F139" s="14">
        <v>0</v>
      </c>
      <c r="G139" s="15">
        <v>0</v>
      </c>
      <c r="H139" s="156"/>
    </row>
    <row r="140" spans="1:8" x14ac:dyDescent="0.2">
      <c r="A140" s="3" t="s">
        <v>9</v>
      </c>
      <c r="B140" s="3" t="s">
        <v>9</v>
      </c>
      <c r="C140" s="12" t="s">
        <v>9</v>
      </c>
      <c r="D140" s="3" t="s">
        <v>9</v>
      </c>
      <c r="E140" s="3" t="s">
        <v>9</v>
      </c>
      <c r="F140" s="13" t="s">
        <v>9</v>
      </c>
      <c r="G140" s="13" t="s">
        <v>9</v>
      </c>
      <c r="H140" s="156"/>
    </row>
    <row r="141" spans="1:8" x14ac:dyDescent="0.2">
      <c r="A141" s="3" t="s">
        <v>9</v>
      </c>
      <c r="B141" s="6" t="s">
        <v>9</v>
      </c>
      <c r="C141" s="6" t="s">
        <v>9</v>
      </c>
      <c r="D141" s="4" t="s">
        <v>9</v>
      </c>
      <c r="E141" s="3" t="s">
        <v>9</v>
      </c>
      <c r="F141" s="6" t="s">
        <v>9</v>
      </c>
      <c r="G141" s="16" t="s">
        <v>9</v>
      </c>
      <c r="H141" s="156"/>
    </row>
    <row r="142" spans="1:8" x14ac:dyDescent="0.2">
      <c r="A142" s="16" t="s">
        <v>9</v>
      </c>
      <c r="B142" s="6" t="s">
        <v>9</v>
      </c>
      <c r="C142" s="6" t="s">
        <v>133</v>
      </c>
      <c r="D142" s="6" t="s">
        <v>9</v>
      </c>
      <c r="E142" s="16" t="s">
        <v>9</v>
      </c>
      <c r="F142" s="8">
        <v>-25.050066300000001</v>
      </c>
      <c r="G142" s="9">
        <v>-1.5235240000000001E-3</v>
      </c>
      <c r="H142" s="156"/>
    </row>
    <row r="143" spans="1:8" x14ac:dyDescent="0.2">
      <c r="A143" s="12" t="s">
        <v>9</v>
      </c>
      <c r="B143" s="12" t="s">
        <v>9</v>
      </c>
      <c r="C143" s="4" t="s">
        <v>134</v>
      </c>
      <c r="D143" s="17" t="s">
        <v>9</v>
      </c>
      <c r="E143" s="17" t="s">
        <v>9</v>
      </c>
      <c r="F143" s="10">
        <v>16442.184776099999</v>
      </c>
      <c r="G143" s="11">
        <v>1.0000000010000001</v>
      </c>
      <c r="H143" s="156"/>
    </row>
    <row r="144" spans="1:8" ht="14.1" customHeight="1" x14ac:dyDescent="0.2">
      <c r="A144" s="18" t="s">
        <v>9</v>
      </c>
      <c r="B144" s="18" t="s">
        <v>9</v>
      </c>
      <c r="C144" s="18" t="s">
        <v>9</v>
      </c>
      <c r="D144" s="19" t="s">
        <v>9</v>
      </c>
      <c r="E144" s="19" t="s">
        <v>9</v>
      </c>
      <c r="F144" s="19" t="s">
        <v>9</v>
      </c>
      <c r="G144" s="19" t="s">
        <v>9</v>
      </c>
    </row>
    <row r="145" spans="1:7" ht="14.1" customHeight="1" x14ac:dyDescent="0.2">
      <c r="A145" s="20" t="s">
        <v>9</v>
      </c>
      <c r="B145" s="200" t="s">
        <v>9</v>
      </c>
      <c r="C145" s="200"/>
      <c r="D145" s="200"/>
      <c r="E145" s="200"/>
      <c r="F145" s="200"/>
      <c r="G145" s="22" t="s">
        <v>9</v>
      </c>
    </row>
    <row r="146" spans="1:7" ht="14.1" customHeight="1" x14ac:dyDescent="0.2">
      <c r="A146" s="20" t="s">
        <v>9</v>
      </c>
      <c r="B146" s="200" t="s">
        <v>9</v>
      </c>
      <c r="C146" s="200"/>
      <c r="D146" s="200"/>
      <c r="E146" s="200"/>
      <c r="F146" s="200"/>
      <c r="G146" s="22" t="s">
        <v>9</v>
      </c>
    </row>
    <row r="147" spans="1:7" ht="14.1" customHeight="1" x14ac:dyDescent="0.2">
      <c r="A147" s="20" t="s">
        <v>9</v>
      </c>
      <c r="B147" s="20" t="s">
        <v>9</v>
      </c>
      <c r="C147" s="20" t="s">
        <v>9</v>
      </c>
      <c r="D147" s="22" t="s">
        <v>9</v>
      </c>
      <c r="E147" s="22" t="s">
        <v>9</v>
      </c>
      <c r="F147" s="22" t="s">
        <v>9</v>
      </c>
      <c r="G147" s="22" t="s">
        <v>9</v>
      </c>
    </row>
    <row r="148" spans="1:7" ht="14.1" customHeight="1" x14ac:dyDescent="0.2">
      <c r="A148" s="20" t="s">
        <v>9</v>
      </c>
      <c r="B148" s="198" t="s">
        <v>136</v>
      </c>
      <c r="C148" s="199"/>
      <c r="D148" s="13" t="s">
        <v>9</v>
      </c>
      <c r="E148" s="23" t="s">
        <v>9</v>
      </c>
      <c r="F148" s="22" t="s">
        <v>9</v>
      </c>
      <c r="G148" s="22" t="s">
        <v>9</v>
      </c>
    </row>
    <row r="149" spans="1:7" ht="29.1" customHeight="1" x14ac:dyDescent="0.2">
      <c r="A149" s="20" t="s">
        <v>9</v>
      </c>
      <c r="B149" s="205" t="s">
        <v>137</v>
      </c>
      <c r="C149" s="206"/>
      <c r="D149" s="4" t="s">
        <v>138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05" t="s">
        <v>139</v>
      </c>
      <c r="C150" s="206"/>
      <c r="D150" s="4" t="s">
        <v>138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05" t="s">
        <v>140</v>
      </c>
      <c r="C151" s="206"/>
      <c r="D151" s="13" t="s">
        <v>9</v>
      </c>
      <c r="E151" s="23" t="s">
        <v>9</v>
      </c>
      <c r="F151" s="22" t="s">
        <v>9</v>
      </c>
      <c r="G151" s="22" t="s">
        <v>9</v>
      </c>
    </row>
    <row r="152" spans="1:7" ht="24" customHeight="1" x14ac:dyDescent="0.2">
      <c r="A152" s="24" t="s">
        <v>9</v>
      </c>
      <c r="B152" s="25" t="s">
        <v>9</v>
      </c>
      <c r="C152" s="25" t="s">
        <v>141</v>
      </c>
      <c r="D152" s="25" t="s">
        <v>142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5" t="s">
        <v>143</v>
      </c>
      <c r="C153" s="25" t="s">
        <v>144</v>
      </c>
      <c r="D153" s="25" t="s">
        <v>145</v>
      </c>
      <c r="E153" s="24" t="s">
        <v>9</v>
      </c>
      <c r="F153" s="24" t="s">
        <v>9</v>
      </c>
      <c r="G153" s="24" t="s">
        <v>9</v>
      </c>
    </row>
    <row r="154" spans="1:7" ht="17.100000000000001" customHeight="1" x14ac:dyDescent="0.2">
      <c r="A154" s="24" t="s">
        <v>9</v>
      </c>
      <c r="B154" s="6" t="s">
        <v>146</v>
      </c>
      <c r="C154" s="26">
        <v>14.4252</v>
      </c>
      <c r="D154" s="26">
        <v>15.5352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839</v>
      </c>
      <c r="C155" s="26">
        <v>13.910399999999999</v>
      </c>
      <c r="D155" s="26">
        <v>14.9809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147</v>
      </c>
      <c r="C156" s="26">
        <v>14.0543</v>
      </c>
      <c r="D156" s="26">
        <v>15.128299999999999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840</v>
      </c>
      <c r="C157" s="26">
        <v>13.5397</v>
      </c>
      <c r="D157" s="26">
        <v>14.5745</v>
      </c>
      <c r="E157" s="24" t="s">
        <v>9</v>
      </c>
      <c r="F157" s="21" t="s">
        <v>9</v>
      </c>
      <c r="G157" s="27" t="s">
        <v>9</v>
      </c>
    </row>
    <row r="158" spans="1:7" ht="14.1" customHeight="1" x14ac:dyDescent="0.2">
      <c r="A158" s="24" t="s">
        <v>9</v>
      </c>
      <c r="B158" s="24" t="s">
        <v>9</v>
      </c>
      <c r="C158" s="24" t="s">
        <v>9</v>
      </c>
      <c r="D158" s="24" t="s">
        <v>9</v>
      </c>
      <c r="E158" s="24" t="s">
        <v>9</v>
      </c>
      <c r="F158" s="24" t="s">
        <v>9</v>
      </c>
      <c r="G158" s="24" t="s">
        <v>9</v>
      </c>
    </row>
    <row r="159" spans="1:7" ht="17.100000000000001" customHeight="1" x14ac:dyDescent="0.2">
      <c r="A159" s="24" t="s">
        <v>9</v>
      </c>
      <c r="B159" s="205" t="s">
        <v>1013</v>
      </c>
      <c r="C159" s="206"/>
      <c r="D159" s="4" t="s">
        <v>138</v>
      </c>
      <c r="E159" s="24" t="s">
        <v>9</v>
      </c>
      <c r="F159" s="24" t="s">
        <v>9</v>
      </c>
      <c r="G159" s="24" t="s">
        <v>9</v>
      </c>
    </row>
    <row r="160" spans="1:7" ht="18" customHeight="1" x14ac:dyDescent="0.2">
      <c r="A160" s="24" t="s">
        <v>9</v>
      </c>
      <c r="B160" s="30"/>
      <c r="C160" s="30"/>
      <c r="D160" s="28" t="s">
        <v>9</v>
      </c>
      <c r="E160" s="24" t="s">
        <v>9</v>
      </c>
      <c r="F160" s="24" t="s">
        <v>9</v>
      </c>
      <c r="G160" s="24" t="s">
        <v>9</v>
      </c>
    </row>
    <row r="161" spans="1:7" s="197" customFormat="1" x14ac:dyDescent="0.2">
      <c r="B161" s="208" t="s">
        <v>841</v>
      </c>
      <c r="C161" s="208"/>
      <c r="D161" s="208"/>
      <c r="E161" s="208"/>
      <c r="F161" s="208"/>
    </row>
    <row r="162" spans="1:7" ht="14.1" customHeight="1" x14ac:dyDescent="0.2">
      <c r="A162" s="24" t="s">
        <v>9</v>
      </c>
      <c r="B162" s="21" t="s">
        <v>9</v>
      </c>
      <c r="C162" s="21" t="s">
        <v>9</v>
      </c>
      <c r="D162" s="24" t="s">
        <v>9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05" t="s">
        <v>148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05" t="s">
        <v>149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  <row r="165" spans="1:7" ht="17.100000000000001" customHeight="1" x14ac:dyDescent="0.2">
      <c r="A165" s="24" t="s">
        <v>9</v>
      </c>
      <c r="B165" s="205" t="s">
        <v>150</v>
      </c>
      <c r="C165" s="206"/>
      <c r="D165" s="29">
        <v>0.49083099497244737</v>
      </c>
      <c r="E165" s="24" t="s">
        <v>9</v>
      </c>
      <c r="F165" s="21" t="s">
        <v>9</v>
      </c>
      <c r="G165" s="27" t="s">
        <v>9</v>
      </c>
    </row>
    <row r="166" spans="1:7" ht="17.100000000000001" customHeight="1" x14ac:dyDescent="0.2">
      <c r="A166" s="24" t="s">
        <v>9</v>
      </c>
      <c r="B166" s="205" t="s">
        <v>151</v>
      </c>
      <c r="C166" s="206"/>
      <c r="D166" s="4" t="s">
        <v>138</v>
      </c>
      <c r="E166" s="24" t="s">
        <v>9</v>
      </c>
      <c r="F166" s="24" t="s">
        <v>9</v>
      </c>
      <c r="G166" s="24" t="s">
        <v>9</v>
      </c>
    </row>
  </sheetData>
  <mergeCells count="15"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6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4.8554687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471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6040</v>
      </c>
      <c r="F7" s="8">
        <v>226.4547</v>
      </c>
      <c r="G7" s="9">
        <v>3.6439958000000001E-2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17738</v>
      </c>
      <c r="F8" s="8">
        <v>220.29709099999999</v>
      </c>
      <c r="G8" s="9">
        <v>3.5449106000000001E-2</v>
      </c>
      <c r="H8" s="156"/>
    </row>
    <row r="9" spans="1:8" x14ac:dyDescent="0.2">
      <c r="A9" s="5">
        <v>3</v>
      </c>
      <c r="B9" s="6" t="s">
        <v>292</v>
      </c>
      <c r="C9" s="6" t="s">
        <v>293</v>
      </c>
      <c r="D9" s="6" t="s">
        <v>28</v>
      </c>
      <c r="E9" s="7">
        <v>26674</v>
      </c>
      <c r="F9" s="8">
        <v>179.92946699999999</v>
      </c>
      <c r="G9" s="9">
        <v>2.8953349999999999E-2</v>
      </c>
      <c r="H9" s="156"/>
    </row>
    <row r="10" spans="1:8" x14ac:dyDescent="0.2">
      <c r="A10" s="5">
        <v>4</v>
      </c>
      <c r="B10" s="6" t="s">
        <v>468</v>
      </c>
      <c r="C10" s="6" t="s">
        <v>469</v>
      </c>
      <c r="D10" s="6" t="s">
        <v>196</v>
      </c>
      <c r="E10" s="7">
        <v>35102</v>
      </c>
      <c r="F10" s="8">
        <v>172.29816700000001</v>
      </c>
      <c r="G10" s="9">
        <v>2.7725360000000001E-2</v>
      </c>
      <c r="H10" s="156"/>
    </row>
    <row r="11" spans="1:8" x14ac:dyDescent="0.2">
      <c r="A11" s="5">
        <v>5</v>
      </c>
      <c r="B11" s="6" t="s">
        <v>158</v>
      </c>
      <c r="C11" s="6" t="s">
        <v>159</v>
      </c>
      <c r="D11" s="6" t="s">
        <v>28</v>
      </c>
      <c r="E11" s="7">
        <v>22067</v>
      </c>
      <c r="F11" s="8">
        <v>153.02361149999999</v>
      </c>
      <c r="G11" s="9">
        <v>2.4623794000000001E-2</v>
      </c>
      <c r="H11" s="156"/>
    </row>
    <row r="12" spans="1:8" x14ac:dyDescent="0.2">
      <c r="A12" s="5">
        <v>6</v>
      </c>
      <c r="B12" s="6" t="s">
        <v>160</v>
      </c>
      <c r="C12" s="6" t="s">
        <v>161</v>
      </c>
      <c r="D12" s="6" t="s">
        <v>28</v>
      </c>
      <c r="E12" s="7">
        <v>21271</v>
      </c>
      <c r="F12" s="8">
        <v>143.57925</v>
      </c>
      <c r="G12" s="9">
        <v>2.3104054999999998E-2</v>
      </c>
      <c r="H12" s="156"/>
    </row>
    <row r="13" spans="1:8" x14ac:dyDescent="0.2">
      <c r="A13" s="5">
        <v>7</v>
      </c>
      <c r="B13" s="6" t="s">
        <v>31</v>
      </c>
      <c r="C13" s="6" t="s">
        <v>32</v>
      </c>
      <c r="D13" s="6" t="s">
        <v>957</v>
      </c>
      <c r="E13" s="7">
        <v>4896</v>
      </c>
      <c r="F13" s="8">
        <v>139.60944000000001</v>
      </c>
      <c r="G13" s="9">
        <v>2.2465253000000001E-2</v>
      </c>
      <c r="H13" s="156"/>
    </row>
    <row r="14" spans="1:8" x14ac:dyDescent="0.2">
      <c r="A14" s="5">
        <v>8</v>
      </c>
      <c r="B14" s="6" t="s">
        <v>164</v>
      </c>
      <c r="C14" s="6" t="s">
        <v>165</v>
      </c>
      <c r="D14" s="6" t="s">
        <v>166</v>
      </c>
      <c r="E14" s="7">
        <v>145875</v>
      </c>
      <c r="F14" s="8">
        <v>137.1225</v>
      </c>
      <c r="G14" s="9">
        <v>2.2065067000000001E-2</v>
      </c>
      <c r="H14" s="156"/>
    </row>
    <row r="15" spans="1:8" x14ac:dyDescent="0.2">
      <c r="A15" s="5">
        <v>9</v>
      </c>
      <c r="B15" s="6" t="s">
        <v>167</v>
      </c>
      <c r="C15" s="6" t="s">
        <v>168</v>
      </c>
      <c r="D15" s="6" t="s">
        <v>169</v>
      </c>
      <c r="E15" s="7">
        <v>50476</v>
      </c>
      <c r="F15" s="8">
        <v>131.086172</v>
      </c>
      <c r="G15" s="9">
        <v>2.1093731000000001E-2</v>
      </c>
      <c r="H15" s="156"/>
    </row>
    <row r="16" spans="1:8" x14ac:dyDescent="0.2">
      <c r="A16" s="5">
        <v>10</v>
      </c>
      <c r="B16" s="6" t="s">
        <v>48</v>
      </c>
      <c r="C16" s="6" t="s">
        <v>49</v>
      </c>
      <c r="D16" s="6" t="s">
        <v>28</v>
      </c>
      <c r="E16" s="7">
        <v>12093</v>
      </c>
      <c r="F16" s="8">
        <v>122.3509275</v>
      </c>
      <c r="G16" s="9">
        <v>1.96881E-2</v>
      </c>
      <c r="H16" s="156"/>
    </row>
    <row r="17" spans="1:8" x14ac:dyDescent="0.2">
      <c r="A17" s="5">
        <v>11</v>
      </c>
      <c r="B17" s="6" t="s">
        <v>162</v>
      </c>
      <c r="C17" s="6" t="s">
        <v>163</v>
      </c>
      <c r="D17" s="6" t="s">
        <v>959</v>
      </c>
      <c r="E17" s="7">
        <v>12182</v>
      </c>
      <c r="F17" s="8">
        <v>122.319462</v>
      </c>
      <c r="G17" s="9">
        <v>1.9683036000000001E-2</v>
      </c>
      <c r="H17" s="156"/>
    </row>
    <row r="18" spans="1:8" x14ac:dyDescent="0.2">
      <c r="A18" s="5">
        <v>12</v>
      </c>
      <c r="B18" s="6" t="s">
        <v>173</v>
      </c>
      <c r="C18" s="6" t="s">
        <v>174</v>
      </c>
      <c r="D18" s="6" t="s">
        <v>63</v>
      </c>
      <c r="E18" s="7">
        <v>30178</v>
      </c>
      <c r="F18" s="8">
        <v>122.085099</v>
      </c>
      <c r="G18" s="9">
        <v>1.9645323999999999E-2</v>
      </c>
      <c r="H18" s="156"/>
    </row>
    <row r="19" spans="1:8" x14ac:dyDescent="0.2">
      <c r="A19" s="5">
        <v>13</v>
      </c>
      <c r="B19" s="6" t="s">
        <v>170</v>
      </c>
      <c r="C19" s="6" t="s">
        <v>171</v>
      </c>
      <c r="D19" s="6" t="s">
        <v>172</v>
      </c>
      <c r="E19" s="7">
        <v>9293</v>
      </c>
      <c r="F19" s="8">
        <v>121.989211</v>
      </c>
      <c r="G19" s="9">
        <v>1.9629893999999998E-2</v>
      </c>
      <c r="H19" s="156"/>
    </row>
    <row r="20" spans="1:8" x14ac:dyDescent="0.2">
      <c r="A20" s="5">
        <v>14</v>
      </c>
      <c r="B20" s="6" t="s">
        <v>179</v>
      </c>
      <c r="C20" s="6" t="s">
        <v>180</v>
      </c>
      <c r="D20" s="6" t="s">
        <v>169</v>
      </c>
      <c r="E20" s="7">
        <v>3812</v>
      </c>
      <c r="F20" s="8">
        <v>112.02896200000001</v>
      </c>
      <c r="G20" s="9">
        <v>1.8027140000000001E-2</v>
      </c>
      <c r="H20" s="156"/>
    </row>
    <row r="21" spans="1:8" x14ac:dyDescent="0.2">
      <c r="A21" s="5">
        <v>15</v>
      </c>
      <c r="B21" s="6" t="s">
        <v>329</v>
      </c>
      <c r="C21" s="6" t="s">
        <v>330</v>
      </c>
      <c r="D21" s="6" t="s">
        <v>191</v>
      </c>
      <c r="E21" s="7">
        <v>3172</v>
      </c>
      <c r="F21" s="8">
        <v>109.23416400000001</v>
      </c>
      <c r="G21" s="9">
        <v>1.7577415999999998E-2</v>
      </c>
      <c r="H21" s="156"/>
    </row>
    <row r="22" spans="1:8" x14ac:dyDescent="0.2">
      <c r="A22" s="5">
        <v>16</v>
      </c>
      <c r="B22" s="6" t="s">
        <v>181</v>
      </c>
      <c r="C22" s="6" t="s">
        <v>182</v>
      </c>
      <c r="D22" s="6" t="s">
        <v>957</v>
      </c>
      <c r="E22" s="7">
        <v>42002</v>
      </c>
      <c r="F22" s="8">
        <v>106.118053</v>
      </c>
      <c r="G22" s="9">
        <v>1.7075987000000001E-2</v>
      </c>
      <c r="H22" s="156"/>
    </row>
    <row r="23" spans="1:8" x14ac:dyDescent="0.2">
      <c r="A23" s="5">
        <v>17</v>
      </c>
      <c r="B23" s="6" t="s">
        <v>185</v>
      </c>
      <c r="C23" s="6" t="s">
        <v>186</v>
      </c>
      <c r="D23" s="6" t="s">
        <v>172</v>
      </c>
      <c r="E23" s="7">
        <v>46520</v>
      </c>
      <c r="F23" s="8">
        <v>104.20480000000001</v>
      </c>
      <c r="G23" s="9">
        <v>1.6768115E-2</v>
      </c>
      <c r="H23" s="156"/>
    </row>
    <row r="24" spans="1:8" x14ac:dyDescent="0.2">
      <c r="A24" s="5">
        <v>18</v>
      </c>
      <c r="B24" s="6" t="s">
        <v>187</v>
      </c>
      <c r="C24" s="6" t="s">
        <v>188</v>
      </c>
      <c r="D24" s="6" t="s">
        <v>961</v>
      </c>
      <c r="E24" s="7">
        <v>31617</v>
      </c>
      <c r="F24" s="8">
        <v>97.601679000000004</v>
      </c>
      <c r="G24" s="9">
        <v>1.5705574E-2</v>
      </c>
      <c r="H24" s="156"/>
    </row>
    <row r="25" spans="1:8" x14ac:dyDescent="0.2">
      <c r="A25" s="5">
        <v>19</v>
      </c>
      <c r="B25" s="6" t="s">
        <v>189</v>
      </c>
      <c r="C25" s="6" t="s">
        <v>190</v>
      </c>
      <c r="D25" s="6" t="s">
        <v>191</v>
      </c>
      <c r="E25" s="7">
        <v>8296</v>
      </c>
      <c r="F25" s="8">
        <v>96.947056000000003</v>
      </c>
      <c r="G25" s="9">
        <v>1.5600236E-2</v>
      </c>
      <c r="H25" s="156"/>
    </row>
    <row r="26" spans="1:8" x14ac:dyDescent="0.2">
      <c r="A26" s="5">
        <v>20</v>
      </c>
      <c r="B26" s="6" t="s">
        <v>192</v>
      </c>
      <c r="C26" s="6" t="s">
        <v>193</v>
      </c>
      <c r="D26" s="6" t="s">
        <v>962</v>
      </c>
      <c r="E26" s="7">
        <v>13902</v>
      </c>
      <c r="F26" s="8">
        <v>95.736123000000006</v>
      </c>
      <c r="G26" s="9">
        <v>1.5405378000000001E-2</v>
      </c>
      <c r="H26" s="156"/>
    </row>
    <row r="27" spans="1:8" x14ac:dyDescent="0.2">
      <c r="A27" s="5">
        <v>21</v>
      </c>
      <c r="B27" s="6" t="s">
        <v>458</v>
      </c>
      <c r="C27" s="6" t="s">
        <v>459</v>
      </c>
      <c r="D27" s="6" t="s">
        <v>239</v>
      </c>
      <c r="E27" s="7">
        <v>16417</v>
      </c>
      <c r="F27" s="8">
        <v>95.735735500000004</v>
      </c>
      <c r="G27" s="9">
        <v>1.5405316E-2</v>
      </c>
      <c r="H27" s="156"/>
    </row>
    <row r="28" spans="1:8" x14ac:dyDescent="0.2">
      <c r="A28" s="5">
        <v>22</v>
      </c>
      <c r="B28" s="6" t="s">
        <v>194</v>
      </c>
      <c r="C28" s="6" t="s">
        <v>195</v>
      </c>
      <c r="D28" s="6" t="s">
        <v>196</v>
      </c>
      <c r="E28" s="7">
        <v>23104</v>
      </c>
      <c r="F28" s="8">
        <v>95.350207999999995</v>
      </c>
      <c r="G28" s="9">
        <v>1.5343279E-2</v>
      </c>
      <c r="H28" s="156"/>
    </row>
    <row r="29" spans="1:8" x14ac:dyDescent="0.2">
      <c r="A29" s="5">
        <v>23</v>
      </c>
      <c r="B29" s="6" t="s">
        <v>464</v>
      </c>
      <c r="C29" s="6" t="s">
        <v>465</v>
      </c>
      <c r="D29" s="6" t="s">
        <v>960</v>
      </c>
      <c r="E29" s="7">
        <v>127060</v>
      </c>
      <c r="F29" s="8">
        <v>94.786760000000001</v>
      </c>
      <c r="G29" s="9">
        <v>1.5252610999999999E-2</v>
      </c>
      <c r="H29" s="156"/>
    </row>
    <row r="30" spans="1:8" x14ac:dyDescent="0.2">
      <c r="A30" s="5">
        <v>24</v>
      </c>
      <c r="B30" s="6" t="s">
        <v>199</v>
      </c>
      <c r="C30" s="6" t="s">
        <v>200</v>
      </c>
      <c r="D30" s="6" t="s">
        <v>63</v>
      </c>
      <c r="E30" s="7">
        <v>26481</v>
      </c>
      <c r="F30" s="8">
        <v>91.491855000000001</v>
      </c>
      <c r="G30" s="9">
        <v>1.4722412000000001E-2</v>
      </c>
      <c r="H30" s="156"/>
    </row>
    <row r="31" spans="1:8" x14ac:dyDescent="0.2">
      <c r="A31" s="5">
        <v>25</v>
      </c>
      <c r="B31" s="6" t="s">
        <v>208</v>
      </c>
      <c r="C31" s="6" t="s">
        <v>209</v>
      </c>
      <c r="D31" s="6" t="s">
        <v>964</v>
      </c>
      <c r="E31" s="7">
        <v>11000</v>
      </c>
      <c r="F31" s="8">
        <v>89.974500000000006</v>
      </c>
      <c r="G31" s="9">
        <v>1.4478247E-2</v>
      </c>
      <c r="H31" s="156"/>
    </row>
    <row r="32" spans="1:8" x14ac:dyDescent="0.2">
      <c r="A32" s="5">
        <v>26</v>
      </c>
      <c r="B32" s="6" t="s">
        <v>206</v>
      </c>
      <c r="C32" s="6" t="s">
        <v>207</v>
      </c>
      <c r="D32" s="6" t="s">
        <v>73</v>
      </c>
      <c r="E32" s="7">
        <v>20765</v>
      </c>
      <c r="F32" s="8">
        <v>89.611357499999997</v>
      </c>
      <c r="G32" s="9">
        <v>1.4419812000000001E-2</v>
      </c>
      <c r="H32" s="156"/>
    </row>
    <row r="33" spans="1:8" x14ac:dyDescent="0.2">
      <c r="A33" s="5">
        <v>27</v>
      </c>
      <c r="B33" s="6" t="s">
        <v>197</v>
      </c>
      <c r="C33" s="6" t="s">
        <v>198</v>
      </c>
      <c r="D33" s="6" t="s">
        <v>169</v>
      </c>
      <c r="E33" s="7">
        <v>2070</v>
      </c>
      <c r="F33" s="8">
        <v>89.079345000000004</v>
      </c>
      <c r="G33" s="9">
        <v>1.4334203E-2</v>
      </c>
      <c r="H33" s="156"/>
    </row>
    <row r="34" spans="1:8" ht="25.5" x14ac:dyDescent="0.2">
      <c r="A34" s="5">
        <v>28</v>
      </c>
      <c r="B34" s="6" t="s">
        <v>214</v>
      </c>
      <c r="C34" s="6" t="s">
        <v>215</v>
      </c>
      <c r="D34" s="6" t="s">
        <v>63</v>
      </c>
      <c r="E34" s="7">
        <v>3957</v>
      </c>
      <c r="F34" s="8">
        <v>88.209444000000005</v>
      </c>
      <c r="G34" s="9">
        <v>1.4194223000000001E-2</v>
      </c>
      <c r="H34" s="156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169</v>
      </c>
      <c r="E35" s="7">
        <v>10021</v>
      </c>
      <c r="F35" s="8">
        <v>86.140516000000005</v>
      </c>
      <c r="G35" s="9">
        <v>1.3861300999999999E-2</v>
      </c>
      <c r="H35" s="156"/>
    </row>
    <row r="36" spans="1:8" x14ac:dyDescent="0.2">
      <c r="A36" s="5">
        <v>30</v>
      </c>
      <c r="B36" s="6" t="s">
        <v>201</v>
      </c>
      <c r="C36" s="6" t="s">
        <v>202</v>
      </c>
      <c r="D36" s="6" t="s">
        <v>963</v>
      </c>
      <c r="E36" s="7">
        <v>75207</v>
      </c>
      <c r="F36" s="8">
        <v>83.216545499999995</v>
      </c>
      <c r="G36" s="9">
        <v>1.339079E-2</v>
      </c>
      <c r="H36" s="156"/>
    </row>
    <row r="37" spans="1:8" x14ac:dyDescent="0.2">
      <c r="A37" s="5">
        <v>31</v>
      </c>
      <c r="B37" s="6" t="s">
        <v>450</v>
      </c>
      <c r="C37" s="6" t="s">
        <v>451</v>
      </c>
      <c r="D37" s="6" t="s">
        <v>35</v>
      </c>
      <c r="E37" s="7">
        <v>6784</v>
      </c>
      <c r="F37" s="8">
        <v>82.551103999999995</v>
      </c>
      <c r="G37" s="9">
        <v>1.3283711E-2</v>
      </c>
      <c r="H37" s="156"/>
    </row>
    <row r="38" spans="1:8" x14ac:dyDescent="0.2">
      <c r="A38" s="5">
        <v>32</v>
      </c>
      <c r="B38" s="6" t="s">
        <v>212</v>
      </c>
      <c r="C38" s="6" t="s">
        <v>213</v>
      </c>
      <c r="D38" s="6" t="s">
        <v>28</v>
      </c>
      <c r="E38" s="7">
        <v>5569</v>
      </c>
      <c r="F38" s="8">
        <v>81.828101500000002</v>
      </c>
      <c r="G38" s="9">
        <v>1.3167369E-2</v>
      </c>
      <c r="H38" s="156"/>
    </row>
    <row r="39" spans="1:8" x14ac:dyDescent="0.2">
      <c r="A39" s="5">
        <v>33</v>
      </c>
      <c r="B39" s="6" t="s">
        <v>224</v>
      </c>
      <c r="C39" s="6" t="s">
        <v>225</v>
      </c>
      <c r="D39" s="6" t="s">
        <v>40</v>
      </c>
      <c r="E39" s="7">
        <v>9799</v>
      </c>
      <c r="F39" s="8">
        <v>79.876548499999998</v>
      </c>
      <c r="G39" s="9">
        <v>1.2853335E-2</v>
      </c>
      <c r="H39" s="156"/>
    </row>
    <row r="40" spans="1:8" x14ac:dyDescent="0.2">
      <c r="A40" s="5">
        <v>34</v>
      </c>
      <c r="B40" s="6" t="s">
        <v>218</v>
      </c>
      <c r="C40" s="6" t="s">
        <v>219</v>
      </c>
      <c r="D40" s="6" t="s">
        <v>965</v>
      </c>
      <c r="E40" s="7">
        <v>10830</v>
      </c>
      <c r="F40" s="8">
        <v>79.584254999999999</v>
      </c>
      <c r="G40" s="9">
        <v>1.28063E-2</v>
      </c>
      <c r="H40" s="156"/>
    </row>
    <row r="41" spans="1:8" x14ac:dyDescent="0.2">
      <c r="A41" s="5">
        <v>35</v>
      </c>
      <c r="B41" s="6" t="s">
        <v>79</v>
      </c>
      <c r="C41" s="6" t="s">
        <v>80</v>
      </c>
      <c r="D41" s="6" t="s">
        <v>63</v>
      </c>
      <c r="E41" s="7">
        <v>33924</v>
      </c>
      <c r="F41" s="8">
        <v>79.161653999999999</v>
      </c>
      <c r="G41" s="9">
        <v>1.2738298E-2</v>
      </c>
      <c r="H41" s="156"/>
    </row>
    <row r="42" spans="1:8" x14ac:dyDescent="0.2">
      <c r="A42" s="5">
        <v>36</v>
      </c>
      <c r="B42" s="6" t="s">
        <v>454</v>
      </c>
      <c r="C42" s="6" t="s">
        <v>455</v>
      </c>
      <c r="D42" s="6" t="s">
        <v>68</v>
      </c>
      <c r="E42" s="7">
        <v>18007</v>
      </c>
      <c r="F42" s="8">
        <v>74.945133999999996</v>
      </c>
      <c r="G42" s="9">
        <v>1.2059795999999999E-2</v>
      </c>
      <c r="H42" s="156"/>
    </row>
    <row r="43" spans="1:8" x14ac:dyDescent="0.2">
      <c r="A43" s="5">
        <v>37</v>
      </c>
      <c r="B43" s="6" t="s">
        <v>456</v>
      </c>
      <c r="C43" s="6" t="s">
        <v>457</v>
      </c>
      <c r="D43" s="6" t="s">
        <v>63</v>
      </c>
      <c r="E43" s="7">
        <v>8981</v>
      </c>
      <c r="F43" s="8">
        <v>73.289450500000001</v>
      </c>
      <c r="G43" s="9">
        <v>1.1793372E-2</v>
      </c>
      <c r="H43" s="156"/>
    </row>
    <row r="44" spans="1:8" x14ac:dyDescent="0.2">
      <c r="A44" s="5">
        <v>38</v>
      </c>
      <c r="B44" s="6" t="s">
        <v>216</v>
      </c>
      <c r="C44" s="6" t="s">
        <v>217</v>
      </c>
      <c r="D44" s="6" t="s">
        <v>54</v>
      </c>
      <c r="E44" s="7">
        <v>6486</v>
      </c>
      <c r="F44" s="8">
        <v>72.075675000000004</v>
      </c>
      <c r="G44" s="9">
        <v>1.1598057E-2</v>
      </c>
      <c r="H44" s="156"/>
    </row>
    <row r="45" spans="1:8" x14ac:dyDescent="0.2">
      <c r="A45" s="5">
        <v>39</v>
      </c>
      <c r="B45" s="6" t="s">
        <v>228</v>
      </c>
      <c r="C45" s="6" t="s">
        <v>229</v>
      </c>
      <c r="D45" s="6" t="s">
        <v>35</v>
      </c>
      <c r="E45" s="7">
        <v>90123</v>
      </c>
      <c r="F45" s="8">
        <v>71.287293000000005</v>
      </c>
      <c r="G45" s="9">
        <v>1.1471195E-2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966</v>
      </c>
      <c r="E46" s="7">
        <v>12918</v>
      </c>
      <c r="F46" s="8">
        <v>69.918674999999993</v>
      </c>
      <c r="G46" s="9">
        <v>1.1250964E-2</v>
      </c>
      <c r="H46" s="156"/>
    </row>
    <row r="47" spans="1:8" x14ac:dyDescent="0.2">
      <c r="A47" s="5">
        <v>41</v>
      </c>
      <c r="B47" s="6" t="s">
        <v>46</v>
      </c>
      <c r="C47" s="6" t="s">
        <v>47</v>
      </c>
      <c r="D47" s="6" t="s">
        <v>28</v>
      </c>
      <c r="E47" s="7">
        <v>3792</v>
      </c>
      <c r="F47" s="8">
        <v>69.761424000000005</v>
      </c>
      <c r="G47" s="9">
        <v>1.122566E-2</v>
      </c>
      <c r="H47" s="156"/>
    </row>
    <row r="48" spans="1:8" x14ac:dyDescent="0.2">
      <c r="A48" s="5">
        <v>42</v>
      </c>
      <c r="B48" s="6" t="s">
        <v>232</v>
      </c>
      <c r="C48" s="6" t="s">
        <v>233</v>
      </c>
      <c r="D48" s="6" t="s">
        <v>166</v>
      </c>
      <c r="E48" s="7">
        <v>128598</v>
      </c>
      <c r="F48" s="8">
        <v>69.314322000000004</v>
      </c>
      <c r="G48" s="9">
        <v>1.1153714E-2</v>
      </c>
      <c r="H48" s="156"/>
    </row>
    <row r="49" spans="1:8" x14ac:dyDescent="0.2">
      <c r="A49" s="5">
        <v>43</v>
      </c>
      <c r="B49" s="6" t="s">
        <v>234</v>
      </c>
      <c r="C49" s="6" t="s">
        <v>235</v>
      </c>
      <c r="D49" s="6" t="s">
        <v>967</v>
      </c>
      <c r="E49" s="7">
        <v>15722</v>
      </c>
      <c r="F49" s="8">
        <v>67.046469000000002</v>
      </c>
      <c r="G49" s="9">
        <v>1.0788783E-2</v>
      </c>
      <c r="H49" s="156"/>
    </row>
    <row r="50" spans="1:8" x14ac:dyDescent="0.2">
      <c r="A50" s="5">
        <v>44</v>
      </c>
      <c r="B50" s="6" t="s">
        <v>242</v>
      </c>
      <c r="C50" s="6" t="s">
        <v>243</v>
      </c>
      <c r="D50" s="6" t="s">
        <v>196</v>
      </c>
      <c r="E50" s="7">
        <v>3920</v>
      </c>
      <c r="F50" s="8">
        <v>65.275840000000002</v>
      </c>
      <c r="G50" s="9">
        <v>1.0503861999999999E-2</v>
      </c>
      <c r="H50" s="156"/>
    </row>
    <row r="51" spans="1:8" x14ac:dyDescent="0.2">
      <c r="A51" s="5">
        <v>45</v>
      </c>
      <c r="B51" s="6" t="s">
        <v>240</v>
      </c>
      <c r="C51" s="6" t="s">
        <v>241</v>
      </c>
      <c r="D51" s="6" t="s">
        <v>191</v>
      </c>
      <c r="E51" s="7">
        <v>17494</v>
      </c>
      <c r="F51" s="8">
        <v>64.815269999999998</v>
      </c>
      <c r="G51" s="9">
        <v>1.0429749E-2</v>
      </c>
      <c r="H51" s="156"/>
    </row>
    <row r="52" spans="1:8" x14ac:dyDescent="0.2">
      <c r="A52" s="5">
        <v>46</v>
      </c>
      <c r="B52" s="6" t="s">
        <v>183</v>
      </c>
      <c r="C52" s="6" t="s">
        <v>184</v>
      </c>
      <c r="D52" s="6" t="s">
        <v>43</v>
      </c>
      <c r="E52" s="7">
        <v>15004</v>
      </c>
      <c r="F52" s="8">
        <v>63.887031999999998</v>
      </c>
      <c r="G52" s="9">
        <v>1.0280381999999999E-2</v>
      </c>
      <c r="H52" s="156"/>
    </row>
    <row r="53" spans="1:8" x14ac:dyDescent="0.2">
      <c r="A53" s="5">
        <v>47</v>
      </c>
      <c r="B53" s="6" t="s">
        <v>288</v>
      </c>
      <c r="C53" s="6" t="s">
        <v>289</v>
      </c>
      <c r="D53" s="6" t="s">
        <v>28</v>
      </c>
      <c r="E53" s="7">
        <v>5669</v>
      </c>
      <c r="F53" s="8">
        <v>62.724650500000003</v>
      </c>
      <c r="G53" s="9">
        <v>1.0093337000000001E-2</v>
      </c>
      <c r="H53" s="156"/>
    </row>
    <row r="54" spans="1:8" x14ac:dyDescent="0.2">
      <c r="A54" s="5">
        <v>48</v>
      </c>
      <c r="B54" s="6" t="s">
        <v>237</v>
      </c>
      <c r="C54" s="6" t="s">
        <v>238</v>
      </c>
      <c r="D54" s="6" t="s">
        <v>239</v>
      </c>
      <c r="E54" s="7">
        <v>33456</v>
      </c>
      <c r="F54" s="8">
        <v>62.261615999999997</v>
      </c>
      <c r="G54" s="9">
        <v>1.0018828E-2</v>
      </c>
      <c r="H54" s="156"/>
    </row>
    <row r="55" spans="1:8" x14ac:dyDescent="0.2">
      <c r="A55" s="5">
        <v>49</v>
      </c>
      <c r="B55" s="6" t="s">
        <v>452</v>
      </c>
      <c r="C55" s="6" t="s">
        <v>453</v>
      </c>
      <c r="D55" s="6" t="s">
        <v>166</v>
      </c>
      <c r="E55" s="7">
        <v>17500</v>
      </c>
      <c r="F55" s="8">
        <v>61.634999999999998</v>
      </c>
      <c r="G55" s="9">
        <v>9.9179960000000001E-3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11637</v>
      </c>
      <c r="F56" s="8">
        <v>60.925513500000001</v>
      </c>
      <c r="G56" s="9">
        <v>9.803829E-3</v>
      </c>
      <c r="H56" s="156"/>
    </row>
    <row r="57" spans="1:8" x14ac:dyDescent="0.2">
      <c r="A57" s="5">
        <v>51</v>
      </c>
      <c r="B57" s="6" t="s">
        <v>255</v>
      </c>
      <c r="C57" s="6" t="s">
        <v>256</v>
      </c>
      <c r="D57" s="6" t="s">
        <v>63</v>
      </c>
      <c r="E57" s="7">
        <v>9133</v>
      </c>
      <c r="F57" s="8">
        <v>60.127105499999999</v>
      </c>
      <c r="G57" s="9">
        <v>9.6753529999999994E-3</v>
      </c>
      <c r="H57" s="156"/>
    </row>
    <row r="58" spans="1:8" x14ac:dyDescent="0.2">
      <c r="A58" s="5">
        <v>52</v>
      </c>
      <c r="B58" s="6" t="s">
        <v>253</v>
      </c>
      <c r="C58" s="6" t="s">
        <v>254</v>
      </c>
      <c r="D58" s="6" t="s">
        <v>958</v>
      </c>
      <c r="E58" s="7">
        <v>15088</v>
      </c>
      <c r="F58" s="8">
        <v>59.446719999999999</v>
      </c>
      <c r="G58" s="9">
        <v>9.5658689999999994E-3</v>
      </c>
      <c r="H58" s="156"/>
    </row>
    <row r="59" spans="1:8" x14ac:dyDescent="0.2">
      <c r="A59" s="5">
        <v>53</v>
      </c>
      <c r="B59" s="6" t="s">
        <v>249</v>
      </c>
      <c r="C59" s="6" t="s">
        <v>250</v>
      </c>
      <c r="D59" s="6" t="s">
        <v>73</v>
      </c>
      <c r="E59" s="7">
        <v>16397</v>
      </c>
      <c r="F59" s="8">
        <v>59.299750500000002</v>
      </c>
      <c r="G59" s="9">
        <v>9.5422189999999994E-3</v>
      </c>
      <c r="H59" s="156"/>
    </row>
    <row r="60" spans="1:8" x14ac:dyDescent="0.2">
      <c r="A60" s="5">
        <v>54</v>
      </c>
      <c r="B60" s="6" t="s">
        <v>257</v>
      </c>
      <c r="C60" s="6" t="s">
        <v>258</v>
      </c>
      <c r="D60" s="6" t="s">
        <v>968</v>
      </c>
      <c r="E60" s="7">
        <v>63692</v>
      </c>
      <c r="F60" s="8">
        <v>58.501102000000003</v>
      </c>
      <c r="G60" s="9">
        <v>9.4137049999999996E-3</v>
      </c>
      <c r="H60" s="156"/>
    </row>
    <row r="61" spans="1:8" x14ac:dyDescent="0.2">
      <c r="A61" s="5">
        <v>55</v>
      </c>
      <c r="B61" s="6" t="s">
        <v>203</v>
      </c>
      <c r="C61" s="6" t="s">
        <v>204</v>
      </c>
      <c r="D61" s="6" t="s">
        <v>205</v>
      </c>
      <c r="E61" s="7">
        <v>7374</v>
      </c>
      <c r="F61" s="8">
        <v>58.232478</v>
      </c>
      <c r="G61" s="9">
        <v>9.3704789999999993E-3</v>
      </c>
      <c r="H61" s="156"/>
    </row>
    <row r="62" spans="1:8" x14ac:dyDescent="0.2">
      <c r="A62" s="5">
        <v>56</v>
      </c>
      <c r="B62" s="6" t="s">
        <v>460</v>
      </c>
      <c r="C62" s="6" t="s">
        <v>461</v>
      </c>
      <c r="D62" s="6" t="s">
        <v>28</v>
      </c>
      <c r="E62" s="7">
        <v>9582</v>
      </c>
      <c r="F62" s="8">
        <v>58.090874999999997</v>
      </c>
      <c r="G62" s="9">
        <v>9.3476930000000007E-3</v>
      </c>
      <c r="H62" s="156"/>
    </row>
    <row r="63" spans="1:8" x14ac:dyDescent="0.2">
      <c r="A63" s="5">
        <v>57</v>
      </c>
      <c r="B63" s="6" t="s">
        <v>259</v>
      </c>
      <c r="C63" s="6" t="s">
        <v>260</v>
      </c>
      <c r="D63" s="6" t="s">
        <v>261</v>
      </c>
      <c r="E63" s="7">
        <v>7257</v>
      </c>
      <c r="F63" s="8">
        <v>57.537124499999997</v>
      </c>
      <c r="G63" s="9">
        <v>9.2585859999999992E-3</v>
      </c>
      <c r="H63" s="156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958</v>
      </c>
      <c r="E64" s="7">
        <v>11454</v>
      </c>
      <c r="F64" s="8">
        <v>57.224184000000001</v>
      </c>
      <c r="G64" s="9">
        <v>9.2082299999999995E-3</v>
      </c>
      <c r="H64" s="156"/>
    </row>
    <row r="65" spans="1:8" x14ac:dyDescent="0.2">
      <c r="A65" s="5">
        <v>59</v>
      </c>
      <c r="B65" s="6" t="s">
        <v>270</v>
      </c>
      <c r="C65" s="6" t="s">
        <v>271</v>
      </c>
      <c r="D65" s="6" t="s">
        <v>22</v>
      </c>
      <c r="E65" s="7">
        <v>52374</v>
      </c>
      <c r="F65" s="8">
        <v>54.207090000000001</v>
      </c>
      <c r="G65" s="9">
        <v>8.7227339999999993E-3</v>
      </c>
      <c r="H65" s="156"/>
    </row>
    <row r="66" spans="1:8" x14ac:dyDescent="0.2">
      <c r="A66" s="5">
        <v>60</v>
      </c>
      <c r="B66" s="6" t="s">
        <v>462</v>
      </c>
      <c r="C66" s="6" t="s">
        <v>463</v>
      </c>
      <c r="D66" s="6" t="s">
        <v>166</v>
      </c>
      <c r="E66" s="7">
        <v>7194</v>
      </c>
      <c r="F66" s="8">
        <v>53.954999999999998</v>
      </c>
      <c r="G66" s="9">
        <v>8.682169E-3</v>
      </c>
      <c r="H66" s="156"/>
    </row>
    <row r="67" spans="1:8" x14ac:dyDescent="0.2">
      <c r="A67" s="5">
        <v>61</v>
      </c>
      <c r="B67" s="6" t="s">
        <v>220</v>
      </c>
      <c r="C67" s="6" t="s">
        <v>221</v>
      </c>
      <c r="D67" s="6" t="s">
        <v>191</v>
      </c>
      <c r="E67" s="7">
        <v>12334</v>
      </c>
      <c r="F67" s="8">
        <v>53.233544000000002</v>
      </c>
      <c r="G67" s="9">
        <v>8.5660760000000006E-3</v>
      </c>
      <c r="H67" s="156"/>
    </row>
    <row r="68" spans="1:8" x14ac:dyDescent="0.2">
      <c r="A68" s="5">
        <v>62</v>
      </c>
      <c r="B68" s="6" t="s">
        <v>266</v>
      </c>
      <c r="C68" s="6" t="s">
        <v>267</v>
      </c>
      <c r="D68" s="6" t="s">
        <v>969</v>
      </c>
      <c r="E68" s="7">
        <v>8028</v>
      </c>
      <c r="F68" s="8">
        <v>51.531731999999998</v>
      </c>
      <c r="G68" s="9">
        <v>8.2922289999999999E-3</v>
      </c>
      <c r="H68" s="156"/>
    </row>
    <row r="69" spans="1:8" x14ac:dyDescent="0.2">
      <c r="A69" s="5">
        <v>63</v>
      </c>
      <c r="B69" s="6" t="s">
        <v>272</v>
      </c>
      <c r="C69" s="6" t="s">
        <v>273</v>
      </c>
      <c r="D69" s="6" t="s">
        <v>274</v>
      </c>
      <c r="E69" s="7">
        <v>19523</v>
      </c>
      <c r="F69" s="8">
        <v>49.276052</v>
      </c>
      <c r="G69" s="9">
        <v>7.9292560000000008E-3</v>
      </c>
      <c r="H69" s="156"/>
    </row>
    <row r="70" spans="1:8" ht="25.5" x14ac:dyDescent="0.2">
      <c r="A70" s="5">
        <v>64</v>
      </c>
      <c r="B70" s="6" t="s">
        <v>251</v>
      </c>
      <c r="C70" s="6" t="s">
        <v>252</v>
      </c>
      <c r="D70" s="6" t="s">
        <v>155</v>
      </c>
      <c r="E70" s="7">
        <v>11415</v>
      </c>
      <c r="F70" s="8">
        <v>43.057380000000002</v>
      </c>
      <c r="G70" s="9">
        <v>6.9285780000000003E-3</v>
      </c>
      <c r="H70" s="156"/>
    </row>
    <row r="71" spans="1:8" x14ac:dyDescent="0.2">
      <c r="A71" s="5">
        <v>65</v>
      </c>
      <c r="B71" s="6" t="s">
        <v>279</v>
      </c>
      <c r="C71" s="6" t="s">
        <v>280</v>
      </c>
      <c r="D71" s="6" t="s">
        <v>960</v>
      </c>
      <c r="E71" s="7">
        <v>2402</v>
      </c>
      <c r="F71" s="8">
        <v>36.547631000000003</v>
      </c>
      <c r="G71" s="9">
        <v>5.8810620000000003E-3</v>
      </c>
      <c r="H71" s="156"/>
    </row>
    <row r="72" spans="1:8" x14ac:dyDescent="0.2">
      <c r="A72" s="5">
        <v>66</v>
      </c>
      <c r="B72" s="6" t="s">
        <v>294</v>
      </c>
      <c r="C72" s="6" t="s">
        <v>295</v>
      </c>
      <c r="D72" s="6" t="s">
        <v>958</v>
      </c>
      <c r="E72" s="7">
        <v>93287</v>
      </c>
      <c r="F72" s="8">
        <v>35.495703499999998</v>
      </c>
      <c r="G72" s="9">
        <v>5.7117909999999999E-3</v>
      </c>
      <c r="H72" s="156"/>
    </row>
    <row r="73" spans="1:8" x14ac:dyDescent="0.2">
      <c r="A73" s="5">
        <v>67</v>
      </c>
      <c r="B73" s="6" t="s">
        <v>244</v>
      </c>
      <c r="C73" s="6" t="s">
        <v>245</v>
      </c>
      <c r="D73" s="6" t="s">
        <v>246</v>
      </c>
      <c r="E73" s="7">
        <v>7765</v>
      </c>
      <c r="F73" s="8">
        <v>33.389499999999998</v>
      </c>
      <c r="G73" s="9">
        <v>5.3728710000000004E-3</v>
      </c>
      <c r="H73" s="156"/>
    </row>
    <row r="74" spans="1:8" x14ac:dyDescent="0.2">
      <c r="A74" s="5">
        <v>68</v>
      </c>
      <c r="B74" s="6" t="s">
        <v>283</v>
      </c>
      <c r="C74" s="6" t="s">
        <v>284</v>
      </c>
      <c r="D74" s="6" t="s">
        <v>169</v>
      </c>
      <c r="E74" s="7">
        <v>5325</v>
      </c>
      <c r="F74" s="8">
        <v>32.399962500000001</v>
      </c>
      <c r="G74" s="9">
        <v>5.2136400000000003E-3</v>
      </c>
      <c r="H74" s="156"/>
    </row>
    <row r="75" spans="1:8" x14ac:dyDescent="0.2">
      <c r="A75" s="5">
        <v>69</v>
      </c>
      <c r="B75" s="6" t="s">
        <v>38</v>
      </c>
      <c r="C75" s="6" t="s">
        <v>39</v>
      </c>
      <c r="D75" s="6" t="s">
        <v>40</v>
      </c>
      <c r="E75" s="7">
        <v>10971</v>
      </c>
      <c r="F75" s="8">
        <v>30.685887000000001</v>
      </c>
      <c r="G75" s="9">
        <v>4.9378199999999999E-3</v>
      </c>
      <c r="H75" s="156"/>
    </row>
    <row r="76" spans="1:8" x14ac:dyDescent="0.2">
      <c r="A76" s="5">
        <v>70</v>
      </c>
      <c r="B76" s="6" t="s">
        <v>281</v>
      </c>
      <c r="C76" s="6" t="s">
        <v>282</v>
      </c>
      <c r="D76" s="6" t="s">
        <v>970</v>
      </c>
      <c r="E76" s="7">
        <v>1852</v>
      </c>
      <c r="F76" s="8">
        <v>28.991208</v>
      </c>
      <c r="G76" s="9">
        <v>4.66512E-3</v>
      </c>
      <c r="H76" s="156"/>
    </row>
    <row r="77" spans="1:8" x14ac:dyDescent="0.2">
      <c r="A77" s="5">
        <v>71</v>
      </c>
      <c r="B77" s="6" t="s">
        <v>448</v>
      </c>
      <c r="C77" s="6" t="s">
        <v>449</v>
      </c>
      <c r="D77" s="6" t="s">
        <v>63</v>
      </c>
      <c r="E77" s="7">
        <v>8699</v>
      </c>
      <c r="F77" s="8">
        <v>27.275714499999999</v>
      </c>
      <c r="G77" s="9">
        <v>4.3890719999999999E-3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0">
        <v>6028.2829730000003</v>
      </c>
      <c r="G78" s="11">
        <v>0.97004115700000004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106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107</v>
      </c>
      <c r="D83" s="3" t="s">
        <v>9</v>
      </c>
      <c r="E83" s="3" t="s">
        <v>9</v>
      </c>
      <c r="F83" s="3" t="s">
        <v>9</v>
      </c>
      <c r="G83" s="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111</v>
      </c>
      <c r="D86" s="3" t="s">
        <v>9</v>
      </c>
      <c r="E86" s="3" t="s">
        <v>9</v>
      </c>
      <c r="F86" s="3" t="s">
        <v>9</v>
      </c>
      <c r="G86" s="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112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113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114</v>
      </c>
      <c r="D95" s="3" t="s">
        <v>9</v>
      </c>
      <c r="E95" s="3" t="s">
        <v>9</v>
      </c>
      <c r="F95" s="10">
        <v>6028.2829730000003</v>
      </c>
      <c r="G95" s="11">
        <v>0.97004115700000004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115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116</v>
      </c>
      <c r="D101" s="3" t="s">
        <v>9</v>
      </c>
      <c r="E101" s="3" t="s">
        <v>9</v>
      </c>
      <c r="F101" s="3" t="s">
        <v>9</v>
      </c>
      <c r="G101" s="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4">
        <v>0</v>
      </c>
      <c r="G102" s="15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117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118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119</v>
      </c>
      <c r="D110" s="3" t="s">
        <v>9</v>
      </c>
      <c r="E110" s="3" t="s">
        <v>9</v>
      </c>
      <c r="F110" s="10">
        <v>0</v>
      </c>
      <c r="G110" s="11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120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121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4">
        <v>0</v>
      </c>
      <c r="G114" s="15">
        <v>0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122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105</v>
      </c>
      <c r="D117" s="3" t="s">
        <v>9</v>
      </c>
      <c r="E117" s="3" t="s">
        <v>9</v>
      </c>
      <c r="F117" s="14">
        <v>0</v>
      </c>
      <c r="G117" s="15">
        <v>0</v>
      </c>
      <c r="H117" s="156"/>
    </row>
    <row r="118" spans="1:8" x14ac:dyDescent="0.2">
      <c r="A118" s="3" t="s">
        <v>9</v>
      </c>
      <c r="B118" s="3" t="s">
        <v>9</v>
      </c>
      <c r="C118" s="12" t="s">
        <v>9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123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105</v>
      </c>
      <c r="D120" s="3" t="s">
        <v>9</v>
      </c>
      <c r="E120" s="3" t="s">
        <v>9</v>
      </c>
      <c r="F120" s="14">
        <v>0</v>
      </c>
      <c r="G120" s="15">
        <v>0</v>
      </c>
      <c r="H120" s="156"/>
    </row>
    <row r="121" spans="1:8" x14ac:dyDescent="0.2">
      <c r="A121" s="3" t="s">
        <v>9</v>
      </c>
      <c r="B121" s="3" t="s">
        <v>9</v>
      </c>
      <c r="C121" s="12" t="s">
        <v>9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124</v>
      </c>
      <c r="D122" s="3" t="s">
        <v>9</v>
      </c>
      <c r="E122" s="3" t="s">
        <v>9</v>
      </c>
      <c r="F122" s="13" t="s">
        <v>9</v>
      </c>
      <c r="G122" s="13" t="s">
        <v>9</v>
      </c>
      <c r="H122" s="156"/>
    </row>
    <row r="123" spans="1:8" x14ac:dyDescent="0.2">
      <c r="A123" s="5">
        <v>1</v>
      </c>
      <c r="B123" s="6"/>
      <c r="C123" s="6" t="s">
        <v>125</v>
      </c>
      <c r="D123" s="6"/>
      <c r="E123" s="16" t="s">
        <v>9</v>
      </c>
      <c r="F123" s="8">
        <v>113.0899557</v>
      </c>
      <c r="G123" s="9">
        <v>1.8197870000000001E-2</v>
      </c>
      <c r="H123" s="8">
        <v>3.3326163573085874</v>
      </c>
    </row>
    <row r="124" spans="1:8" x14ac:dyDescent="0.2">
      <c r="A124" s="5">
        <v>2</v>
      </c>
      <c r="B124" s="6"/>
      <c r="C124" s="6" t="s">
        <v>126</v>
      </c>
      <c r="D124" s="6"/>
      <c r="E124" s="16" t="s">
        <v>9</v>
      </c>
      <c r="F124" s="8">
        <v>80.774343700000003</v>
      </c>
      <c r="G124" s="9">
        <v>1.2997804E-2</v>
      </c>
      <c r="H124" s="8">
        <v>3.2337849550915885</v>
      </c>
    </row>
    <row r="125" spans="1:8" x14ac:dyDescent="0.2">
      <c r="A125" s="3" t="s">
        <v>9</v>
      </c>
      <c r="B125" s="3" t="s">
        <v>9</v>
      </c>
      <c r="C125" s="4" t="s">
        <v>105</v>
      </c>
      <c r="D125" s="3" t="s">
        <v>9</v>
      </c>
      <c r="E125" s="3" t="s">
        <v>9</v>
      </c>
      <c r="F125" s="10">
        <v>193.86429939999999</v>
      </c>
      <c r="G125" s="11">
        <v>3.1195674E-2</v>
      </c>
      <c r="H125" s="156"/>
    </row>
    <row r="126" spans="1:8" x14ac:dyDescent="0.2">
      <c r="A126" s="3" t="s">
        <v>9</v>
      </c>
      <c r="B126" s="3" t="s">
        <v>9</v>
      </c>
      <c r="C126" s="12" t="s">
        <v>9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127</v>
      </c>
      <c r="D127" s="3" t="s">
        <v>9</v>
      </c>
      <c r="E127" s="3" t="s">
        <v>9</v>
      </c>
      <c r="F127" s="10">
        <v>193.86429939999999</v>
      </c>
      <c r="G127" s="11">
        <v>3.1195674E-2</v>
      </c>
      <c r="H127" s="156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128</v>
      </c>
      <c r="D129" s="3" t="s">
        <v>9</v>
      </c>
      <c r="E129" s="3" t="s">
        <v>9</v>
      </c>
      <c r="F129" s="3" t="s">
        <v>9</v>
      </c>
      <c r="G129" s="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129</v>
      </c>
      <c r="D130" s="3" t="s">
        <v>9</v>
      </c>
      <c r="E130" s="3" t="s">
        <v>9</v>
      </c>
      <c r="F130" s="3" t="s">
        <v>9</v>
      </c>
      <c r="G130" s="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105</v>
      </c>
      <c r="D131" s="3" t="s">
        <v>9</v>
      </c>
      <c r="E131" s="3" t="s">
        <v>9</v>
      </c>
      <c r="F131" s="14">
        <v>0</v>
      </c>
      <c r="G131" s="15">
        <v>0</v>
      </c>
      <c r="H131" s="156"/>
    </row>
    <row r="132" spans="1:8" x14ac:dyDescent="0.2">
      <c r="A132" s="3" t="s">
        <v>9</v>
      </c>
      <c r="B132" s="3" t="s">
        <v>9</v>
      </c>
      <c r="C132" s="12" t="s">
        <v>9</v>
      </c>
      <c r="D132" s="3" t="s">
        <v>9</v>
      </c>
      <c r="E132" s="3" t="s">
        <v>9</v>
      </c>
      <c r="F132" s="13" t="s">
        <v>9</v>
      </c>
      <c r="G132" s="1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130</v>
      </c>
      <c r="D133" s="3" t="s">
        <v>9</v>
      </c>
      <c r="E133" s="3" t="s">
        <v>9</v>
      </c>
      <c r="F133" s="3" t="s">
        <v>9</v>
      </c>
      <c r="G133" s="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131</v>
      </c>
      <c r="D134" s="3" t="s">
        <v>9</v>
      </c>
      <c r="E134" s="3" t="s">
        <v>9</v>
      </c>
      <c r="F134" s="3" t="s">
        <v>9</v>
      </c>
      <c r="G134" s="3" t="s">
        <v>9</v>
      </c>
      <c r="H134" s="156"/>
    </row>
    <row r="135" spans="1:8" x14ac:dyDescent="0.2">
      <c r="A135" s="3" t="s">
        <v>9</v>
      </c>
      <c r="B135" s="3" t="s">
        <v>9</v>
      </c>
      <c r="C135" s="4" t="s">
        <v>105</v>
      </c>
      <c r="D135" s="3" t="s">
        <v>9</v>
      </c>
      <c r="E135" s="3" t="s">
        <v>9</v>
      </c>
      <c r="F135" s="14">
        <v>0</v>
      </c>
      <c r="G135" s="15">
        <v>0</v>
      </c>
      <c r="H135" s="156"/>
    </row>
    <row r="136" spans="1:8" x14ac:dyDescent="0.2">
      <c r="A136" s="3" t="s">
        <v>9</v>
      </c>
      <c r="B136" s="3" t="s">
        <v>9</v>
      </c>
      <c r="C136" s="12" t="s">
        <v>9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12" t="s">
        <v>9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4" t="s">
        <v>132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3" t="s">
        <v>9</v>
      </c>
      <c r="C139" s="4" t="s">
        <v>105</v>
      </c>
      <c r="D139" s="3" t="s">
        <v>9</v>
      </c>
      <c r="E139" s="3" t="s">
        <v>9</v>
      </c>
      <c r="F139" s="14">
        <v>0</v>
      </c>
      <c r="G139" s="15">
        <v>0</v>
      </c>
      <c r="H139" s="156"/>
    </row>
    <row r="140" spans="1:8" x14ac:dyDescent="0.2">
      <c r="A140" s="3" t="s">
        <v>9</v>
      </c>
      <c r="B140" s="3" t="s">
        <v>9</v>
      </c>
      <c r="C140" s="12" t="s">
        <v>9</v>
      </c>
      <c r="D140" s="3" t="s">
        <v>9</v>
      </c>
      <c r="E140" s="3" t="s">
        <v>9</v>
      </c>
      <c r="F140" s="13" t="s">
        <v>9</v>
      </c>
      <c r="G140" s="13" t="s">
        <v>9</v>
      </c>
      <c r="H140" s="156"/>
    </row>
    <row r="141" spans="1:8" x14ac:dyDescent="0.2">
      <c r="A141" s="3" t="s">
        <v>9</v>
      </c>
      <c r="B141" s="6" t="s">
        <v>9</v>
      </c>
      <c r="C141" s="6" t="s">
        <v>9</v>
      </c>
      <c r="D141" s="4" t="s">
        <v>9</v>
      </c>
      <c r="E141" s="3" t="s">
        <v>9</v>
      </c>
      <c r="F141" s="6" t="s">
        <v>9</v>
      </c>
      <c r="G141" s="16" t="s">
        <v>9</v>
      </c>
      <c r="H141" s="156"/>
    </row>
    <row r="142" spans="1:8" x14ac:dyDescent="0.2">
      <c r="A142" s="16" t="s">
        <v>9</v>
      </c>
      <c r="B142" s="6" t="s">
        <v>9</v>
      </c>
      <c r="C142" s="6" t="s">
        <v>133</v>
      </c>
      <c r="D142" s="6" t="s">
        <v>9</v>
      </c>
      <c r="E142" s="16" t="s">
        <v>9</v>
      </c>
      <c r="F142" s="8">
        <v>-7.6862274099999999</v>
      </c>
      <c r="G142" s="9">
        <v>-1.2368290000000001E-3</v>
      </c>
      <c r="H142" s="156"/>
    </row>
    <row r="143" spans="1:8" x14ac:dyDescent="0.2">
      <c r="A143" s="12" t="s">
        <v>9</v>
      </c>
      <c r="B143" s="12" t="s">
        <v>9</v>
      </c>
      <c r="C143" s="4" t="s">
        <v>134</v>
      </c>
      <c r="D143" s="17" t="s">
        <v>9</v>
      </c>
      <c r="E143" s="17" t="s">
        <v>9</v>
      </c>
      <c r="F143" s="10">
        <v>6214.4610645900002</v>
      </c>
      <c r="G143" s="11">
        <v>1.000000005</v>
      </c>
      <c r="H143" s="156"/>
    </row>
    <row r="144" spans="1:8" ht="14.1" customHeight="1" x14ac:dyDescent="0.2">
      <c r="A144" s="18" t="s">
        <v>9</v>
      </c>
      <c r="B144" s="18" t="s">
        <v>9</v>
      </c>
      <c r="C144" s="18" t="s">
        <v>9</v>
      </c>
      <c r="D144" s="19" t="s">
        <v>9</v>
      </c>
      <c r="E144" s="19" t="s">
        <v>9</v>
      </c>
      <c r="F144" s="19" t="s">
        <v>9</v>
      </c>
      <c r="G144" s="19" t="s">
        <v>9</v>
      </c>
    </row>
    <row r="145" spans="1:7" ht="14.1" customHeight="1" x14ac:dyDescent="0.2">
      <c r="A145" s="20" t="s">
        <v>9</v>
      </c>
      <c r="B145" s="200" t="s">
        <v>9</v>
      </c>
      <c r="C145" s="200"/>
      <c r="D145" s="200"/>
      <c r="E145" s="200"/>
      <c r="F145" s="200"/>
      <c r="G145" s="22" t="s">
        <v>9</v>
      </c>
    </row>
    <row r="146" spans="1:7" ht="17.100000000000001" customHeight="1" x14ac:dyDescent="0.2">
      <c r="A146" s="20" t="s">
        <v>9</v>
      </c>
      <c r="B146" s="200" t="s">
        <v>135</v>
      </c>
      <c r="C146" s="200"/>
      <c r="D146" s="200"/>
      <c r="E146" s="200"/>
      <c r="F146" s="200"/>
      <c r="G146" s="22" t="s">
        <v>9</v>
      </c>
    </row>
    <row r="147" spans="1:7" ht="14.1" customHeight="1" x14ac:dyDescent="0.2">
      <c r="A147" s="20" t="s">
        <v>9</v>
      </c>
      <c r="B147" s="20" t="s">
        <v>9</v>
      </c>
      <c r="C147" s="20" t="s">
        <v>9</v>
      </c>
      <c r="D147" s="22" t="s">
        <v>9</v>
      </c>
      <c r="E147" s="22" t="s">
        <v>9</v>
      </c>
      <c r="F147" s="22" t="s">
        <v>9</v>
      </c>
      <c r="G147" s="22" t="s">
        <v>9</v>
      </c>
    </row>
    <row r="148" spans="1:7" ht="14.1" customHeight="1" x14ac:dyDescent="0.2">
      <c r="A148" s="20" t="s">
        <v>9</v>
      </c>
      <c r="B148" s="198" t="s">
        <v>136</v>
      </c>
      <c r="C148" s="199"/>
      <c r="D148" s="13" t="s">
        <v>9</v>
      </c>
      <c r="E148" s="23" t="s">
        <v>9</v>
      </c>
      <c r="F148" s="22" t="s">
        <v>9</v>
      </c>
      <c r="G148" s="22" t="s">
        <v>9</v>
      </c>
    </row>
    <row r="149" spans="1:7" ht="29.1" customHeight="1" x14ac:dyDescent="0.2">
      <c r="A149" s="20" t="s">
        <v>9</v>
      </c>
      <c r="B149" s="205" t="s">
        <v>137</v>
      </c>
      <c r="C149" s="206"/>
      <c r="D149" s="4" t="s">
        <v>138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05" t="s">
        <v>139</v>
      </c>
      <c r="C150" s="206"/>
      <c r="D150" s="4" t="s">
        <v>138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05" t="s">
        <v>140</v>
      </c>
      <c r="C151" s="206"/>
      <c r="D151" s="13" t="s">
        <v>9</v>
      </c>
      <c r="E151" s="23" t="s">
        <v>9</v>
      </c>
      <c r="F151" s="22" t="s">
        <v>9</v>
      </c>
      <c r="G151" s="22" t="s">
        <v>9</v>
      </c>
    </row>
    <row r="152" spans="1:7" ht="24" customHeight="1" x14ac:dyDescent="0.2">
      <c r="A152" s="24" t="s">
        <v>9</v>
      </c>
      <c r="B152" s="25" t="s">
        <v>9</v>
      </c>
      <c r="C152" s="25" t="s">
        <v>141</v>
      </c>
      <c r="D152" s="25" t="s">
        <v>142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5" t="s">
        <v>143</v>
      </c>
      <c r="C153" s="25" t="s">
        <v>144</v>
      </c>
      <c r="D153" s="25" t="s">
        <v>145</v>
      </c>
      <c r="E153" s="24" t="s">
        <v>9</v>
      </c>
      <c r="F153" s="24" t="s">
        <v>9</v>
      </c>
      <c r="G153" s="24" t="s">
        <v>9</v>
      </c>
    </row>
    <row r="154" spans="1:7" ht="17.100000000000001" customHeight="1" x14ac:dyDescent="0.2">
      <c r="A154" s="24" t="s">
        <v>9</v>
      </c>
      <c r="B154" s="6" t="s">
        <v>146</v>
      </c>
      <c r="C154" s="26">
        <v>14.4833</v>
      </c>
      <c r="D154" s="26">
        <v>15.614699999999999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839</v>
      </c>
      <c r="C155" s="26">
        <v>13.968299999999999</v>
      </c>
      <c r="D155" s="26">
        <v>15.0595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147</v>
      </c>
      <c r="C156" s="26">
        <v>14.238300000000001</v>
      </c>
      <c r="D156" s="26">
        <v>15.343500000000001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840</v>
      </c>
      <c r="C157" s="26">
        <v>13.7234</v>
      </c>
      <c r="D157" s="26">
        <v>14.7887</v>
      </c>
      <c r="E157" s="24" t="s">
        <v>9</v>
      </c>
      <c r="F157" s="21" t="s">
        <v>9</v>
      </c>
      <c r="G157" s="27" t="s">
        <v>9</v>
      </c>
    </row>
    <row r="158" spans="1:7" ht="14.1" customHeight="1" x14ac:dyDescent="0.2">
      <c r="A158" s="24" t="s">
        <v>9</v>
      </c>
      <c r="B158" s="24" t="s">
        <v>9</v>
      </c>
      <c r="C158" s="24" t="s">
        <v>9</v>
      </c>
      <c r="D158" s="24" t="s">
        <v>9</v>
      </c>
      <c r="E158" s="24" t="s">
        <v>9</v>
      </c>
      <c r="F158" s="24" t="s">
        <v>9</v>
      </c>
      <c r="G158" s="24" t="s">
        <v>9</v>
      </c>
    </row>
    <row r="159" spans="1:7" ht="17.100000000000001" customHeight="1" x14ac:dyDescent="0.2">
      <c r="A159" s="24" t="s">
        <v>9</v>
      </c>
      <c r="B159" s="205" t="s">
        <v>1013</v>
      </c>
      <c r="C159" s="206"/>
      <c r="D159" s="4" t="s">
        <v>138</v>
      </c>
      <c r="E159" s="24" t="s">
        <v>9</v>
      </c>
      <c r="F159" s="24" t="s">
        <v>9</v>
      </c>
      <c r="G159" s="24" t="s">
        <v>9</v>
      </c>
    </row>
    <row r="160" spans="1:7" ht="18" customHeight="1" x14ac:dyDescent="0.2">
      <c r="A160" s="24" t="s">
        <v>9</v>
      </c>
      <c r="B160" s="30"/>
      <c r="C160" s="30"/>
      <c r="D160" s="28" t="s">
        <v>9</v>
      </c>
      <c r="E160" s="24" t="s">
        <v>9</v>
      </c>
      <c r="F160" s="24" t="s">
        <v>9</v>
      </c>
      <c r="G160" s="24" t="s">
        <v>9</v>
      </c>
    </row>
    <row r="161" spans="1:7" s="197" customFormat="1" x14ac:dyDescent="0.2">
      <c r="B161" s="208" t="s">
        <v>841</v>
      </c>
      <c r="C161" s="208"/>
      <c r="D161" s="208"/>
      <c r="E161" s="208"/>
      <c r="F161" s="208"/>
    </row>
    <row r="162" spans="1:7" ht="14.1" customHeight="1" x14ac:dyDescent="0.2">
      <c r="A162" s="24" t="s">
        <v>9</v>
      </c>
      <c r="B162" s="21" t="s">
        <v>9</v>
      </c>
      <c r="C162" s="21" t="s">
        <v>9</v>
      </c>
      <c r="D162" s="24" t="s">
        <v>9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05" t="s">
        <v>148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05" t="s">
        <v>149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  <row r="165" spans="1:7" ht="17.100000000000001" customHeight="1" x14ac:dyDescent="0.2">
      <c r="A165" s="24" t="s">
        <v>9</v>
      </c>
      <c r="B165" s="205" t="s">
        <v>150</v>
      </c>
      <c r="C165" s="206"/>
      <c r="D165" s="29">
        <v>0.48283072144084921</v>
      </c>
      <c r="E165" s="24" t="s">
        <v>9</v>
      </c>
      <c r="F165" s="21" t="s">
        <v>9</v>
      </c>
      <c r="G165" s="27" t="s">
        <v>9</v>
      </c>
    </row>
    <row r="166" spans="1:7" ht="17.100000000000001" customHeight="1" x14ac:dyDescent="0.2">
      <c r="A166" s="24" t="s">
        <v>9</v>
      </c>
      <c r="B166" s="205" t="s">
        <v>151</v>
      </c>
      <c r="C166" s="206"/>
      <c r="D166" s="4" t="s">
        <v>138</v>
      </c>
      <c r="E166" s="24" t="s">
        <v>9</v>
      </c>
      <c r="F166" s="24" t="s">
        <v>9</v>
      </c>
      <c r="G166" s="24" t="s">
        <v>9</v>
      </c>
    </row>
  </sheetData>
  <mergeCells count="15"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64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472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3212</v>
      </c>
      <c r="F7" s="8">
        <v>120.42591</v>
      </c>
      <c r="G7" s="9">
        <v>3.7348715999999997E-2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9421</v>
      </c>
      <c r="F8" s="8">
        <v>117.0041095</v>
      </c>
      <c r="G8" s="9">
        <v>3.6287484000000002E-2</v>
      </c>
      <c r="H8" s="156"/>
    </row>
    <row r="9" spans="1:8" x14ac:dyDescent="0.2">
      <c r="A9" s="5">
        <v>3</v>
      </c>
      <c r="B9" s="6" t="s">
        <v>158</v>
      </c>
      <c r="C9" s="6" t="s">
        <v>159</v>
      </c>
      <c r="D9" s="6" t="s">
        <v>28</v>
      </c>
      <c r="E9" s="7">
        <v>12939</v>
      </c>
      <c r="F9" s="8">
        <v>89.725495499999994</v>
      </c>
      <c r="G9" s="9">
        <v>2.7827333999999999E-2</v>
      </c>
      <c r="H9" s="156"/>
    </row>
    <row r="10" spans="1:8" x14ac:dyDescent="0.2">
      <c r="A10" s="5">
        <v>4</v>
      </c>
      <c r="B10" s="6" t="s">
        <v>468</v>
      </c>
      <c r="C10" s="6" t="s">
        <v>469</v>
      </c>
      <c r="D10" s="6" t="s">
        <v>196</v>
      </c>
      <c r="E10" s="7">
        <v>18056</v>
      </c>
      <c r="F10" s="8">
        <v>88.627876000000001</v>
      </c>
      <c r="G10" s="9">
        <v>2.7486920000000001E-2</v>
      </c>
      <c r="H10" s="156"/>
    </row>
    <row r="11" spans="1:8" x14ac:dyDescent="0.2">
      <c r="A11" s="5">
        <v>5</v>
      </c>
      <c r="B11" s="6" t="s">
        <v>160</v>
      </c>
      <c r="C11" s="6" t="s">
        <v>161</v>
      </c>
      <c r="D11" s="6" t="s">
        <v>28</v>
      </c>
      <c r="E11" s="7">
        <v>12363</v>
      </c>
      <c r="F11" s="8">
        <v>83.450249999999997</v>
      </c>
      <c r="G11" s="9">
        <v>2.5881139000000001E-2</v>
      </c>
      <c r="H11" s="156"/>
    </row>
    <row r="12" spans="1:8" x14ac:dyDescent="0.2">
      <c r="A12" s="5">
        <v>6</v>
      </c>
      <c r="B12" s="6" t="s">
        <v>48</v>
      </c>
      <c r="C12" s="6" t="s">
        <v>49</v>
      </c>
      <c r="D12" s="6" t="s">
        <v>28</v>
      </c>
      <c r="E12" s="7">
        <v>7409</v>
      </c>
      <c r="F12" s="8">
        <v>74.960557499999993</v>
      </c>
      <c r="G12" s="9">
        <v>2.3248158000000001E-2</v>
      </c>
      <c r="H12" s="156"/>
    </row>
    <row r="13" spans="1:8" x14ac:dyDescent="0.2">
      <c r="A13" s="5">
        <v>7</v>
      </c>
      <c r="B13" s="6" t="s">
        <v>31</v>
      </c>
      <c r="C13" s="6" t="s">
        <v>32</v>
      </c>
      <c r="D13" s="6" t="s">
        <v>972</v>
      </c>
      <c r="E13" s="7">
        <v>2597</v>
      </c>
      <c r="F13" s="8">
        <v>74.053455</v>
      </c>
      <c r="G13" s="9">
        <v>2.2966830000000001E-2</v>
      </c>
      <c r="H13" s="156"/>
    </row>
    <row r="14" spans="1:8" x14ac:dyDescent="0.2">
      <c r="A14" s="5">
        <v>8</v>
      </c>
      <c r="B14" s="6" t="s">
        <v>164</v>
      </c>
      <c r="C14" s="6" t="s">
        <v>165</v>
      </c>
      <c r="D14" s="6" t="s">
        <v>166</v>
      </c>
      <c r="E14" s="7">
        <v>77537</v>
      </c>
      <c r="F14" s="8">
        <v>72.884780000000006</v>
      </c>
      <c r="G14" s="9">
        <v>2.2604379000000001E-2</v>
      </c>
      <c r="H14" s="156"/>
    </row>
    <row r="15" spans="1:8" x14ac:dyDescent="0.2">
      <c r="A15" s="5">
        <v>9</v>
      </c>
      <c r="B15" s="6" t="s">
        <v>448</v>
      </c>
      <c r="C15" s="6" t="s">
        <v>449</v>
      </c>
      <c r="D15" s="6" t="s">
        <v>63</v>
      </c>
      <c r="E15" s="7">
        <v>22660</v>
      </c>
      <c r="F15" s="8">
        <v>71.050430000000006</v>
      </c>
      <c r="G15" s="9">
        <v>2.2035477000000001E-2</v>
      </c>
      <c r="H15" s="156"/>
    </row>
    <row r="16" spans="1:8" x14ac:dyDescent="0.2">
      <c r="A16" s="5">
        <v>10</v>
      </c>
      <c r="B16" s="6" t="s">
        <v>167</v>
      </c>
      <c r="C16" s="6" t="s">
        <v>168</v>
      </c>
      <c r="D16" s="6" t="s">
        <v>169</v>
      </c>
      <c r="E16" s="7">
        <v>26767</v>
      </c>
      <c r="F16" s="8">
        <v>69.513898999999995</v>
      </c>
      <c r="G16" s="9">
        <v>2.1558938999999999E-2</v>
      </c>
      <c r="H16" s="156"/>
    </row>
    <row r="17" spans="1:8" x14ac:dyDescent="0.2">
      <c r="A17" s="5">
        <v>11</v>
      </c>
      <c r="B17" s="6" t="s">
        <v>173</v>
      </c>
      <c r="C17" s="6" t="s">
        <v>174</v>
      </c>
      <c r="D17" s="6" t="s">
        <v>63</v>
      </c>
      <c r="E17" s="7">
        <v>16012</v>
      </c>
      <c r="F17" s="8">
        <v>64.776545999999996</v>
      </c>
      <c r="G17" s="9">
        <v>2.0089703E-2</v>
      </c>
      <c r="H17" s="156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172</v>
      </c>
      <c r="E18" s="7">
        <v>4825</v>
      </c>
      <c r="F18" s="8">
        <v>63.337775000000001</v>
      </c>
      <c r="G18" s="9">
        <v>1.9643484999999999E-2</v>
      </c>
      <c r="H18" s="156"/>
    </row>
    <row r="19" spans="1:8" x14ac:dyDescent="0.2">
      <c r="A19" s="5">
        <v>13</v>
      </c>
      <c r="B19" s="6" t="s">
        <v>179</v>
      </c>
      <c r="C19" s="6" t="s">
        <v>180</v>
      </c>
      <c r="D19" s="6" t="s">
        <v>169</v>
      </c>
      <c r="E19" s="7">
        <v>2021</v>
      </c>
      <c r="F19" s="8">
        <v>59.394158500000003</v>
      </c>
      <c r="G19" s="9">
        <v>1.8420418000000001E-2</v>
      </c>
      <c r="H19" s="156"/>
    </row>
    <row r="20" spans="1:8" x14ac:dyDescent="0.2">
      <c r="A20" s="5">
        <v>14</v>
      </c>
      <c r="B20" s="6" t="s">
        <v>162</v>
      </c>
      <c r="C20" s="6" t="s">
        <v>163</v>
      </c>
      <c r="D20" s="6" t="s">
        <v>169</v>
      </c>
      <c r="E20" s="7">
        <v>5830</v>
      </c>
      <c r="F20" s="8">
        <v>58.539029999999997</v>
      </c>
      <c r="G20" s="9">
        <v>1.8155208999999999E-2</v>
      </c>
      <c r="H20" s="156"/>
    </row>
    <row r="21" spans="1:8" x14ac:dyDescent="0.2">
      <c r="A21" s="5">
        <v>15</v>
      </c>
      <c r="B21" s="6" t="s">
        <v>181</v>
      </c>
      <c r="C21" s="6" t="s">
        <v>182</v>
      </c>
      <c r="D21" s="6" t="s">
        <v>972</v>
      </c>
      <c r="E21" s="7">
        <v>22301</v>
      </c>
      <c r="F21" s="8">
        <v>56.343476500000001</v>
      </c>
      <c r="G21" s="9">
        <v>1.7474284E-2</v>
      </c>
      <c r="H21" s="156"/>
    </row>
    <row r="22" spans="1:8" x14ac:dyDescent="0.2">
      <c r="A22" s="5">
        <v>16</v>
      </c>
      <c r="B22" s="6" t="s">
        <v>329</v>
      </c>
      <c r="C22" s="6" t="s">
        <v>330</v>
      </c>
      <c r="D22" s="6" t="s">
        <v>191</v>
      </c>
      <c r="E22" s="7">
        <v>1632</v>
      </c>
      <c r="F22" s="8">
        <v>56.201183999999998</v>
      </c>
      <c r="G22" s="9">
        <v>1.7430153E-2</v>
      </c>
      <c r="H22" s="156"/>
    </row>
    <row r="23" spans="1:8" x14ac:dyDescent="0.2">
      <c r="A23" s="5">
        <v>17</v>
      </c>
      <c r="B23" s="6" t="s">
        <v>185</v>
      </c>
      <c r="C23" s="6" t="s">
        <v>186</v>
      </c>
      <c r="D23" s="6" t="s">
        <v>172</v>
      </c>
      <c r="E23" s="7">
        <v>24683</v>
      </c>
      <c r="F23" s="8">
        <v>55.289920000000002</v>
      </c>
      <c r="G23" s="9">
        <v>1.7147534999999998E-2</v>
      </c>
      <c r="H23" s="156"/>
    </row>
    <row r="24" spans="1:8" x14ac:dyDescent="0.2">
      <c r="A24" s="5">
        <v>18</v>
      </c>
      <c r="B24" s="6" t="s">
        <v>458</v>
      </c>
      <c r="C24" s="6" t="s">
        <v>459</v>
      </c>
      <c r="D24" s="6" t="s">
        <v>239</v>
      </c>
      <c r="E24" s="7">
        <v>9098</v>
      </c>
      <c r="F24" s="8">
        <v>53.054986999999997</v>
      </c>
      <c r="G24" s="9">
        <v>1.6454396E-2</v>
      </c>
      <c r="H24" s="156"/>
    </row>
    <row r="25" spans="1:8" x14ac:dyDescent="0.2">
      <c r="A25" s="5">
        <v>19</v>
      </c>
      <c r="B25" s="6" t="s">
        <v>189</v>
      </c>
      <c r="C25" s="6" t="s">
        <v>190</v>
      </c>
      <c r="D25" s="6" t="s">
        <v>191</v>
      </c>
      <c r="E25" s="7">
        <v>4415</v>
      </c>
      <c r="F25" s="8">
        <v>51.593690000000002</v>
      </c>
      <c r="G25" s="9">
        <v>1.6001192000000001E-2</v>
      </c>
      <c r="H25" s="156"/>
    </row>
    <row r="26" spans="1:8" ht="25.5" x14ac:dyDescent="0.2">
      <c r="A26" s="5">
        <v>20</v>
      </c>
      <c r="B26" s="6" t="s">
        <v>214</v>
      </c>
      <c r="C26" s="6" t="s">
        <v>215</v>
      </c>
      <c r="D26" s="6" t="s">
        <v>63</v>
      </c>
      <c r="E26" s="7">
        <v>2300</v>
      </c>
      <c r="F26" s="8">
        <v>51.271599999999999</v>
      </c>
      <c r="G26" s="9">
        <v>1.5901299000000001E-2</v>
      </c>
      <c r="H26" s="156"/>
    </row>
    <row r="27" spans="1:8" x14ac:dyDescent="0.2">
      <c r="A27" s="5">
        <v>21</v>
      </c>
      <c r="B27" s="6" t="s">
        <v>192</v>
      </c>
      <c r="C27" s="6" t="s">
        <v>193</v>
      </c>
      <c r="D27" s="6" t="s">
        <v>196</v>
      </c>
      <c r="E27" s="7">
        <v>7372</v>
      </c>
      <c r="F27" s="8">
        <v>50.767277999999997</v>
      </c>
      <c r="G27" s="9">
        <v>1.5744889000000001E-2</v>
      </c>
      <c r="H27" s="156"/>
    </row>
    <row r="28" spans="1:8" x14ac:dyDescent="0.2">
      <c r="A28" s="5">
        <v>22</v>
      </c>
      <c r="B28" s="6" t="s">
        <v>187</v>
      </c>
      <c r="C28" s="6" t="s">
        <v>188</v>
      </c>
      <c r="D28" s="6" t="s">
        <v>973</v>
      </c>
      <c r="E28" s="7">
        <v>16438</v>
      </c>
      <c r="F28" s="8">
        <v>50.744106000000002</v>
      </c>
      <c r="G28" s="9">
        <v>1.5737702999999999E-2</v>
      </c>
      <c r="H28" s="156"/>
    </row>
    <row r="29" spans="1:8" x14ac:dyDescent="0.2">
      <c r="A29" s="5">
        <v>23</v>
      </c>
      <c r="B29" s="6" t="s">
        <v>194</v>
      </c>
      <c r="C29" s="6" t="s">
        <v>195</v>
      </c>
      <c r="D29" s="6" t="s">
        <v>196</v>
      </c>
      <c r="E29" s="7">
        <v>12247</v>
      </c>
      <c r="F29" s="8">
        <v>50.543368999999998</v>
      </c>
      <c r="G29" s="9">
        <v>1.5675446999999999E-2</v>
      </c>
      <c r="H29" s="156"/>
    </row>
    <row r="30" spans="1:8" x14ac:dyDescent="0.2">
      <c r="A30" s="5">
        <v>24</v>
      </c>
      <c r="B30" s="6" t="s">
        <v>464</v>
      </c>
      <c r="C30" s="6" t="s">
        <v>465</v>
      </c>
      <c r="D30" s="6" t="s">
        <v>974</v>
      </c>
      <c r="E30" s="7">
        <v>66582</v>
      </c>
      <c r="F30" s="8">
        <v>49.670172000000001</v>
      </c>
      <c r="G30" s="9">
        <v>1.5404635E-2</v>
      </c>
      <c r="H30" s="156"/>
    </row>
    <row r="31" spans="1:8" x14ac:dyDescent="0.2">
      <c r="A31" s="5">
        <v>25</v>
      </c>
      <c r="B31" s="6" t="s">
        <v>208</v>
      </c>
      <c r="C31" s="6" t="s">
        <v>209</v>
      </c>
      <c r="D31" s="6" t="s">
        <v>976</v>
      </c>
      <c r="E31" s="7">
        <v>6000</v>
      </c>
      <c r="F31" s="8">
        <v>49.076999999999998</v>
      </c>
      <c r="G31" s="9">
        <v>1.5220668999999999E-2</v>
      </c>
      <c r="H31" s="156"/>
    </row>
    <row r="32" spans="1:8" x14ac:dyDescent="0.2">
      <c r="A32" s="5">
        <v>26</v>
      </c>
      <c r="B32" s="6" t="s">
        <v>199</v>
      </c>
      <c r="C32" s="6" t="s">
        <v>200</v>
      </c>
      <c r="D32" s="6" t="s">
        <v>63</v>
      </c>
      <c r="E32" s="7">
        <v>14021</v>
      </c>
      <c r="F32" s="8">
        <v>48.442554999999999</v>
      </c>
      <c r="G32" s="9">
        <v>1.5023903E-2</v>
      </c>
      <c r="H32" s="156"/>
    </row>
    <row r="33" spans="1:8" x14ac:dyDescent="0.2">
      <c r="A33" s="5">
        <v>27</v>
      </c>
      <c r="B33" s="6" t="s">
        <v>206</v>
      </c>
      <c r="C33" s="6" t="s">
        <v>207</v>
      </c>
      <c r="D33" s="6" t="s">
        <v>73</v>
      </c>
      <c r="E33" s="7">
        <v>11014</v>
      </c>
      <c r="F33" s="8">
        <v>47.530917000000002</v>
      </c>
      <c r="G33" s="9">
        <v>1.4741169E-2</v>
      </c>
      <c r="H33" s="156"/>
    </row>
    <row r="34" spans="1:8" x14ac:dyDescent="0.2">
      <c r="A34" s="5">
        <v>28</v>
      </c>
      <c r="B34" s="6" t="s">
        <v>197</v>
      </c>
      <c r="C34" s="6" t="s">
        <v>198</v>
      </c>
      <c r="D34" s="6" t="s">
        <v>169</v>
      </c>
      <c r="E34" s="7">
        <v>1104</v>
      </c>
      <c r="F34" s="8">
        <v>47.508983999999998</v>
      </c>
      <c r="G34" s="9">
        <v>1.4734367E-2</v>
      </c>
      <c r="H34" s="156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169</v>
      </c>
      <c r="E35" s="7">
        <v>5305</v>
      </c>
      <c r="F35" s="8">
        <v>45.601779999999998</v>
      </c>
      <c r="G35" s="9">
        <v>1.4142869000000001E-2</v>
      </c>
      <c r="H35" s="156"/>
    </row>
    <row r="36" spans="1:8" x14ac:dyDescent="0.2">
      <c r="A36" s="5">
        <v>30</v>
      </c>
      <c r="B36" s="6" t="s">
        <v>224</v>
      </c>
      <c r="C36" s="6" t="s">
        <v>225</v>
      </c>
      <c r="D36" s="6" t="s">
        <v>40</v>
      </c>
      <c r="E36" s="7">
        <v>5426</v>
      </c>
      <c r="F36" s="8">
        <v>44.230038999999998</v>
      </c>
      <c r="G36" s="9">
        <v>1.3717439999999999E-2</v>
      </c>
      <c r="H36" s="156"/>
    </row>
    <row r="37" spans="1:8" x14ac:dyDescent="0.2">
      <c r="A37" s="5">
        <v>31</v>
      </c>
      <c r="B37" s="6" t="s">
        <v>450</v>
      </c>
      <c r="C37" s="6" t="s">
        <v>451</v>
      </c>
      <c r="D37" s="6" t="s">
        <v>35</v>
      </c>
      <c r="E37" s="7">
        <v>3630</v>
      </c>
      <c r="F37" s="8">
        <v>44.171655000000001</v>
      </c>
      <c r="G37" s="9">
        <v>1.3699332999999999E-2</v>
      </c>
      <c r="H37" s="156"/>
    </row>
    <row r="38" spans="1:8" x14ac:dyDescent="0.2">
      <c r="A38" s="5">
        <v>32</v>
      </c>
      <c r="B38" s="6" t="s">
        <v>212</v>
      </c>
      <c r="C38" s="6" t="s">
        <v>213</v>
      </c>
      <c r="D38" s="6" t="s">
        <v>28</v>
      </c>
      <c r="E38" s="7">
        <v>2958</v>
      </c>
      <c r="F38" s="8">
        <v>43.463372999999997</v>
      </c>
      <c r="G38" s="9">
        <v>1.3479667000000001E-2</v>
      </c>
      <c r="H38" s="156"/>
    </row>
    <row r="39" spans="1:8" x14ac:dyDescent="0.2">
      <c r="A39" s="5">
        <v>33</v>
      </c>
      <c r="B39" s="6" t="s">
        <v>79</v>
      </c>
      <c r="C39" s="6" t="s">
        <v>80</v>
      </c>
      <c r="D39" s="6" t="s">
        <v>63</v>
      </c>
      <c r="E39" s="7">
        <v>17656</v>
      </c>
      <c r="F39" s="8">
        <v>41.200276000000002</v>
      </c>
      <c r="G39" s="9">
        <v>1.2777793000000001E-2</v>
      </c>
      <c r="H39" s="156"/>
    </row>
    <row r="40" spans="1:8" x14ac:dyDescent="0.2">
      <c r="A40" s="5">
        <v>34</v>
      </c>
      <c r="B40" s="6" t="s">
        <v>454</v>
      </c>
      <c r="C40" s="6" t="s">
        <v>455</v>
      </c>
      <c r="D40" s="6" t="s">
        <v>68</v>
      </c>
      <c r="E40" s="7">
        <v>9464</v>
      </c>
      <c r="F40" s="8">
        <v>39.389167999999998</v>
      </c>
      <c r="G40" s="9">
        <v>1.2216098999999999E-2</v>
      </c>
      <c r="H40" s="156"/>
    </row>
    <row r="41" spans="1:8" x14ac:dyDescent="0.2">
      <c r="A41" s="5">
        <v>35</v>
      </c>
      <c r="B41" s="6" t="s">
        <v>456</v>
      </c>
      <c r="C41" s="6" t="s">
        <v>457</v>
      </c>
      <c r="D41" s="6" t="s">
        <v>63</v>
      </c>
      <c r="E41" s="7">
        <v>4749</v>
      </c>
      <c r="F41" s="8">
        <v>38.754214500000003</v>
      </c>
      <c r="G41" s="9">
        <v>1.2019175999999999E-2</v>
      </c>
      <c r="H41" s="156"/>
    </row>
    <row r="42" spans="1:8" x14ac:dyDescent="0.2">
      <c r="A42" s="5">
        <v>36</v>
      </c>
      <c r="B42" s="6" t="s">
        <v>292</v>
      </c>
      <c r="C42" s="6" t="s">
        <v>293</v>
      </c>
      <c r="D42" s="6" t="s">
        <v>28</v>
      </c>
      <c r="E42" s="7">
        <v>5737</v>
      </c>
      <c r="F42" s="8">
        <v>38.698933500000003</v>
      </c>
      <c r="G42" s="9">
        <v>1.2002031E-2</v>
      </c>
      <c r="H42" s="156"/>
    </row>
    <row r="43" spans="1:8" x14ac:dyDescent="0.2">
      <c r="A43" s="5">
        <v>37</v>
      </c>
      <c r="B43" s="6" t="s">
        <v>203</v>
      </c>
      <c r="C43" s="6" t="s">
        <v>204</v>
      </c>
      <c r="D43" s="6" t="s">
        <v>205</v>
      </c>
      <c r="E43" s="7">
        <v>4863</v>
      </c>
      <c r="F43" s="8">
        <v>38.403111000000003</v>
      </c>
      <c r="G43" s="9">
        <v>1.1910285E-2</v>
      </c>
      <c r="H43" s="156"/>
    </row>
    <row r="44" spans="1:8" x14ac:dyDescent="0.2">
      <c r="A44" s="5">
        <v>38</v>
      </c>
      <c r="B44" s="6" t="s">
        <v>216</v>
      </c>
      <c r="C44" s="6" t="s">
        <v>217</v>
      </c>
      <c r="D44" s="6" t="s">
        <v>54</v>
      </c>
      <c r="E44" s="7">
        <v>3445</v>
      </c>
      <c r="F44" s="8">
        <v>38.282562499999997</v>
      </c>
      <c r="G44" s="9">
        <v>1.1872898E-2</v>
      </c>
      <c r="H44" s="156"/>
    </row>
    <row r="45" spans="1:8" x14ac:dyDescent="0.2">
      <c r="A45" s="5">
        <v>39</v>
      </c>
      <c r="B45" s="6" t="s">
        <v>232</v>
      </c>
      <c r="C45" s="6" t="s">
        <v>233</v>
      </c>
      <c r="D45" s="6" t="s">
        <v>166</v>
      </c>
      <c r="E45" s="7">
        <v>68251</v>
      </c>
      <c r="F45" s="8">
        <v>36.787289000000001</v>
      </c>
      <c r="G45" s="9">
        <v>1.1409156E-2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166</v>
      </c>
      <c r="E46" s="7">
        <v>6746</v>
      </c>
      <c r="F46" s="8">
        <v>36.512725000000003</v>
      </c>
      <c r="G46" s="9">
        <v>1.1324002999999999E-2</v>
      </c>
      <c r="H46" s="156"/>
    </row>
    <row r="47" spans="1:8" x14ac:dyDescent="0.2">
      <c r="A47" s="5">
        <v>41</v>
      </c>
      <c r="B47" s="6" t="s">
        <v>228</v>
      </c>
      <c r="C47" s="6" t="s">
        <v>229</v>
      </c>
      <c r="D47" s="6" t="s">
        <v>35</v>
      </c>
      <c r="E47" s="7">
        <v>44355</v>
      </c>
      <c r="F47" s="8">
        <v>35.084805000000003</v>
      </c>
      <c r="G47" s="9">
        <v>1.0881149999999999E-2</v>
      </c>
      <c r="H47" s="156"/>
    </row>
    <row r="48" spans="1:8" x14ac:dyDescent="0.2">
      <c r="A48" s="5">
        <v>42</v>
      </c>
      <c r="B48" s="6" t="s">
        <v>264</v>
      </c>
      <c r="C48" s="6" t="s">
        <v>265</v>
      </c>
      <c r="D48" s="6" t="s">
        <v>975</v>
      </c>
      <c r="E48" s="7">
        <v>7009</v>
      </c>
      <c r="F48" s="8">
        <v>35.016964000000002</v>
      </c>
      <c r="G48" s="9">
        <v>1.0860109999999999E-2</v>
      </c>
      <c r="H48" s="156"/>
    </row>
    <row r="49" spans="1:8" x14ac:dyDescent="0.2">
      <c r="A49" s="5">
        <v>43</v>
      </c>
      <c r="B49" s="6" t="s">
        <v>234</v>
      </c>
      <c r="C49" s="6" t="s">
        <v>235</v>
      </c>
      <c r="D49" s="6" t="s">
        <v>73</v>
      </c>
      <c r="E49" s="7">
        <v>8180</v>
      </c>
      <c r="F49" s="8">
        <v>34.883609999999997</v>
      </c>
      <c r="G49" s="9">
        <v>1.0818751999999999E-2</v>
      </c>
      <c r="H49" s="156"/>
    </row>
    <row r="50" spans="1:8" x14ac:dyDescent="0.2">
      <c r="A50" s="5">
        <v>44</v>
      </c>
      <c r="B50" s="6" t="s">
        <v>242</v>
      </c>
      <c r="C50" s="6" t="s">
        <v>243</v>
      </c>
      <c r="D50" s="6" t="s">
        <v>196</v>
      </c>
      <c r="E50" s="7">
        <v>2084</v>
      </c>
      <c r="F50" s="8">
        <v>34.702767999999999</v>
      </c>
      <c r="G50" s="9">
        <v>1.0762666000000001E-2</v>
      </c>
      <c r="H50" s="156"/>
    </row>
    <row r="51" spans="1:8" x14ac:dyDescent="0.2">
      <c r="A51" s="5">
        <v>45</v>
      </c>
      <c r="B51" s="6" t="s">
        <v>218</v>
      </c>
      <c r="C51" s="6" t="s">
        <v>219</v>
      </c>
      <c r="D51" s="6" t="s">
        <v>63</v>
      </c>
      <c r="E51" s="7">
        <v>4713</v>
      </c>
      <c r="F51" s="8">
        <v>34.633480499999997</v>
      </c>
      <c r="G51" s="9">
        <v>1.0741176999999999E-2</v>
      </c>
      <c r="H51" s="156"/>
    </row>
    <row r="52" spans="1:8" x14ac:dyDescent="0.2">
      <c r="A52" s="5">
        <v>46</v>
      </c>
      <c r="B52" s="6" t="s">
        <v>240</v>
      </c>
      <c r="C52" s="6" t="s">
        <v>241</v>
      </c>
      <c r="D52" s="6" t="s">
        <v>191</v>
      </c>
      <c r="E52" s="7">
        <v>9322</v>
      </c>
      <c r="F52" s="8">
        <v>34.53801</v>
      </c>
      <c r="G52" s="9">
        <v>1.0711567999999999E-2</v>
      </c>
      <c r="H52" s="156"/>
    </row>
    <row r="53" spans="1:8" x14ac:dyDescent="0.2">
      <c r="A53" s="5">
        <v>47</v>
      </c>
      <c r="B53" s="6" t="s">
        <v>183</v>
      </c>
      <c r="C53" s="6" t="s">
        <v>184</v>
      </c>
      <c r="D53" s="6" t="s">
        <v>43</v>
      </c>
      <c r="E53" s="7">
        <v>8109</v>
      </c>
      <c r="F53" s="8">
        <v>34.528122000000003</v>
      </c>
      <c r="G53" s="9">
        <v>1.0708501E-2</v>
      </c>
      <c r="H53" s="156"/>
    </row>
    <row r="54" spans="1:8" x14ac:dyDescent="0.2">
      <c r="A54" s="5">
        <v>48</v>
      </c>
      <c r="B54" s="6" t="s">
        <v>288</v>
      </c>
      <c r="C54" s="6" t="s">
        <v>289</v>
      </c>
      <c r="D54" s="6" t="s">
        <v>28</v>
      </c>
      <c r="E54" s="7">
        <v>3047</v>
      </c>
      <c r="F54" s="8">
        <v>33.713531500000002</v>
      </c>
      <c r="G54" s="9">
        <v>1.0455865E-2</v>
      </c>
      <c r="H54" s="156"/>
    </row>
    <row r="55" spans="1:8" x14ac:dyDescent="0.2">
      <c r="A55" s="5">
        <v>49</v>
      </c>
      <c r="B55" s="6" t="s">
        <v>237</v>
      </c>
      <c r="C55" s="6" t="s">
        <v>238</v>
      </c>
      <c r="D55" s="6" t="s">
        <v>239</v>
      </c>
      <c r="E55" s="7">
        <v>17729</v>
      </c>
      <c r="F55" s="8">
        <v>32.993668999999997</v>
      </c>
      <c r="G55" s="9">
        <v>1.0232608000000001E-2</v>
      </c>
      <c r="H55" s="156"/>
    </row>
    <row r="56" spans="1:8" x14ac:dyDescent="0.2">
      <c r="A56" s="5">
        <v>50</v>
      </c>
      <c r="B56" s="6" t="s">
        <v>255</v>
      </c>
      <c r="C56" s="6" t="s">
        <v>256</v>
      </c>
      <c r="D56" s="6" t="s">
        <v>63</v>
      </c>
      <c r="E56" s="7">
        <v>4838</v>
      </c>
      <c r="F56" s="8">
        <v>31.850973</v>
      </c>
      <c r="G56" s="9">
        <v>9.8782139999999997E-3</v>
      </c>
      <c r="H56" s="156"/>
    </row>
    <row r="57" spans="1:8" x14ac:dyDescent="0.2">
      <c r="A57" s="5">
        <v>51</v>
      </c>
      <c r="B57" s="6" t="s">
        <v>247</v>
      </c>
      <c r="C57" s="6" t="s">
        <v>248</v>
      </c>
      <c r="D57" s="6" t="s">
        <v>166</v>
      </c>
      <c r="E57" s="7">
        <v>6054</v>
      </c>
      <c r="F57" s="8">
        <v>31.695716999999998</v>
      </c>
      <c r="G57" s="9">
        <v>9.830063E-3</v>
      </c>
      <c r="H57" s="156"/>
    </row>
    <row r="58" spans="1:8" x14ac:dyDescent="0.2">
      <c r="A58" s="5">
        <v>52</v>
      </c>
      <c r="B58" s="6" t="s">
        <v>249</v>
      </c>
      <c r="C58" s="6" t="s">
        <v>250</v>
      </c>
      <c r="D58" s="6" t="s">
        <v>73</v>
      </c>
      <c r="E58" s="7">
        <v>8568</v>
      </c>
      <c r="F58" s="8">
        <v>30.986172</v>
      </c>
      <c r="G58" s="9">
        <v>9.6100060000000008E-3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7853</v>
      </c>
      <c r="F59" s="8">
        <v>30.940819999999999</v>
      </c>
      <c r="G59" s="9">
        <v>9.5959410000000002E-3</v>
      </c>
      <c r="H59" s="156"/>
    </row>
    <row r="60" spans="1:8" x14ac:dyDescent="0.2">
      <c r="A60" s="5">
        <v>54</v>
      </c>
      <c r="B60" s="6" t="s">
        <v>460</v>
      </c>
      <c r="C60" s="6" t="s">
        <v>461</v>
      </c>
      <c r="D60" s="6" t="s">
        <v>28</v>
      </c>
      <c r="E60" s="7">
        <v>5096</v>
      </c>
      <c r="F60" s="8">
        <v>30.894500000000001</v>
      </c>
      <c r="G60" s="9">
        <v>9.5815750000000002E-3</v>
      </c>
      <c r="H60" s="156"/>
    </row>
    <row r="61" spans="1:8" x14ac:dyDescent="0.2">
      <c r="A61" s="5">
        <v>55</v>
      </c>
      <c r="B61" s="6" t="s">
        <v>259</v>
      </c>
      <c r="C61" s="6" t="s">
        <v>260</v>
      </c>
      <c r="D61" s="6" t="s">
        <v>261</v>
      </c>
      <c r="E61" s="7">
        <v>3852</v>
      </c>
      <c r="F61" s="8">
        <v>30.540582000000001</v>
      </c>
      <c r="G61" s="9">
        <v>9.4718119999999996E-3</v>
      </c>
      <c r="H61" s="156"/>
    </row>
    <row r="62" spans="1:8" x14ac:dyDescent="0.2">
      <c r="A62" s="5">
        <v>56</v>
      </c>
      <c r="B62" s="6" t="s">
        <v>257</v>
      </c>
      <c r="C62" s="6" t="s">
        <v>258</v>
      </c>
      <c r="D62" s="6" t="s">
        <v>977</v>
      </c>
      <c r="E62" s="7">
        <v>33148</v>
      </c>
      <c r="F62" s="8">
        <v>30.446438000000001</v>
      </c>
      <c r="G62" s="9">
        <v>9.4426140000000002E-3</v>
      </c>
      <c r="H62" s="156"/>
    </row>
    <row r="63" spans="1:8" x14ac:dyDescent="0.2">
      <c r="A63" s="5">
        <v>57</v>
      </c>
      <c r="B63" s="6" t="s">
        <v>270</v>
      </c>
      <c r="C63" s="6" t="s">
        <v>271</v>
      </c>
      <c r="D63" s="6" t="s">
        <v>22</v>
      </c>
      <c r="E63" s="7">
        <v>27737</v>
      </c>
      <c r="F63" s="8">
        <v>28.707795000000001</v>
      </c>
      <c r="G63" s="9">
        <v>8.9033940000000002E-3</v>
      </c>
      <c r="H63" s="156"/>
    </row>
    <row r="64" spans="1:8" x14ac:dyDescent="0.2">
      <c r="A64" s="5">
        <v>58</v>
      </c>
      <c r="B64" s="6" t="s">
        <v>462</v>
      </c>
      <c r="C64" s="6" t="s">
        <v>463</v>
      </c>
      <c r="D64" s="6" t="s">
        <v>166</v>
      </c>
      <c r="E64" s="7">
        <v>3781</v>
      </c>
      <c r="F64" s="8">
        <v>28.357500000000002</v>
      </c>
      <c r="G64" s="9">
        <v>8.7947540000000001E-3</v>
      </c>
      <c r="H64" s="156"/>
    </row>
    <row r="65" spans="1:8" x14ac:dyDescent="0.2">
      <c r="A65" s="5">
        <v>59</v>
      </c>
      <c r="B65" s="6" t="s">
        <v>266</v>
      </c>
      <c r="C65" s="6" t="s">
        <v>267</v>
      </c>
      <c r="D65" s="6" t="s">
        <v>191</v>
      </c>
      <c r="E65" s="7">
        <v>4265</v>
      </c>
      <c r="F65" s="8">
        <v>27.377034999999999</v>
      </c>
      <c r="G65" s="9">
        <v>8.4906740000000001E-3</v>
      </c>
      <c r="H65" s="156"/>
    </row>
    <row r="66" spans="1:8" x14ac:dyDescent="0.2">
      <c r="A66" s="5">
        <v>60</v>
      </c>
      <c r="B66" s="6" t="s">
        <v>272</v>
      </c>
      <c r="C66" s="6" t="s">
        <v>273</v>
      </c>
      <c r="D66" s="6" t="s">
        <v>274</v>
      </c>
      <c r="E66" s="7">
        <v>10365</v>
      </c>
      <c r="F66" s="8">
        <v>26.161259999999999</v>
      </c>
      <c r="G66" s="9">
        <v>8.1136149999999994E-3</v>
      </c>
      <c r="H66" s="156"/>
    </row>
    <row r="67" spans="1:8" ht="25.5" x14ac:dyDescent="0.2">
      <c r="A67" s="5">
        <v>61</v>
      </c>
      <c r="B67" s="6" t="s">
        <v>251</v>
      </c>
      <c r="C67" s="6" t="s">
        <v>252</v>
      </c>
      <c r="D67" s="6" t="s">
        <v>155</v>
      </c>
      <c r="E67" s="7">
        <v>5943</v>
      </c>
      <c r="F67" s="8">
        <v>22.416996000000001</v>
      </c>
      <c r="G67" s="9">
        <v>6.9523739999999999E-3</v>
      </c>
      <c r="H67" s="156"/>
    </row>
    <row r="68" spans="1:8" x14ac:dyDescent="0.2">
      <c r="A68" s="5">
        <v>62</v>
      </c>
      <c r="B68" s="6" t="s">
        <v>279</v>
      </c>
      <c r="C68" s="6" t="s">
        <v>280</v>
      </c>
      <c r="D68" s="6" t="s">
        <v>974</v>
      </c>
      <c r="E68" s="7">
        <v>1276</v>
      </c>
      <c r="F68" s="8">
        <v>19.414978000000001</v>
      </c>
      <c r="G68" s="9">
        <v>6.0213330000000002E-3</v>
      </c>
      <c r="H68" s="156"/>
    </row>
    <row r="69" spans="1:8" x14ac:dyDescent="0.2">
      <c r="A69" s="5">
        <v>63</v>
      </c>
      <c r="B69" s="6" t="s">
        <v>46</v>
      </c>
      <c r="C69" s="6" t="s">
        <v>47</v>
      </c>
      <c r="D69" s="6" t="s">
        <v>28</v>
      </c>
      <c r="E69" s="7">
        <v>1047</v>
      </c>
      <c r="F69" s="8">
        <v>19.261659000000002</v>
      </c>
      <c r="G69" s="9">
        <v>5.9737829999999999E-3</v>
      </c>
      <c r="H69" s="156"/>
    </row>
    <row r="70" spans="1:8" x14ac:dyDescent="0.2">
      <c r="A70" s="5">
        <v>64</v>
      </c>
      <c r="B70" s="6" t="s">
        <v>294</v>
      </c>
      <c r="C70" s="6" t="s">
        <v>295</v>
      </c>
      <c r="D70" s="6" t="s">
        <v>975</v>
      </c>
      <c r="E70" s="7">
        <v>47427</v>
      </c>
      <c r="F70" s="8">
        <v>18.045973499999999</v>
      </c>
      <c r="G70" s="9">
        <v>5.596752E-3</v>
      </c>
      <c r="H70" s="156"/>
    </row>
    <row r="71" spans="1:8" x14ac:dyDescent="0.2">
      <c r="A71" s="5">
        <v>65</v>
      </c>
      <c r="B71" s="6" t="s">
        <v>244</v>
      </c>
      <c r="C71" s="6" t="s">
        <v>245</v>
      </c>
      <c r="D71" s="6" t="s">
        <v>246</v>
      </c>
      <c r="E71" s="7">
        <v>4041</v>
      </c>
      <c r="F71" s="8">
        <v>17.376300000000001</v>
      </c>
      <c r="G71" s="9">
        <v>5.3890600000000002E-3</v>
      </c>
      <c r="H71" s="156"/>
    </row>
    <row r="72" spans="1:8" x14ac:dyDescent="0.2">
      <c r="A72" s="5">
        <v>66</v>
      </c>
      <c r="B72" s="6" t="s">
        <v>283</v>
      </c>
      <c r="C72" s="6" t="s">
        <v>284</v>
      </c>
      <c r="D72" s="6" t="s">
        <v>169</v>
      </c>
      <c r="E72" s="7">
        <v>2826</v>
      </c>
      <c r="F72" s="8">
        <v>17.194797000000001</v>
      </c>
      <c r="G72" s="9">
        <v>5.3327690000000002E-3</v>
      </c>
      <c r="H72" s="156"/>
    </row>
    <row r="73" spans="1:8" x14ac:dyDescent="0.2">
      <c r="A73" s="5">
        <v>67</v>
      </c>
      <c r="B73" s="6" t="s">
        <v>38</v>
      </c>
      <c r="C73" s="6" t="s">
        <v>39</v>
      </c>
      <c r="D73" s="6" t="s">
        <v>40</v>
      </c>
      <c r="E73" s="7">
        <v>5816</v>
      </c>
      <c r="F73" s="8">
        <v>16.267351999999999</v>
      </c>
      <c r="G73" s="9">
        <v>5.0451330000000003E-3</v>
      </c>
      <c r="H73" s="156"/>
    </row>
    <row r="74" spans="1:8" x14ac:dyDescent="0.2">
      <c r="A74" s="5">
        <v>68</v>
      </c>
      <c r="B74" s="6" t="s">
        <v>281</v>
      </c>
      <c r="C74" s="6" t="s">
        <v>282</v>
      </c>
      <c r="D74" s="6" t="s">
        <v>155</v>
      </c>
      <c r="E74" s="7">
        <v>982</v>
      </c>
      <c r="F74" s="8">
        <v>15.372228</v>
      </c>
      <c r="G74" s="9">
        <v>4.7675199999999999E-3</v>
      </c>
      <c r="H74" s="156"/>
    </row>
    <row r="75" spans="1:8" x14ac:dyDescent="0.2">
      <c r="A75" s="5">
        <v>69</v>
      </c>
      <c r="B75" s="6" t="s">
        <v>452</v>
      </c>
      <c r="C75" s="6" t="s">
        <v>453</v>
      </c>
      <c r="D75" s="6" t="s">
        <v>166</v>
      </c>
      <c r="E75" s="7">
        <v>3361</v>
      </c>
      <c r="F75" s="8">
        <v>11.837441999999999</v>
      </c>
      <c r="G75" s="9">
        <v>3.6712469999999999E-3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0">
        <v>3106.5201145000001</v>
      </c>
      <c r="G76" s="11">
        <v>0.96345161199999996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106</v>
      </c>
      <c r="D78" s="3" t="s">
        <v>9</v>
      </c>
      <c r="E78" s="3" t="s">
        <v>9</v>
      </c>
      <c r="F78" s="3" t="s">
        <v>9</v>
      </c>
      <c r="G78" s="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107</v>
      </c>
      <c r="D81" s="3" t="s">
        <v>9</v>
      </c>
      <c r="E81" s="3" t="s">
        <v>9</v>
      </c>
      <c r="F81" s="3" t="s">
        <v>9</v>
      </c>
      <c r="G81" s="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111</v>
      </c>
      <c r="D84" s="3" t="s">
        <v>9</v>
      </c>
      <c r="E84" s="3" t="s">
        <v>9</v>
      </c>
      <c r="F84" s="3" t="s">
        <v>9</v>
      </c>
      <c r="G84" s="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112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105</v>
      </c>
      <c r="D88" s="3" t="s">
        <v>9</v>
      </c>
      <c r="E88" s="3" t="s">
        <v>9</v>
      </c>
      <c r="F88" s="14">
        <v>0</v>
      </c>
      <c r="G88" s="15">
        <v>0</v>
      </c>
      <c r="H88" s="156"/>
    </row>
    <row r="89" spans="1:8" x14ac:dyDescent="0.2">
      <c r="A89" s="3" t="s">
        <v>9</v>
      </c>
      <c r="B89" s="3" t="s">
        <v>9</v>
      </c>
      <c r="C89" s="12" t="s">
        <v>9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113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114</v>
      </c>
      <c r="D93" s="3" t="s">
        <v>9</v>
      </c>
      <c r="E93" s="3" t="s">
        <v>9</v>
      </c>
      <c r="F93" s="10">
        <v>3106.5201145000001</v>
      </c>
      <c r="G93" s="11">
        <v>0.96345161199999996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115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116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117</v>
      </c>
      <c r="D102" s="3" t="s">
        <v>9</v>
      </c>
      <c r="E102" s="3" t="s">
        <v>9</v>
      </c>
      <c r="F102" s="3" t="s">
        <v>9</v>
      </c>
      <c r="G102" s="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105</v>
      </c>
      <c r="D103" s="3" t="s">
        <v>9</v>
      </c>
      <c r="E103" s="3" t="s">
        <v>9</v>
      </c>
      <c r="F103" s="14">
        <v>0</v>
      </c>
      <c r="G103" s="15">
        <v>0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118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105</v>
      </c>
      <c r="D106" s="3" t="s">
        <v>9</v>
      </c>
      <c r="E106" s="3" t="s">
        <v>9</v>
      </c>
      <c r="F106" s="14">
        <v>0</v>
      </c>
      <c r="G106" s="15">
        <v>0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119</v>
      </c>
      <c r="D108" s="3" t="s">
        <v>9</v>
      </c>
      <c r="E108" s="3" t="s">
        <v>9</v>
      </c>
      <c r="F108" s="10">
        <v>0</v>
      </c>
      <c r="G108" s="11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120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121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105</v>
      </c>
      <c r="D112" s="3" t="s">
        <v>9</v>
      </c>
      <c r="E112" s="3" t="s">
        <v>9</v>
      </c>
      <c r="F112" s="14">
        <v>0</v>
      </c>
      <c r="G112" s="15">
        <v>0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122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105</v>
      </c>
      <c r="D115" s="3" t="s">
        <v>9</v>
      </c>
      <c r="E115" s="3" t="s">
        <v>9</v>
      </c>
      <c r="F115" s="14">
        <v>0</v>
      </c>
      <c r="G115" s="15">
        <v>0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123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105</v>
      </c>
      <c r="D118" s="3" t="s">
        <v>9</v>
      </c>
      <c r="E118" s="3" t="s">
        <v>9</v>
      </c>
      <c r="F118" s="14">
        <v>0</v>
      </c>
      <c r="G118" s="15">
        <v>0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124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5">
        <v>1</v>
      </c>
      <c r="B121" s="6"/>
      <c r="C121" s="6" t="s">
        <v>125</v>
      </c>
      <c r="D121" s="6"/>
      <c r="E121" s="16" t="s">
        <v>9</v>
      </c>
      <c r="F121" s="8">
        <v>70.087002600000005</v>
      </c>
      <c r="G121" s="9">
        <v>2.1736681000000001E-2</v>
      </c>
      <c r="H121" s="8">
        <v>3.3326163573085874</v>
      </c>
    </row>
    <row r="122" spans="1:8" x14ac:dyDescent="0.2">
      <c r="A122" s="5">
        <v>2</v>
      </c>
      <c r="B122" s="6"/>
      <c r="C122" s="6" t="s">
        <v>126</v>
      </c>
      <c r="D122" s="6"/>
      <c r="E122" s="16" t="s">
        <v>9</v>
      </c>
      <c r="F122" s="8">
        <v>50.059564899999998</v>
      </c>
      <c r="G122" s="9">
        <v>1.55254E-2</v>
      </c>
      <c r="H122" s="8">
        <v>3.2337849550915885</v>
      </c>
    </row>
    <row r="123" spans="1:8" x14ac:dyDescent="0.2">
      <c r="A123" s="3" t="s">
        <v>9</v>
      </c>
      <c r="B123" s="3" t="s">
        <v>9</v>
      </c>
      <c r="C123" s="4" t="s">
        <v>105</v>
      </c>
      <c r="D123" s="3" t="s">
        <v>9</v>
      </c>
      <c r="E123" s="3" t="s">
        <v>9</v>
      </c>
      <c r="F123" s="10">
        <v>120.1465675</v>
      </c>
      <c r="G123" s="11">
        <v>3.7262081000000002E-2</v>
      </c>
      <c r="H123" s="156"/>
    </row>
    <row r="124" spans="1:8" x14ac:dyDescent="0.2">
      <c r="A124" s="3" t="s">
        <v>9</v>
      </c>
      <c r="B124" s="3" t="s">
        <v>9</v>
      </c>
      <c r="C124" s="12" t="s">
        <v>9</v>
      </c>
      <c r="D124" s="3" t="s">
        <v>9</v>
      </c>
      <c r="E124" s="3" t="s">
        <v>9</v>
      </c>
      <c r="F124" s="13" t="s">
        <v>9</v>
      </c>
      <c r="G124" s="1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127</v>
      </c>
      <c r="D125" s="3" t="s">
        <v>9</v>
      </c>
      <c r="E125" s="3" t="s">
        <v>9</v>
      </c>
      <c r="F125" s="10">
        <v>120.1465675</v>
      </c>
      <c r="G125" s="11">
        <v>3.7262081000000002E-2</v>
      </c>
      <c r="H125" s="156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3" t="s">
        <v>9</v>
      </c>
      <c r="G126" s="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128</v>
      </c>
      <c r="D127" s="3" t="s">
        <v>9</v>
      </c>
      <c r="E127" s="3" t="s">
        <v>9</v>
      </c>
      <c r="F127" s="3" t="s">
        <v>9</v>
      </c>
      <c r="G127" s="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129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105</v>
      </c>
      <c r="D129" s="3" t="s">
        <v>9</v>
      </c>
      <c r="E129" s="3" t="s">
        <v>9</v>
      </c>
      <c r="F129" s="14">
        <v>0</v>
      </c>
      <c r="G129" s="15">
        <v>0</v>
      </c>
      <c r="H129" s="156"/>
    </row>
    <row r="130" spans="1:8" x14ac:dyDescent="0.2">
      <c r="A130" s="3" t="s">
        <v>9</v>
      </c>
      <c r="B130" s="3" t="s">
        <v>9</v>
      </c>
      <c r="C130" s="12" t="s">
        <v>9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130</v>
      </c>
      <c r="D131" s="3" t="s">
        <v>9</v>
      </c>
      <c r="E131" s="3" t="s">
        <v>9</v>
      </c>
      <c r="F131" s="3" t="s">
        <v>9</v>
      </c>
      <c r="G131" s="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131</v>
      </c>
      <c r="D132" s="3" t="s">
        <v>9</v>
      </c>
      <c r="E132" s="3" t="s">
        <v>9</v>
      </c>
      <c r="F132" s="3" t="s">
        <v>9</v>
      </c>
      <c r="G132" s="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105</v>
      </c>
      <c r="D133" s="3" t="s">
        <v>9</v>
      </c>
      <c r="E133" s="3" t="s">
        <v>9</v>
      </c>
      <c r="F133" s="14">
        <v>0</v>
      </c>
      <c r="G133" s="15">
        <v>0</v>
      </c>
      <c r="H133" s="156"/>
    </row>
    <row r="134" spans="1:8" x14ac:dyDescent="0.2">
      <c r="A134" s="3" t="s">
        <v>9</v>
      </c>
      <c r="B134" s="3" t="s">
        <v>9</v>
      </c>
      <c r="C134" s="12" t="s">
        <v>9</v>
      </c>
      <c r="D134" s="3" t="s">
        <v>9</v>
      </c>
      <c r="E134" s="3" t="s">
        <v>9</v>
      </c>
      <c r="F134" s="13" t="s">
        <v>9</v>
      </c>
      <c r="G134" s="13" t="s">
        <v>9</v>
      </c>
      <c r="H134" s="156"/>
    </row>
    <row r="135" spans="1:8" x14ac:dyDescent="0.2">
      <c r="A135" s="3" t="s">
        <v>9</v>
      </c>
      <c r="B135" s="3" t="s">
        <v>9</v>
      </c>
      <c r="C135" s="12" t="s">
        <v>9</v>
      </c>
      <c r="D135" s="3" t="s">
        <v>9</v>
      </c>
      <c r="E135" s="3" t="s">
        <v>9</v>
      </c>
      <c r="F135" s="13" t="s">
        <v>9</v>
      </c>
      <c r="G135" s="13" t="s">
        <v>9</v>
      </c>
      <c r="H135" s="156"/>
    </row>
    <row r="136" spans="1:8" x14ac:dyDescent="0.2">
      <c r="A136" s="3" t="s">
        <v>9</v>
      </c>
      <c r="B136" s="3" t="s">
        <v>9</v>
      </c>
      <c r="C136" s="4" t="s">
        <v>132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4" t="s">
        <v>105</v>
      </c>
      <c r="D137" s="3" t="s">
        <v>9</v>
      </c>
      <c r="E137" s="3" t="s">
        <v>9</v>
      </c>
      <c r="F137" s="14">
        <v>0</v>
      </c>
      <c r="G137" s="15">
        <v>0</v>
      </c>
      <c r="H137" s="156"/>
    </row>
    <row r="138" spans="1:8" x14ac:dyDescent="0.2">
      <c r="A138" s="3" t="s">
        <v>9</v>
      </c>
      <c r="B138" s="3" t="s">
        <v>9</v>
      </c>
      <c r="C138" s="12" t="s">
        <v>9</v>
      </c>
      <c r="D138" s="3" t="s">
        <v>9</v>
      </c>
      <c r="E138" s="3" t="s">
        <v>9</v>
      </c>
      <c r="F138" s="13" t="s">
        <v>9</v>
      </c>
      <c r="G138" s="13" t="s">
        <v>9</v>
      </c>
      <c r="H138" s="156"/>
    </row>
    <row r="139" spans="1:8" x14ac:dyDescent="0.2">
      <c r="A139" s="3" t="s">
        <v>9</v>
      </c>
      <c r="B139" s="6" t="s">
        <v>9</v>
      </c>
      <c r="C139" s="6" t="s">
        <v>9</v>
      </c>
      <c r="D139" s="4" t="s">
        <v>9</v>
      </c>
      <c r="E139" s="3" t="s">
        <v>9</v>
      </c>
      <c r="F139" s="6" t="s">
        <v>9</v>
      </c>
      <c r="G139" s="16" t="s">
        <v>9</v>
      </c>
      <c r="H139" s="156"/>
    </row>
    <row r="140" spans="1:8" x14ac:dyDescent="0.2">
      <c r="A140" s="16" t="s">
        <v>9</v>
      </c>
      <c r="B140" s="6" t="s">
        <v>9</v>
      </c>
      <c r="C140" s="6" t="s">
        <v>133</v>
      </c>
      <c r="D140" s="6" t="s">
        <v>9</v>
      </c>
      <c r="E140" s="16" t="s">
        <v>9</v>
      </c>
      <c r="F140" s="8">
        <v>-2.3012116200000001</v>
      </c>
      <c r="G140" s="9">
        <v>-7.1369399999999996E-4</v>
      </c>
      <c r="H140" s="156"/>
    </row>
    <row r="141" spans="1:8" x14ac:dyDescent="0.2">
      <c r="A141" s="12" t="s">
        <v>9</v>
      </c>
      <c r="B141" s="12" t="s">
        <v>9</v>
      </c>
      <c r="C141" s="4" t="s">
        <v>134</v>
      </c>
      <c r="D141" s="17" t="s">
        <v>9</v>
      </c>
      <c r="E141" s="17" t="s">
        <v>9</v>
      </c>
      <c r="F141" s="10">
        <v>3224.3654703799998</v>
      </c>
      <c r="G141" s="11">
        <v>0.99999999900000003</v>
      </c>
      <c r="H141" s="156"/>
    </row>
    <row r="142" spans="1:8" ht="14.1" customHeight="1" x14ac:dyDescent="0.2">
      <c r="A142" s="18" t="s">
        <v>9</v>
      </c>
      <c r="B142" s="18" t="s">
        <v>9</v>
      </c>
      <c r="C142" s="18" t="s">
        <v>9</v>
      </c>
      <c r="D142" s="19" t="s">
        <v>9</v>
      </c>
      <c r="E142" s="19" t="s">
        <v>9</v>
      </c>
      <c r="F142" s="19" t="s">
        <v>9</v>
      </c>
      <c r="G142" s="19" t="s">
        <v>9</v>
      </c>
    </row>
    <row r="143" spans="1:8" ht="14.1" customHeight="1" x14ac:dyDescent="0.2">
      <c r="A143" s="20" t="s">
        <v>9</v>
      </c>
      <c r="B143" s="200" t="s">
        <v>9</v>
      </c>
      <c r="C143" s="200"/>
      <c r="D143" s="200"/>
      <c r="E143" s="200"/>
      <c r="F143" s="200"/>
      <c r="G143" s="22" t="s">
        <v>9</v>
      </c>
    </row>
    <row r="144" spans="1:8" ht="14.1" customHeight="1" x14ac:dyDescent="0.2">
      <c r="A144" s="20" t="s">
        <v>9</v>
      </c>
      <c r="B144" s="200" t="s">
        <v>9</v>
      </c>
      <c r="C144" s="200"/>
      <c r="D144" s="200"/>
      <c r="E144" s="200"/>
      <c r="F144" s="200"/>
      <c r="G144" s="22" t="s">
        <v>9</v>
      </c>
    </row>
    <row r="145" spans="1:7" ht="14.1" customHeight="1" x14ac:dyDescent="0.2">
      <c r="A145" s="20" t="s">
        <v>9</v>
      </c>
      <c r="B145" s="20" t="s">
        <v>9</v>
      </c>
      <c r="C145" s="20" t="s">
        <v>9</v>
      </c>
      <c r="D145" s="22" t="s">
        <v>9</v>
      </c>
      <c r="E145" s="22" t="s">
        <v>9</v>
      </c>
      <c r="F145" s="22" t="s">
        <v>9</v>
      </c>
      <c r="G145" s="22" t="s">
        <v>9</v>
      </c>
    </row>
    <row r="146" spans="1:7" ht="14.1" customHeight="1" x14ac:dyDescent="0.2">
      <c r="A146" s="20" t="s">
        <v>9</v>
      </c>
      <c r="B146" s="198" t="s">
        <v>136</v>
      </c>
      <c r="C146" s="199"/>
      <c r="D146" s="13" t="s">
        <v>9</v>
      </c>
      <c r="E146" s="23" t="s">
        <v>9</v>
      </c>
      <c r="F146" s="22" t="s">
        <v>9</v>
      </c>
      <c r="G146" s="22" t="s">
        <v>9</v>
      </c>
    </row>
    <row r="147" spans="1:7" ht="29.1" customHeight="1" x14ac:dyDescent="0.2">
      <c r="A147" s="20" t="s">
        <v>9</v>
      </c>
      <c r="B147" s="205" t="s">
        <v>137</v>
      </c>
      <c r="C147" s="206"/>
      <c r="D147" s="4" t="s">
        <v>138</v>
      </c>
      <c r="E147" s="23" t="s">
        <v>9</v>
      </c>
      <c r="F147" s="22" t="s">
        <v>9</v>
      </c>
      <c r="G147" s="22" t="s">
        <v>9</v>
      </c>
    </row>
    <row r="148" spans="1:7" ht="17.100000000000001" customHeight="1" x14ac:dyDescent="0.2">
      <c r="A148" s="20" t="s">
        <v>9</v>
      </c>
      <c r="B148" s="205" t="s">
        <v>139</v>
      </c>
      <c r="C148" s="206"/>
      <c r="D148" s="4" t="s">
        <v>138</v>
      </c>
      <c r="E148" s="23" t="s">
        <v>9</v>
      </c>
      <c r="F148" s="22" t="s">
        <v>9</v>
      </c>
      <c r="G148" s="22" t="s">
        <v>9</v>
      </c>
    </row>
    <row r="149" spans="1:7" ht="17.100000000000001" customHeight="1" x14ac:dyDescent="0.2">
      <c r="A149" s="20" t="s">
        <v>9</v>
      </c>
      <c r="B149" s="205" t="s">
        <v>140</v>
      </c>
      <c r="C149" s="206"/>
      <c r="D149" s="13" t="s">
        <v>9</v>
      </c>
      <c r="E149" s="23" t="s">
        <v>9</v>
      </c>
      <c r="F149" s="22" t="s">
        <v>9</v>
      </c>
      <c r="G149" s="22" t="s">
        <v>9</v>
      </c>
    </row>
    <row r="150" spans="1:7" ht="24" customHeight="1" x14ac:dyDescent="0.2">
      <c r="A150" s="24" t="s">
        <v>9</v>
      </c>
      <c r="B150" s="25" t="s">
        <v>9</v>
      </c>
      <c r="C150" s="25" t="s">
        <v>141</v>
      </c>
      <c r="D150" s="25" t="s">
        <v>142</v>
      </c>
      <c r="E150" s="24" t="s">
        <v>9</v>
      </c>
      <c r="F150" s="24" t="s">
        <v>9</v>
      </c>
      <c r="G150" s="24" t="s">
        <v>9</v>
      </c>
    </row>
    <row r="151" spans="1:7" ht="18" customHeight="1" x14ac:dyDescent="0.2">
      <c r="A151" s="24" t="s">
        <v>9</v>
      </c>
      <c r="B151" s="25" t="s">
        <v>143</v>
      </c>
      <c r="C151" s="25" t="s">
        <v>144</v>
      </c>
      <c r="D151" s="25" t="s">
        <v>145</v>
      </c>
      <c r="E151" s="24" t="s">
        <v>9</v>
      </c>
      <c r="F151" s="24" t="s">
        <v>9</v>
      </c>
      <c r="G151" s="24" t="s">
        <v>9</v>
      </c>
    </row>
    <row r="152" spans="1:7" ht="17.100000000000001" customHeight="1" x14ac:dyDescent="0.2">
      <c r="A152" s="24" t="s">
        <v>9</v>
      </c>
      <c r="B152" s="6" t="s">
        <v>146</v>
      </c>
      <c r="C152" s="26">
        <v>16.418600000000001</v>
      </c>
      <c r="D152" s="26">
        <v>17.598099999999999</v>
      </c>
      <c r="E152" s="24" t="s">
        <v>9</v>
      </c>
      <c r="F152" s="21" t="s">
        <v>9</v>
      </c>
      <c r="G152" s="27" t="s">
        <v>9</v>
      </c>
    </row>
    <row r="153" spans="1:7" ht="17.100000000000001" customHeight="1" x14ac:dyDescent="0.2">
      <c r="A153" s="24" t="s">
        <v>9</v>
      </c>
      <c r="B153" s="6" t="s">
        <v>839</v>
      </c>
      <c r="C153" s="26">
        <v>15.3918</v>
      </c>
      <c r="D153" s="26">
        <v>16.497599999999998</v>
      </c>
      <c r="E153" s="24" t="s">
        <v>9</v>
      </c>
      <c r="F153" s="21" t="s">
        <v>9</v>
      </c>
      <c r="G153" s="27" t="s">
        <v>9</v>
      </c>
    </row>
    <row r="154" spans="1:7" ht="17.100000000000001" customHeight="1" x14ac:dyDescent="0.2">
      <c r="A154" s="24" t="s">
        <v>9</v>
      </c>
      <c r="B154" s="6" t="s">
        <v>147</v>
      </c>
      <c r="C154" s="26">
        <v>16.173999999999999</v>
      </c>
      <c r="D154" s="26">
        <v>17.327999999999999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840</v>
      </c>
      <c r="C155" s="26">
        <v>15.147399999999999</v>
      </c>
      <c r="D155" s="26">
        <v>16.228200000000001</v>
      </c>
      <c r="E155" s="24" t="s">
        <v>9</v>
      </c>
      <c r="F155" s="21" t="s">
        <v>9</v>
      </c>
      <c r="G155" s="27" t="s">
        <v>9</v>
      </c>
    </row>
    <row r="156" spans="1:7" ht="14.1" customHeight="1" x14ac:dyDescent="0.2">
      <c r="A156" s="24" t="s">
        <v>9</v>
      </c>
      <c r="B156" s="24" t="s">
        <v>9</v>
      </c>
      <c r="C156" s="24" t="s">
        <v>9</v>
      </c>
      <c r="D156" s="24" t="s">
        <v>9</v>
      </c>
      <c r="E156" s="24" t="s">
        <v>9</v>
      </c>
      <c r="F156" s="24" t="s">
        <v>9</v>
      </c>
      <c r="G156" s="24" t="s">
        <v>9</v>
      </c>
    </row>
    <row r="157" spans="1:7" ht="17.100000000000001" customHeight="1" x14ac:dyDescent="0.2">
      <c r="A157" s="24" t="s">
        <v>9</v>
      </c>
      <c r="B157" s="205" t="s">
        <v>1013</v>
      </c>
      <c r="C157" s="206"/>
      <c r="D157" s="4" t="s">
        <v>138</v>
      </c>
      <c r="E157" s="24" t="s">
        <v>9</v>
      </c>
      <c r="F157" s="24" t="s">
        <v>9</v>
      </c>
      <c r="G157" s="24" t="s">
        <v>9</v>
      </c>
    </row>
    <row r="158" spans="1:7" ht="18" customHeight="1" x14ac:dyDescent="0.2">
      <c r="A158" s="24" t="s">
        <v>9</v>
      </c>
      <c r="B158" s="30"/>
      <c r="C158" s="30"/>
      <c r="D158" s="28" t="s">
        <v>9</v>
      </c>
      <c r="E158" s="24" t="s">
        <v>9</v>
      </c>
      <c r="F158" s="24" t="s">
        <v>9</v>
      </c>
      <c r="G158" s="24" t="s">
        <v>9</v>
      </c>
    </row>
    <row r="159" spans="1:7" s="197" customFormat="1" x14ac:dyDescent="0.2">
      <c r="B159" s="208" t="s">
        <v>841</v>
      </c>
      <c r="C159" s="208"/>
      <c r="D159" s="208"/>
      <c r="E159" s="208"/>
      <c r="F159" s="208"/>
    </row>
    <row r="160" spans="1:7" ht="14.1" customHeight="1" x14ac:dyDescent="0.2">
      <c r="A160" s="24" t="s">
        <v>9</v>
      </c>
      <c r="B160" s="21" t="s">
        <v>9</v>
      </c>
      <c r="C160" s="21" t="s">
        <v>9</v>
      </c>
      <c r="D160" s="24" t="s">
        <v>9</v>
      </c>
      <c r="E160" s="24" t="s">
        <v>9</v>
      </c>
      <c r="F160" s="24" t="s">
        <v>9</v>
      </c>
      <c r="G160" s="24" t="s">
        <v>9</v>
      </c>
    </row>
    <row r="161" spans="1:7" ht="29.1" customHeight="1" x14ac:dyDescent="0.2">
      <c r="A161" s="24" t="s">
        <v>9</v>
      </c>
      <c r="B161" s="205" t="s">
        <v>148</v>
      </c>
      <c r="C161" s="206"/>
      <c r="D161" s="4" t="s">
        <v>138</v>
      </c>
      <c r="E161" s="24" t="s">
        <v>9</v>
      </c>
      <c r="F161" s="24" t="s">
        <v>9</v>
      </c>
      <c r="G161" s="24" t="s">
        <v>9</v>
      </c>
    </row>
    <row r="162" spans="1:7" ht="29.1" customHeight="1" x14ac:dyDescent="0.2">
      <c r="A162" s="24" t="s">
        <v>9</v>
      </c>
      <c r="B162" s="205" t="s">
        <v>149</v>
      </c>
      <c r="C162" s="206"/>
      <c r="D162" s="4" t="s">
        <v>138</v>
      </c>
      <c r="E162" s="24" t="s">
        <v>9</v>
      </c>
      <c r="F162" s="24" t="s">
        <v>9</v>
      </c>
      <c r="G162" s="24" t="s">
        <v>9</v>
      </c>
    </row>
    <row r="163" spans="1:7" ht="17.100000000000001" customHeight="1" x14ac:dyDescent="0.2">
      <c r="A163" s="24" t="s">
        <v>9</v>
      </c>
      <c r="B163" s="205" t="s">
        <v>150</v>
      </c>
      <c r="C163" s="206"/>
      <c r="D163" s="29">
        <v>0.47957379157939917</v>
      </c>
      <c r="E163" s="24" t="s">
        <v>9</v>
      </c>
      <c r="F163" s="21" t="s">
        <v>9</v>
      </c>
      <c r="G163" s="27" t="s">
        <v>9</v>
      </c>
    </row>
    <row r="164" spans="1:7" ht="17.100000000000001" customHeight="1" x14ac:dyDescent="0.2">
      <c r="A164" s="24" t="s">
        <v>9</v>
      </c>
      <c r="B164" s="205" t="s">
        <v>151</v>
      </c>
      <c r="C164" s="206"/>
      <c r="D164" s="4" t="s">
        <v>138</v>
      </c>
      <c r="E164" s="24" t="s">
        <v>9</v>
      </c>
      <c r="F164" s="24" t="s">
        <v>9</v>
      </c>
      <c r="G164" s="24" t="s">
        <v>9</v>
      </c>
    </row>
  </sheetData>
  <mergeCells count="15"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  <mergeCell ref="B146:C146"/>
    <mergeCell ref="B143:F143"/>
    <mergeCell ref="B144:F14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57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473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468</v>
      </c>
      <c r="C7" s="6" t="s">
        <v>469</v>
      </c>
      <c r="D7" s="6" t="s">
        <v>196</v>
      </c>
      <c r="E7" s="7">
        <v>94012</v>
      </c>
      <c r="F7" s="8">
        <v>461.45790199999999</v>
      </c>
      <c r="G7" s="9">
        <v>4.0910126999999998E-2</v>
      </c>
      <c r="H7" s="156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37098</v>
      </c>
      <c r="F8" s="8">
        <v>460.73861099999999</v>
      </c>
      <c r="G8" s="9">
        <v>4.0846357999999999E-2</v>
      </c>
      <c r="H8" s="156"/>
    </row>
    <row r="9" spans="1:8" x14ac:dyDescent="0.2">
      <c r="A9" s="5">
        <v>3</v>
      </c>
      <c r="B9" s="6" t="s">
        <v>153</v>
      </c>
      <c r="C9" s="6" t="s">
        <v>154</v>
      </c>
      <c r="D9" s="6" t="s">
        <v>155</v>
      </c>
      <c r="E9" s="7">
        <v>11668</v>
      </c>
      <c r="F9" s="8">
        <v>437.46249</v>
      </c>
      <c r="G9" s="9">
        <v>3.8782835000000002E-2</v>
      </c>
      <c r="H9" s="156"/>
    </row>
    <row r="10" spans="1:8" x14ac:dyDescent="0.2">
      <c r="A10" s="5">
        <v>4</v>
      </c>
      <c r="B10" s="6" t="s">
        <v>48</v>
      </c>
      <c r="C10" s="6" t="s">
        <v>49</v>
      </c>
      <c r="D10" s="6" t="s">
        <v>28</v>
      </c>
      <c r="E10" s="7">
        <v>37713</v>
      </c>
      <c r="F10" s="8">
        <v>381.56127750000002</v>
      </c>
      <c r="G10" s="9">
        <v>3.3826965000000001E-2</v>
      </c>
      <c r="H10" s="156"/>
    </row>
    <row r="11" spans="1:8" x14ac:dyDescent="0.2">
      <c r="A11" s="5">
        <v>5</v>
      </c>
      <c r="B11" s="6" t="s">
        <v>450</v>
      </c>
      <c r="C11" s="6" t="s">
        <v>451</v>
      </c>
      <c r="D11" s="6" t="s">
        <v>35</v>
      </c>
      <c r="E11" s="7">
        <v>25868</v>
      </c>
      <c r="F11" s="8">
        <v>314.77475800000002</v>
      </c>
      <c r="G11" s="9">
        <v>2.7906067E-2</v>
      </c>
      <c r="H11" s="156"/>
    </row>
    <row r="12" spans="1:8" x14ac:dyDescent="0.2">
      <c r="A12" s="5">
        <v>6</v>
      </c>
      <c r="B12" s="6" t="s">
        <v>185</v>
      </c>
      <c r="C12" s="6" t="s">
        <v>186</v>
      </c>
      <c r="D12" s="6" t="s">
        <v>172</v>
      </c>
      <c r="E12" s="7">
        <v>127326</v>
      </c>
      <c r="F12" s="8">
        <v>285.21024</v>
      </c>
      <c r="G12" s="9">
        <v>2.5285051999999999E-2</v>
      </c>
      <c r="H12" s="156"/>
    </row>
    <row r="13" spans="1:8" x14ac:dyDescent="0.2">
      <c r="A13" s="5">
        <v>7</v>
      </c>
      <c r="B13" s="6" t="s">
        <v>448</v>
      </c>
      <c r="C13" s="6" t="s">
        <v>449</v>
      </c>
      <c r="D13" s="6" t="s">
        <v>63</v>
      </c>
      <c r="E13" s="7">
        <v>90401</v>
      </c>
      <c r="F13" s="8">
        <v>283.4523355</v>
      </c>
      <c r="G13" s="9">
        <v>2.5129207000000001E-2</v>
      </c>
      <c r="H13" s="156"/>
    </row>
    <row r="14" spans="1:8" x14ac:dyDescent="0.2">
      <c r="A14" s="5">
        <v>8</v>
      </c>
      <c r="B14" s="6" t="s">
        <v>181</v>
      </c>
      <c r="C14" s="6" t="s">
        <v>182</v>
      </c>
      <c r="D14" s="6" t="s">
        <v>972</v>
      </c>
      <c r="E14" s="7">
        <v>112163</v>
      </c>
      <c r="F14" s="8">
        <v>283.3798195</v>
      </c>
      <c r="G14" s="9">
        <v>2.5122777999999998E-2</v>
      </c>
      <c r="H14" s="156"/>
    </row>
    <row r="15" spans="1:8" x14ac:dyDescent="0.2">
      <c r="A15" s="5">
        <v>9</v>
      </c>
      <c r="B15" s="6" t="s">
        <v>474</v>
      </c>
      <c r="C15" s="6" t="s">
        <v>475</v>
      </c>
      <c r="D15" s="6" t="s">
        <v>191</v>
      </c>
      <c r="E15" s="7">
        <v>90972</v>
      </c>
      <c r="F15" s="8">
        <v>281.01250800000003</v>
      </c>
      <c r="G15" s="9">
        <v>2.4912905999999999E-2</v>
      </c>
      <c r="H15" s="156"/>
    </row>
    <row r="16" spans="1:8" x14ac:dyDescent="0.2">
      <c r="A16" s="5">
        <v>10</v>
      </c>
      <c r="B16" s="6" t="s">
        <v>212</v>
      </c>
      <c r="C16" s="6" t="s">
        <v>213</v>
      </c>
      <c r="D16" s="6" t="s">
        <v>28</v>
      </c>
      <c r="E16" s="7">
        <v>18691</v>
      </c>
      <c r="F16" s="8">
        <v>274.63620850000001</v>
      </c>
      <c r="G16" s="9">
        <v>2.4347621E-2</v>
      </c>
      <c r="H16" s="156"/>
    </row>
    <row r="17" spans="1:8" x14ac:dyDescent="0.2">
      <c r="A17" s="5">
        <v>11</v>
      </c>
      <c r="B17" s="6" t="s">
        <v>164</v>
      </c>
      <c r="C17" s="6" t="s">
        <v>165</v>
      </c>
      <c r="D17" s="6" t="s">
        <v>166</v>
      </c>
      <c r="E17" s="7">
        <v>281351</v>
      </c>
      <c r="F17" s="8">
        <v>264.46994000000001</v>
      </c>
      <c r="G17" s="9">
        <v>2.344634E-2</v>
      </c>
      <c r="H17" s="156"/>
    </row>
    <row r="18" spans="1:8" x14ac:dyDescent="0.2">
      <c r="A18" s="5">
        <v>12</v>
      </c>
      <c r="B18" s="6" t="s">
        <v>264</v>
      </c>
      <c r="C18" s="6" t="s">
        <v>265</v>
      </c>
      <c r="D18" s="6" t="s">
        <v>975</v>
      </c>
      <c r="E18" s="7">
        <v>51380</v>
      </c>
      <c r="F18" s="8">
        <v>256.69448</v>
      </c>
      <c r="G18" s="9">
        <v>2.2757013E-2</v>
      </c>
      <c r="H18" s="156"/>
    </row>
    <row r="19" spans="1:8" x14ac:dyDescent="0.2">
      <c r="A19" s="5">
        <v>13</v>
      </c>
      <c r="B19" s="6" t="s">
        <v>454</v>
      </c>
      <c r="C19" s="6" t="s">
        <v>455</v>
      </c>
      <c r="D19" s="6" t="s">
        <v>68</v>
      </c>
      <c r="E19" s="7">
        <v>53500</v>
      </c>
      <c r="F19" s="8">
        <v>222.667</v>
      </c>
      <c r="G19" s="9">
        <v>1.9740338E-2</v>
      </c>
      <c r="H19" s="156"/>
    </row>
    <row r="20" spans="1:8" x14ac:dyDescent="0.2">
      <c r="A20" s="5">
        <v>14</v>
      </c>
      <c r="B20" s="6" t="s">
        <v>170</v>
      </c>
      <c r="C20" s="6" t="s">
        <v>171</v>
      </c>
      <c r="D20" s="6" t="s">
        <v>172</v>
      </c>
      <c r="E20" s="7">
        <v>16944</v>
      </c>
      <c r="F20" s="8">
        <v>222.42388800000001</v>
      </c>
      <c r="G20" s="9">
        <v>1.9718785999999999E-2</v>
      </c>
      <c r="H20" s="156"/>
    </row>
    <row r="21" spans="1:8" x14ac:dyDescent="0.2">
      <c r="A21" s="5">
        <v>15</v>
      </c>
      <c r="B21" s="6" t="s">
        <v>288</v>
      </c>
      <c r="C21" s="6" t="s">
        <v>289</v>
      </c>
      <c r="D21" s="6" t="s">
        <v>28</v>
      </c>
      <c r="E21" s="7">
        <v>20093</v>
      </c>
      <c r="F21" s="8">
        <v>222.31899849999999</v>
      </c>
      <c r="G21" s="9">
        <v>1.9709487000000001E-2</v>
      </c>
      <c r="H21" s="156"/>
    </row>
    <row r="22" spans="1:8" x14ac:dyDescent="0.2">
      <c r="A22" s="5">
        <v>16</v>
      </c>
      <c r="B22" s="6" t="s">
        <v>162</v>
      </c>
      <c r="C22" s="6" t="s">
        <v>163</v>
      </c>
      <c r="D22" s="6" t="s">
        <v>169</v>
      </c>
      <c r="E22" s="7">
        <v>21176</v>
      </c>
      <c r="F22" s="8">
        <v>212.62821600000001</v>
      </c>
      <c r="G22" s="9">
        <v>1.8850359000000001E-2</v>
      </c>
      <c r="H22" s="156"/>
    </row>
    <row r="23" spans="1:8" ht="25.5" x14ac:dyDescent="0.2">
      <c r="A23" s="5">
        <v>17</v>
      </c>
      <c r="B23" s="6" t="s">
        <v>214</v>
      </c>
      <c r="C23" s="6" t="s">
        <v>215</v>
      </c>
      <c r="D23" s="6" t="s">
        <v>63</v>
      </c>
      <c r="E23" s="7">
        <v>9500</v>
      </c>
      <c r="F23" s="8">
        <v>211.774</v>
      </c>
      <c r="G23" s="9">
        <v>1.8774629000000001E-2</v>
      </c>
      <c r="H23" s="156"/>
    </row>
    <row r="24" spans="1:8" x14ac:dyDescent="0.2">
      <c r="A24" s="5">
        <v>18</v>
      </c>
      <c r="B24" s="6" t="s">
        <v>476</v>
      </c>
      <c r="C24" s="6" t="s">
        <v>477</v>
      </c>
      <c r="D24" s="6" t="s">
        <v>196</v>
      </c>
      <c r="E24" s="7">
        <v>3589</v>
      </c>
      <c r="F24" s="8">
        <v>203.525012</v>
      </c>
      <c r="G24" s="9">
        <v>1.8043323E-2</v>
      </c>
      <c r="H24" s="156"/>
    </row>
    <row r="25" spans="1:8" x14ac:dyDescent="0.2">
      <c r="A25" s="5">
        <v>19</v>
      </c>
      <c r="B25" s="6" t="s">
        <v>160</v>
      </c>
      <c r="C25" s="6" t="s">
        <v>161</v>
      </c>
      <c r="D25" s="6" t="s">
        <v>28</v>
      </c>
      <c r="E25" s="7">
        <v>30000</v>
      </c>
      <c r="F25" s="8">
        <v>202.5</v>
      </c>
      <c r="G25" s="9">
        <v>1.7952452000000001E-2</v>
      </c>
      <c r="H25" s="156"/>
    </row>
    <row r="26" spans="1:8" x14ac:dyDescent="0.2">
      <c r="A26" s="5">
        <v>20</v>
      </c>
      <c r="B26" s="6" t="s">
        <v>208</v>
      </c>
      <c r="C26" s="6" t="s">
        <v>209</v>
      </c>
      <c r="D26" s="6" t="s">
        <v>976</v>
      </c>
      <c r="E26" s="7">
        <v>24745</v>
      </c>
      <c r="F26" s="8">
        <v>202.40172749999999</v>
      </c>
      <c r="G26" s="9">
        <v>1.7943739E-2</v>
      </c>
      <c r="H26" s="156"/>
    </row>
    <row r="27" spans="1:8" x14ac:dyDescent="0.2">
      <c r="A27" s="5">
        <v>21</v>
      </c>
      <c r="B27" s="6" t="s">
        <v>189</v>
      </c>
      <c r="C27" s="6" t="s">
        <v>190</v>
      </c>
      <c r="D27" s="6" t="s">
        <v>191</v>
      </c>
      <c r="E27" s="7">
        <v>16680</v>
      </c>
      <c r="F27" s="8">
        <v>194.92248000000001</v>
      </c>
      <c r="G27" s="9">
        <v>1.7280673E-2</v>
      </c>
      <c r="H27" s="156"/>
    </row>
    <row r="28" spans="1:8" x14ac:dyDescent="0.2">
      <c r="A28" s="5">
        <v>22</v>
      </c>
      <c r="B28" s="6" t="s">
        <v>192</v>
      </c>
      <c r="C28" s="6" t="s">
        <v>193</v>
      </c>
      <c r="D28" s="6" t="s">
        <v>196</v>
      </c>
      <c r="E28" s="7">
        <v>27841</v>
      </c>
      <c r="F28" s="8">
        <v>191.7270465</v>
      </c>
      <c r="G28" s="9">
        <v>1.6997385E-2</v>
      </c>
      <c r="H28" s="156"/>
    </row>
    <row r="29" spans="1:8" x14ac:dyDescent="0.2">
      <c r="A29" s="5">
        <v>23</v>
      </c>
      <c r="B29" s="6" t="s">
        <v>478</v>
      </c>
      <c r="C29" s="6" t="s">
        <v>479</v>
      </c>
      <c r="D29" s="6" t="s">
        <v>196</v>
      </c>
      <c r="E29" s="7">
        <v>2436</v>
      </c>
      <c r="F29" s="8">
        <v>186.89600999999999</v>
      </c>
      <c r="G29" s="9">
        <v>1.6569093999999999E-2</v>
      </c>
      <c r="H29" s="156"/>
    </row>
    <row r="30" spans="1:8" x14ac:dyDescent="0.2">
      <c r="A30" s="5">
        <v>24</v>
      </c>
      <c r="B30" s="6" t="s">
        <v>364</v>
      </c>
      <c r="C30" s="6" t="s">
        <v>365</v>
      </c>
      <c r="D30" s="6" t="s">
        <v>63</v>
      </c>
      <c r="E30" s="7">
        <v>8109</v>
      </c>
      <c r="F30" s="8">
        <v>181.27669499999999</v>
      </c>
      <c r="G30" s="9">
        <v>1.6070918999999999E-2</v>
      </c>
      <c r="H30" s="156"/>
    </row>
    <row r="31" spans="1:8" x14ac:dyDescent="0.2">
      <c r="A31" s="5">
        <v>25</v>
      </c>
      <c r="B31" s="6" t="s">
        <v>187</v>
      </c>
      <c r="C31" s="6" t="s">
        <v>188</v>
      </c>
      <c r="D31" s="6" t="s">
        <v>973</v>
      </c>
      <c r="E31" s="7">
        <v>57720</v>
      </c>
      <c r="F31" s="8">
        <v>178.18163999999999</v>
      </c>
      <c r="G31" s="9">
        <v>1.579653E-2</v>
      </c>
      <c r="H31" s="156"/>
    </row>
    <row r="32" spans="1:8" x14ac:dyDescent="0.2">
      <c r="A32" s="5">
        <v>26</v>
      </c>
      <c r="B32" s="6" t="s">
        <v>199</v>
      </c>
      <c r="C32" s="6" t="s">
        <v>200</v>
      </c>
      <c r="D32" s="6" t="s">
        <v>63</v>
      </c>
      <c r="E32" s="7">
        <v>51244</v>
      </c>
      <c r="F32" s="8">
        <v>177.04802000000001</v>
      </c>
      <c r="G32" s="9">
        <v>1.569603E-2</v>
      </c>
      <c r="H32" s="156"/>
    </row>
    <row r="33" spans="1:8" x14ac:dyDescent="0.2">
      <c r="A33" s="5">
        <v>27</v>
      </c>
      <c r="B33" s="6" t="s">
        <v>197</v>
      </c>
      <c r="C33" s="6" t="s">
        <v>198</v>
      </c>
      <c r="D33" s="6" t="s">
        <v>169</v>
      </c>
      <c r="E33" s="7">
        <v>3880</v>
      </c>
      <c r="F33" s="8">
        <v>166.96997999999999</v>
      </c>
      <c r="G33" s="9">
        <v>1.4802569999999999E-2</v>
      </c>
      <c r="H33" s="156"/>
    </row>
    <row r="34" spans="1:8" x14ac:dyDescent="0.2">
      <c r="A34" s="5">
        <v>28</v>
      </c>
      <c r="B34" s="6" t="s">
        <v>210</v>
      </c>
      <c r="C34" s="6" t="s">
        <v>211</v>
      </c>
      <c r="D34" s="6" t="s">
        <v>169</v>
      </c>
      <c r="E34" s="7">
        <v>19362</v>
      </c>
      <c r="F34" s="8">
        <v>166.43575200000001</v>
      </c>
      <c r="G34" s="9">
        <v>1.4755209E-2</v>
      </c>
      <c r="H34" s="156"/>
    </row>
    <row r="35" spans="1:8" x14ac:dyDescent="0.2">
      <c r="A35" s="5">
        <v>29</v>
      </c>
      <c r="B35" s="6" t="s">
        <v>224</v>
      </c>
      <c r="C35" s="6" t="s">
        <v>225</v>
      </c>
      <c r="D35" s="6" t="s">
        <v>40</v>
      </c>
      <c r="E35" s="7">
        <v>19637</v>
      </c>
      <c r="F35" s="8">
        <v>160.07100550000001</v>
      </c>
      <c r="G35" s="9">
        <v>1.4190948E-2</v>
      </c>
      <c r="H35" s="156"/>
    </row>
    <row r="36" spans="1:8" x14ac:dyDescent="0.2">
      <c r="A36" s="5">
        <v>30</v>
      </c>
      <c r="B36" s="6" t="s">
        <v>480</v>
      </c>
      <c r="C36" s="6" t="s">
        <v>481</v>
      </c>
      <c r="D36" s="6" t="s">
        <v>17</v>
      </c>
      <c r="E36" s="7">
        <v>108924</v>
      </c>
      <c r="F36" s="8">
        <v>155.87024400000001</v>
      </c>
      <c r="G36" s="9">
        <v>1.3818532999999999E-2</v>
      </c>
      <c r="H36" s="156"/>
    </row>
    <row r="37" spans="1:8" x14ac:dyDescent="0.2">
      <c r="A37" s="5">
        <v>31</v>
      </c>
      <c r="B37" s="6" t="s">
        <v>71</v>
      </c>
      <c r="C37" s="6" t="s">
        <v>72</v>
      </c>
      <c r="D37" s="6" t="s">
        <v>73</v>
      </c>
      <c r="E37" s="7">
        <v>26165</v>
      </c>
      <c r="F37" s="8">
        <v>150.50108</v>
      </c>
      <c r="G37" s="9">
        <v>1.3342535000000001E-2</v>
      </c>
      <c r="H37" s="156"/>
    </row>
    <row r="38" spans="1:8" x14ac:dyDescent="0.2">
      <c r="A38" s="5">
        <v>32</v>
      </c>
      <c r="B38" s="6" t="s">
        <v>79</v>
      </c>
      <c r="C38" s="6" t="s">
        <v>80</v>
      </c>
      <c r="D38" s="6" t="s">
        <v>63</v>
      </c>
      <c r="E38" s="7">
        <v>61753</v>
      </c>
      <c r="F38" s="8">
        <v>144.10062550000001</v>
      </c>
      <c r="G38" s="9">
        <v>1.2775109E-2</v>
      </c>
      <c r="H38" s="156"/>
    </row>
    <row r="39" spans="1:8" x14ac:dyDescent="0.2">
      <c r="A39" s="5">
        <v>33</v>
      </c>
      <c r="B39" s="6" t="s">
        <v>216</v>
      </c>
      <c r="C39" s="6" t="s">
        <v>217</v>
      </c>
      <c r="D39" s="6" t="s">
        <v>54</v>
      </c>
      <c r="E39" s="7">
        <v>12647</v>
      </c>
      <c r="F39" s="8">
        <v>140.53978749999999</v>
      </c>
      <c r="G39" s="9">
        <v>1.2459425999999999E-2</v>
      </c>
      <c r="H39" s="156"/>
    </row>
    <row r="40" spans="1:8" x14ac:dyDescent="0.2">
      <c r="A40" s="5">
        <v>34</v>
      </c>
      <c r="B40" s="6" t="s">
        <v>232</v>
      </c>
      <c r="C40" s="6" t="s">
        <v>233</v>
      </c>
      <c r="D40" s="6" t="s">
        <v>166</v>
      </c>
      <c r="E40" s="7">
        <v>254112</v>
      </c>
      <c r="F40" s="8">
        <v>136.96636799999999</v>
      </c>
      <c r="G40" s="9">
        <v>1.2142628000000001E-2</v>
      </c>
      <c r="H40" s="156"/>
    </row>
    <row r="41" spans="1:8" x14ac:dyDescent="0.2">
      <c r="A41" s="5">
        <v>35</v>
      </c>
      <c r="B41" s="6" t="s">
        <v>462</v>
      </c>
      <c r="C41" s="6" t="s">
        <v>463</v>
      </c>
      <c r="D41" s="6" t="s">
        <v>166</v>
      </c>
      <c r="E41" s="7">
        <v>17966</v>
      </c>
      <c r="F41" s="8">
        <v>134.745</v>
      </c>
      <c r="G41" s="9">
        <v>1.1945694E-2</v>
      </c>
      <c r="H41" s="156"/>
    </row>
    <row r="42" spans="1:8" x14ac:dyDescent="0.2">
      <c r="A42" s="5">
        <v>36</v>
      </c>
      <c r="B42" s="6" t="s">
        <v>482</v>
      </c>
      <c r="C42" s="6" t="s">
        <v>483</v>
      </c>
      <c r="D42" s="6" t="s">
        <v>73</v>
      </c>
      <c r="E42" s="7">
        <v>20000</v>
      </c>
      <c r="F42" s="8">
        <v>132.33000000000001</v>
      </c>
      <c r="G42" s="9">
        <v>1.1731594999999999E-2</v>
      </c>
      <c r="H42" s="156"/>
    </row>
    <row r="43" spans="1:8" x14ac:dyDescent="0.2">
      <c r="A43" s="5">
        <v>37</v>
      </c>
      <c r="B43" s="6" t="s">
        <v>242</v>
      </c>
      <c r="C43" s="6" t="s">
        <v>243</v>
      </c>
      <c r="D43" s="6" t="s">
        <v>196</v>
      </c>
      <c r="E43" s="7">
        <v>7795</v>
      </c>
      <c r="F43" s="8">
        <v>129.80233999999999</v>
      </c>
      <c r="G43" s="9">
        <v>1.1507507E-2</v>
      </c>
      <c r="H43" s="156"/>
    </row>
    <row r="44" spans="1:8" x14ac:dyDescent="0.2">
      <c r="A44" s="5">
        <v>38</v>
      </c>
      <c r="B44" s="6" t="s">
        <v>226</v>
      </c>
      <c r="C44" s="6" t="s">
        <v>227</v>
      </c>
      <c r="D44" s="6" t="s">
        <v>166</v>
      </c>
      <c r="E44" s="7">
        <v>23905</v>
      </c>
      <c r="F44" s="8">
        <v>129.38581249999999</v>
      </c>
      <c r="G44" s="9">
        <v>1.1470579999999999E-2</v>
      </c>
      <c r="H44" s="156"/>
    </row>
    <row r="45" spans="1:8" x14ac:dyDescent="0.2">
      <c r="A45" s="5">
        <v>39</v>
      </c>
      <c r="B45" s="6" t="s">
        <v>228</v>
      </c>
      <c r="C45" s="6" t="s">
        <v>229</v>
      </c>
      <c r="D45" s="6" t="s">
        <v>35</v>
      </c>
      <c r="E45" s="7">
        <v>162476</v>
      </c>
      <c r="F45" s="8">
        <v>128.51851600000001</v>
      </c>
      <c r="G45" s="9">
        <v>1.1393690999999999E-2</v>
      </c>
      <c r="H45" s="156"/>
    </row>
    <row r="46" spans="1:8" x14ac:dyDescent="0.2">
      <c r="A46" s="5">
        <v>40</v>
      </c>
      <c r="B46" s="6" t="s">
        <v>218</v>
      </c>
      <c r="C46" s="6" t="s">
        <v>219</v>
      </c>
      <c r="D46" s="6" t="s">
        <v>63</v>
      </c>
      <c r="E46" s="7">
        <v>17114</v>
      </c>
      <c r="F46" s="8">
        <v>125.762229</v>
      </c>
      <c r="G46" s="9">
        <v>1.1149335E-2</v>
      </c>
      <c r="H46" s="156"/>
    </row>
    <row r="47" spans="1:8" x14ac:dyDescent="0.2">
      <c r="A47" s="5">
        <v>41</v>
      </c>
      <c r="B47" s="6" t="s">
        <v>240</v>
      </c>
      <c r="C47" s="6" t="s">
        <v>241</v>
      </c>
      <c r="D47" s="6" t="s">
        <v>191</v>
      </c>
      <c r="E47" s="7">
        <v>33876</v>
      </c>
      <c r="F47" s="8">
        <v>125.51058</v>
      </c>
      <c r="G47" s="9">
        <v>1.1127025E-2</v>
      </c>
      <c r="H47" s="156"/>
    </row>
    <row r="48" spans="1:8" x14ac:dyDescent="0.2">
      <c r="A48" s="5">
        <v>42</v>
      </c>
      <c r="B48" s="6" t="s">
        <v>234</v>
      </c>
      <c r="C48" s="6" t="s">
        <v>235</v>
      </c>
      <c r="D48" s="6" t="s">
        <v>73</v>
      </c>
      <c r="E48" s="7">
        <v>28703</v>
      </c>
      <c r="F48" s="8">
        <v>122.4039435</v>
      </c>
      <c r="G48" s="9">
        <v>1.0851609E-2</v>
      </c>
      <c r="H48" s="156"/>
    </row>
    <row r="49" spans="1:8" x14ac:dyDescent="0.2">
      <c r="A49" s="5">
        <v>43</v>
      </c>
      <c r="B49" s="6" t="s">
        <v>484</v>
      </c>
      <c r="C49" s="6" t="s">
        <v>485</v>
      </c>
      <c r="D49" s="6" t="s">
        <v>68</v>
      </c>
      <c r="E49" s="7">
        <v>103230</v>
      </c>
      <c r="F49" s="8">
        <v>116.391825</v>
      </c>
      <c r="G49" s="9">
        <v>1.0318610000000001E-2</v>
      </c>
      <c r="H49" s="156"/>
    </row>
    <row r="50" spans="1:8" x14ac:dyDescent="0.2">
      <c r="A50" s="5">
        <v>44</v>
      </c>
      <c r="B50" s="6" t="s">
        <v>460</v>
      </c>
      <c r="C50" s="6" t="s">
        <v>461</v>
      </c>
      <c r="D50" s="6" t="s">
        <v>28</v>
      </c>
      <c r="E50" s="7">
        <v>19126</v>
      </c>
      <c r="F50" s="8">
        <v>115.951375</v>
      </c>
      <c r="G50" s="9">
        <v>1.0279563E-2</v>
      </c>
      <c r="H50" s="156"/>
    </row>
    <row r="51" spans="1:8" x14ac:dyDescent="0.2">
      <c r="A51" s="5">
        <v>45</v>
      </c>
      <c r="B51" s="6" t="s">
        <v>321</v>
      </c>
      <c r="C51" s="6" t="s">
        <v>322</v>
      </c>
      <c r="D51" s="6" t="s">
        <v>63</v>
      </c>
      <c r="E51" s="7">
        <v>26486</v>
      </c>
      <c r="F51" s="8">
        <v>115.10815599999999</v>
      </c>
      <c r="G51" s="9">
        <v>1.0204807999999999E-2</v>
      </c>
      <c r="H51" s="156"/>
    </row>
    <row r="52" spans="1:8" x14ac:dyDescent="0.2">
      <c r="A52" s="5">
        <v>46</v>
      </c>
      <c r="B52" s="6" t="s">
        <v>486</v>
      </c>
      <c r="C52" s="6" t="s">
        <v>487</v>
      </c>
      <c r="D52" s="6" t="s">
        <v>40</v>
      </c>
      <c r="E52" s="7">
        <v>138600</v>
      </c>
      <c r="F52" s="8">
        <v>113.37479999999999</v>
      </c>
      <c r="G52" s="9">
        <v>1.0051139000000001E-2</v>
      </c>
      <c r="H52" s="156"/>
    </row>
    <row r="53" spans="1:8" x14ac:dyDescent="0.2">
      <c r="A53" s="5">
        <v>47</v>
      </c>
      <c r="B53" s="6" t="s">
        <v>203</v>
      </c>
      <c r="C53" s="6" t="s">
        <v>204</v>
      </c>
      <c r="D53" s="6" t="s">
        <v>205</v>
      </c>
      <c r="E53" s="7">
        <v>14087</v>
      </c>
      <c r="F53" s="8">
        <v>111.24503900000001</v>
      </c>
      <c r="G53" s="9">
        <v>9.8623270000000006E-3</v>
      </c>
      <c r="H53" s="156"/>
    </row>
    <row r="54" spans="1:8" x14ac:dyDescent="0.2">
      <c r="A54" s="5">
        <v>48</v>
      </c>
      <c r="B54" s="6" t="s">
        <v>247</v>
      </c>
      <c r="C54" s="6" t="s">
        <v>248</v>
      </c>
      <c r="D54" s="6" t="s">
        <v>166</v>
      </c>
      <c r="E54" s="7">
        <v>21246</v>
      </c>
      <c r="F54" s="8">
        <v>111.23343300000001</v>
      </c>
      <c r="G54" s="9">
        <v>9.8612979999999992E-3</v>
      </c>
      <c r="H54" s="156"/>
    </row>
    <row r="55" spans="1:8" x14ac:dyDescent="0.2">
      <c r="A55" s="5">
        <v>49</v>
      </c>
      <c r="B55" s="6" t="s">
        <v>259</v>
      </c>
      <c r="C55" s="6" t="s">
        <v>260</v>
      </c>
      <c r="D55" s="6" t="s">
        <v>261</v>
      </c>
      <c r="E55" s="7">
        <v>13982</v>
      </c>
      <c r="F55" s="8">
        <v>110.85628699999999</v>
      </c>
      <c r="G55" s="9">
        <v>9.8278619999999997E-3</v>
      </c>
      <c r="H55" s="156"/>
    </row>
    <row r="56" spans="1:8" x14ac:dyDescent="0.2">
      <c r="A56" s="5">
        <v>50</v>
      </c>
      <c r="B56" s="6" t="s">
        <v>249</v>
      </c>
      <c r="C56" s="6" t="s">
        <v>250</v>
      </c>
      <c r="D56" s="6" t="s">
        <v>73</v>
      </c>
      <c r="E56" s="7">
        <v>30368</v>
      </c>
      <c r="F56" s="8">
        <v>109.825872</v>
      </c>
      <c r="G56" s="9">
        <v>9.7365119999999993E-3</v>
      </c>
      <c r="H56" s="156"/>
    </row>
    <row r="57" spans="1:8" x14ac:dyDescent="0.2">
      <c r="A57" s="5">
        <v>51</v>
      </c>
      <c r="B57" s="6" t="s">
        <v>253</v>
      </c>
      <c r="C57" s="6" t="s">
        <v>254</v>
      </c>
      <c r="D57" s="6" t="s">
        <v>975</v>
      </c>
      <c r="E57" s="7">
        <v>27465</v>
      </c>
      <c r="F57" s="8">
        <v>108.21210000000001</v>
      </c>
      <c r="G57" s="9">
        <v>9.5934439999999996E-3</v>
      </c>
      <c r="H57" s="156"/>
    </row>
    <row r="58" spans="1:8" x14ac:dyDescent="0.2">
      <c r="A58" s="5">
        <v>52</v>
      </c>
      <c r="B58" s="6" t="s">
        <v>488</v>
      </c>
      <c r="C58" s="6" t="s">
        <v>489</v>
      </c>
      <c r="D58" s="6" t="s">
        <v>73</v>
      </c>
      <c r="E58" s="7">
        <v>801</v>
      </c>
      <c r="F58" s="8">
        <v>106.589871</v>
      </c>
      <c r="G58" s="9">
        <v>9.4496270000000004E-3</v>
      </c>
      <c r="H58" s="156"/>
    </row>
    <row r="59" spans="1:8" x14ac:dyDescent="0.2">
      <c r="A59" s="5">
        <v>53</v>
      </c>
      <c r="B59" s="6" t="s">
        <v>257</v>
      </c>
      <c r="C59" s="6" t="s">
        <v>258</v>
      </c>
      <c r="D59" s="6" t="s">
        <v>977</v>
      </c>
      <c r="E59" s="7">
        <v>115940</v>
      </c>
      <c r="F59" s="8">
        <v>106.49088999999999</v>
      </c>
      <c r="G59" s="9">
        <v>9.4408519999999996E-3</v>
      </c>
      <c r="H59" s="156"/>
    </row>
    <row r="60" spans="1:8" x14ac:dyDescent="0.2">
      <c r="A60" s="5">
        <v>54</v>
      </c>
      <c r="B60" s="6" t="s">
        <v>46</v>
      </c>
      <c r="C60" s="6" t="s">
        <v>47</v>
      </c>
      <c r="D60" s="6" t="s">
        <v>28</v>
      </c>
      <c r="E60" s="7">
        <v>5688</v>
      </c>
      <c r="F60" s="8">
        <v>104.64213599999999</v>
      </c>
      <c r="G60" s="9">
        <v>9.2769519999999998E-3</v>
      </c>
      <c r="H60" s="156"/>
    </row>
    <row r="61" spans="1:8" x14ac:dyDescent="0.2">
      <c r="A61" s="5">
        <v>55</v>
      </c>
      <c r="B61" s="6" t="s">
        <v>266</v>
      </c>
      <c r="C61" s="6" t="s">
        <v>267</v>
      </c>
      <c r="D61" s="6" t="s">
        <v>191</v>
      </c>
      <c r="E61" s="7">
        <v>16139</v>
      </c>
      <c r="F61" s="8">
        <v>103.59624100000001</v>
      </c>
      <c r="G61" s="9">
        <v>9.1842299999999998E-3</v>
      </c>
      <c r="H61" s="156"/>
    </row>
    <row r="62" spans="1:8" x14ac:dyDescent="0.2">
      <c r="A62" s="5">
        <v>56</v>
      </c>
      <c r="B62" s="6" t="s">
        <v>237</v>
      </c>
      <c r="C62" s="6" t="s">
        <v>238</v>
      </c>
      <c r="D62" s="6" t="s">
        <v>239</v>
      </c>
      <c r="E62" s="7">
        <v>54852</v>
      </c>
      <c r="F62" s="8">
        <v>102.079572</v>
      </c>
      <c r="G62" s="9">
        <v>9.0497709999999999E-3</v>
      </c>
      <c r="H62" s="156"/>
    </row>
    <row r="63" spans="1:8" x14ac:dyDescent="0.2">
      <c r="A63" s="5">
        <v>57</v>
      </c>
      <c r="B63" s="6" t="s">
        <v>272</v>
      </c>
      <c r="C63" s="6" t="s">
        <v>273</v>
      </c>
      <c r="D63" s="6" t="s">
        <v>274</v>
      </c>
      <c r="E63" s="7">
        <v>36994</v>
      </c>
      <c r="F63" s="8">
        <v>93.372855999999999</v>
      </c>
      <c r="G63" s="9">
        <v>8.2778850000000005E-3</v>
      </c>
      <c r="H63" s="156"/>
    </row>
    <row r="64" spans="1:8" ht="25.5" x14ac:dyDescent="0.2">
      <c r="A64" s="5">
        <v>58</v>
      </c>
      <c r="B64" s="6" t="s">
        <v>251</v>
      </c>
      <c r="C64" s="6" t="s">
        <v>252</v>
      </c>
      <c r="D64" s="6" t="s">
        <v>155</v>
      </c>
      <c r="E64" s="7">
        <v>20930</v>
      </c>
      <c r="F64" s="8">
        <v>78.947959999999995</v>
      </c>
      <c r="G64" s="9">
        <v>6.9990590000000002E-3</v>
      </c>
      <c r="H64" s="156"/>
    </row>
    <row r="65" spans="1:8" x14ac:dyDescent="0.2">
      <c r="A65" s="5">
        <v>59</v>
      </c>
      <c r="B65" s="6" t="s">
        <v>279</v>
      </c>
      <c r="C65" s="6" t="s">
        <v>280</v>
      </c>
      <c r="D65" s="6" t="s">
        <v>974</v>
      </c>
      <c r="E65" s="7">
        <v>4651</v>
      </c>
      <c r="F65" s="8">
        <v>70.767290500000001</v>
      </c>
      <c r="G65" s="9">
        <v>6.273809E-3</v>
      </c>
      <c r="H65" s="156"/>
    </row>
    <row r="66" spans="1:8" x14ac:dyDescent="0.2">
      <c r="A66" s="5">
        <v>60</v>
      </c>
      <c r="B66" s="6" t="s">
        <v>283</v>
      </c>
      <c r="C66" s="6" t="s">
        <v>284</v>
      </c>
      <c r="D66" s="6" t="s">
        <v>169</v>
      </c>
      <c r="E66" s="7">
        <v>10259</v>
      </c>
      <c r="F66" s="8">
        <v>62.420885499999997</v>
      </c>
      <c r="G66" s="9">
        <v>5.5338660000000001E-3</v>
      </c>
      <c r="H66" s="156"/>
    </row>
    <row r="67" spans="1:8" x14ac:dyDescent="0.2">
      <c r="A67" s="5">
        <v>61</v>
      </c>
      <c r="B67" s="6" t="s">
        <v>244</v>
      </c>
      <c r="C67" s="6" t="s">
        <v>245</v>
      </c>
      <c r="D67" s="6" t="s">
        <v>246</v>
      </c>
      <c r="E67" s="7">
        <v>14178</v>
      </c>
      <c r="F67" s="8">
        <v>60.965400000000002</v>
      </c>
      <c r="G67" s="9">
        <v>5.404832E-3</v>
      </c>
      <c r="H67" s="156"/>
    </row>
    <row r="68" spans="1:8" x14ac:dyDescent="0.2">
      <c r="A68" s="5">
        <v>62</v>
      </c>
      <c r="B68" s="6" t="s">
        <v>456</v>
      </c>
      <c r="C68" s="6" t="s">
        <v>457</v>
      </c>
      <c r="D68" s="6" t="s">
        <v>63</v>
      </c>
      <c r="E68" s="7">
        <v>6000</v>
      </c>
      <c r="F68" s="8">
        <v>48.963000000000001</v>
      </c>
      <c r="G68" s="9">
        <v>4.3407699999999999E-3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0">
        <v>10996.089556000001</v>
      </c>
      <c r="G69" s="11">
        <v>0.97484822299999996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106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107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111</v>
      </c>
      <c r="D77" s="3" t="s">
        <v>9</v>
      </c>
      <c r="E77" s="3" t="s">
        <v>9</v>
      </c>
      <c r="F77" s="3" t="s">
        <v>9</v>
      </c>
      <c r="G77" s="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112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113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114</v>
      </c>
      <c r="D86" s="3" t="s">
        <v>9</v>
      </c>
      <c r="E86" s="3" t="s">
        <v>9</v>
      </c>
      <c r="F86" s="10">
        <v>10996.089556000001</v>
      </c>
      <c r="G86" s="11">
        <v>0.97484822299999996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115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116</v>
      </c>
      <c r="D92" s="3" t="s">
        <v>9</v>
      </c>
      <c r="E92" s="3" t="s">
        <v>9</v>
      </c>
      <c r="F92" s="3" t="s">
        <v>9</v>
      </c>
      <c r="G92" s="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117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118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119</v>
      </c>
      <c r="D101" s="3" t="s">
        <v>9</v>
      </c>
      <c r="E101" s="3" t="s">
        <v>9</v>
      </c>
      <c r="F101" s="10">
        <v>0</v>
      </c>
      <c r="G101" s="11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120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121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122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123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105</v>
      </c>
      <c r="D111" s="3" t="s">
        <v>9</v>
      </c>
      <c r="E111" s="3" t="s">
        <v>9</v>
      </c>
      <c r="F111" s="14">
        <v>0</v>
      </c>
      <c r="G111" s="15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124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5">
        <v>1</v>
      </c>
      <c r="B114" s="6"/>
      <c r="C114" s="6" t="s">
        <v>125</v>
      </c>
      <c r="D114" s="6"/>
      <c r="E114" s="16" t="s">
        <v>9</v>
      </c>
      <c r="F114" s="8">
        <v>84.206772599999994</v>
      </c>
      <c r="G114" s="9">
        <v>7.465274E-3</v>
      </c>
      <c r="H114" s="8">
        <v>3.3326163573085874</v>
      </c>
    </row>
    <row r="115" spans="1:8" x14ac:dyDescent="0.2">
      <c r="A115" s="5">
        <v>2</v>
      </c>
      <c r="B115" s="6"/>
      <c r="C115" s="6" t="s">
        <v>126</v>
      </c>
      <c r="D115" s="6"/>
      <c r="E115" s="16" t="s">
        <v>9</v>
      </c>
      <c r="F115" s="8">
        <v>60.144571300000003</v>
      </c>
      <c r="G115" s="9">
        <v>5.3320620000000003E-3</v>
      </c>
      <c r="H115" s="8">
        <v>3.2337849550915885</v>
      </c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0">
        <v>144.35134389999999</v>
      </c>
      <c r="G116" s="11">
        <v>1.2797335999999999E-2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127</v>
      </c>
      <c r="D118" s="3" t="s">
        <v>9</v>
      </c>
      <c r="E118" s="3" t="s">
        <v>9</v>
      </c>
      <c r="F118" s="10">
        <v>144.35134389999999</v>
      </c>
      <c r="G118" s="11">
        <v>1.2797335999999999E-2</v>
      </c>
      <c r="H118" s="156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128</v>
      </c>
      <c r="D120" s="3" t="s">
        <v>9</v>
      </c>
      <c r="E120" s="3" t="s">
        <v>9</v>
      </c>
      <c r="F120" s="3" t="s">
        <v>9</v>
      </c>
      <c r="G120" s="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129</v>
      </c>
      <c r="D121" s="3" t="s">
        <v>9</v>
      </c>
      <c r="E121" s="3" t="s">
        <v>9</v>
      </c>
      <c r="F121" s="3" t="s">
        <v>9</v>
      </c>
      <c r="G121" s="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105</v>
      </c>
      <c r="D122" s="3" t="s">
        <v>9</v>
      </c>
      <c r="E122" s="3" t="s">
        <v>9</v>
      </c>
      <c r="F122" s="14">
        <v>0</v>
      </c>
      <c r="G122" s="15">
        <v>0</v>
      </c>
      <c r="H122" s="156"/>
    </row>
    <row r="123" spans="1:8" x14ac:dyDescent="0.2">
      <c r="A123" s="3" t="s">
        <v>9</v>
      </c>
      <c r="B123" s="3" t="s">
        <v>9</v>
      </c>
      <c r="C123" s="12" t="s">
        <v>9</v>
      </c>
      <c r="D123" s="3" t="s">
        <v>9</v>
      </c>
      <c r="E123" s="3" t="s">
        <v>9</v>
      </c>
      <c r="F123" s="13" t="s">
        <v>9</v>
      </c>
      <c r="G123" s="1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130</v>
      </c>
      <c r="D124" s="3" t="s">
        <v>9</v>
      </c>
      <c r="E124" s="3" t="s">
        <v>9</v>
      </c>
      <c r="F124" s="3" t="s">
        <v>9</v>
      </c>
      <c r="G124" s="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131</v>
      </c>
      <c r="D125" s="3" t="s">
        <v>9</v>
      </c>
      <c r="E125" s="3" t="s">
        <v>9</v>
      </c>
      <c r="F125" s="3" t="s">
        <v>9</v>
      </c>
      <c r="G125" s="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105</v>
      </c>
      <c r="D126" s="3" t="s">
        <v>9</v>
      </c>
      <c r="E126" s="3" t="s">
        <v>9</v>
      </c>
      <c r="F126" s="14">
        <v>0</v>
      </c>
      <c r="G126" s="15">
        <v>0</v>
      </c>
      <c r="H126" s="156"/>
    </row>
    <row r="127" spans="1:8" x14ac:dyDescent="0.2">
      <c r="A127" s="3" t="s">
        <v>9</v>
      </c>
      <c r="B127" s="3" t="s">
        <v>9</v>
      </c>
      <c r="C127" s="12" t="s">
        <v>9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12" t="s">
        <v>9</v>
      </c>
      <c r="D128" s="3" t="s">
        <v>9</v>
      </c>
      <c r="E128" s="3" t="s">
        <v>9</v>
      </c>
      <c r="F128" s="13" t="s">
        <v>9</v>
      </c>
      <c r="G128" s="1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132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105</v>
      </c>
      <c r="D130" s="3" t="s">
        <v>9</v>
      </c>
      <c r="E130" s="3" t="s">
        <v>9</v>
      </c>
      <c r="F130" s="14">
        <v>0</v>
      </c>
      <c r="G130" s="15">
        <v>0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6" t="s">
        <v>9</v>
      </c>
      <c r="C132" s="6" t="s">
        <v>9</v>
      </c>
      <c r="D132" s="4" t="s">
        <v>9</v>
      </c>
      <c r="E132" s="3" t="s">
        <v>9</v>
      </c>
      <c r="F132" s="6" t="s">
        <v>9</v>
      </c>
      <c r="G132" s="16" t="s">
        <v>9</v>
      </c>
      <c r="H132" s="156"/>
    </row>
    <row r="133" spans="1:8" x14ac:dyDescent="0.2">
      <c r="A133" s="16" t="s">
        <v>9</v>
      </c>
      <c r="B133" s="6" t="s">
        <v>9</v>
      </c>
      <c r="C133" s="6" t="s">
        <v>133</v>
      </c>
      <c r="D133" s="6" t="s">
        <v>9</v>
      </c>
      <c r="E133" s="16" t="s">
        <v>9</v>
      </c>
      <c r="F133" s="8">
        <v>139.35559558</v>
      </c>
      <c r="G133" s="9">
        <v>1.2354442E-2</v>
      </c>
      <c r="H133" s="156"/>
    </row>
    <row r="134" spans="1:8" x14ac:dyDescent="0.2">
      <c r="A134" s="12" t="s">
        <v>9</v>
      </c>
      <c r="B134" s="12" t="s">
        <v>9</v>
      </c>
      <c r="C134" s="4" t="s">
        <v>134</v>
      </c>
      <c r="D134" s="17" t="s">
        <v>9</v>
      </c>
      <c r="E134" s="17" t="s">
        <v>9</v>
      </c>
      <c r="F134" s="10">
        <v>11279.796495480001</v>
      </c>
      <c r="G134" s="11">
        <v>1.0000000010000001</v>
      </c>
      <c r="H134" s="156"/>
    </row>
    <row r="135" spans="1:8" ht="14.1" customHeight="1" x14ac:dyDescent="0.2">
      <c r="A135" s="18" t="s">
        <v>9</v>
      </c>
      <c r="B135" s="18" t="s">
        <v>9</v>
      </c>
      <c r="C135" s="18" t="s">
        <v>9</v>
      </c>
      <c r="D135" s="19" t="s">
        <v>9</v>
      </c>
      <c r="E135" s="19" t="s">
        <v>9</v>
      </c>
      <c r="F135" s="19" t="s">
        <v>9</v>
      </c>
      <c r="G135" s="19" t="s">
        <v>9</v>
      </c>
    </row>
    <row r="136" spans="1:8" ht="14.1" customHeight="1" x14ac:dyDescent="0.2">
      <c r="A136" s="20" t="s">
        <v>9</v>
      </c>
      <c r="B136" s="200" t="s">
        <v>9</v>
      </c>
      <c r="C136" s="200"/>
      <c r="D136" s="200"/>
      <c r="E136" s="200"/>
      <c r="F136" s="200"/>
      <c r="G136" s="22" t="s">
        <v>9</v>
      </c>
    </row>
    <row r="137" spans="1:8" ht="14.1" customHeight="1" x14ac:dyDescent="0.2">
      <c r="A137" s="20" t="s">
        <v>9</v>
      </c>
      <c r="B137" s="200" t="s">
        <v>9</v>
      </c>
      <c r="C137" s="200"/>
      <c r="D137" s="200"/>
      <c r="E137" s="200"/>
      <c r="F137" s="200"/>
      <c r="G137" s="22" t="s">
        <v>9</v>
      </c>
    </row>
    <row r="138" spans="1:8" ht="14.1" customHeight="1" x14ac:dyDescent="0.2">
      <c r="A138" s="20" t="s">
        <v>9</v>
      </c>
      <c r="B138" s="20" t="s">
        <v>9</v>
      </c>
      <c r="C138" s="20" t="s">
        <v>9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pans="1:8" ht="14.1" customHeight="1" x14ac:dyDescent="0.2">
      <c r="A139" s="20" t="s">
        <v>9</v>
      </c>
      <c r="B139" s="198" t="s">
        <v>136</v>
      </c>
      <c r="C139" s="199"/>
      <c r="D139" s="13" t="s">
        <v>9</v>
      </c>
      <c r="E139" s="23" t="s">
        <v>9</v>
      </c>
      <c r="F139" s="22" t="s">
        <v>9</v>
      </c>
      <c r="G139" s="22" t="s">
        <v>9</v>
      </c>
    </row>
    <row r="140" spans="1:8" ht="29.1" customHeight="1" x14ac:dyDescent="0.2">
      <c r="A140" s="20" t="s">
        <v>9</v>
      </c>
      <c r="B140" s="205" t="s">
        <v>137</v>
      </c>
      <c r="C140" s="206"/>
      <c r="D140" s="4" t="s">
        <v>138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05" t="s">
        <v>139</v>
      </c>
      <c r="C141" s="206"/>
      <c r="D141" s="4" t="s">
        <v>138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05" t="s">
        <v>140</v>
      </c>
      <c r="C142" s="206"/>
      <c r="D142" s="13" t="s">
        <v>9</v>
      </c>
      <c r="E142" s="23" t="s">
        <v>9</v>
      </c>
      <c r="F142" s="22" t="s">
        <v>9</v>
      </c>
      <c r="G142" s="22" t="s">
        <v>9</v>
      </c>
    </row>
    <row r="143" spans="1:8" ht="24" customHeight="1" x14ac:dyDescent="0.2">
      <c r="A143" s="24" t="s">
        <v>9</v>
      </c>
      <c r="B143" s="25" t="s">
        <v>9</v>
      </c>
      <c r="C143" s="25" t="s">
        <v>141</v>
      </c>
      <c r="D143" s="25" t="s">
        <v>142</v>
      </c>
      <c r="E143" s="24" t="s">
        <v>9</v>
      </c>
      <c r="F143" s="24" t="s">
        <v>9</v>
      </c>
      <c r="G143" s="24" t="s">
        <v>9</v>
      </c>
    </row>
    <row r="144" spans="1:8" ht="18" customHeight="1" x14ac:dyDescent="0.2">
      <c r="A144" s="24" t="s">
        <v>9</v>
      </c>
      <c r="B144" s="25" t="s">
        <v>143</v>
      </c>
      <c r="C144" s="25" t="s">
        <v>144</v>
      </c>
      <c r="D144" s="25" t="s">
        <v>145</v>
      </c>
      <c r="E144" s="24" t="s">
        <v>9</v>
      </c>
      <c r="F144" s="24" t="s">
        <v>9</v>
      </c>
      <c r="G144" s="24" t="s">
        <v>9</v>
      </c>
    </row>
    <row r="145" spans="1:7" ht="17.100000000000001" customHeight="1" x14ac:dyDescent="0.2">
      <c r="A145" s="24" t="s">
        <v>9</v>
      </c>
      <c r="B145" s="6" t="s">
        <v>146</v>
      </c>
      <c r="C145" s="26">
        <v>16.702500000000001</v>
      </c>
      <c r="D145" s="26">
        <v>17.729900000000001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839</v>
      </c>
      <c r="C146" s="26">
        <v>15.677</v>
      </c>
      <c r="D146" s="26">
        <v>16.641300000000001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147</v>
      </c>
      <c r="C147" s="26">
        <v>16.4879</v>
      </c>
      <c r="D147" s="26">
        <v>17.496099999999998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840</v>
      </c>
      <c r="C148" s="26">
        <v>15.4625</v>
      </c>
      <c r="D148" s="26">
        <v>16.408000000000001</v>
      </c>
      <c r="E148" s="24" t="s">
        <v>9</v>
      </c>
      <c r="F148" s="21" t="s">
        <v>9</v>
      </c>
      <c r="G148" s="27" t="s">
        <v>9</v>
      </c>
    </row>
    <row r="149" spans="1:7" ht="14.1" customHeight="1" x14ac:dyDescent="0.2">
      <c r="A149" s="24" t="s">
        <v>9</v>
      </c>
      <c r="B149" s="24" t="s">
        <v>9</v>
      </c>
      <c r="C149" s="24" t="s">
        <v>9</v>
      </c>
      <c r="D149" s="24" t="s">
        <v>9</v>
      </c>
      <c r="E149" s="24" t="s">
        <v>9</v>
      </c>
      <c r="F149" s="24" t="s">
        <v>9</v>
      </c>
      <c r="G149" s="24" t="s">
        <v>9</v>
      </c>
    </row>
    <row r="150" spans="1:7" ht="17.100000000000001" customHeight="1" x14ac:dyDescent="0.2">
      <c r="A150" s="24" t="s">
        <v>9</v>
      </c>
      <c r="B150" s="205" t="s">
        <v>1013</v>
      </c>
      <c r="C150" s="206"/>
      <c r="D150" s="4" t="s">
        <v>138</v>
      </c>
      <c r="E150" s="24" t="s">
        <v>9</v>
      </c>
      <c r="F150" s="24" t="s">
        <v>9</v>
      </c>
      <c r="G150" s="24" t="s">
        <v>9</v>
      </c>
    </row>
    <row r="151" spans="1:7" ht="18" customHeight="1" x14ac:dyDescent="0.2">
      <c r="A151" s="24" t="s">
        <v>9</v>
      </c>
      <c r="B151" s="30"/>
      <c r="C151" s="30"/>
      <c r="D151" s="28" t="s">
        <v>9</v>
      </c>
      <c r="E151" s="24" t="s">
        <v>9</v>
      </c>
      <c r="F151" s="24" t="s">
        <v>9</v>
      </c>
      <c r="G151" s="24" t="s">
        <v>9</v>
      </c>
    </row>
    <row r="152" spans="1:7" s="197" customFormat="1" x14ac:dyDescent="0.2">
      <c r="B152" s="208" t="s">
        <v>841</v>
      </c>
      <c r="C152" s="208"/>
      <c r="D152" s="208"/>
      <c r="E152" s="208"/>
      <c r="F152" s="208"/>
    </row>
    <row r="153" spans="1:7" ht="14.1" customHeight="1" x14ac:dyDescent="0.2">
      <c r="A153" s="24" t="s">
        <v>9</v>
      </c>
      <c r="B153" s="21" t="s">
        <v>9</v>
      </c>
      <c r="C153" s="21" t="s">
        <v>9</v>
      </c>
      <c r="D153" s="24" t="s">
        <v>9</v>
      </c>
      <c r="E153" s="24" t="s">
        <v>9</v>
      </c>
      <c r="F153" s="24" t="s">
        <v>9</v>
      </c>
      <c r="G153" s="24" t="s">
        <v>9</v>
      </c>
    </row>
    <row r="154" spans="1:7" ht="29.1" customHeight="1" x14ac:dyDescent="0.2">
      <c r="A154" s="24" t="s">
        <v>9</v>
      </c>
      <c r="B154" s="205" t="s">
        <v>148</v>
      </c>
      <c r="C154" s="206"/>
      <c r="D154" s="4" t="s">
        <v>138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05" t="s">
        <v>149</v>
      </c>
      <c r="C155" s="206"/>
      <c r="D155" s="4" t="s">
        <v>138</v>
      </c>
      <c r="E155" s="24" t="s">
        <v>9</v>
      </c>
      <c r="F155" s="24" t="s">
        <v>9</v>
      </c>
      <c r="G155" s="24" t="s">
        <v>9</v>
      </c>
    </row>
    <row r="156" spans="1:7" ht="17.100000000000001" customHeight="1" x14ac:dyDescent="0.2">
      <c r="A156" s="24" t="s">
        <v>9</v>
      </c>
      <c r="B156" s="205" t="s">
        <v>150</v>
      </c>
      <c r="C156" s="206"/>
      <c r="D156" s="29">
        <v>0.53696712654661138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205" t="s">
        <v>151</v>
      </c>
      <c r="C157" s="206"/>
      <c r="D157" s="4" t="s">
        <v>138</v>
      </c>
      <c r="E157" s="24" t="s">
        <v>9</v>
      </c>
      <c r="F157" s="24" t="s">
        <v>9</v>
      </c>
      <c r="G157" s="24" t="s">
        <v>9</v>
      </c>
    </row>
  </sheetData>
  <mergeCells count="15"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12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  <col min="10" max="10" width="9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490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398</v>
      </c>
      <c r="C7" s="6" t="s">
        <v>399</v>
      </c>
      <c r="D7" s="6" t="s">
        <v>169</v>
      </c>
      <c r="E7" s="7">
        <v>801637</v>
      </c>
      <c r="F7" s="8">
        <v>12672.277695999999</v>
      </c>
      <c r="G7" s="9">
        <v>9.8758513000000006E-2</v>
      </c>
      <c r="H7" s="156"/>
    </row>
    <row r="8" spans="1:8" x14ac:dyDescent="0.2">
      <c r="A8" s="5">
        <v>2</v>
      </c>
      <c r="B8" s="6" t="s">
        <v>20</v>
      </c>
      <c r="C8" s="6" t="s">
        <v>21</v>
      </c>
      <c r="D8" s="6" t="s">
        <v>22</v>
      </c>
      <c r="E8" s="7">
        <v>1900078</v>
      </c>
      <c r="F8" s="8">
        <v>11987.592102000001</v>
      </c>
      <c r="G8" s="9">
        <v>9.3422571999999995E-2</v>
      </c>
      <c r="H8" s="156"/>
    </row>
    <row r="9" spans="1:8" x14ac:dyDescent="0.2">
      <c r="A9" s="5">
        <v>3</v>
      </c>
      <c r="B9" s="6" t="s">
        <v>50</v>
      </c>
      <c r="C9" s="6" t="s">
        <v>51</v>
      </c>
      <c r="D9" s="6" t="s">
        <v>22</v>
      </c>
      <c r="E9" s="7">
        <v>780385</v>
      </c>
      <c r="F9" s="8">
        <v>11689.386914999999</v>
      </c>
      <c r="G9" s="9">
        <v>9.1098577999999999E-2</v>
      </c>
      <c r="H9" s="156"/>
    </row>
    <row r="10" spans="1:8" x14ac:dyDescent="0.2">
      <c r="A10" s="5">
        <v>4</v>
      </c>
      <c r="B10" s="6" t="s">
        <v>12</v>
      </c>
      <c r="C10" s="6" t="s">
        <v>13</v>
      </c>
      <c r="D10" s="6" t="s">
        <v>14</v>
      </c>
      <c r="E10" s="7">
        <v>471874</v>
      </c>
      <c r="F10" s="8">
        <v>7080.7053070000002</v>
      </c>
      <c r="G10" s="9">
        <v>5.5181866000000003E-2</v>
      </c>
      <c r="H10" s="156"/>
    </row>
    <row r="11" spans="1:8" x14ac:dyDescent="0.2">
      <c r="A11" s="5">
        <v>5</v>
      </c>
      <c r="B11" s="6" t="s">
        <v>408</v>
      </c>
      <c r="C11" s="6" t="s">
        <v>409</v>
      </c>
      <c r="D11" s="6" t="s">
        <v>169</v>
      </c>
      <c r="E11" s="7">
        <v>209248</v>
      </c>
      <c r="F11" s="8">
        <v>7000.9149600000001</v>
      </c>
      <c r="G11" s="9">
        <v>5.4560037999999998E-2</v>
      </c>
      <c r="H11" s="156"/>
    </row>
    <row r="12" spans="1:8" x14ac:dyDescent="0.2">
      <c r="A12" s="5">
        <v>6</v>
      </c>
      <c r="B12" s="6" t="s">
        <v>402</v>
      </c>
      <c r="C12" s="6" t="s">
        <v>403</v>
      </c>
      <c r="D12" s="6" t="s">
        <v>22</v>
      </c>
      <c r="E12" s="7">
        <v>1616281</v>
      </c>
      <c r="F12" s="8">
        <v>6775.4499519999999</v>
      </c>
      <c r="G12" s="9">
        <v>5.2802927999999999E-2</v>
      </c>
      <c r="H12" s="156"/>
    </row>
    <row r="13" spans="1:8" x14ac:dyDescent="0.2">
      <c r="A13" s="5">
        <v>7</v>
      </c>
      <c r="B13" s="6" t="s">
        <v>356</v>
      </c>
      <c r="C13" s="6" t="s">
        <v>357</v>
      </c>
      <c r="D13" s="6" t="s">
        <v>22</v>
      </c>
      <c r="E13" s="7">
        <v>901060</v>
      </c>
      <c r="F13" s="8">
        <v>6742.6319800000001</v>
      </c>
      <c r="G13" s="9">
        <v>5.2547167999999998E-2</v>
      </c>
      <c r="H13" s="156"/>
    </row>
    <row r="14" spans="1:8" x14ac:dyDescent="0.2">
      <c r="A14" s="5">
        <v>8</v>
      </c>
      <c r="B14" s="6" t="s">
        <v>15</v>
      </c>
      <c r="C14" s="6" t="s">
        <v>16</v>
      </c>
      <c r="D14" s="6" t="s">
        <v>17</v>
      </c>
      <c r="E14" s="7">
        <v>292210</v>
      </c>
      <c r="F14" s="8">
        <v>6167.5303649999996</v>
      </c>
      <c r="G14" s="9">
        <v>4.8065244999999999E-2</v>
      </c>
      <c r="H14" s="156"/>
    </row>
    <row r="15" spans="1:8" x14ac:dyDescent="0.2">
      <c r="A15" s="5">
        <v>9</v>
      </c>
      <c r="B15" s="6" t="s">
        <v>400</v>
      </c>
      <c r="C15" s="6" t="s">
        <v>401</v>
      </c>
      <c r="D15" s="6" t="s">
        <v>166</v>
      </c>
      <c r="E15" s="7">
        <v>233917</v>
      </c>
      <c r="F15" s="8">
        <v>5790.0305424999997</v>
      </c>
      <c r="G15" s="9">
        <v>4.5123285999999999E-2</v>
      </c>
      <c r="H15" s="156"/>
    </row>
    <row r="16" spans="1:8" x14ac:dyDescent="0.2">
      <c r="A16" s="5">
        <v>10</v>
      </c>
      <c r="B16" s="6" t="s">
        <v>368</v>
      </c>
      <c r="C16" s="6" t="s">
        <v>369</v>
      </c>
      <c r="D16" s="6" t="s">
        <v>169</v>
      </c>
      <c r="E16" s="7">
        <v>548166</v>
      </c>
      <c r="F16" s="8">
        <v>5391.2126099999996</v>
      </c>
      <c r="G16" s="9">
        <v>4.2015189000000001E-2</v>
      </c>
      <c r="H16" s="156"/>
    </row>
    <row r="17" spans="1:8" x14ac:dyDescent="0.2">
      <c r="A17" s="5">
        <v>11</v>
      </c>
      <c r="B17" s="6" t="s">
        <v>57</v>
      </c>
      <c r="C17" s="6" t="s">
        <v>58</v>
      </c>
      <c r="D17" s="6" t="s">
        <v>17</v>
      </c>
      <c r="E17" s="7">
        <v>1105245</v>
      </c>
      <c r="F17" s="8">
        <v>5173.6518450000003</v>
      </c>
      <c r="G17" s="9">
        <v>4.0319678999999997E-2</v>
      </c>
      <c r="H17" s="156"/>
    </row>
    <row r="18" spans="1:8" x14ac:dyDescent="0.2">
      <c r="A18" s="5">
        <v>12</v>
      </c>
      <c r="B18" s="6" t="s">
        <v>319</v>
      </c>
      <c r="C18" s="6" t="s">
        <v>320</v>
      </c>
      <c r="D18" s="6" t="s">
        <v>73</v>
      </c>
      <c r="E18" s="7">
        <v>557967</v>
      </c>
      <c r="F18" s="8">
        <v>4070.927232</v>
      </c>
      <c r="G18" s="9">
        <v>3.1725845000000003E-2</v>
      </c>
      <c r="H18" s="156"/>
    </row>
    <row r="19" spans="1:8" x14ac:dyDescent="0.2">
      <c r="A19" s="5">
        <v>13</v>
      </c>
      <c r="B19" s="6" t="s">
        <v>311</v>
      </c>
      <c r="C19" s="6" t="s">
        <v>312</v>
      </c>
      <c r="D19" s="6" t="s">
        <v>261</v>
      </c>
      <c r="E19" s="7">
        <v>131417</v>
      </c>
      <c r="F19" s="8">
        <v>3824.7603680000002</v>
      </c>
      <c r="G19" s="9">
        <v>2.9807400000000001E-2</v>
      </c>
      <c r="H19" s="156"/>
    </row>
    <row r="20" spans="1:8" x14ac:dyDescent="0.2">
      <c r="A20" s="5">
        <v>14</v>
      </c>
      <c r="B20" s="6" t="s">
        <v>412</v>
      </c>
      <c r="C20" s="6" t="s">
        <v>413</v>
      </c>
      <c r="D20" s="6" t="s">
        <v>196</v>
      </c>
      <c r="E20" s="7">
        <v>497850</v>
      </c>
      <c r="F20" s="8">
        <v>3362.7278249999999</v>
      </c>
      <c r="G20" s="9">
        <v>2.6206653999999999E-2</v>
      </c>
      <c r="H20" s="156"/>
    </row>
    <row r="21" spans="1:8" x14ac:dyDescent="0.2">
      <c r="A21" s="5">
        <v>15</v>
      </c>
      <c r="B21" s="6" t="s">
        <v>103</v>
      </c>
      <c r="C21" s="6" t="s">
        <v>104</v>
      </c>
      <c r="D21" s="6" t="s">
        <v>78</v>
      </c>
      <c r="E21" s="7">
        <v>577479</v>
      </c>
      <c r="F21" s="8">
        <v>3220.8891225000002</v>
      </c>
      <c r="G21" s="9">
        <v>2.5101267E-2</v>
      </c>
      <c r="H21" s="156"/>
    </row>
    <row r="22" spans="1:8" x14ac:dyDescent="0.2">
      <c r="A22" s="5">
        <v>16</v>
      </c>
      <c r="B22" s="6" t="s">
        <v>23</v>
      </c>
      <c r="C22" s="6" t="s">
        <v>24</v>
      </c>
      <c r="D22" s="6" t="s">
        <v>25</v>
      </c>
      <c r="E22" s="7">
        <v>587991</v>
      </c>
      <c r="F22" s="8">
        <v>3090.7746914999998</v>
      </c>
      <c r="G22" s="9">
        <v>2.4087249000000002E-2</v>
      </c>
      <c r="H22" s="156"/>
    </row>
    <row r="23" spans="1:8" x14ac:dyDescent="0.2">
      <c r="A23" s="5">
        <v>17</v>
      </c>
      <c r="B23" s="6" t="s">
        <v>378</v>
      </c>
      <c r="C23" s="6" t="s">
        <v>379</v>
      </c>
      <c r="D23" s="6" t="s">
        <v>73</v>
      </c>
      <c r="E23" s="7">
        <v>378041</v>
      </c>
      <c r="F23" s="8">
        <v>2851.9413039999999</v>
      </c>
      <c r="G23" s="9">
        <v>2.2225956000000002E-2</v>
      </c>
      <c r="H23" s="156"/>
    </row>
    <row r="24" spans="1:8" x14ac:dyDescent="0.2">
      <c r="A24" s="5">
        <v>18</v>
      </c>
      <c r="B24" s="6" t="s">
        <v>386</v>
      </c>
      <c r="C24" s="6" t="s">
        <v>387</v>
      </c>
      <c r="D24" s="6" t="s">
        <v>971</v>
      </c>
      <c r="E24" s="7">
        <v>20342</v>
      </c>
      <c r="F24" s="8">
        <v>2463.2229510000002</v>
      </c>
      <c r="G24" s="9">
        <v>1.9196568000000001E-2</v>
      </c>
      <c r="H24" s="156"/>
    </row>
    <row r="25" spans="1:8" x14ac:dyDescent="0.2">
      <c r="A25" s="5">
        <v>19</v>
      </c>
      <c r="B25" s="6" t="s">
        <v>406</v>
      </c>
      <c r="C25" s="6" t="s">
        <v>407</v>
      </c>
      <c r="D25" s="6" t="s">
        <v>73</v>
      </c>
      <c r="E25" s="7">
        <v>95708</v>
      </c>
      <c r="F25" s="8">
        <v>2365.231804</v>
      </c>
      <c r="G25" s="9">
        <v>1.8432896000000001E-2</v>
      </c>
      <c r="H25" s="156"/>
    </row>
    <row r="26" spans="1:8" x14ac:dyDescent="0.2">
      <c r="A26" s="5">
        <v>20</v>
      </c>
      <c r="B26" s="6" t="s">
        <v>36</v>
      </c>
      <c r="C26" s="6" t="s">
        <v>37</v>
      </c>
      <c r="D26" s="6" t="s">
        <v>972</v>
      </c>
      <c r="E26" s="7">
        <v>31653</v>
      </c>
      <c r="F26" s="8">
        <v>2144.80728</v>
      </c>
      <c r="G26" s="9">
        <v>1.6715068E-2</v>
      </c>
      <c r="H26" s="156"/>
    </row>
    <row r="27" spans="1:8" x14ac:dyDescent="0.2">
      <c r="A27" s="5">
        <v>21</v>
      </c>
      <c r="B27" s="6" t="s">
        <v>414</v>
      </c>
      <c r="C27" s="6" t="s">
        <v>415</v>
      </c>
      <c r="D27" s="6" t="s">
        <v>54</v>
      </c>
      <c r="E27" s="7">
        <v>138248</v>
      </c>
      <c r="F27" s="8">
        <v>1612.801168</v>
      </c>
      <c r="G27" s="9">
        <v>1.2568999000000001E-2</v>
      </c>
      <c r="H27" s="156"/>
    </row>
    <row r="28" spans="1:8" x14ac:dyDescent="0.2">
      <c r="A28" s="5">
        <v>22</v>
      </c>
      <c r="B28" s="6" t="s">
        <v>90</v>
      </c>
      <c r="C28" s="6" t="s">
        <v>91</v>
      </c>
      <c r="D28" s="6" t="s">
        <v>92</v>
      </c>
      <c r="E28" s="7">
        <v>1309472</v>
      </c>
      <c r="F28" s="8">
        <v>1605.4126719999999</v>
      </c>
      <c r="G28" s="9">
        <v>1.2511418E-2</v>
      </c>
      <c r="H28" s="156"/>
    </row>
    <row r="29" spans="1:8" x14ac:dyDescent="0.2">
      <c r="A29" s="5">
        <v>23</v>
      </c>
      <c r="B29" s="6" t="s">
        <v>445</v>
      </c>
      <c r="C29" s="6" t="s">
        <v>446</v>
      </c>
      <c r="D29" s="6" t="s">
        <v>191</v>
      </c>
      <c r="E29" s="7">
        <v>637374</v>
      </c>
      <c r="F29" s="8">
        <v>1543.0824540000001</v>
      </c>
      <c r="G29" s="9">
        <v>1.2025661999999999E-2</v>
      </c>
      <c r="H29" s="156"/>
    </row>
    <row r="30" spans="1:8" x14ac:dyDescent="0.2">
      <c r="A30" s="5">
        <v>24</v>
      </c>
      <c r="B30" s="6" t="s">
        <v>426</v>
      </c>
      <c r="C30" s="6" t="s">
        <v>427</v>
      </c>
      <c r="D30" s="6" t="s">
        <v>22</v>
      </c>
      <c r="E30" s="7">
        <v>79396</v>
      </c>
      <c r="F30" s="8">
        <v>1354.3766659999999</v>
      </c>
      <c r="G30" s="9">
        <v>1.0555026E-2</v>
      </c>
      <c r="H30" s="156"/>
    </row>
    <row r="31" spans="1:8" x14ac:dyDescent="0.2">
      <c r="A31" s="5">
        <v>25</v>
      </c>
      <c r="B31" s="6" t="s">
        <v>437</v>
      </c>
      <c r="C31" s="6" t="s">
        <v>438</v>
      </c>
      <c r="D31" s="6" t="s">
        <v>196</v>
      </c>
      <c r="E31" s="7">
        <v>122147</v>
      </c>
      <c r="F31" s="8">
        <v>1187.1466929999999</v>
      </c>
      <c r="G31" s="9">
        <v>9.2517580000000006E-3</v>
      </c>
      <c r="H31" s="156"/>
    </row>
    <row r="32" spans="1:8" x14ac:dyDescent="0.2">
      <c r="A32" s="5">
        <v>26</v>
      </c>
      <c r="B32" s="6" t="s">
        <v>362</v>
      </c>
      <c r="C32" s="6" t="s">
        <v>363</v>
      </c>
      <c r="D32" s="6" t="s">
        <v>166</v>
      </c>
      <c r="E32" s="7">
        <v>76693</v>
      </c>
      <c r="F32" s="8">
        <v>1029.7185645</v>
      </c>
      <c r="G32" s="9">
        <v>8.0248769999999997E-3</v>
      </c>
      <c r="H32" s="156"/>
    </row>
    <row r="33" spans="1:8" x14ac:dyDescent="0.2">
      <c r="A33" s="5">
        <v>27</v>
      </c>
      <c r="B33" s="6" t="s">
        <v>420</v>
      </c>
      <c r="C33" s="6" t="s">
        <v>421</v>
      </c>
      <c r="D33" s="6" t="s">
        <v>971</v>
      </c>
      <c r="E33" s="7">
        <v>43750</v>
      </c>
      <c r="F33" s="8">
        <v>685.5625</v>
      </c>
      <c r="G33" s="9">
        <v>5.3427750000000001E-3</v>
      </c>
      <c r="H33" s="156"/>
    </row>
    <row r="34" spans="1:8" x14ac:dyDescent="0.2">
      <c r="A34" s="5">
        <v>28</v>
      </c>
      <c r="B34" s="6" t="s">
        <v>321</v>
      </c>
      <c r="C34" s="6" t="s">
        <v>322</v>
      </c>
      <c r="D34" s="6" t="s">
        <v>63</v>
      </c>
      <c r="E34" s="7">
        <v>154923</v>
      </c>
      <c r="F34" s="8">
        <v>673.29535799999996</v>
      </c>
      <c r="G34" s="9">
        <v>5.2471740000000003E-3</v>
      </c>
      <c r="H34" s="156"/>
    </row>
    <row r="35" spans="1:8" x14ac:dyDescent="0.2">
      <c r="A35" s="5">
        <v>29</v>
      </c>
      <c r="B35" s="6" t="s">
        <v>224</v>
      </c>
      <c r="C35" s="6" t="s">
        <v>225</v>
      </c>
      <c r="D35" s="6" t="s">
        <v>40</v>
      </c>
      <c r="E35" s="7">
        <v>77567</v>
      </c>
      <c r="F35" s="8">
        <v>632.28740049999999</v>
      </c>
      <c r="G35" s="9">
        <v>4.9275880000000001E-3</v>
      </c>
      <c r="H35" s="156"/>
    </row>
    <row r="36" spans="1:8" x14ac:dyDescent="0.2">
      <c r="A36" s="5">
        <v>30</v>
      </c>
      <c r="B36" s="6" t="s">
        <v>491</v>
      </c>
      <c r="C36" s="6" t="s">
        <v>492</v>
      </c>
      <c r="D36" s="6" t="s">
        <v>92</v>
      </c>
      <c r="E36" s="7">
        <v>8255</v>
      </c>
      <c r="F36" s="8">
        <v>620.437545</v>
      </c>
      <c r="G36" s="9">
        <v>4.8352389999999999E-3</v>
      </c>
      <c r="H36" s="156"/>
    </row>
    <row r="37" spans="1:8" x14ac:dyDescent="0.2">
      <c r="A37" s="3" t="s">
        <v>9</v>
      </c>
      <c r="B37" s="3" t="s">
        <v>9</v>
      </c>
      <c r="C37" s="4" t="s">
        <v>105</v>
      </c>
      <c r="D37" s="3" t="s">
        <v>9</v>
      </c>
      <c r="E37" s="3" t="s">
        <v>9</v>
      </c>
      <c r="F37" s="10">
        <v>124810.7878735</v>
      </c>
      <c r="G37" s="11">
        <v>0.97268448100000005</v>
      </c>
      <c r="H37" s="156"/>
    </row>
    <row r="38" spans="1:8" x14ac:dyDescent="0.2">
      <c r="A38" s="3" t="s">
        <v>9</v>
      </c>
      <c r="B38" s="3" t="s">
        <v>9</v>
      </c>
      <c r="C38" s="12" t="s">
        <v>9</v>
      </c>
      <c r="D38" s="3" t="s">
        <v>9</v>
      </c>
      <c r="E38" s="3" t="s">
        <v>9</v>
      </c>
      <c r="F38" s="13" t="s">
        <v>9</v>
      </c>
      <c r="G38" s="13" t="s">
        <v>9</v>
      </c>
      <c r="H38" s="156"/>
    </row>
    <row r="39" spans="1:8" x14ac:dyDescent="0.2">
      <c r="A39" s="3" t="s">
        <v>9</v>
      </c>
      <c r="B39" s="3" t="s">
        <v>9</v>
      </c>
      <c r="C39" s="4" t="s">
        <v>106</v>
      </c>
      <c r="D39" s="3" t="s">
        <v>9</v>
      </c>
      <c r="E39" s="3" t="s">
        <v>9</v>
      </c>
      <c r="F39" s="3" t="s">
        <v>9</v>
      </c>
      <c r="G39" s="3" t="s">
        <v>9</v>
      </c>
      <c r="H39" s="156"/>
    </row>
    <row r="40" spans="1:8" x14ac:dyDescent="0.2">
      <c r="A40" s="3" t="s">
        <v>9</v>
      </c>
      <c r="B40" s="3" t="s">
        <v>9</v>
      </c>
      <c r="C40" s="4" t="s">
        <v>105</v>
      </c>
      <c r="D40" s="3" t="s">
        <v>9</v>
      </c>
      <c r="E40" s="3" t="s">
        <v>9</v>
      </c>
      <c r="F40" s="14">
        <v>0</v>
      </c>
      <c r="G40" s="15">
        <v>0</v>
      </c>
      <c r="H40" s="156"/>
    </row>
    <row r="41" spans="1:8" x14ac:dyDescent="0.2">
      <c r="A41" s="3" t="s">
        <v>9</v>
      </c>
      <c r="B41" s="3" t="s">
        <v>9</v>
      </c>
      <c r="C41" s="12" t="s">
        <v>9</v>
      </c>
      <c r="D41" s="3" t="s">
        <v>9</v>
      </c>
      <c r="E41" s="3" t="s">
        <v>9</v>
      </c>
      <c r="F41" s="13" t="s">
        <v>9</v>
      </c>
      <c r="G41" s="13" t="s">
        <v>9</v>
      </c>
      <c r="H41" s="156"/>
    </row>
    <row r="42" spans="1:8" x14ac:dyDescent="0.2">
      <c r="A42" s="3" t="s">
        <v>9</v>
      </c>
      <c r="B42" s="3" t="s">
        <v>9</v>
      </c>
      <c r="C42" s="4" t="s">
        <v>107</v>
      </c>
      <c r="D42" s="3" t="s">
        <v>9</v>
      </c>
      <c r="E42" s="3" t="s">
        <v>9</v>
      </c>
      <c r="F42" s="3" t="s">
        <v>9</v>
      </c>
      <c r="G42" s="3" t="s">
        <v>9</v>
      </c>
      <c r="H42" s="156"/>
    </row>
    <row r="43" spans="1:8" x14ac:dyDescent="0.2">
      <c r="A43" s="3" t="s">
        <v>9</v>
      </c>
      <c r="B43" s="3" t="s">
        <v>9</v>
      </c>
      <c r="C43" s="4" t="s">
        <v>105</v>
      </c>
      <c r="D43" s="3" t="s">
        <v>9</v>
      </c>
      <c r="E43" s="3" t="s">
        <v>9</v>
      </c>
      <c r="F43" s="14">
        <v>0</v>
      </c>
      <c r="G43" s="15">
        <v>0</v>
      </c>
      <c r="H43" s="156"/>
    </row>
    <row r="44" spans="1:8" x14ac:dyDescent="0.2">
      <c r="A44" s="3" t="s">
        <v>9</v>
      </c>
      <c r="B44" s="3" t="s">
        <v>9</v>
      </c>
      <c r="C44" s="12" t="s">
        <v>9</v>
      </c>
      <c r="D44" s="3" t="s">
        <v>9</v>
      </c>
      <c r="E44" s="3" t="s">
        <v>9</v>
      </c>
      <c r="F44" s="13" t="s">
        <v>9</v>
      </c>
      <c r="G44" s="13" t="s">
        <v>9</v>
      </c>
      <c r="H44" s="156"/>
    </row>
    <row r="45" spans="1:8" x14ac:dyDescent="0.2">
      <c r="A45" s="3" t="s">
        <v>9</v>
      </c>
      <c r="B45" s="3" t="s">
        <v>9</v>
      </c>
      <c r="C45" s="4" t="s">
        <v>111</v>
      </c>
      <c r="D45" s="3" t="s">
        <v>9</v>
      </c>
      <c r="E45" s="3" t="s">
        <v>9</v>
      </c>
      <c r="F45" s="3" t="s">
        <v>9</v>
      </c>
      <c r="G45" s="3" t="s">
        <v>9</v>
      </c>
      <c r="H45" s="156"/>
    </row>
    <row r="46" spans="1:8" x14ac:dyDescent="0.2">
      <c r="A46" s="3" t="s">
        <v>9</v>
      </c>
      <c r="B46" s="3" t="s">
        <v>9</v>
      </c>
      <c r="C46" s="4" t="s">
        <v>105</v>
      </c>
      <c r="D46" s="3" t="s">
        <v>9</v>
      </c>
      <c r="E46" s="3" t="s">
        <v>9</v>
      </c>
      <c r="F46" s="14">
        <v>0</v>
      </c>
      <c r="G46" s="15">
        <v>0</v>
      </c>
      <c r="H46" s="156"/>
    </row>
    <row r="47" spans="1:8" x14ac:dyDescent="0.2">
      <c r="A47" s="3" t="s">
        <v>9</v>
      </c>
      <c r="B47" s="3" t="s">
        <v>9</v>
      </c>
      <c r="C47" s="12" t="s">
        <v>9</v>
      </c>
      <c r="D47" s="3" t="s">
        <v>9</v>
      </c>
      <c r="E47" s="3" t="s">
        <v>9</v>
      </c>
      <c r="F47" s="13" t="s">
        <v>9</v>
      </c>
      <c r="G47" s="13" t="s">
        <v>9</v>
      </c>
      <c r="H47" s="156"/>
    </row>
    <row r="48" spans="1:8" x14ac:dyDescent="0.2">
      <c r="A48" s="3" t="s">
        <v>9</v>
      </c>
      <c r="B48" s="3" t="s">
        <v>9</v>
      </c>
      <c r="C48" s="4" t="s">
        <v>112</v>
      </c>
      <c r="D48" s="3" t="s">
        <v>9</v>
      </c>
      <c r="E48" s="3" t="s">
        <v>9</v>
      </c>
      <c r="F48" s="13" t="s">
        <v>9</v>
      </c>
      <c r="G48" s="1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105</v>
      </c>
      <c r="D49" s="3" t="s">
        <v>9</v>
      </c>
      <c r="E49" s="3" t="s">
        <v>9</v>
      </c>
      <c r="F49" s="14">
        <v>0</v>
      </c>
      <c r="G49" s="15">
        <v>0</v>
      </c>
      <c r="H49" s="156"/>
    </row>
    <row r="50" spans="1:8" x14ac:dyDescent="0.2">
      <c r="A50" s="3" t="s">
        <v>9</v>
      </c>
      <c r="B50" s="3" t="s">
        <v>9</v>
      </c>
      <c r="C50" s="12" t="s">
        <v>9</v>
      </c>
      <c r="D50" s="3" t="s">
        <v>9</v>
      </c>
      <c r="E50" s="3" t="s">
        <v>9</v>
      </c>
      <c r="F50" s="13" t="s">
        <v>9</v>
      </c>
      <c r="G50" s="13" t="s">
        <v>9</v>
      </c>
      <c r="H50" s="156"/>
    </row>
    <row r="51" spans="1:8" x14ac:dyDescent="0.2">
      <c r="A51" s="3" t="s">
        <v>9</v>
      </c>
      <c r="B51" s="3" t="s">
        <v>9</v>
      </c>
      <c r="C51" s="4" t="s">
        <v>113</v>
      </c>
      <c r="D51" s="3" t="s">
        <v>9</v>
      </c>
      <c r="E51" s="3" t="s">
        <v>9</v>
      </c>
      <c r="F51" s="13" t="s">
        <v>9</v>
      </c>
      <c r="G51" s="13" t="s">
        <v>9</v>
      </c>
      <c r="H51" s="156"/>
    </row>
    <row r="52" spans="1:8" x14ac:dyDescent="0.2">
      <c r="A52" s="3" t="s">
        <v>9</v>
      </c>
      <c r="B52" s="3" t="s">
        <v>9</v>
      </c>
      <c r="C52" s="4" t="s">
        <v>105</v>
      </c>
      <c r="D52" s="3" t="s">
        <v>9</v>
      </c>
      <c r="E52" s="3" t="s">
        <v>9</v>
      </c>
      <c r="F52" s="14">
        <v>0</v>
      </c>
      <c r="G52" s="15">
        <v>0</v>
      </c>
      <c r="H52" s="156"/>
    </row>
    <row r="53" spans="1:8" x14ac:dyDescent="0.2">
      <c r="A53" s="3" t="s">
        <v>9</v>
      </c>
      <c r="B53" s="3" t="s">
        <v>9</v>
      </c>
      <c r="C53" s="12" t="s">
        <v>9</v>
      </c>
      <c r="D53" s="3" t="s">
        <v>9</v>
      </c>
      <c r="E53" s="3" t="s">
        <v>9</v>
      </c>
      <c r="F53" s="13" t="s">
        <v>9</v>
      </c>
      <c r="G53" s="13" t="s">
        <v>9</v>
      </c>
      <c r="H53" s="156"/>
    </row>
    <row r="54" spans="1:8" x14ac:dyDescent="0.2">
      <c r="A54" s="3" t="s">
        <v>9</v>
      </c>
      <c r="B54" s="3" t="s">
        <v>9</v>
      </c>
      <c r="C54" s="4" t="s">
        <v>114</v>
      </c>
      <c r="D54" s="3" t="s">
        <v>9</v>
      </c>
      <c r="E54" s="3" t="s">
        <v>9</v>
      </c>
      <c r="F54" s="10">
        <v>124810.7878735</v>
      </c>
      <c r="G54" s="11">
        <v>0.97268448100000005</v>
      </c>
      <c r="H54" s="156"/>
    </row>
    <row r="55" spans="1:8" x14ac:dyDescent="0.2">
      <c r="A55" s="3" t="s">
        <v>9</v>
      </c>
      <c r="B55" s="3" t="s">
        <v>9</v>
      </c>
      <c r="C55" s="12" t="s">
        <v>9</v>
      </c>
      <c r="D55" s="3" t="s">
        <v>9</v>
      </c>
      <c r="E55" s="3" t="s">
        <v>9</v>
      </c>
      <c r="F55" s="13" t="s">
        <v>9</v>
      </c>
      <c r="G55" s="1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115</v>
      </c>
      <c r="D56" s="3" t="s">
        <v>9</v>
      </c>
      <c r="E56" s="3" t="s">
        <v>9</v>
      </c>
      <c r="F56" s="13" t="s">
        <v>9</v>
      </c>
      <c r="G56" s="13" t="s">
        <v>9</v>
      </c>
      <c r="H56" s="156"/>
    </row>
    <row r="57" spans="1:8" x14ac:dyDescent="0.2">
      <c r="A57" s="3" t="s">
        <v>9</v>
      </c>
      <c r="B57" s="3" t="s">
        <v>9</v>
      </c>
      <c r="C57" s="4" t="s">
        <v>11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105</v>
      </c>
      <c r="D58" s="3" t="s">
        <v>9</v>
      </c>
      <c r="E58" s="3" t="s">
        <v>9</v>
      </c>
      <c r="F58" s="14">
        <v>0</v>
      </c>
      <c r="G58" s="15">
        <v>0</v>
      </c>
      <c r="H58" s="156"/>
    </row>
    <row r="59" spans="1:8" x14ac:dyDescent="0.2">
      <c r="A59" s="3" t="s">
        <v>9</v>
      </c>
      <c r="B59" s="3" t="s">
        <v>9</v>
      </c>
      <c r="C59" s="12" t="s">
        <v>9</v>
      </c>
      <c r="D59" s="3" t="s">
        <v>9</v>
      </c>
      <c r="E59" s="3" t="s">
        <v>9</v>
      </c>
      <c r="F59" s="13" t="s">
        <v>9</v>
      </c>
      <c r="G59" s="1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116</v>
      </c>
      <c r="D60" s="3" t="s">
        <v>9</v>
      </c>
      <c r="E60" s="3" t="s">
        <v>9</v>
      </c>
      <c r="F60" s="3" t="s">
        <v>9</v>
      </c>
      <c r="G60" s="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105</v>
      </c>
      <c r="D61" s="3" t="s">
        <v>9</v>
      </c>
      <c r="E61" s="3" t="s">
        <v>9</v>
      </c>
      <c r="F61" s="14">
        <v>0</v>
      </c>
      <c r="G61" s="15">
        <v>0</v>
      </c>
      <c r="H61" s="156"/>
    </row>
    <row r="62" spans="1:8" x14ac:dyDescent="0.2">
      <c r="A62" s="3" t="s">
        <v>9</v>
      </c>
      <c r="B62" s="3" t="s">
        <v>9</v>
      </c>
      <c r="C62" s="12" t="s">
        <v>9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117</v>
      </c>
      <c r="D63" s="3" t="s">
        <v>9</v>
      </c>
      <c r="E63" s="3" t="s">
        <v>9</v>
      </c>
      <c r="F63" s="3" t="s">
        <v>9</v>
      </c>
      <c r="G63" s="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105</v>
      </c>
      <c r="D64" s="3" t="s">
        <v>9</v>
      </c>
      <c r="E64" s="3" t="s">
        <v>9</v>
      </c>
      <c r="F64" s="14">
        <v>0</v>
      </c>
      <c r="G64" s="15">
        <v>0</v>
      </c>
      <c r="H64" s="156"/>
    </row>
    <row r="65" spans="1:8" x14ac:dyDescent="0.2">
      <c r="A65" s="3" t="s">
        <v>9</v>
      </c>
      <c r="B65" s="3" t="s">
        <v>9</v>
      </c>
      <c r="C65" s="12" t="s">
        <v>9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118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105</v>
      </c>
      <c r="D67" s="3" t="s">
        <v>9</v>
      </c>
      <c r="E67" s="3" t="s">
        <v>9</v>
      </c>
      <c r="F67" s="14">
        <v>0</v>
      </c>
      <c r="G67" s="15">
        <v>0</v>
      </c>
      <c r="H67" s="156"/>
    </row>
    <row r="68" spans="1:8" x14ac:dyDescent="0.2">
      <c r="A68" s="3" t="s">
        <v>9</v>
      </c>
      <c r="B68" s="3" t="s">
        <v>9</v>
      </c>
      <c r="C68" s="12" t="s">
        <v>9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119</v>
      </c>
      <c r="D69" s="3" t="s">
        <v>9</v>
      </c>
      <c r="E69" s="3" t="s">
        <v>9</v>
      </c>
      <c r="F69" s="10">
        <v>0</v>
      </c>
      <c r="G69" s="11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120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121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105</v>
      </c>
      <c r="D73" s="3" t="s">
        <v>9</v>
      </c>
      <c r="E73" s="3" t="s">
        <v>9</v>
      </c>
      <c r="F73" s="14">
        <v>0</v>
      </c>
      <c r="G73" s="15">
        <v>0</v>
      </c>
      <c r="H73" s="156"/>
    </row>
    <row r="74" spans="1:8" x14ac:dyDescent="0.2">
      <c r="A74" s="3" t="s">
        <v>9</v>
      </c>
      <c r="B74" s="3" t="s">
        <v>9</v>
      </c>
      <c r="C74" s="12" t="s">
        <v>9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122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4">
        <v>0</v>
      </c>
      <c r="G76" s="15">
        <v>0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123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124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5">
        <v>1</v>
      </c>
      <c r="B82" s="6"/>
      <c r="C82" s="6" t="s">
        <v>125</v>
      </c>
      <c r="D82" s="6"/>
      <c r="E82" s="16" t="s">
        <v>9</v>
      </c>
      <c r="F82" s="8">
        <v>1042.9761142</v>
      </c>
      <c r="G82" s="9">
        <v>8.1281970000000002E-3</v>
      </c>
      <c r="H82" s="8">
        <v>3.3326163573085874</v>
      </c>
    </row>
    <row r="83" spans="1:8" x14ac:dyDescent="0.2">
      <c r="A83" s="5">
        <v>2</v>
      </c>
      <c r="B83" s="6"/>
      <c r="C83" s="6" t="s">
        <v>126</v>
      </c>
      <c r="D83" s="6"/>
      <c r="E83" s="16" t="s">
        <v>9</v>
      </c>
      <c r="F83" s="8">
        <v>744.9445005</v>
      </c>
      <c r="G83" s="9">
        <v>5.8055549999999996E-3</v>
      </c>
      <c r="H83" s="8">
        <v>3.2337849550915885</v>
      </c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0">
        <v>1787.9206147</v>
      </c>
      <c r="G84" s="11">
        <v>1.3933752000000001E-2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127</v>
      </c>
      <c r="D86" s="3" t="s">
        <v>9</v>
      </c>
      <c r="E86" s="3" t="s">
        <v>9</v>
      </c>
      <c r="F86" s="10">
        <v>1787.9206147</v>
      </c>
      <c r="G86" s="11">
        <v>1.3933752000000001E-2</v>
      </c>
      <c r="H86" s="156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3" t="s">
        <v>9</v>
      </c>
      <c r="G87" s="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128</v>
      </c>
      <c r="D88" s="3" t="s">
        <v>9</v>
      </c>
      <c r="E88" s="3" t="s">
        <v>9</v>
      </c>
      <c r="F88" s="3" t="s">
        <v>9</v>
      </c>
      <c r="G88" s="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129</v>
      </c>
      <c r="D89" s="3" t="s">
        <v>9</v>
      </c>
      <c r="E89" s="3" t="s">
        <v>9</v>
      </c>
      <c r="F89" s="3" t="s">
        <v>9</v>
      </c>
      <c r="G89" s="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130</v>
      </c>
      <c r="D92" s="3" t="s">
        <v>9</v>
      </c>
      <c r="E92" s="3" t="s">
        <v>9</v>
      </c>
      <c r="F92" s="3" t="s">
        <v>9</v>
      </c>
      <c r="G92" s="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131</v>
      </c>
      <c r="D93" s="3" t="s">
        <v>9</v>
      </c>
      <c r="E93" s="3" t="s">
        <v>9</v>
      </c>
      <c r="F93" s="3" t="s">
        <v>9</v>
      </c>
      <c r="G93" s="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4">
        <v>0</v>
      </c>
      <c r="G94" s="15">
        <v>0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132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105</v>
      </c>
      <c r="D98" s="3" t="s">
        <v>9</v>
      </c>
      <c r="E98" s="3" t="s">
        <v>9</v>
      </c>
      <c r="F98" s="14">
        <v>0</v>
      </c>
      <c r="G98" s="15">
        <v>0</v>
      </c>
      <c r="H98" s="156"/>
    </row>
    <row r="99" spans="1:8" x14ac:dyDescent="0.2">
      <c r="A99" s="3" t="s">
        <v>9</v>
      </c>
      <c r="B99" s="3" t="s">
        <v>9</v>
      </c>
      <c r="C99" s="12" t="s">
        <v>9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6" t="s">
        <v>9</v>
      </c>
      <c r="C100" s="6" t="s">
        <v>9</v>
      </c>
      <c r="D100" s="4" t="s">
        <v>9</v>
      </c>
      <c r="E100" s="3" t="s">
        <v>9</v>
      </c>
      <c r="F100" s="6" t="s">
        <v>9</v>
      </c>
      <c r="G100" s="16" t="s">
        <v>9</v>
      </c>
      <c r="H100" s="156"/>
    </row>
    <row r="101" spans="1:8" x14ac:dyDescent="0.2">
      <c r="A101" s="16" t="s">
        <v>9</v>
      </c>
      <c r="B101" s="6" t="s">
        <v>9</v>
      </c>
      <c r="C101" s="6" t="s">
        <v>133</v>
      </c>
      <c r="D101" s="6" t="s">
        <v>9</v>
      </c>
      <c r="E101" s="16" t="s">
        <v>9</v>
      </c>
      <c r="F101" s="8">
        <v>1717.0919884100001</v>
      </c>
      <c r="G101" s="9">
        <v>1.3381766E-2</v>
      </c>
      <c r="H101" s="156"/>
    </row>
    <row r="102" spans="1:8" x14ac:dyDescent="0.2">
      <c r="A102" s="12" t="s">
        <v>9</v>
      </c>
      <c r="B102" s="12" t="s">
        <v>9</v>
      </c>
      <c r="C102" s="4" t="s">
        <v>134</v>
      </c>
      <c r="D102" s="17" t="s">
        <v>9</v>
      </c>
      <c r="E102" s="17" t="s">
        <v>9</v>
      </c>
      <c r="F102" s="10">
        <v>128315.80047660999</v>
      </c>
      <c r="G102" s="11">
        <v>0.99999999900000003</v>
      </c>
      <c r="H102" s="156"/>
    </row>
    <row r="103" spans="1:8" ht="14.1" customHeight="1" x14ac:dyDescent="0.2">
      <c r="A103" s="18" t="s">
        <v>9</v>
      </c>
      <c r="B103" s="18" t="s">
        <v>9</v>
      </c>
      <c r="C103" s="18" t="s">
        <v>9</v>
      </c>
      <c r="D103" s="19" t="s">
        <v>9</v>
      </c>
      <c r="E103" s="19" t="s">
        <v>9</v>
      </c>
      <c r="F103" s="19" t="s">
        <v>9</v>
      </c>
      <c r="G103" s="19" t="s">
        <v>9</v>
      </c>
    </row>
    <row r="104" spans="1:8" ht="14.1" customHeight="1" x14ac:dyDescent="0.2">
      <c r="A104" s="20" t="s">
        <v>9</v>
      </c>
      <c r="B104" s="200" t="s">
        <v>9</v>
      </c>
      <c r="C104" s="200"/>
      <c r="D104" s="200"/>
      <c r="E104" s="200"/>
      <c r="F104" s="200"/>
      <c r="G104" s="22" t="s">
        <v>9</v>
      </c>
    </row>
    <row r="105" spans="1:8" ht="14.1" customHeight="1" x14ac:dyDescent="0.2">
      <c r="A105" s="20" t="s">
        <v>9</v>
      </c>
      <c r="B105" s="200" t="s">
        <v>9</v>
      </c>
      <c r="C105" s="200"/>
      <c r="D105" s="200"/>
      <c r="E105" s="200"/>
      <c r="F105" s="200"/>
      <c r="G105" s="22" t="s">
        <v>9</v>
      </c>
    </row>
    <row r="106" spans="1:8" ht="14.1" customHeight="1" x14ac:dyDescent="0.2">
      <c r="A106" s="20" t="s">
        <v>9</v>
      </c>
      <c r="B106" s="20" t="s">
        <v>9</v>
      </c>
      <c r="C106" s="20" t="s">
        <v>9</v>
      </c>
      <c r="D106" s="22" t="s">
        <v>9</v>
      </c>
      <c r="E106" s="22" t="s">
        <v>9</v>
      </c>
      <c r="F106" s="22" t="s">
        <v>9</v>
      </c>
      <c r="G106" s="22" t="s">
        <v>9</v>
      </c>
    </row>
    <row r="107" spans="1:8" ht="14.1" customHeight="1" x14ac:dyDescent="0.2">
      <c r="A107" s="20" t="s">
        <v>9</v>
      </c>
      <c r="B107" s="198" t="s">
        <v>136</v>
      </c>
      <c r="C107" s="199"/>
      <c r="D107" s="13" t="s">
        <v>9</v>
      </c>
      <c r="E107" s="23" t="s">
        <v>9</v>
      </c>
      <c r="F107" s="22" t="s">
        <v>9</v>
      </c>
      <c r="G107" s="22" t="s">
        <v>9</v>
      </c>
    </row>
    <row r="108" spans="1:8" ht="29.1" customHeight="1" x14ac:dyDescent="0.2">
      <c r="A108" s="20" t="s">
        <v>9</v>
      </c>
      <c r="B108" s="205" t="s">
        <v>137</v>
      </c>
      <c r="C108" s="206"/>
      <c r="D108" s="4" t="s">
        <v>138</v>
      </c>
      <c r="E108" s="23" t="s">
        <v>9</v>
      </c>
      <c r="F108" s="22" t="s">
        <v>9</v>
      </c>
      <c r="G108" s="22" t="s">
        <v>9</v>
      </c>
    </row>
    <row r="109" spans="1:8" ht="17.100000000000001" customHeight="1" x14ac:dyDescent="0.2">
      <c r="A109" s="20" t="s">
        <v>9</v>
      </c>
      <c r="B109" s="205" t="s">
        <v>139</v>
      </c>
      <c r="C109" s="206"/>
      <c r="D109" s="4" t="s">
        <v>138</v>
      </c>
      <c r="E109" s="23" t="s">
        <v>9</v>
      </c>
      <c r="F109" s="22" t="s">
        <v>9</v>
      </c>
      <c r="G109" s="22" t="s">
        <v>9</v>
      </c>
    </row>
    <row r="110" spans="1:8" ht="17.100000000000001" customHeight="1" x14ac:dyDescent="0.2">
      <c r="A110" s="20" t="s">
        <v>9</v>
      </c>
      <c r="B110" s="205" t="s">
        <v>140</v>
      </c>
      <c r="C110" s="206"/>
      <c r="D110" s="13" t="s">
        <v>9</v>
      </c>
      <c r="E110" s="23" t="s">
        <v>9</v>
      </c>
      <c r="F110" s="22" t="s">
        <v>9</v>
      </c>
      <c r="G110" s="22" t="s">
        <v>9</v>
      </c>
    </row>
    <row r="111" spans="1:8" ht="24" customHeight="1" x14ac:dyDescent="0.2">
      <c r="A111" s="24" t="s">
        <v>9</v>
      </c>
      <c r="B111" s="25" t="s">
        <v>9</v>
      </c>
      <c r="C111" s="25" t="s">
        <v>141</v>
      </c>
      <c r="D111" s="25" t="s">
        <v>142</v>
      </c>
      <c r="E111" s="24" t="s">
        <v>9</v>
      </c>
      <c r="F111" s="24" t="s">
        <v>9</v>
      </c>
      <c r="G111" s="24" t="s">
        <v>9</v>
      </c>
    </row>
    <row r="112" spans="1:8" ht="18" customHeight="1" x14ac:dyDescent="0.2">
      <c r="A112" s="24" t="s">
        <v>9</v>
      </c>
      <c r="B112" s="25" t="s">
        <v>143</v>
      </c>
      <c r="C112" s="25" t="s">
        <v>144</v>
      </c>
      <c r="D112" s="25" t="s">
        <v>145</v>
      </c>
      <c r="E112" s="24" t="s">
        <v>9</v>
      </c>
      <c r="F112" s="24" t="s">
        <v>9</v>
      </c>
      <c r="G112" s="24" t="s">
        <v>9</v>
      </c>
    </row>
    <row r="113" spans="1:7" ht="17.100000000000001" customHeight="1" x14ac:dyDescent="0.2">
      <c r="A113" s="24" t="s">
        <v>9</v>
      </c>
      <c r="B113" s="6" t="s">
        <v>146</v>
      </c>
      <c r="C113" s="26">
        <v>255.53460000000001</v>
      </c>
      <c r="D113" s="26">
        <v>260.90780000000001</v>
      </c>
      <c r="E113" s="24" t="s">
        <v>9</v>
      </c>
      <c r="F113" s="21" t="s">
        <v>9</v>
      </c>
      <c r="G113" s="27" t="s">
        <v>9</v>
      </c>
    </row>
    <row r="114" spans="1:7" ht="17.100000000000001" customHeight="1" x14ac:dyDescent="0.2">
      <c r="A114" s="24" t="s">
        <v>9</v>
      </c>
      <c r="B114" s="6" t="s">
        <v>839</v>
      </c>
      <c r="C114" s="26">
        <v>16.883800000000001</v>
      </c>
      <c r="D114" s="26">
        <v>17.238900000000001</v>
      </c>
      <c r="E114" s="24" t="s">
        <v>9</v>
      </c>
      <c r="F114" s="21" t="s">
        <v>9</v>
      </c>
      <c r="G114" s="27" t="s">
        <v>9</v>
      </c>
    </row>
    <row r="115" spans="1:7" ht="29.1" customHeight="1" x14ac:dyDescent="0.2">
      <c r="A115" s="24" t="s">
        <v>9</v>
      </c>
      <c r="B115" s="6" t="s">
        <v>396</v>
      </c>
      <c r="C115" s="26">
        <v>261.1789</v>
      </c>
      <c r="D115" s="26">
        <v>266.67079999999999</v>
      </c>
      <c r="E115" s="24" t="s">
        <v>9</v>
      </c>
      <c r="F115" s="21" t="s">
        <v>9</v>
      </c>
      <c r="G115" s="27" t="s">
        <v>9</v>
      </c>
    </row>
    <row r="116" spans="1:7" ht="17.100000000000001" customHeight="1" x14ac:dyDescent="0.2">
      <c r="A116" s="24" t="s">
        <v>9</v>
      </c>
      <c r="B116" s="6" t="s">
        <v>147</v>
      </c>
      <c r="C116" s="26">
        <v>240.149</v>
      </c>
      <c r="D116" s="26">
        <v>245.0033</v>
      </c>
      <c r="E116" s="24" t="s">
        <v>9</v>
      </c>
      <c r="F116" s="21" t="s">
        <v>9</v>
      </c>
      <c r="G116" s="27" t="s">
        <v>9</v>
      </c>
    </row>
    <row r="117" spans="1:7" ht="17.100000000000001" customHeight="1" x14ac:dyDescent="0.2">
      <c r="A117" s="24" t="s">
        <v>9</v>
      </c>
      <c r="B117" s="6" t="s">
        <v>840</v>
      </c>
      <c r="C117" s="26">
        <v>15.6813</v>
      </c>
      <c r="D117" s="26">
        <v>15.9983</v>
      </c>
      <c r="E117" s="24" t="s">
        <v>9</v>
      </c>
      <c r="F117" s="21" t="s">
        <v>9</v>
      </c>
      <c r="G117" s="27" t="s">
        <v>9</v>
      </c>
    </row>
    <row r="118" spans="1:7" ht="14.1" customHeight="1" x14ac:dyDescent="0.2">
      <c r="A118" s="24" t="s">
        <v>9</v>
      </c>
      <c r="B118" s="24" t="s">
        <v>9</v>
      </c>
      <c r="C118" s="24" t="s">
        <v>9</v>
      </c>
      <c r="D118" s="24" t="s">
        <v>9</v>
      </c>
      <c r="E118" s="24" t="s">
        <v>9</v>
      </c>
      <c r="F118" s="24" t="s">
        <v>9</v>
      </c>
      <c r="G118" s="24" t="s">
        <v>9</v>
      </c>
    </row>
    <row r="119" spans="1:7" ht="17.100000000000001" customHeight="1" x14ac:dyDescent="0.2">
      <c r="A119" s="24" t="s">
        <v>9</v>
      </c>
      <c r="B119" s="205" t="s">
        <v>1013</v>
      </c>
      <c r="C119" s="206"/>
      <c r="D119" s="4" t="s">
        <v>138</v>
      </c>
      <c r="E119" s="24" t="s">
        <v>9</v>
      </c>
      <c r="F119" s="24" t="s">
        <v>9</v>
      </c>
      <c r="G119" s="24" t="s">
        <v>9</v>
      </c>
    </row>
    <row r="120" spans="1:7" ht="18" customHeight="1" x14ac:dyDescent="0.2">
      <c r="A120" s="24" t="s">
        <v>9</v>
      </c>
      <c r="B120" s="30"/>
      <c r="C120" s="30"/>
      <c r="D120" s="28" t="s">
        <v>9</v>
      </c>
      <c r="E120" s="24" t="s">
        <v>9</v>
      </c>
      <c r="F120" s="24" t="s">
        <v>9</v>
      </c>
      <c r="G120" s="24" t="s">
        <v>9</v>
      </c>
    </row>
    <row r="121" spans="1:7" s="197" customFormat="1" x14ac:dyDescent="0.2">
      <c r="B121" s="208" t="s">
        <v>841</v>
      </c>
      <c r="C121" s="208"/>
      <c r="D121" s="208"/>
      <c r="E121" s="208"/>
      <c r="F121" s="208"/>
    </row>
    <row r="122" spans="1:7" ht="14.1" customHeight="1" x14ac:dyDescent="0.2">
      <c r="A122" s="24" t="s">
        <v>9</v>
      </c>
      <c r="B122" s="21" t="s">
        <v>9</v>
      </c>
      <c r="C122" s="21" t="s">
        <v>9</v>
      </c>
      <c r="D122" s="24" t="s">
        <v>9</v>
      </c>
      <c r="E122" s="24" t="s">
        <v>9</v>
      </c>
      <c r="F122" s="24" t="s">
        <v>9</v>
      </c>
      <c r="G122" s="24" t="s">
        <v>9</v>
      </c>
    </row>
    <row r="123" spans="1:7" ht="29.1" customHeight="1" x14ac:dyDescent="0.2">
      <c r="A123" s="24" t="s">
        <v>9</v>
      </c>
      <c r="B123" s="205" t="s">
        <v>148</v>
      </c>
      <c r="C123" s="206"/>
      <c r="D123" s="4" t="s">
        <v>138</v>
      </c>
      <c r="E123" s="24" t="s">
        <v>9</v>
      </c>
      <c r="F123" s="24" t="s">
        <v>9</v>
      </c>
      <c r="G123" s="24" t="s">
        <v>9</v>
      </c>
    </row>
    <row r="124" spans="1:7" ht="29.1" customHeight="1" x14ac:dyDescent="0.2">
      <c r="A124" s="24" t="s">
        <v>9</v>
      </c>
      <c r="B124" s="205" t="s">
        <v>149</v>
      </c>
      <c r="C124" s="206"/>
      <c r="D124" s="4" t="s">
        <v>138</v>
      </c>
      <c r="E124" s="24" t="s">
        <v>9</v>
      </c>
      <c r="F124" s="24" t="s">
        <v>9</v>
      </c>
      <c r="G124" s="24" t="s">
        <v>9</v>
      </c>
    </row>
    <row r="125" spans="1:7" ht="17.100000000000001" customHeight="1" x14ac:dyDescent="0.2">
      <c r="A125" s="24" t="s">
        <v>9</v>
      </c>
      <c r="B125" s="205" t="s">
        <v>150</v>
      </c>
      <c r="C125" s="206"/>
      <c r="D125" s="29">
        <v>0.63543684717081361</v>
      </c>
      <c r="E125" s="24" t="s">
        <v>9</v>
      </c>
      <c r="F125" s="21" t="s">
        <v>9</v>
      </c>
      <c r="G125" s="27" t="s">
        <v>9</v>
      </c>
    </row>
    <row r="126" spans="1:7" ht="17.100000000000001" customHeight="1" x14ac:dyDescent="0.2">
      <c r="A126" s="24" t="s">
        <v>9</v>
      </c>
      <c r="B126" s="205" t="s">
        <v>151</v>
      </c>
      <c r="C126" s="206"/>
      <c r="D126" s="4" t="s">
        <v>138</v>
      </c>
      <c r="E126" s="24" t="s">
        <v>9</v>
      </c>
      <c r="F126" s="24" t="s">
        <v>9</v>
      </c>
      <c r="G126" s="24" t="s">
        <v>9</v>
      </c>
    </row>
  </sheetData>
  <mergeCells count="15">
    <mergeCell ref="B125:C125"/>
    <mergeCell ref="B126:C126"/>
    <mergeCell ref="B108:C108"/>
    <mergeCell ref="B109:C109"/>
    <mergeCell ref="B110:C110"/>
    <mergeCell ref="B119:C119"/>
    <mergeCell ref="B123:C123"/>
    <mergeCell ref="B124:C124"/>
    <mergeCell ref="B121:F121"/>
    <mergeCell ref="B107:C107"/>
    <mergeCell ref="B104:F104"/>
    <mergeCell ref="B105:F10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5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493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156</v>
      </c>
      <c r="C7" s="6" t="s">
        <v>157</v>
      </c>
      <c r="D7" s="6" t="s">
        <v>155</v>
      </c>
      <c r="E7" s="7">
        <v>23765</v>
      </c>
      <c r="F7" s="8">
        <v>283.58774499999998</v>
      </c>
      <c r="G7" s="9">
        <v>6.0512555000000003E-2</v>
      </c>
      <c r="H7" s="156"/>
    </row>
    <row r="8" spans="1:8" x14ac:dyDescent="0.2">
      <c r="A8" s="5">
        <v>2</v>
      </c>
      <c r="B8" s="6" t="s">
        <v>468</v>
      </c>
      <c r="C8" s="6" t="s">
        <v>469</v>
      </c>
      <c r="D8" s="6" t="s">
        <v>196</v>
      </c>
      <c r="E8" s="7">
        <v>36101</v>
      </c>
      <c r="F8" s="8">
        <v>177.20175850000001</v>
      </c>
      <c r="G8" s="9">
        <v>3.7811686999999997E-2</v>
      </c>
      <c r="H8" s="156"/>
    </row>
    <row r="9" spans="1:8" x14ac:dyDescent="0.2">
      <c r="A9" s="5">
        <v>3</v>
      </c>
      <c r="B9" s="6" t="s">
        <v>153</v>
      </c>
      <c r="C9" s="6" t="s">
        <v>154</v>
      </c>
      <c r="D9" s="6" t="s">
        <v>155</v>
      </c>
      <c r="E9" s="7">
        <v>4519</v>
      </c>
      <c r="F9" s="8">
        <v>169.4286075</v>
      </c>
      <c r="G9" s="9">
        <v>3.6153036E-2</v>
      </c>
      <c r="H9" s="156"/>
    </row>
    <row r="10" spans="1:8" x14ac:dyDescent="0.2">
      <c r="A10" s="5">
        <v>4</v>
      </c>
      <c r="B10" s="6" t="s">
        <v>292</v>
      </c>
      <c r="C10" s="6" t="s">
        <v>293</v>
      </c>
      <c r="D10" s="6" t="s">
        <v>28</v>
      </c>
      <c r="E10" s="7">
        <v>22910</v>
      </c>
      <c r="F10" s="8">
        <v>154.53940499999999</v>
      </c>
      <c r="G10" s="9">
        <v>3.2975945999999999E-2</v>
      </c>
      <c r="H10" s="156"/>
    </row>
    <row r="11" spans="1:8" x14ac:dyDescent="0.2">
      <c r="A11" s="5">
        <v>5</v>
      </c>
      <c r="B11" s="6" t="s">
        <v>160</v>
      </c>
      <c r="C11" s="6" t="s">
        <v>161</v>
      </c>
      <c r="D11" s="6" t="s">
        <v>28</v>
      </c>
      <c r="E11" s="7">
        <v>20262</v>
      </c>
      <c r="F11" s="8">
        <v>136.76849999999999</v>
      </c>
      <c r="G11" s="9">
        <v>2.9183952999999999E-2</v>
      </c>
      <c r="H11" s="156"/>
    </row>
    <row r="12" spans="1:8" x14ac:dyDescent="0.2">
      <c r="A12" s="5">
        <v>6</v>
      </c>
      <c r="B12" s="6" t="s">
        <v>158</v>
      </c>
      <c r="C12" s="6" t="s">
        <v>159</v>
      </c>
      <c r="D12" s="6" t="s">
        <v>28</v>
      </c>
      <c r="E12" s="7">
        <v>16971</v>
      </c>
      <c r="F12" s="8">
        <v>117.6853995</v>
      </c>
      <c r="G12" s="9">
        <v>2.5111959999999999E-2</v>
      </c>
      <c r="H12" s="156"/>
    </row>
    <row r="13" spans="1:8" x14ac:dyDescent="0.2">
      <c r="A13" s="5">
        <v>7</v>
      </c>
      <c r="B13" s="6" t="s">
        <v>173</v>
      </c>
      <c r="C13" s="6" t="s">
        <v>174</v>
      </c>
      <c r="D13" s="6" t="s">
        <v>63</v>
      </c>
      <c r="E13" s="7">
        <v>28111</v>
      </c>
      <c r="F13" s="8">
        <v>113.7230505</v>
      </c>
      <c r="G13" s="9">
        <v>2.4266466E-2</v>
      </c>
      <c r="H13" s="156"/>
    </row>
    <row r="14" spans="1:8" x14ac:dyDescent="0.2">
      <c r="A14" s="5">
        <v>8</v>
      </c>
      <c r="B14" s="6" t="s">
        <v>26</v>
      </c>
      <c r="C14" s="6" t="s">
        <v>27</v>
      </c>
      <c r="D14" s="6" t="s">
        <v>28</v>
      </c>
      <c r="E14" s="7">
        <v>9119</v>
      </c>
      <c r="F14" s="8">
        <v>113.2534205</v>
      </c>
      <c r="G14" s="9">
        <v>2.4166255000000001E-2</v>
      </c>
      <c r="H14" s="156"/>
    </row>
    <row r="15" spans="1:8" x14ac:dyDescent="0.2">
      <c r="A15" s="5">
        <v>9</v>
      </c>
      <c r="B15" s="6" t="s">
        <v>48</v>
      </c>
      <c r="C15" s="6" t="s">
        <v>49</v>
      </c>
      <c r="D15" s="6" t="s">
        <v>28</v>
      </c>
      <c r="E15" s="7">
        <v>10772</v>
      </c>
      <c r="F15" s="8">
        <v>108.98571</v>
      </c>
      <c r="G15" s="9">
        <v>2.3255602E-2</v>
      </c>
      <c r="H15" s="156"/>
    </row>
    <row r="16" spans="1:8" x14ac:dyDescent="0.2">
      <c r="A16" s="5">
        <v>10</v>
      </c>
      <c r="B16" s="6" t="s">
        <v>164</v>
      </c>
      <c r="C16" s="6" t="s">
        <v>165</v>
      </c>
      <c r="D16" s="6" t="s">
        <v>166</v>
      </c>
      <c r="E16" s="7">
        <v>112424</v>
      </c>
      <c r="F16" s="8">
        <v>105.67856</v>
      </c>
      <c r="G16" s="9">
        <v>2.2549915E-2</v>
      </c>
      <c r="H16" s="156"/>
    </row>
    <row r="17" spans="1:8" x14ac:dyDescent="0.2">
      <c r="A17" s="5">
        <v>11</v>
      </c>
      <c r="B17" s="6" t="s">
        <v>31</v>
      </c>
      <c r="C17" s="6" t="s">
        <v>32</v>
      </c>
      <c r="D17" s="6" t="s">
        <v>972</v>
      </c>
      <c r="E17" s="7">
        <v>3690</v>
      </c>
      <c r="F17" s="8">
        <v>105.22035</v>
      </c>
      <c r="G17" s="9">
        <v>2.2452142000000001E-2</v>
      </c>
      <c r="H17" s="156"/>
    </row>
    <row r="18" spans="1:8" x14ac:dyDescent="0.2">
      <c r="A18" s="5">
        <v>12</v>
      </c>
      <c r="B18" s="6" t="s">
        <v>448</v>
      </c>
      <c r="C18" s="6" t="s">
        <v>449</v>
      </c>
      <c r="D18" s="6" t="s">
        <v>63</v>
      </c>
      <c r="E18" s="7">
        <v>33367</v>
      </c>
      <c r="F18" s="8">
        <v>104.62222850000001</v>
      </c>
      <c r="G18" s="9">
        <v>2.2324513000000001E-2</v>
      </c>
      <c r="H18" s="156"/>
    </row>
    <row r="19" spans="1:8" x14ac:dyDescent="0.2">
      <c r="A19" s="5">
        <v>13</v>
      </c>
      <c r="B19" s="6" t="s">
        <v>167</v>
      </c>
      <c r="C19" s="6" t="s">
        <v>168</v>
      </c>
      <c r="D19" s="6" t="s">
        <v>169</v>
      </c>
      <c r="E19" s="7">
        <v>37963</v>
      </c>
      <c r="F19" s="8">
        <v>98.589911000000001</v>
      </c>
      <c r="G19" s="9">
        <v>2.1037324E-2</v>
      </c>
      <c r="H19" s="156"/>
    </row>
    <row r="20" spans="1:8" x14ac:dyDescent="0.2">
      <c r="A20" s="5">
        <v>14</v>
      </c>
      <c r="B20" s="6" t="s">
        <v>185</v>
      </c>
      <c r="C20" s="6" t="s">
        <v>186</v>
      </c>
      <c r="D20" s="6" t="s">
        <v>172</v>
      </c>
      <c r="E20" s="7">
        <v>41699</v>
      </c>
      <c r="F20" s="8">
        <v>93.405760000000001</v>
      </c>
      <c r="G20" s="9">
        <v>1.9931119000000001E-2</v>
      </c>
      <c r="H20" s="156"/>
    </row>
    <row r="21" spans="1:8" x14ac:dyDescent="0.2">
      <c r="A21" s="5">
        <v>15</v>
      </c>
      <c r="B21" s="6" t="s">
        <v>179</v>
      </c>
      <c r="C21" s="6" t="s">
        <v>180</v>
      </c>
      <c r="D21" s="6" t="s">
        <v>169</v>
      </c>
      <c r="E21" s="7">
        <v>3164</v>
      </c>
      <c r="F21" s="8">
        <v>92.985213999999999</v>
      </c>
      <c r="G21" s="9">
        <v>1.9841382000000001E-2</v>
      </c>
      <c r="H21" s="156"/>
    </row>
    <row r="22" spans="1:8" x14ac:dyDescent="0.2">
      <c r="A22" s="5">
        <v>16</v>
      </c>
      <c r="B22" s="6" t="s">
        <v>192</v>
      </c>
      <c r="C22" s="6" t="s">
        <v>193</v>
      </c>
      <c r="D22" s="6" t="s">
        <v>196</v>
      </c>
      <c r="E22" s="7">
        <v>12470</v>
      </c>
      <c r="F22" s="8">
        <v>85.874655000000004</v>
      </c>
      <c r="G22" s="9">
        <v>1.8324116000000001E-2</v>
      </c>
      <c r="H22" s="156"/>
    </row>
    <row r="23" spans="1:8" x14ac:dyDescent="0.2">
      <c r="A23" s="5">
        <v>17</v>
      </c>
      <c r="B23" s="6" t="s">
        <v>329</v>
      </c>
      <c r="C23" s="6" t="s">
        <v>330</v>
      </c>
      <c r="D23" s="6" t="s">
        <v>191</v>
      </c>
      <c r="E23" s="7">
        <v>2466</v>
      </c>
      <c r="F23" s="8">
        <v>84.921642000000006</v>
      </c>
      <c r="G23" s="9">
        <v>1.812076E-2</v>
      </c>
      <c r="H23" s="156"/>
    </row>
    <row r="24" spans="1:8" x14ac:dyDescent="0.2">
      <c r="A24" s="5">
        <v>18</v>
      </c>
      <c r="B24" s="6" t="s">
        <v>194</v>
      </c>
      <c r="C24" s="6" t="s">
        <v>195</v>
      </c>
      <c r="D24" s="6" t="s">
        <v>196</v>
      </c>
      <c r="E24" s="7">
        <v>20532</v>
      </c>
      <c r="F24" s="8">
        <v>84.735563999999997</v>
      </c>
      <c r="G24" s="9">
        <v>1.8081053999999999E-2</v>
      </c>
      <c r="H24" s="156"/>
    </row>
    <row r="25" spans="1:8" x14ac:dyDescent="0.2">
      <c r="A25" s="5">
        <v>19</v>
      </c>
      <c r="B25" s="6" t="s">
        <v>201</v>
      </c>
      <c r="C25" s="6" t="s">
        <v>202</v>
      </c>
      <c r="D25" s="6" t="s">
        <v>40</v>
      </c>
      <c r="E25" s="7">
        <v>72425</v>
      </c>
      <c r="F25" s="8">
        <v>80.138262499999996</v>
      </c>
      <c r="G25" s="9">
        <v>1.7100072000000001E-2</v>
      </c>
      <c r="H25" s="156"/>
    </row>
    <row r="26" spans="1:8" x14ac:dyDescent="0.2">
      <c r="A26" s="5">
        <v>20</v>
      </c>
      <c r="B26" s="6" t="s">
        <v>206</v>
      </c>
      <c r="C26" s="6" t="s">
        <v>207</v>
      </c>
      <c r="D26" s="6" t="s">
        <v>73</v>
      </c>
      <c r="E26" s="7">
        <v>18151</v>
      </c>
      <c r="F26" s="8">
        <v>78.330640500000001</v>
      </c>
      <c r="G26" s="9">
        <v>1.6714357999999999E-2</v>
      </c>
      <c r="H26" s="156"/>
    </row>
    <row r="27" spans="1:8" x14ac:dyDescent="0.2">
      <c r="A27" s="5">
        <v>21</v>
      </c>
      <c r="B27" s="6" t="s">
        <v>187</v>
      </c>
      <c r="C27" s="6" t="s">
        <v>188</v>
      </c>
      <c r="D27" s="6" t="s">
        <v>973</v>
      </c>
      <c r="E27" s="7">
        <v>25091</v>
      </c>
      <c r="F27" s="8">
        <v>77.455916999999999</v>
      </c>
      <c r="G27" s="9">
        <v>1.6527707999999999E-2</v>
      </c>
      <c r="H27" s="156"/>
    </row>
    <row r="28" spans="1:8" x14ac:dyDescent="0.2">
      <c r="A28" s="5">
        <v>22</v>
      </c>
      <c r="B28" s="6" t="s">
        <v>458</v>
      </c>
      <c r="C28" s="6" t="s">
        <v>459</v>
      </c>
      <c r="D28" s="6" t="s">
        <v>239</v>
      </c>
      <c r="E28" s="7">
        <v>12255</v>
      </c>
      <c r="F28" s="8">
        <v>71.465032500000007</v>
      </c>
      <c r="G28" s="9">
        <v>1.524936E-2</v>
      </c>
      <c r="H28" s="156"/>
    </row>
    <row r="29" spans="1:8" x14ac:dyDescent="0.2">
      <c r="A29" s="5">
        <v>23</v>
      </c>
      <c r="B29" s="6" t="s">
        <v>210</v>
      </c>
      <c r="C29" s="6" t="s">
        <v>211</v>
      </c>
      <c r="D29" s="6" t="s">
        <v>169</v>
      </c>
      <c r="E29" s="7">
        <v>7999</v>
      </c>
      <c r="F29" s="8">
        <v>68.759404000000004</v>
      </c>
      <c r="G29" s="9">
        <v>1.4672028E-2</v>
      </c>
      <c r="H29" s="156"/>
    </row>
    <row r="30" spans="1:8" x14ac:dyDescent="0.2">
      <c r="A30" s="5">
        <v>24</v>
      </c>
      <c r="B30" s="6" t="s">
        <v>199</v>
      </c>
      <c r="C30" s="6" t="s">
        <v>200</v>
      </c>
      <c r="D30" s="6" t="s">
        <v>63</v>
      </c>
      <c r="E30" s="7">
        <v>19491</v>
      </c>
      <c r="F30" s="8">
        <v>67.341404999999995</v>
      </c>
      <c r="G30" s="9">
        <v>1.4369452E-2</v>
      </c>
      <c r="H30" s="156"/>
    </row>
    <row r="31" spans="1:8" x14ac:dyDescent="0.2">
      <c r="A31" s="5">
        <v>25</v>
      </c>
      <c r="B31" s="6" t="s">
        <v>183</v>
      </c>
      <c r="C31" s="6" t="s">
        <v>184</v>
      </c>
      <c r="D31" s="6" t="s">
        <v>43</v>
      </c>
      <c r="E31" s="7">
        <v>14751</v>
      </c>
      <c r="F31" s="8">
        <v>62.809758000000002</v>
      </c>
      <c r="G31" s="9">
        <v>1.3402479E-2</v>
      </c>
      <c r="H31" s="156"/>
    </row>
    <row r="32" spans="1:8" x14ac:dyDescent="0.2">
      <c r="A32" s="5">
        <v>26</v>
      </c>
      <c r="B32" s="6" t="s">
        <v>79</v>
      </c>
      <c r="C32" s="6" t="s">
        <v>80</v>
      </c>
      <c r="D32" s="6" t="s">
        <v>63</v>
      </c>
      <c r="E32" s="7">
        <v>26468</v>
      </c>
      <c r="F32" s="8">
        <v>61.763078</v>
      </c>
      <c r="G32" s="9">
        <v>1.3179137E-2</v>
      </c>
      <c r="H32" s="156"/>
    </row>
    <row r="33" spans="1:8" x14ac:dyDescent="0.2">
      <c r="A33" s="5">
        <v>27</v>
      </c>
      <c r="B33" s="6" t="s">
        <v>38</v>
      </c>
      <c r="C33" s="6" t="s">
        <v>39</v>
      </c>
      <c r="D33" s="6" t="s">
        <v>40</v>
      </c>
      <c r="E33" s="7">
        <v>22079</v>
      </c>
      <c r="F33" s="8">
        <v>61.754962999999996</v>
      </c>
      <c r="G33" s="9">
        <v>1.3177405E-2</v>
      </c>
      <c r="H33" s="156"/>
    </row>
    <row r="34" spans="1:8" x14ac:dyDescent="0.2">
      <c r="A34" s="5">
        <v>28</v>
      </c>
      <c r="B34" s="6" t="s">
        <v>232</v>
      </c>
      <c r="C34" s="6" t="s">
        <v>233</v>
      </c>
      <c r="D34" s="6" t="s">
        <v>166</v>
      </c>
      <c r="E34" s="7">
        <v>114515</v>
      </c>
      <c r="F34" s="8">
        <v>61.723585</v>
      </c>
      <c r="G34" s="9">
        <v>1.317071E-2</v>
      </c>
      <c r="H34" s="156"/>
    </row>
    <row r="35" spans="1:8" x14ac:dyDescent="0.2">
      <c r="A35" s="5">
        <v>29</v>
      </c>
      <c r="B35" s="6" t="s">
        <v>450</v>
      </c>
      <c r="C35" s="6" t="s">
        <v>451</v>
      </c>
      <c r="D35" s="6" t="s">
        <v>35</v>
      </c>
      <c r="E35" s="7">
        <v>5026</v>
      </c>
      <c r="F35" s="8">
        <v>61.158881000000001</v>
      </c>
      <c r="G35" s="9">
        <v>1.3050212E-2</v>
      </c>
      <c r="H35" s="156"/>
    </row>
    <row r="36" spans="1:8" x14ac:dyDescent="0.2">
      <c r="A36" s="5">
        <v>30</v>
      </c>
      <c r="B36" s="6" t="s">
        <v>203</v>
      </c>
      <c r="C36" s="6" t="s">
        <v>204</v>
      </c>
      <c r="D36" s="6" t="s">
        <v>205</v>
      </c>
      <c r="E36" s="7">
        <v>7639</v>
      </c>
      <c r="F36" s="8">
        <v>60.325183000000003</v>
      </c>
      <c r="G36" s="9">
        <v>1.2872316E-2</v>
      </c>
      <c r="H36" s="156"/>
    </row>
    <row r="37" spans="1:8" x14ac:dyDescent="0.2">
      <c r="A37" s="5">
        <v>31</v>
      </c>
      <c r="B37" s="6" t="s">
        <v>240</v>
      </c>
      <c r="C37" s="6" t="s">
        <v>241</v>
      </c>
      <c r="D37" s="6" t="s">
        <v>191</v>
      </c>
      <c r="E37" s="7">
        <v>15992</v>
      </c>
      <c r="F37" s="8">
        <v>59.250360000000001</v>
      </c>
      <c r="G37" s="9">
        <v>1.2642967999999999E-2</v>
      </c>
      <c r="H37" s="156"/>
    </row>
    <row r="38" spans="1:8" x14ac:dyDescent="0.2">
      <c r="A38" s="5">
        <v>32</v>
      </c>
      <c r="B38" s="6" t="s">
        <v>181</v>
      </c>
      <c r="C38" s="6" t="s">
        <v>182</v>
      </c>
      <c r="D38" s="6" t="s">
        <v>972</v>
      </c>
      <c r="E38" s="7">
        <v>23317</v>
      </c>
      <c r="F38" s="8">
        <v>58.910400500000002</v>
      </c>
      <c r="G38" s="9">
        <v>1.2570426000000001E-2</v>
      </c>
      <c r="H38" s="156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28</v>
      </c>
      <c r="E39" s="7">
        <v>4007</v>
      </c>
      <c r="F39" s="8">
        <v>58.8768545</v>
      </c>
      <c r="G39" s="9">
        <v>1.2563268000000001E-2</v>
      </c>
      <c r="H39" s="156"/>
    </row>
    <row r="40" spans="1:8" x14ac:dyDescent="0.2">
      <c r="A40" s="5">
        <v>34</v>
      </c>
      <c r="B40" s="6" t="s">
        <v>242</v>
      </c>
      <c r="C40" s="6" t="s">
        <v>243</v>
      </c>
      <c r="D40" s="6" t="s">
        <v>196</v>
      </c>
      <c r="E40" s="7">
        <v>3496</v>
      </c>
      <c r="F40" s="8">
        <v>58.215392000000001</v>
      </c>
      <c r="G40" s="9">
        <v>1.2422124E-2</v>
      </c>
      <c r="H40" s="156"/>
    </row>
    <row r="41" spans="1:8" x14ac:dyDescent="0.2">
      <c r="A41" s="5">
        <v>35</v>
      </c>
      <c r="B41" s="6" t="s">
        <v>226</v>
      </c>
      <c r="C41" s="6" t="s">
        <v>227</v>
      </c>
      <c r="D41" s="6" t="s">
        <v>166</v>
      </c>
      <c r="E41" s="7">
        <v>10678</v>
      </c>
      <c r="F41" s="8">
        <v>57.794674999999998</v>
      </c>
      <c r="G41" s="9">
        <v>1.2332350000000001E-2</v>
      </c>
      <c r="H41" s="156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40</v>
      </c>
      <c r="E42" s="7">
        <v>6936</v>
      </c>
      <c r="F42" s="8">
        <v>56.538803999999999</v>
      </c>
      <c r="G42" s="9">
        <v>1.206437E-2</v>
      </c>
      <c r="H42" s="156"/>
    </row>
    <row r="43" spans="1:8" x14ac:dyDescent="0.2">
      <c r="A43" s="5">
        <v>37</v>
      </c>
      <c r="B43" s="6" t="s">
        <v>454</v>
      </c>
      <c r="C43" s="6" t="s">
        <v>455</v>
      </c>
      <c r="D43" s="6" t="s">
        <v>68</v>
      </c>
      <c r="E43" s="7">
        <v>13487</v>
      </c>
      <c r="F43" s="8">
        <v>56.132894</v>
      </c>
      <c r="G43" s="9">
        <v>1.1977756000000001E-2</v>
      </c>
      <c r="H43" s="156"/>
    </row>
    <row r="44" spans="1:8" x14ac:dyDescent="0.2">
      <c r="A44" s="5">
        <v>38</v>
      </c>
      <c r="B44" s="6" t="s">
        <v>288</v>
      </c>
      <c r="C44" s="6" t="s">
        <v>289</v>
      </c>
      <c r="D44" s="6" t="s">
        <v>28</v>
      </c>
      <c r="E44" s="7">
        <v>5065</v>
      </c>
      <c r="F44" s="8">
        <v>56.041692500000003</v>
      </c>
      <c r="G44" s="9">
        <v>1.1958295000000001E-2</v>
      </c>
      <c r="H44" s="156"/>
    </row>
    <row r="45" spans="1:8" x14ac:dyDescent="0.2">
      <c r="A45" s="5">
        <v>39</v>
      </c>
      <c r="B45" s="6" t="s">
        <v>255</v>
      </c>
      <c r="C45" s="6" t="s">
        <v>256</v>
      </c>
      <c r="D45" s="6" t="s">
        <v>63</v>
      </c>
      <c r="E45" s="7">
        <v>8499</v>
      </c>
      <c r="F45" s="8">
        <v>55.953166500000002</v>
      </c>
      <c r="G45" s="9">
        <v>1.1939405E-2</v>
      </c>
      <c r="H45" s="156"/>
    </row>
    <row r="46" spans="1:8" x14ac:dyDescent="0.2">
      <c r="A46" s="5">
        <v>40</v>
      </c>
      <c r="B46" s="6" t="s">
        <v>464</v>
      </c>
      <c r="C46" s="6" t="s">
        <v>465</v>
      </c>
      <c r="D46" s="6" t="s">
        <v>974</v>
      </c>
      <c r="E46" s="7">
        <v>74960</v>
      </c>
      <c r="F46" s="8">
        <v>55.920160000000003</v>
      </c>
      <c r="G46" s="9">
        <v>1.1932362E-2</v>
      </c>
      <c r="H46" s="156"/>
    </row>
    <row r="47" spans="1:8" x14ac:dyDescent="0.2">
      <c r="A47" s="5">
        <v>41</v>
      </c>
      <c r="B47" s="6" t="s">
        <v>218</v>
      </c>
      <c r="C47" s="6" t="s">
        <v>219</v>
      </c>
      <c r="D47" s="6" t="s">
        <v>63</v>
      </c>
      <c r="E47" s="7">
        <v>7330</v>
      </c>
      <c r="F47" s="8">
        <v>53.864505000000001</v>
      </c>
      <c r="G47" s="9">
        <v>1.1493722E-2</v>
      </c>
      <c r="H47" s="156"/>
    </row>
    <row r="48" spans="1:8" x14ac:dyDescent="0.2">
      <c r="A48" s="5">
        <v>42</v>
      </c>
      <c r="B48" s="6" t="s">
        <v>272</v>
      </c>
      <c r="C48" s="6" t="s">
        <v>273</v>
      </c>
      <c r="D48" s="6" t="s">
        <v>274</v>
      </c>
      <c r="E48" s="7">
        <v>20978</v>
      </c>
      <c r="F48" s="8">
        <v>52.948472000000002</v>
      </c>
      <c r="G48" s="9">
        <v>1.1298257000000001E-2</v>
      </c>
      <c r="H48" s="156"/>
    </row>
    <row r="49" spans="1:8" x14ac:dyDescent="0.2">
      <c r="A49" s="5">
        <v>43</v>
      </c>
      <c r="B49" s="6" t="s">
        <v>228</v>
      </c>
      <c r="C49" s="6" t="s">
        <v>229</v>
      </c>
      <c r="D49" s="6" t="s">
        <v>35</v>
      </c>
      <c r="E49" s="7">
        <v>66888</v>
      </c>
      <c r="F49" s="8">
        <v>52.908408000000001</v>
      </c>
      <c r="G49" s="9">
        <v>1.1289708000000001E-2</v>
      </c>
      <c r="H49" s="156"/>
    </row>
    <row r="50" spans="1:8" x14ac:dyDescent="0.2">
      <c r="A50" s="5">
        <v>44</v>
      </c>
      <c r="B50" s="6" t="s">
        <v>264</v>
      </c>
      <c r="C50" s="6" t="s">
        <v>265</v>
      </c>
      <c r="D50" s="6" t="s">
        <v>975</v>
      </c>
      <c r="E50" s="7">
        <v>10548</v>
      </c>
      <c r="F50" s="8">
        <v>52.697808000000002</v>
      </c>
      <c r="G50" s="9">
        <v>1.1244769999999999E-2</v>
      </c>
      <c r="H50" s="156"/>
    </row>
    <row r="51" spans="1:8" x14ac:dyDescent="0.2">
      <c r="A51" s="5">
        <v>45</v>
      </c>
      <c r="B51" s="6" t="s">
        <v>162</v>
      </c>
      <c r="C51" s="6" t="s">
        <v>163</v>
      </c>
      <c r="D51" s="6" t="s">
        <v>169</v>
      </c>
      <c r="E51" s="7">
        <v>5189</v>
      </c>
      <c r="F51" s="8">
        <v>52.102749000000003</v>
      </c>
      <c r="G51" s="9">
        <v>1.1117795E-2</v>
      </c>
      <c r="H51" s="156"/>
    </row>
    <row r="52" spans="1:8" x14ac:dyDescent="0.2">
      <c r="A52" s="5">
        <v>46</v>
      </c>
      <c r="B52" s="6" t="s">
        <v>234</v>
      </c>
      <c r="C52" s="6" t="s">
        <v>235</v>
      </c>
      <c r="D52" s="6" t="s">
        <v>73</v>
      </c>
      <c r="E52" s="7">
        <v>12063</v>
      </c>
      <c r="F52" s="8">
        <v>51.442663500000002</v>
      </c>
      <c r="G52" s="9">
        <v>1.0976945E-2</v>
      </c>
      <c r="H52" s="156"/>
    </row>
    <row r="53" spans="1:8" x14ac:dyDescent="0.2">
      <c r="A53" s="5">
        <v>47</v>
      </c>
      <c r="B53" s="6" t="s">
        <v>208</v>
      </c>
      <c r="C53" s="6" t="s">
        <v>209</v>
      </c>
      <c r="D53" s="6" t="s">
        <v>976</v>
      </c>
      <c r="E53" s="7">
        <v>6263</v>
      </c>
      <c r="F53" s="8">
        <v>51.228208500000001</v>
      </c>
      <c r="G53" s="9">
        <v>1.0931184E-2</v>
      </c>
      <c r="H53" s="156"/>
    </row>
    <row r="54" spans="1:8" x14ac:dyDescent="0.2">
      <c r="A54" s="5">
        <v>48</v>
      </c>
      <c r="B54" s="6" t="s">
        <v>249</v>
      </c>
      <c r="C54" s="6" t="s">
        <v>250</v>
      </c>
      <c r="D54" s="6" t="s">
        <v>73</v>
      </c>
      <c r="E54" s="7">
        <v>13540</v>
      </c>
      <c r="F54" s="8">
        <v>48.967410000000001</v>
      </c>
      <c r="G54" s="9">
        <v>1.044877E-2</v>
      </c>
      <c r="H54" s="156"/>
    </row>
    <row r="55" spans="1:8" x14ac:dyDescent="0.2">
      <c r="A55" s="5">
        <v>49</v>
      </c>
      <c r="B55" s="6" t="s">
        <v>462</v>
      </c>
      <c r="C55" s="6" t="s">
        <v>463</v>
      </c>
      <c r="D55" s="6" t="s">
        <v>166</v>
      </c>
      <c r="E55" s="7">
        <v>6433</v>
      </c>
      <c r="F55" s="8">
        <v>48.247500000000002</v>
      </c>
      <c r="G55" s="9">
        <v>1.0295154000000001E-2</v>
      </c>
      <c r="H55" s="156"/>
    </row>
    <row r="56" spans="1:8" x14ac:dyDescent="0.2">
      <c r="A56" s="5">
        <v>50</v>
      </c>
      <c r="B56" s="6" t="s">
        <v>216</v>
      </c>
      <c r="C56" s="6" t="s">
        <v>217</v>
      </c>
      <c r="D56" s="6" t="s">
        <v>54</v>
      </c>
      <c r="E56" s="7">
        <v>4244</v>
      </c>
      <c r="F56" s="8">
        <v>47.161450000000002</v>
      </c>
      <c r="G56" s="9">
        <v>1.006341E-2</v>
      </c>
      <c r="H56" s="156"/>
    </row>
    <row r="57" spans="1:8" x14ac:dyDescent="0.2">
      <c r="A57" s="5">
        <v>51</v>
      </c>
      <c r="B57" s="6" t="s">
        <v>247</v>
      </c>
      <c r="C57" s="6" t="s">
        <v>248</v>
      </c>
      <c r="D57" s="6" t="s">
        <v>166</v>
      </c>
      <c r="E57" s="7">
        <v>8996</v>
      </c>
      <c r="F57" s="8">
        <v>47.098557999999997</v>
      </c>
      <c r="G57" s="9">
        <v>1.004999E-2</v>
      </c>
      <c r="H57" s="156"/>
    </row>
    <row r="58" spans="1:8" x14ac:dyDescent="0.2">
      <c r="A58" s="5">
        <v>52</v>
      </c>
      <c r="B58" s="6" t="s">
        <v>452</v>
      </c>
      <c r="C58" s="6" t="s">
        <v>453</v>
      </c>
      <c r="D58" s="6" t="s">
        <v>166</v>
      </c>
      <c r="E58" s="7">
        <v>13292</v>
      </c>
      <c r="F58" s="8">
        <v>46.814424000000002</v>
      </c>
      <c r="G58" s="9">
        <v>9.9893610000000004E-3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11772</v>
      </c>
      <c r="F59" s="8">
        <v>46.381680000000003</v>
      </c>
      <c r="G59" s="9">
        <v>9.8970210000000006E-3</v>
      </c>
      <c r="H59" s="156"/>
    </row>
    <row r="60" spans="1:8" x14ac:dyDescent="0.2">
      <c r="A60" s="5">
        <v>54</v>
      </c>
      <c r="B60" s="6" t="s">
        <v>270</v>
      </c>
      <c r="C60" s="6" t="s">
        <v>271</v>
      </c>
      <c r="D60" s="6" t="s">
        <v>22</v>
      </c>
      <c r="E60" s="7">
        <v>44477</v>
      </c>
      <c r="F60" s="8">
        <v>46.033695000000002</v>
      </c>
      <c r="G60" s="9">
        <v>9.8227680000000008E-3</v>
      </c>
      <c r="H60" s="156"/>
    </row>
    <row r="61" spans="1:8" x14ac:dyDescent="0.2">
      <c r="A61" s="5">
        <v>55</v>
      </c>
      <c r="B61" s="6" t="s">
        <v>257</v>
      </c>
      <c r="C61" s="6" t="s">
        <v>258</v>
      </c>
      <c r="D61" s="6" t="s">
        <v>977</v>
      </c>
      <c r="E61" s="7">
        <v>49629</v>
      </c>
      <c r="F61" s="8">
        <v>45.584236500000003</v>
      </c>
      <c r="G61" s="9">
        <v>9.7268609999999998E-3</v>
      </c>
      <c r="H61" s="156"/>
    </row>
    <row r="62" spans="1:8" x14ac:dyDescent="0.2">
      <c r="A62" s="5">
        <v>56</v>
      </c>
      <c r="B62" s="6" t="s">
        <v>460</v>
      </c>
      <c r="C62" s="6" t="s">
        <v>461</v>
      </c>
      <c r="D62" s="6" t="s">
        <v>28</v>
      </c>
      <c r="E62" s="7">
        <v>7346</v>
      </c>
      <c r="F62" s="8">
        <v>44.535125000000001</v>
      </c>
      <c r="G62" s="9">
        <v>9.5029989999999998E-3</v>
      </c>
      <c r="H62" s="156"/>
    </row>
    <row r="63" spans="1:8" x14ac:dyDescent="0.2">
      <c r="A63" s="5">
        <v>57</v>
      </c>
      <c r="B63" s="6" t="s">
        <v>237</v>
      </c>
      <c r="C63" s="6" t="s">
        <v>238</v>
      </c>
      <c r="D63" s="6" t="s">
        <v>239</v>
      </c>
      <c r="E63" s="7">
        <v>23472</v>
      </c>
      <c r="F63" s="8">
        <v>43.681392000000002</v>
      </c>
      <c r="G63" s="9">
        <v>9.3208279999999998E-3</v>
      </c>
      <c r="H63" s="156"/>
    </row>
    <row r="64" spans="1:8" x14ac:dyDescent="0.2">
      <c r="A64" s="5">
        <v>58</v>
      </c>
      <c r="B64" s="6" t="s">
        <v>281</v>
      </c>
      <c r="C64" s="6" t="s">
        <v>282</v>
      </c>
      <c r="D64" s="6" t="s">
        <v>155</v>
      </c>
      <c r="E64" s="7">
        <v>2348</v>
      </c>
      <c r="F64" s="8">
        <v>36.755592</v>
      </c>
      <c r="G64" s="9">
        <v>7.8429859999999997E-3</v>
      </c>
      <c r="H64" s="156"/>
    </row>
    <row r="65" spans="1:8" x14ac:dyDescent="0.2">
      <c r="A65" s="5">
        <v>59</v>
      </c>
      <c r="B65" s="6" t="s">
        <v>266</v>
      </c>
      <c r="C65" s="6" t="s">
        <v>267</v>
      </c>
      <c r="D65" s="6" t="s">
        <v>191</v>
      </c>
      <c r="E65" s="7">
        <v>5643</v>
      </c>
      <c r="F65" s="8">
        <v>36.222417</v>
      </c>
      <c r="G65" s="9">
        <v>7.7292159999999997E-3</v>
      </c>
      <c r="H65" s="156"/>
    </row>
    <row r="66" spans="1:8" x14ac:dyDescent="0.2">
      <c r="A66" s="5">
        <v>60</v>
      </c>
      <c r="B66" s="6" t="s">
        <v>279</v>
      </c>
      <c r="C66" s="6" t="s">
        <v>280</v>
      </c>
      <c r="D66" s="6" t="s">
        <v>974</v>
      </c>
      <c r="E66" s="7">
        <v>2065</v>
      </c>
      <c r="F66" s="8">
        <v>31.420007500000001</v>
      </c>
      <c r="G66" s="9">
        <v>6.7044679999999999E-3</v>
      </c>
      <c r="H66" s="156"/>
    </row>
    <row r="67" spans="1:8" x14ac:dyDescent="0.2">
      <c r="A67" s="5">
        <v>61</v>
      </c>
      <c r="B67" s="6" t="s">
        <v>283</v>
      </c>
      <c r="C67" s="6" t="s">
        <v>284</v>
      </c>
      <c r="D67" s="6" t="s">
        <v>169</v>
      </c>
      <c r="E67" s="7">
        <v>4487</v>
      </c>
      <c r="F67" s="8">
        <v>27.3011515</v>
      </c>
      <c r="G67" s="9">
        <v>5.8255779999999997E-3</v>
      </c>
      <c r="H67" s="156"/>
    </row>
    <row r="68" spans="1:8" x14ac:dyDescent="0.2">
      <c r="A68" s="3" t="s">
        <v>9</v>
      </c>
      <c r="B68" s="3" t="s">
        <v>9</v>
      </c>
      <c r="C68" s="4" t="s">
        <v>105</v>
      </c>
      <c r="D68" s="3" t="s">
        <v>9</v>
      </c>
      <c r="E68" s="3" t="s">
        <v>9</v>
      </c>
      <c r="F68" s="10">
        <v>4581.2654419999999</v>
      </c>
      <c r="G68" s="11">
        <v>0.977560137</v>
      </c>
      <c r="H68" s="156"/>
    </row>
    <row r="69" spans="1:8" x14ac:dyDescent="0.2">
      <c r="A69" s="3" t="s">
        <v>9</v>
      </c>
      <c r="B69" s="3" t="s">
        <v>9</v>
      </c>
      <c r="C69" s="12" t="s">
        <v>9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106</v>
      </c>
      <c r="D70" s="3" t="s">
        <v>9</v>
      </c>
      <c r="E70" s="3" t="s">
        <v>9</v>
      </c>
      <c r="F70" s="3" t="s">
        <v>9</v>
      </c>
      <c r="G70" s="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4">
        <v>0</v>
      </c>
      <c r="G71" s="15">
        <v>0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107</v>
      </c>
      <c r="D73" s="3" t="s">
        <v>9</v>
      </c>
      <c r="E73" s="3" t="s">
        <v>9</v>
      </c>
      <c r="F73" s="3" t="s">
        <v>9</v>
      </c>
      <c r="G73" s="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105</v>
      </c>
      <c r="D74" s="3" t="s">
        <v>9</v>
      </c>
      <c r="E74" s="3" t="s">
        <v>9</v>
      </c>
      <c r="F74" s="14">
        <v>0</v>
      </c>
      <c r="G74" s="15">
        <v>0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111</v>
      </c>
      <c r="D76" s="3" t="s">
        <v>9</v>
      </c>
      <c r="E76" s="3" t="s">
        <v>9</v>
      </c>
      <c r="F76" s="3" t="s">
        <v>9</v>
      </c>
      <c r="G76" s="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105</v>
      </c>
      <c r="D77" s="3" t="s">
        <v>9</v>
      </c>
      <c r="E77" s="3" t="s">
        <v>9</v>
      </c>
      <c r="F77" s="14">
        <v>0</v>
      </c>
      <c r="G77" s="15">
        <v>0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112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105</v>
      </c>
      <c r="D80" s="3" t="s">
        <v>9</v>
      </c>
      <c r="E80" s="3" t="s">
        <v>9</v>
      </c>
      <c r="F80" s="14">
        <v>0</v>
      </c>
      <c r="G80" s="15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113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114</v>
      </c>
      <c r="D85" s="3" t="s">
        <v>9</v>
      </c>
      <c r="E85" s="3" t="s">
        <v>9</v>
      </c>
      <c r="F85" s="10">
        <v>4581.2654419999999</v>
      </c>
      <c r="G85" s="11">
        <v>0.977560137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115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105</v>
      </c>
      <c r="D89" s="3" t="s">
        <v>9</v>
      </c>
      <c r="E89" s="3" t="s">
        <v>9</v>
      </c>
      <c r="F89" s="14">
        <v>0</v>
      </c>
      <c r="G89" s="15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116</v>
      </c>
      <c r="D91" s="3" t="s">
        <v>9</v>
      </c>
      <c r="E91" s="3" t="s">
        <v>9</v>
      </c>
      <c r="F91" s="3" t="s">
        <v>9</v>
      </c>
      <c r="G91" s="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105</v>
      </c>
      <c r="D92" s="3" t="s">
        <v>9</v>
      </c>
      <c r="E92" s="3" t="s">
        <v>9</v>
      </c>
      <c r="F92" s="14">
        <v>0</v>
      </c>
      <c r="G92" s="15">
        <v>0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117</v>
      </c>
      <c r="D94" s="3" t="s">
        <v>9</v>
      </c>
      <c r="E94" s="3" t="s">
        <v>9</v>
      </c>
      <c r="F94" s="3" t="s">
        <v>9</v>
      </c>
      <c r="G94" s="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105</v>
      </c>
      <c r="D95" s="3" t="s">
        <v>9</v>
      </c>
      <c r="E95" s="3" t="s">
        <v>9</v>
      </c>
      <c r="F95" s="14">
        <v>0</v>
      </c>
      <c r="G95" s="15">
        <v>0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118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105</v>
      </c>
      <c r="D98" s="3" t="s">
        <v>9</v>
      </c>
      <c r="E98" s="3" t="s">
        <v>9</v>
      </c>
      <c r="F98" s="14">
        <v>0</v>
      </c>
      <c r="G98" s="15">
        <v>0</v>
      </c>
      <c r="H98" s="156"/>
    </row>
    <row r="99" spans="1:8" x14ac:dyDescent="0.2">
      <c r="A99" s="3" t="s">
        <v>9</v>
      </c>
      <c r="B99" s="3" t="s">
        <v>9</v>
      </c>
      <c r="C99" s="12" t="s">
        <v>9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119</v>
      </c>
      <c r="D100" s="3" t="s">
        <v>9</v>
      </c>
      <c r="E100" s="3" t="s">
        <v>9</v>
      </c>
      <c r="F100" s="10">
        <v>0</v>
      </c>
      <c r="G100" s="11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120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121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105</v>
      </c>
      <c r="D104" s="3" t="s">
        <v>9</v>
      </c>
      <c r="E104" s="3" t="s">
        <v>9</v>
      </c>
      <c r="F104" s="14">
        <v>0</v>
      </c>
      <c r="G104" s="15">
        <v>0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122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4">
        <v>0</v>
      </c>
      <c r="G107" s="15">
        <v>0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123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105</v>
      </c>
      <c r="D110" s="3" t="s">
        <v>9</v>
      </c>
      <c r="E110" s="3" t="s">
        <v>9</v>
      </c>
      <c r="F110" s="14">
        <v>0</v>
      </c>
      <c r="G110" s="15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124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5">
        <v>1</v>
      </c>
      <c r="B113" s="6"/>
      <c r="C113" s="6" t="s">
        <v>125</v>
      </c>
      <c r="D113" s="6"/>
      <c r="E113" s="16" t="s">
        <v>9</v>
      </c>
      <c r="F113" s="8">
        <v>85.717410799999996</v>
      </c>
      <c r="G113" s="9">
        <v>1.8290562999999999E-2</v>
      </c>
      <c r="H113" s="8">
        <v>3.3326163573085874</v>
      </c>
    </row>
    <row r="114" spans="1:8" x14ac:dyDescent="0.2">
      <c r="A114" s="5">
        <v>2</v>
      </c>
      <c r="B114" s="6"/>
      <c r="C114" s="6" t="s">
        <v>126</v>
      </c>
      <c r="D114" s="6"/>
      <c r="E114" s="16" t="s">
        <v>9</v>
      </c>
      <c r="F114" s="8">
        <v>61.223575799999999</v>
      </c>
      <c r="G114" s="9">
        <v>1.3064015999999999E-2</v>
      </c>
      <c r="H114" s="8">
        <v>3.2337849550915885</v>
      </c>
    </row>
    <row r="115" spans="1:8" x14ac:dyDescent="0.2">
      <c r="A115" s="3" t="s">
        <v>9</v>
      </c>
      <c r="B115" s="3" t="s">
        <v>9</v>
      </c>
      <c r="C115" s="4" t="s">
        <v>105</v>
      </c>
      <c r="D115" s="3" t="s">
        <v>9</v>
      </c>
      <c r="E115" s="3" t="s">
        <v>9</v>
      </c>
      <c r="F115" s="10">
        <v>146.9409866</v>
      </c>
      <c r="G115" s="11">
        <v>3.1354579E-2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127</v>
      </c>
      <c r="D117" s="3" t="s">
        <v>9</v>
      </c>
      <c r="E117" s="3" t="s">
        <v>9</v>
      </c>
      <c r="F117" s="10">
        <v>146.9409866</v>
      </c>
      <c r="G117" s="11">
        <v>3.1354579E-2</v>
      </c>
      <c r="H117" s="156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3" t="s">
        <v>9</v>
      </c>
      <c r="G118" s="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128</v>
      </c>
      <c r="D119" s="3" t="s">
        <v>9</v>
      </c>
      <c r="E119" s="3" t="s">
        <v>9</v>
      </c>
      <c r="F119" s="3" t="s">
        <v>9</v>
      </c>
      <c r="G119" s="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129</v>
      </c>
      <c r="D120" s="3" t="s">
        <v>9</v>
      </c>
      <c r="E120" s="3" t="s">
        <v>9</v>
      </c>
      <c r="F120" s="3" t="s">
        <v>9</v>
      </c>
      <c r="G120" s="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105</v>
      </c>
      <c r="D121" s="3" t="s">
        <v>9</v>
      </c>
      <c r="E121" s="3" t="s">
        <v>9</v>
      </c>
      <c r="F121" s="14">
        <v>0</v>
      </c>
      <c r="G121" s="15">
        <v>0</v>
      </c>
      <c r="H121" s="156"/>
    </row>
    <row r="122" spans="1:8" x14ac:dyDescent="0.2">
      <c r="A122" s="3" t="s">
        <v>9</v>
      </c>
      <c r="B122" s="3" t="s">
        <v>9</v>
      </c>
      <c r="C122" s="12" t="s">
        <v>9</v>
      </c>
      <c r="D122" s="3" t="s">
        <v>9</v>
      </c>
      <c r="E122" s="3" t="s">
        <v>9</v>
      </c>
      <c r="F122" s="13" t="s">
        <v>9</v>
      </c>
      <c r="G122" s="13" t="s">
        <v>9</v>
      </c>
      <c r="H122" s="156"/>
    </row>
    <row r="123" spans="1:8" x14ac:dyDescent="0.2">
      <c r="A123" s="3" t="s">
        <v>9</v>
      </c>
      <c r="B123" s="3" t="s">
        <v>9</v>
      </c>
      <c r="C123" s="4" t="s">
        <v>130</v>
      </c>
      <c r="D123" s="3" t="s">
        <v>9</v>
      </c>
      <c r="E123" s="3" t="s">
        <v>9</v>
      </c>
      <c r="F123" s="3" t="s">
        <v>9</v>
      </c>
      <c r="G123" s="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131</v>
      </c>
      <c r="D124" s="3" t="s">
        <v>9</v>
      </c>
      <c r="E124" s="3" t="s">
        <v>9</v>
      </c>
      <c r="F124" s="3" t="s">
        <v>9</v>
      </c>
      <c r="G124" s="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105</v>
      </c>
      <c r="D125" s="3" t="s">
        <v>9</v>
      </c>
      <c r="E125" s="3" t="s">
        <v>9</v>
      </c>
      <c r="F125" s="14">
        <v>0</v>
      </c>
      <c r="G125" s="15">
        <v>0</v>
      </c>
      <c r="H125" s="156"/>
    </row>
    <row r="126" spans="1:8" x14ac:dyDescent="0.2">
      <c r="A126" s="3" t="s">
        <v>9</v>
      </c>
      <c r="B126" s="3" t="s">
        <v>9</v>
      </c>
      <c r="C126" s="12" t="s">
        <v>9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12" t="s">
        <v>9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132</v>
      </c>
      <c r="D128" s="3" t="s">
        <v>9</v>
      </c>
      <c r="E128" s="3" t="s">
        <v>9</v>
      </c>
      <c r="F128" s="13" t="s">
        <v>9</v>
      </c>
      <c r="G128" s="1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105</v>
      </c>
      <c r="D129" s="3" t="s">
        <v>9</v>
      </c>
      <c r="E129" s="3" t="s">
        <v>9</v>
      </c>
      <c r="F129" s="14">
        <v>0</v>
      </c>
      <c r="G129" s="15">
        <v>0</v>
      </c>
      <c r="H129" s="156"/>
    </row>
    <row r="130" spans="1:8" x14ac:dyDescent="0.2">
      <c r="A130" s="3" t="s">
        <v>9</v>
      </c>
      <c r="B130" s="3" t="s">
        <v>9</v>
      </c>
      <c r="C130" s="12" t="s">
        <v>9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6" t="s">
        <v>9</v>
      </c>
      <c r="C131" s="6" t="s">
        <v>9</v>
      </c>
      <c r="D131" s="4" t="s">
        <v>9</v>
      </c>
      <c r="E131" s="3" t="s">
        <v>9</v>
      </c>
      <c r="F131" s="6" t="s">
        <v>9</v>
      </c>
      <c r="G131" s="16" t="s">
        <v>9</v>
      </c>
      <c r="H131" s="156"/>
    </row>
    <row r="132" spans="1:8" x14ac:dyDescent="0.2">
      <c r="A132" s="16" t="s">
        <v>9</v>
      </c>
      <c r="B132" s="6" t="s">
        <v>9</v>
      </c>
      <c r="C132" s="6" t="s">
        <v>133</v>
      </c>
      <c r="D132" s="6" t="s">
        <v>9</v>
      </c>
      <c r="E132" s="16" t="s">
        <v>9</v>
      </c>
      <c r="F132" s="8">
        <v>-41.778190909999999</v>
      </c>
      <c r="G132" s="9">
        <v>-8.9147189999999998E-3</v>
      </c>
      <c r="H132" s="156"/>
    </row>
    <row r="133" spans="1:8" x14ac:dyDescent="0.2">
      <c r="A133" s="12" t="s">
        <v>9</v>
      </c>
      <c r="B133" s="12" t="s">
        <v>9</v>
      </c>
      <c r="C133" s="4" t="s">
        <v>134</v>
      </c>
      <c r="D133" s="17" t="s">
        <v>9</v>
      </c>
      <c r="E133" s="17" t="s">
        <v>9</v>
      </c>
      <c r="F133" s="10">
        <v>4686.4282376900001</v>
      </c>
      <c r="G133" s="11">
        <v>0.99999999699999997</v>
      </c>
      <c r="H133" s="156"/>
    </row>
    <row r="134" spans="1:8" ht="14.1" customHeight="1" x14ac:dyDescent="0.2">
      <c r="A134" s="18" t="s">
        <v>9</v>
      </c>
      <c r="B134" s="18" t="s">
        <v>9</v>
      </c>
      <c r="C134" s="18" t="s">
        <v>9</v>
      </c>
      <c r="D134" s="19" t="s">
        <v>9</v>
      </c>
      <c r="E134" s="19" t="s">
        <v>9</v>
      </c>
      <c r="F134" s="19" t="s">
        <v>9</v>
      </c>
      <c r="G134" s="19" t="s">
        <v>9</v>
      </c>
    </row>
    <row r="135" spans="1:8" ht="14.1" customHeight="1" x14ac:dyDescent="0.2">
      <c r="A135" s="20" t="s">
        <v>9</v>
      </c>
      <c r="B135" s="200" t="s">
        <v>9</v>
      </c>
      <c r="C135" s="200"/>
      <c r="D135" s="200"/>
      <c r="E135" s="200"/>
      <c r="F135" s="200"/>
      <c r="G135" s="22" t="s">
        <v>9</v>
      </c>
    </row>
    <row r="136" spans="1:8" ht="14.1" customHeight="1" x14ac:dyDescent="0.2">
      <c r="A136" s="20" t="s">
        <v>9</v>
      </c>
      <c r="B136" s="200" t="s">
        <v>9</v>
      </c>
      <c r="C136" s="200"/>
      <c r="D136" s="200"/>
      <c r="E136" s="200"/>
      <c r="F136" s="200"/>
      <c r="G136" s="22" t="s">
        <v>9</v>
      </c>
    </row>
    <row r="137" spans="1:8" ht="14.1" customHeight="1" x14ac:dyDescent="0.2">
      <c r="A137" s="20" t="s">
        <v>9</v>
      </c>
      <c r="B137" s="20" t="s">
        <v>9</v>
      </c>
      <c r="C137" s="20" t="s">
        <v>9</v>
      </c>
      <c r="D137" s="22" t="s">
        <v>9</v>
      </c>
      <c r="E137" s="22" t="s">
        <v>9</v>
      </c>
      <c r="F137" s="22" t="s">
        <v>9</v>
      </c>
      <c r="G137" s="22" t="s">
        <v>9</v>
      </c>
    </row>
    <row r="138" spans="1:8" ht="14.1" customHeight="1" x14ac:dyDescent="0.2">
      <c r="A138" s="20" t="s">
        <v>9</v>
      </c>
      <c r="B138" s="198" t="s">
        <v>136</v>
      </c>
      <c r="C138" s="199"/>
      <c r="D138" s="13" t="s">
        <v>9</v>
      </c>
      <c r="E138" s="23" t="s">
        <v>9</v>
      </c>
      <c r="F138" s="22" t="s">
        <v>9</v>
      </c>
      <c r="G138" s="22" t="s">
        <v>9</v>
      </c>
    </row>
    <row r="139" spans="1:8" ht="29.1" customHeight="1" x14ac:dyDescent="0.2">
      <c r="A139" s="20" t="s">
        <v>9</v>
      </c>
      <c r="B139" s="205" t="s">
        <v>137</v>
      </c>
      <c r="C139" s="206"/>
      <c r="D139" s="4" t="s">
        <v>138</v>
      </c>
      <c r="E139" s="23" t="s">
        <v>9</v>
      </c>
      <c r="F139" s="22" t="s">
        <v>9</v>
      </c>
      <c r="G139" s="22" t="s">
        <v>9</v>
      </c>
    </row>
    <row r="140" spans="1:8" ht="17.100000000000001" customHeight="1" x14ac:dyDescent="0.2">
      <c r="A140" s="20" t="s">
        <v>9</v>
      </c>
      <c r="B140" s="205" t="s">
        <v>139</v>
      </c>
      <c r="C140" s="206"/>
      <c r="D140" s="4" t="s">
        <v>138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05" t="s">
        <v>140</v>
      </c>
      <c r="C141" s="206"/>
      <c r="D141" s="13" t="s">
        <v>9</v>
      </c>
      <c r="E141" s="23" t="s">
        <v>9</v>
      </c>
      <c r="F141" s="22" t="s">
        <v>9</v>
      </c>
      <c r="G141" s="22" t="s">
        <v>9</v>
      </c>
    </row>
    <row r="142" spans="1:8" ht="24" customHeight="1" x14ac:dyDescent="0.2">
      <c r="A142" s="24" t="s">
        <v>9</v>
      </c>
      <c r="B142" s="25" t="s">
        <v>9</v>
      </c>
      <c r="C142" s="25" t="s">
        <v>141</v>
      </c>
      <c r="D142" s="25" t="s">
        <v>142</v>
      </c>
      <c r="E142" s="24" t="s">
        <v>9</v>
      </c>
      <c r="F142" s="24" t="s">
        <v>9</v>
      </c>
      <c r="G142" s="24" t="s">
        <v>9</v>
      </c>
    </row>
    <row r="143" spans="1:8" ht="18" customHeight="1" x14ac:dyDescent="0.2">
      <c r="A143" s="24" t="s">
        <v>9</v>
      </c>
      <c r="B143" s="25" t="s">
        <v>143</v>
      </c>
      <c r="C143" s="25" t="s">
        <v>144</v>
      </c>
      <c r="D143" s="25" t="s">
        <v>145</v>
      </c>
      <c r="E143" s="24" t="s">
        <v>9</v>
      </c>
      <c r="F143" s="24" t="s">
        <v>9</v>
      </c>
      <c r="G143" s="24" t="s">
        <v>9</v>
      </c>
    </row>
    <row r="144" spans="1:8" ht="17.100000000000001" customHeight="1" x14ac:dyDescent="0.2">
      <c r="A144" s="24" t="s">
        <v>9</v>
      </c>
      <c r="B144" s="6" t="s">
        <v>146</v>
      </c>
      <c r="C144" s="26">
        <v>12.148199999999999</v>
      </c>
      <c r="D144" s="26">
        <v>13.2193</v>
      </c>
      <c r="E144" s="24" t="s">
        <v>9</v>
      </c>
      <c r="F144" s="21" t="s">
        <v>9</v>
      </c>
      <c r="G144" s="27" t="s">
        <v>9</v>
      </c>
    </row>
    <row r="145" spans="1:7" ht="17.100000000000001" customHeight="1" x14ac:dyDescent="0.2">
      <c r="A145" s="24" t="s">
        <v>9</v>
      </c>
      <c r="B145" s="6" t="s">
        <v>839</v>
      </c>
      <c r="C145" s="26">
        <v>12.148099999999999</v>
      </c>
      <c r="D145" s="26">
        <v>13.2193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147</v>
      </c>
      <c r="C146" s="26">
        <v>11.8819</v>
      </c>
      <c r="D146" s="26">
        <v>12.928599999999999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840</v>
      </c>
      <c r="C147" s="26">
        <v>11.882</v>
      </c>
      <c r="D147" s="26">
        <v>12.928699999999999</v>
      </c>
      <c r="E147" s="24" t="s">
        <v>9</v>
      </c>
      <c r="F147" s="21" t="s">
        <v>9</v>
      </c>
      <c r="G147" s="27" t="s">
        <v>9</v>
      </c>
    </row>
    <row r="148" spans="1:7" ht="14.1" customHeight="1" x14ac:dyDescent="0.2">
      <c r="A148" s="24" t="s">
        <v>9</v>
      </c>
      <c r="B148" s="24" t="s">
        <v>9</v>
      </c>
      <c r="C148" s="24" t="s">
        <v>9</v>
      </c>
      <c r="D148" s="24" t="s">
        <v>9</v>
      </c>
      <c r="E148" s="24" t="s">
        <v>9</v>
      </c>
      <c r="F148" s="24" t="s">
        <v>9</v>
      </c>
      <c r="G148" s="24" t="s">
        <v>9</v>
      </c>
    </row>
    <row r="149" spans="1:7" ht="17.100000000000001" customHeight="1" x14ac:dyDescent="0.2">
      <c r="A149" s="24" t="s">
        <v>9</v>
      </c>
      <c r="B149" s="205" t="s">
        <v>1013</v>
      </c>
      <c r="C149" s="206"/>
      <c r="D149" s="4" t="s">
        <v>138</v>
      </c>
      <c r="E149" s="24" t="s">
        <v>9</v>
      </c>
      <c r="F149" s="24" t="s">
        <v>9</v>
      </c>
      <c r="G149" s="24" t="s">
        <v>9</v>
      </c>
    </row>
    <row r="150" spans="1:7" ht="18" customHeight="1" x14ac:dyDescent="0.2">
      <c r="A150" s="24" t="s">
        <v>9</v>
      </c>
      <c r="B150" s="30"/>
      <c r="C150" s="30"/>
      <c r="D150" s="28" t="s">
        <v>9</v>
      </c>
      <c r="E150" s="24" t="s">
        <v>9</v>
      </c>
      <c r="F150" s="24" t="s">
        <v>9</v>
      </c>
      <c r="G150" s="24" t="s">
        <v>9</v>
      </c>
    </row>
    <row r="151" spans="1:7" s="197" customFormat="1" x14ac:dyDescent="0.2">
      <c r="B151" s="208" t="s">
        <v>841</v>
      </c>
      <c r="C151" s="208"/>
      <c r="D151" s="208"/>
      <c r="E151" s="208"/>
      <c r="F151" s="208"/>
    </row>
    <row r="152" spans="1:7" ht="14.1" customHeight="1" x14ac:dyDescent="0.2">
      <c r="A152" s="24" t="s">
        <v>9</v>
      </c>
      <c r="B152" s="21" t="s">
        <v>9</v>
      </c>
      <c r="C152" s="21" t="s">
        <v>9</v>
      </c>
      <c r="D152" s="24" t="s">
        <v>9</v>
      </c>
      <c r="E152" s="24" t="s">
        <v>9</v>
      </c>
      <c r="F152" s="24" t="s">
        <v>9</v>
      </c>
      <c r="G152" s="24" t="s">
        <v>9</v>
      </c>
    </row>
    <row r="153" spans="1:7" ht="29.1" customHeight="1" x14ac:dyDescent="0.2">
      <c r="A153" s="24" t="s">
        <v>9</v>
      </c>
      <c r="B153" s="205" t="s">
        <v>148</v>
      </c>
      <c r="C153" s="206"/>
      <c r="D153" s="4" t="s">
        <v>138</v>
      </c>
      <c r="E153" s="24" t="s">
        <v>9</v>
      </c>
      <c r="F153" s="24" t="s">
        <v>9</v>
      </c>
      <c r="G153" s="24" t="s">
        <v>9</v>
      </c>
    </row>
    <row r="154" spans="1:7" ht="29.1" customHeight="1" x14ac:dyDescent="0.2">
      <c r="A154" s="24" t="s">
        <v>9</v>
      </c>
      <c r="B154" s="205" t="s">
        <v>149</v>
      </c>
      <c r="C154" s="206"/>
      <c r="D154" s="4" t="s">
        <v>138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205" t="s">
        <v>150</v>
      </c>
      <c r="C155" s="206"/>
      <c r="D155" s="29">
        <v>0.43238480118150757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205" t="s">
        <v>151</v>
      </c>
      <c r="C156" s="206"/>
      <c r="D156" s="4" t="s">
        <v>138</v>
      </c>
      <c r="E156" s="24" t="s">
        <v>9</v>
      </c>
      <c r="F156" s="24" t="s">
        <v>9</v>
      </c>
      <c r="G156" s="24" t="s">
        <v>9</v>
      </c>
    </row>
  </sheetData>
  <mergeCells count="15">
    <mergeCell ref="B155:C155"/>
    <mergeCell ref="B156:C156"/>
    <mergeCell ref="B139:C139"/>
    <mergeCell ref="B140:C140"/>
    <mergeCell ref="B141:C141"/>
    <mergeCell ref="B149:C149"/>
    <mergeCell ref="B153:C153"/>
    <mergeCell ref="B154:C154"/>
    <mergeCell ref="B151:F151"/>
    <mergeCell ref="B138:C138"/>
    <mergeCell ref="B135:F135"/>
    <mergeCell ref="B136:F13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63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494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468</v>
      </c>
      <c r="C7" s="6" t="s">
        <v>469</v>
      </c>
      <c r="D7" s="6" t="s">
        <v>196</v>
      </c>
      <c r="E7" s="7">
        <v>32039</v>
      </c>
      <c r="F7" s="8">
        <v>157.2634315</v>
      </c>
      <c r="G7" s="9">
        <v>3.6751589000000001E-2</v>
      </c>
      <c r="H7" s="156"/>
    </row>
    <row r="8" spans="1:8" x14ac:dyDescent="0.2">
      <c r="A8" s="5">
        <v>2</v>
      </c>
      <c r="B8" s="6" t="s">
        <v>153</v>
      </c>
      <c r="C8" s="6" t="s">
        <v>154</v>
      </c>
      <c r="D8" s="6" t="s">
        <v>155</v>
      </c>
      <c r="E8" s="7">
        <v>4173</v>
      </c>
      <c r="F8" s="8">
        <v>156.45620249999999</v>
      </c>
      <c r="G8" s="9">
        <v>3.6562944E-2</v>
      </c>
      <c r="H8" s="156"/>
    </row>
    <row r="9" spans="1:8" x14ac:dyDescent="0.2">
      <c r="A9" s="5">
        <v>3</v>
      </c>
      <c r="B9" s="6" t="s">
        <v>26</v>
      </c>
      <c r="C9" s="6" t="s">
        <v>27</v>
      </c>
      <c r="D9" s="6" t="s">
        <v>28</v>
      </c>
      <c r="E9" s="7">
        <v>12264</v>
      </c>
      <c r="F9" s="8">
        <v>152.312748</v>
      </c>
      <c r="G9" s="9">
        <v>3.5594642000000003E-2</v>
      </c>
      <c r="H9" s="156"/>
    </row>
    <row r="10" spans="1:8" x14ac:dyDescent="0.2">
      <c r="A10" s="5">
        <v>4</v>
      </c>
      <c r="B10" s="6" t="s">
        <v>292</v>
      </c>
      <c r="C10" s="6" t="s">
        <v>293</v>
      </c>
      <c r="D10" s="6" t="s">
        <v>28</v>
      </c>
      <c r="E10" s="7">
        <v>20151</v>
      </c>
      <c r="F10" s="8">
        <v>135.92857050000001</v>
      </c>
      <c r="G10" s="9">
        <v>3.1765751000000002E-2</v>
      </c>
      <c r="H10" s="156"/>
    </row>
    <row r="11" spans="1:8" x14ac:dyDescent="0.2">
      <c r="A11" s="5">
        <v>5</v>
      </c>
      <c r="B11" s="6" t="s">
        <v>158</v>
      </c>
      <c r="C11" s="6" t="s">
        <v>159</v>
      </c>
      <c r="D11" s="6" t="s">
        <v>28</v>
      </c>
      <c r="E11" s="7">
        <v>15959</v>
      </c>
      <c r="F11" s="8">
        <v>110.6676855</v>
      </c>
      <c r="G11" s="9">
        <v>2.5862422999999999E-2</v>
      </c>
      <c r="H11" s="156"/>
    </row>
    <row r="12" spans="1:8" x14ac:dyDescent="0.2">
      <c r="A12" s="5">
        <v>6</v>
      </c>
      <c r="B12" s="6" t="s">
        <v>160</v>
      </c>
      <c r="C12" s="6" t="s">
        <v>161</v>
      </c>
      <c r="D12" s="6" t="s">
        <v>28</v>
      </c>
      <c r="E12" s="7">
        <v>14991</v>
      </c>
      <c r="F12" s="8">
        <v>101.18925</v>
      </c>
      <c r="G12" s="9">
        <v>2.3647365E-2</v>
      </c>
      <c r="H12" s="156"/>
    </row>
    <row r="13" spans="1:8" x14ac:dyDescent="0.2">
      <c r="A13" s="5">
        <v>7</v>
      </c>
      <c r="B13" s="6" t="s">
        <v>448</v>
      </c>
      <c r="C13" s="6" t="s">
        <v>449</v>
      </c>
      <c r="D13" s="6" t="s">
        <v>63</v>
      </c>
      <c r="E13" s="7">
        <v>31195</v>
      </c>
      <c r="F13" s="8">
        <v>97.811922499999994</v>
      </c>
      <c r="G13" s="9">
        <v>2.2858102000000002E-2</v>
      </c>
      <c r="H13" s="156"/>
    </row>
    <row r="14" spans="1:8" x14ac:dyDescent="0.2">
      <c r="A14" s="5">
        <v>8</v>
      </c>
      <c r="B14" s="6" t="s">
        <v>173</v>
      </c>
      <c r="C14" s="6" t="s">
        <v>174</v>
      </c>
      <c r="D14" s="6" t="s">
        <v>63</v>
      </c>
      <c r="E14" s="7">
        <v>24144</v>
      </c>
      <c r="F14" s="8">
        <v>97.674552000000006</v>
      </c>
      <c r="G14" s="9">
        <v>2.2825999999999999E-2</v>
      </c>
      <c r="H14" s="156"/>
    </row>
    <row r="15" spans="1:8" x14ac:dyDescent="0.2">
      <c r="A15" s="5">
        <v>9</v>
      </c>
      <c r="B15" s="6" t="s">
        <v>48</v>
      </c>
      <c r="C15" s="6" t="s">
        <v>49</v>
      </c>
      <c r="D15" s="6" t="s">
        <v>28</v>
      </c>
      <c r="E15" s="7">
        <v>9615</v>
      </c>
      <c r="F15" s="8">
        <v>97.279762500000004</v>
      </c>
      <c r="G15" s="9">
        <v>2.2733739999999999E-2</v>
      </c>
      <c r="H15" s="156"/>
    </row>
    <row r="16" spans="1:8" x14ac:dyDescent="0.2">
      <c r="A16" s="5">
        <v>10</v>
      </c>
      <c r="B16" s="6" t="s">
        <v>31</v>
      </c>
      <c r="C16" s="6" t="s">
        <v>32</v>
      </c>
      <c r="D16" s="6" t="s">
        <v>972</v>
      </c>
      <c r="E16" s="7">
        <v>3402</v>
      </c>
      <c r="F16" s="8">
        <v>97.008030000000005</v>
      </c>
      <c r="G16" s="9">
        <v>2.2670236999999999E-2</v>
      </c>
      <c r="H16" s="156"/>
    </row>
    <row r="17" spans="1:8" x14ac:dyDescent="0.2">
      <c r="A17" s="5">
        <v>11</v>
      </c>
      <c r="B17" s="6" t="s">
        <v>164</v>
      </c>
      <c r="C17" s="6" t="s">
        <v>165</v>
      </c>
      <c r="D17" s="6" t="s">
        <v>166</v>
      </c>
      <c r="E17" s="7">
        <v>100688</v>
      </c>
      <c r="F17" s="8">
        <v>94.646720000000002</v>
      </c>
      <c r="G17" s="9">
        <v>2.2118412E-2</v>
      </c>
      <c r="H17" s="156"/>
    </row>
    <row r="18" spans="1:8" x14ac:dyDescent="0.2">
      <c r="A18" s="5">
        <v>12</v>
      </c>
      <c r="B18" s="6" t="s">
        <v>167</v>
      </c>
      <c r="C18" s="6" t="s">
        <v>168</v>
      </c>
      <c r="D18" s="6" t="s">
        <v>169</v>
      </c>
      <c r="E18" s="7">
        <v>34865</v>
      </c>
      <c r="F18" s="8">
        <v>90.544404999999998</v>
      </c>
      <c r="G18" s="9">
        <v>2.1159724000000001E-2</v>
      </c>
      <c r="H18" s="156"/>
    </row>
    <row r="19" spans="1:8" x14ac:dyDescent="0.2">
      <c r="A19" s="5">
        <v>13</v>
      </c>
      <c r="B19" s="6" t="s">
        <v>329</v>
      </c>
      <c r="C19" s="6" t="s">
        <v>330</v>
      </c>
      <c r="D19" s="6" t="s">
        <v>191</v>
      </c>
      <c r="E19" s="7">
        <v>2551</v>
      </c>
      <c r="F19" s="8">
        <v>87.848787000000002</v>
      </c>
      <c r="G19" s="9">
        <v>2.0529773000000001E-2</v>
      </c>
      <c r="H19" s="156"/>
    </row>
    <row r="20" spans="1:8" x14ac:dyDescent="0.2">
      <c r="A20" s="5">
        <v>14</v>
      </c>
      <c r="B20" s="6" t="s">
        <v>170</v>
      </c>
      <c r="C20" s="6" t="s">
        <v>171</v>
      </c>
      <c r="D20" s="6" t="s">
        <v>172</v>
      </c>
      <c r="E20" s="7">
        <v>6498</v>
      </c>
      <c r="F20" s="8">
        <v>85.299245999999997</v>
      </c>
      <c r="G20" s="9">
        <v>1.9933959000000001E-2</v>
      </c>
      <c r="H20" s="156"/>
    </row>
    <row r="21" spans="1:8" x14ac:dyDescent="0.2">
      <c r="A21" s="5">
        <v>15</v>
      </c>
      <c r="B21" s="6" t="s">
        <v>179</v>
      </c>
      <c r="C21" s="6" t="s">
        <v>180</v>
      </c>
      <c r="D21" s="6" t="s">
        <v>169</v>
      </c>
      <c r="E21" s="7">
        <v>2633</v>
      </c>
      <c r="F21" s="8">
        <v>77.379920499999997</v>
      </c>
      <c r="G21" s="9">
        <v>1.8083256999999998E-2</v>
      </c>
      <c r="H21" s="156"/>
    </row>
    <row r="22" spans="1:8" x14ac:dyDescent="0.2">
      <c r="A22" s="5">
        <v>16</v>
      </c>
      <c r="B22" s="6" t="s">
        <v>181</v>
      </c>
      <c r="C22" s="6" t="s">
        <v>182</v>
      </c>
      <c r="D22" s="6" t="s">
        <v>972</v>
      </c>
      <c r="E22" s="7">
        <v>30295</v>
      </c>
      <c r="F22" s="8">
        <v>76.5403175</v>
      </c>
      <c r="G22" s="9">
        <v>1.7887047E-2</v>
      </c>
      <c r="H22" s="156"/>
    </row>
    <row r="23" spans="1:8" x14ac:dyDescent="0.2">
      <c r="A23" s="5">
        <v>17</v>
      </c>
      <c r="B23" s="6" t="s">
        <v>192</v>
      </c>
      <c r="C23" s="6" t="s">
        <v>193</v>
      </c>
      <c r="D23" s="6" t="s">
        <v>196</v>
      </c>
      <c r="E23" s="7">
        <v>10775</v>
      </c>
      <c r="F23" s="8">
        <v>74.202037500000003</v>
      </c>
      <c r="G23" s="9">
        <v>1.7340603999999999E-2</v>
      </c>
      <c r="H23" s="156"/>
    </row>
    <row r="24" spans="1:8" x14ac:dyDescent="0.2">
      <c r="A24" s="5">
        <v>18</v>
      </c>
      <c r="B24" s="6" t="s">
        <v>458</v>
      </c>
      <c r="C24" s="6" t="s">
        <v>459</v>
      </c>
      <c r="D24" s="6" t="s">
        <v>239</v>
      </c>
      <c r="E24" s="7">
        <v>12694</v>
      </c>
      <c r="F24" s="8">
        <v>74.025060999999994</v>
      </c>
      <c r="G24" s="9">
        <v>1.7299245000000001E-2</v>
      </c>
      <c r="H24" s="156"/>
    </row>
    <row r="25" spans="1:8" x14ac:dyDescent="0.2">
      <c r="A25" s="5">
        <v>19</v>
      </c>
      <c r="B25" s="6" t="s">
        <v>185</v>
      </c>
      <c r="C25" s="6" t="s">
        <v>186</v>
      </c>
      <c r="D25" s="6" t="s">
        <v>172</v>
      </c>
      <c r="E25" s="7">
        <v>31828</v>
      </c>
      <c r="F25" s="8">
        <v>71.294719999999998</v>
      </c>
      <c r="G25" s="9">
        <v>1.6661180000000001E-2</v>
      </c>
      <c r="H25" s="156"/>
    </row>
    <row r="26" spans="1:8" x14ac:dyDescent="0.2">
      <c r="A26" s="5">
        <v>20</v>
      </c>
      <c r="B26" s="6" t="s">
        <v>201</v>
      </c>
      <c r="C26" s="6" t="s">
        <v>202</v>
      </c>
      <c r="D26" s="6" t="s">
        <v>40</v>
      </c>
      <c r="E26" s="7">
        <v>62965</v>
      </c>
      <c r="F26" s="8">
        <v>69.670772499999998</v>
      </c>
      <c r="G26" s="9">
        <v>1.6281672000000001E-2</v>
      </c>
      <c r="H26" s="156"/>
    </row>
    <row r="27" spans="1:8" x14ac:dyDescent="0.2">
      <c r="A27" s="5">
        <v>21</v>
      </c>
      <c r="B27" s="6" t="s">
        <v>187</v>
      </c>
      <c r="C27" s="6" t="s">
        <v>188</v>
      </c>
      <c r="D27" s="6" t="s">
        <v>973</v>
      </c>
      <c r="E27" s="7">
        <v>22310</v>
      </c>
      <c r="F27" s="8">
        <v>68.87097</v>
      </c>
      <c r="G27" s="9">
        <v>1.6094763000000002E-2</v>
      </c>
      <c r="H27" s="156"/>
    </row>
    <row r="28" spans="1:8" x14ac:dyDescent="0.2">
      <c r="A28" s="5">
        <v>22</v>
      </c>
      <c r="B28" s="6" t="s">
        <v>194</v>
      </c>
      <c r="C28" s="6" t="s">
        <v>195</v>
      </c>
      <c r="D28" s="6" t="s">
        <v>196</v>
      </c>
      <c r="E28" s="7">
        <v>15988</v>
      </c>
      <c r="F28" s="8">
        <v>65.982476000000005</v>
      </c>
      <c r="G28" s="9">
        <v>1.5419738000000001E-2</v>
      </c>
      <c r="H28" s="156"/>
    </row>
    <row r="29" spans="1:8" x14ac:dyDescent="0.2">
      <c r="A29" s="5">
        <v>23</v>
      </c>
      <c r="B29" s="6" t="s">
        <v>454</v>
      </c>
      <c r="C29" s="6" t="s">
        <v>455</v>
      </c>
      <c r="D29" s="6" t="s">
        <v>68</v>
      </c>
      <c r="E29" s="7">
        <v>15500</v>
      </c>
      <c r="F29" s="8">
        <v>64.510999999999996</v>
      </c>
      <c r="G29" s="9">
        <v>1.5075862000000001E-2</v>
      </c>
      <c r="H29" s="156"/>
    </row>
    <row r="30" spans="1:8" x14ac:dyDescent="0.2">
      <c r="A30" s="5">
        <v>24</v>
      </c>
      <c r="B30" s="6" t="s">
        <v>208</v>
      </c>
      <c r="C30" s="6" t="s">
        <v>209</v>
      </c>
      <c r="D30" s="6" t="s">
        <v>976</v>
      </c>
      <c r="E30" s="7">
        <v>7761</v>
      </c>
      <c r="F30" s="8">
        <v>63.481099499999999</v>
      </c>
      <c r="G30" s="9">
        <v>1.483518E-2</v>
      </c>
      <c r="H30" s="156"/>
    </row>
    <row r="31" spans="1:8" x14ac:dyDescent="0.2">
      <c r="A31" s="5">
        <v>25</v>
      </c>
      <c r="B31" s="6" t="s">
        <v>199</v>
      </c>
      <c r="C31" s="6" t="s">
        <v>200</v>
      </c>
      <c r="D31" s="6" t="s">
        <v>63</v>
      </c>
      <c r="E31" s="7">
        <v>18334</v>
      </c>
      <c r="F31" s="8">
        <v>63.343969999999999</v>
      </c>
      <c r="G31" s="9">
        <v>1.4803134000000001E-2</v>
      </c>
      <c r="H31" s="156"/>
    </row>
    <row r="32" spans="1:8" x14ac:dyDescent="0.2">
      <c r="A32" s="5">
        <v>26</v>
      </c>
      <c r="B32" s="6" t="s">
        <v>224</v>
      </c>
      <c r="C32" s="6" t="s">
        <v>225</v>
      </c>
      <c r="D32" s="6" t="s">
        <v>40</v>
      </c>
      <c r="E32" s="7">
        <v>7763</v>
      </c>
      <c r="F32" s="8">
        <v>63.280094499999997</v>
      </c>
      <c r="G32" s="9">
        <v>1.4788206E-2</v>
      </c>
      <c r="H32" s="156"/>
    </row>
    <row r="33" spans="1:8" x14ac:dyDescent="0.2">
      <c r="A33" s="5">
        <v>27</v>
      </c>
      <c r="B33" s="6" t="s">
        <v>206</v>
      </c>
      <c r="C33" s="6" t="s">
        <v>207</v>
      </c>
      <c r="D33" s="6" t="s">
        <v>73</v>
      </c>
      <c r="E33" s="7">
        <v>14589</v>
      </c>
      <c r="F33" s="8">
        <v>62.9588295</v>
      </c>
      <c r="G33" s="9">
        <v>1.4713128000000001E-2</v>
      </c>
      <c r="H33" s="156"/>
    </row>
    <row r="34" spans="1:8" x14ac:dyDescent="0.2">
      <c r="A34" s="5">
        <v>28</v>
      </c>
      <c r="B34" s="6" t="s">
        <v>197</v>
      </c>
      <c r="C34" s="6" t="s">
        <v>198</v>
      </c>
      <c r="D34" s="6" t="s">
        <v>169</v>
      </c>
      <c r="E34" s="7">
        <v>1400</v>
      </c>
      <c r="F34" s="8">
        <v>60.246899999999997</v>
      </c>
      <c r="G34" s="9">
        <v>1.4079365E-2</v>
      </c>
      <c r="H34" s="156"/>
    </row>
    <row r="35" spans="1:8" x14ac:dyDescent="0.2">
      <c r="A35" s="5">
        <v>29</v>
      </c>
      <c r="B35" s="6" t="s">
        <v>452</v>
      </c>
      <c r="C35" s="6" t="s">
        <v>453</v>
      </c>
      <c r="D35" s="6" t="s">
        <v>166</v>
      </c>
      <c r="E35" s="7">
        <v>17000</v>
      </c>
      <c r="F35" s="8">
        <v>59.874000000000002</v>
      </c>
      <c r="G35" s="9">
        <v>1.3992221000000001E-2</v>
      </c>
      <c r="H35" s="156"/>
    </row>
    <row r="36" spans="1:8" x14ac:dyDescent="0.2">
      <c r="A36" s="5">
        <v>30</v>
      </c>
      <c r="B36" s="6" t="s">
        <v>210</v>
      </c>
      <c r="C36" s="6" t="s">
        <v>211</v>
      </c>
      <c r="D36" s="6" t="s">
        <v>169</v>
      </c>
      <c r="E36" s="7">
        <v>6942</v>
      </c>
      <c r="F36" s="8">
        <v>59.673431999999998</v>
      </c>
      <c r="G36" s="9">
        <v>1.3945348999999999E-2</v>
      </c>
      <c r="H36" s="156"/>
    </row>
    <row r="37" spans="1:8" x14ac:dyDescent="0.2">
      <c r="A37" s="5">
        <v>31</v>
      </c>
      <c r="B37" s="6" t="s">
        <v>288</v>
      </c>
      <c r="C37" s="6" t="s">
        <v>289</v>
      </c>
      <c r="D37" s="6" t="s">
        <v>28</v>
      </c>
      <c r="E37" s="7">
        <v>5189</v>
      </c>
      <c r="F37" s="8">
        <v>57.413690500000001</v>
      </c>
      <c r="G37" s="9">
        <v>1.341726E-2</v>
      </c>
      <c r="H37" s="156"/>
    </row>
    <row r="38" spans="1:8" x14ac:dyDescent="0.2">
      <c r="A38" s="5">
        <v>32</v>
      </c>
      <c r="B38" s="6" t="s">
        <v>212</v>
      </c>
      <c r="C38" s="6" t="s">
        <v>213</v>
      </c>
      <c r="D38" s="6" t="s">
        <v>28</v>
      </c>
      <c r="E38" s="7">
        <v>3848</v>
      </c>
      <c r="F38" s="8">
        <v>56.540588</v>
      </c>
      <c r="G38" s="9">
        <v>1.3213221000000001E-2</v>
      </c>
      <c r="H38" s="156"/>
    </row>
    <row r="39" spans="1:8" x14ac:dyDescent="0.2">
      <c r="A39" s="5">
        <v>33</v>
      </c>
      <c r="B39" s="6" t="s">
        <v>79</v>
      </c>
      <c r="C39" s="6" t="s">
        <v>80</v>
      </c>
      <c r="D39" s="6" t="s">
        <v>63</v>
      </c>
      <c r="E39" s="7">
        <v>23751</v>
      </c>
      <c r="F39" s="8">
        <v>55.4229585</v>
      </c>
      <c r="G39" s="9">
        <v>1.2952037E-2</v>
      </c>
      <c r="H39" s="156"/>
    </row>
    <row r="40" spans="1:8" x14ac:dyDescent="0.2">
      <c r="A40" s="5">
        <v>34</v>
      </c>
      <c r="B40" s="6" t="s">
        <v>218</v>
      </c>
      <c r="C40" s="6" t="s">
        <v>219</v>
      </c>
      <c r="D40" s="6" t="s">
        <v>63</v>
      </c>
      <c r="E40" s="7">
        <v>7524</v>
      </c>
      <c r="F40" s="8">
        <v>55.290114000000003</v>
      </c>
      <c r="G40" s="9">
        <v>1.2920991999999999E-2</v>
      </c>
      <c r="H40" s="156"/>
    </row>
    <row r="41" spans="1:8" x14ac:dyDescent="0.2">
      <c r="A41" s="5">
        <v>35</v>
      </c>
      <c r="B41" s="6" t="s">
        <v>237</v>
      </c>
      <c r="C41" s="6" t="s">
        <v>238</v>
      </c>
      <c r="D41" s="6" t="s">
        <v>239</v>
      </c>
      <c r="E41" s="7">
        <v>29206</v>
      </c>
      <c r="F41" s="8">
        <v>54.352366000000004</v>
      </c>
      <c r="G41" s="9">
        <v>1.2701845999999999E-2</v>
      </c>
      <c r="H41" s="156"/>
    </row>
    <row r="42" spans="1:8" x14ac:dyDescent="0.2">
      <c r="A42" s="5">
        <v>36</v>
      </c>
      <c r="B42" s="6" t="s">
        <v>38</v>
      </c>
      <c r="C42" s="6" t="s">
        <v>39</v>
      </c>
      <c r="D42" s="6" t="s">
        <v>40</v>
      </c>
      <c r="E42" s="7">
        <v>19233</v>
      </c>
      <c r="F42" s="8">
        <v>53.794701000000003</v>
      </c>
      <c r="G42" s="9">
        <v>1.2571522E-2</v>
      </c>
      <c r="H42" s="156"/>
    </row>
    <row r="43" spans="1:8" x14ac:dyDescent="0.2">
      <c r="A43" s="5">
        <v>37</v>
      </c>
      <c r="B43" s="6" t="s">
        <v>183</v>
      </c>
      <c r="C43" s="6" t="s">
        <v>184</v>
      </c>
      <c r="D43" s="6" t="s">
        <v>43</v>
      </c>
      <c r="E43" s="7">
        <v>11831</v>
      </c>
      <c r="F43" s="8">
        <v>50.376398000000002</v>
      </c>
      <c r="G43" s="9">
        <v>1.1772684E-2</v>
      </c>
      <c r="H43" s="156"/>
    </row>
    <row r="44" spans="1:8" x14ac:dyDescent="0.2">
      <c r="A44" s="5">
        <v>38</v>
      </c>
      <c r="B44" s="6" t="s">
        <v>216</v>
      </c>
      <c r="C44" s="6" t="s">
        <v>217</v>
      </c>
      <c r="D44" s="6" t="s">
        <v>54</v>
      </c>
      <c r="E44" s="7">
        <v>4499</v>
      </c>
      <c r="F44" s="8">
        <v>49.995137499999998</v>
      </c>
      <c r="G44" s="9">
        <v>1.1683585999999999E-2</v>
      </c>
      <c r="H44" s="156"/>
    </row>
    <row r="45" spans="1:8" x14ac:dyDescent="0.2">
      <c r="A45" s="5">
        <v>39</v>
      </c>
      <c r="B45" s="6" t="s">
        <v>228</v>
      </c>
      <c r="C45" s="6" t="s">
        <v>229</v>
      </c>
      <c r="D45" s="6" t="s">
        <v>35</v>
      </c>
      <c r="E45" s="7">
        <v>62303</v>
      </c>
      <c r="F45" s="8">
        <v>49.281672999999998</v>
      </c>
      <c r="G45" s="9">
        <v>1.1516853000000001E-2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166</v>
      </c>
      <c r="E46" s="7">
        <v>9070</v>
      </c>
      <c r="F46" s="8">
        <v>49.091374999999999</v>
      </c>
      <c r="G46" s="9">
        <v>1.1472381E-2</v>
      </c>
      <c r="H46" s="156"/>
    </row>
    <row r="47" spans="1:8" x14ac:dyDescent="0.2">
      <c r="A47" s="5">
        <v>41</v>
      </c>
      <c r="B47" s="6" t="s">
        <v>232</v>
      </c>
      <c r="C47" s="6" t="s">
        <v>233</v>
      </c>
      <c r="D47" s="6" t="s">
        <v>166</v>
      </c>
      <c r="E47" s="7">
        <v>89246</v>
      </c>
      <c r="F47" s="8">
        <v>48.103594000000001</v>
      </c>
      <c r="G47" s="9">
        <v>1.1241542E-2</v>
      </c>
      <c r="H47" s="156"/>
    </row>
    <row r="48" spans="1:8" x14ac:dyDescent="0.2">
      <c r="A48" s="5">
        <v>42</v>
      </c>
      <c r="B48" s="6" t="s">
        <v>450</v>
      </c>
      <c r="C48" s="6" t="s">
        <v>451</v>
      </c>
      <c r="D48" s="6" t="s">
        <v>35</v>
      </c>
      <c r="E48" s="7">
        <v>3915</v>
      </c>
      <c r="F48" s="8">
        <v>47.639677499999998</v>
      </c>
      <c r="G48" s="9">
        <v>1.1133128000000001E-2</v>
      </c>
      <c r="H48" s="156"/>
    </row>
    <row r="49" spans="1:8" x14ac:dyDescent="0.2">
      <c r="A49" s="5">
        <v>43</v>
      </c>
      <c r="B49" s="6" t="s">
        <v>203</v>
      </c>
      <c r="C49" s="6" t="s">
        <v>204</v>
      </c>
      <c r="D49" s="6" t="s">
        <v>205</v>
      </c>
      <c r="E49" s="7">
        <v>6011</v>
      </c>
      <c r="F49" s="8">
        <v>47.468867000000003</v>
      </c>
      <c r="G49" s="9">
        <v>1.1093209999999999E-2</v>
      </c>
      <c r="H49" s="156"/>
    </row>
    <row r="50" spans="1:8" x14ac:dyDescent="0.2">
      <c r="A50" s="5">
        <v>44</v>
      </c>
      <c r="B50" s="6" t="s">
        <v>234</v>
      </c>
      <c r="C50" s="6" t="s">
        <v>235</v>
      </c>
      <c r="D50" s="6" t="s">
        <v>73</v>
      </c>
      <c r="E50" s="7">
        <v>11004</v>
      </c>
      <c r="F50" s="8">
        <v>46.926558</v>
      </c>
      <c r="G50" s="9">
        <v>1.0966475999999999E-2</v>
      </c>
      <c r="H50" s="156"/>
    </row>
    <row r="51" spans="1:8" x14ac:dyDescent="0.2">
      <c r="A51" s="5">
        <v>45</v>
      </c>
      <c r="B51" s="6" t="s">
        <v>162</v>
      </c>
      <c r="C51" s="6" t="s">
        <v>163</v>
      </c>
      <c r="D51" s="6" t="s">
        <v>169</v>
      </c>
      <c r="E51" s="7">
        <v>4545</v>
      </c>
      <c r="F51" s="8">
        <v>45.636344999999999</v>
      </c>
      <c r="G51" s="9">
        <v>1.0664959999999999E-2</v>
      </c>
      <c r="H51" s="156"/>
    </row>
    <row r="52" spans="1:8" x14ac:dyDescent="0.2">
      <c r="A52" s="5">
        <v>46</v>
      </c>
      <c r="B52" s="6" t="s">
        <v>242</v>
      </c>
      <c r="C52" s="6" t="s">
        <v>243</v>
      </c>
      <c r="D52" s="6" t="s">
        <v>196</v>
      </c>
      <c r="E52" s="7">
        <v>2735</v>
      </c>
      <c r="F52" s="8">
        <v>45.543219999999998</v>
      </c>
      <c r="G52" s="9">
        <v>1.0643197E-2</v>
      </c>
      <c r="H52" s="156"/>
    </row>
    <row r="53" spans="1:8" x14ac:dyDescent="0.2">
      <c r="A53" s="5">
        <v>47</v>
      </c>
      <c r="B53" s="6" t="s">
        <v>240</v>
      </c>
      <c r="C53" s="6" t="s">
        <v>241</v>
      </c>
      <c r="D53" s="6" t="s">
        <v>191</v>
      </c>
      <c r="E53" s="7">
        <v>12084</v>
      </c>
      <c r="F53" s="8">
        <v>44.77122</v>
      </c>
      <c r="G53" s="9">
        <v>1.0462785E-2</v>
      </c>
      <c r="H53" s="156"/>
    </row>
    <row r="54" spans="1:8" x14ac:dyDescent="0.2">
      <c r="A54" s="5">
        <v>48</v>
      </c>
      <c r="B54" s="6" t="s">
        <v>464</v>
      </c>
      <c r="C54" s="6" t="s">
        <v>465</v>
      </c>
      <c r="D54" s="6" t="s">
        <v>974</v>
      </c>
      <c r="E54" s="7">
        <v>57920</v>
      </c>
      <c r="F54" s="8">
        <v>43.208320000000001</v>
      </c>
      <c r="G54" s="9">
        <v>1.0097544E-2</v>
      </c>
      <c r="H54" s="156"/>
    </row>
    <row r="55" spans="1:8" x14ac:dyDescent="0.2">
      <c r="A55" s="5">
        <v>49</v>
      </c>
      <c r="B55" s="6" t="s">
        <v>247</v>
      </c>
      <c r="C55" s="6" t="s">
        <v>248</v>
      </c>
      <c r="D55" s="6" t="s">
        <v>166</v>
      </c>
      <c r="E55" s="7">
        <v>8145</v>
      </c>
      <c r="F55" s="8">
        <v>42.643147499999998</v>
      </c>
      <c r="G55" s="9">
        <v>9.9654659999999992E-3</v>
      </c>
      <c r="H55" s="156"/>
    </row>
    <row r="56" spans="1:8" x14ac:dyDescent="0.2">
      <c r="A56" s="5">
        <v>50</v>
      </c>
      <c r="B56" s="6" t="s">
        <v>249</v>
      </c>
      <c r="C56" s="6" t="s">
        <v>250</v>
      </c>
      <c r="D56" s="6" t="s">
        <v>73</v>
      </c>
      <c r="E56" s="7">
        <v>11531</v>
      </c>
      <c r="F56" s="8">
        <v>41.7018615</v>
      </c>
      <c r="G56" s="9">
        <v>9.7454929999999992E-3</v>
      </c>
      <c r="H56" s="156"/>
    </row>
    <row r="57" spans="1:8" x14ac:dyDescent="0.2">
      <c r="A57" s="5">
        <v>51</v>
      </c>
      <c r="B57" s="6" t="s">
        <v>255</v>
      </c>
      <c r="C57" s="6" t="s">
        <v>256</v>
      </c>
      <c r="D57" s="6" t="s">
        <v>63</v>
      </c>
      <c r="E57" s="7">
        <v>6332</v>
      </c>
      <c r="F57" s="8">
        <v>41.686722000000003</v>
      </c>
      <c r="G57" s="9">
        <v>9.7419550000000001E-3</v>
      </c>
      <c r="H57" s="156"/>
    </row>
    <row r="58" spans="1:8" x14ac:dyDescent="0.2">
      <c r="A58" s="5">
        <v>52</v>
      </c>
      <c r="B58" s="6" t="s">
        <v>253</v>
      </c>
      <c r="C58" s="6" t="s">
        <v>254</v>
      </c>
      <c r="D58" s="6" t="s">
        <v>975</v>
      </c>
      <c r="E58" s="7">
        <v>10564</v>
      </c>
      <c r="F58" s="8">
        <v>41.622160000000001</v>
      </c>
      <c r="G58" s="9">
        <v>9.7268670000000002E-3</v>
      </c>
      <c r="H58" s="156"/>
    </row>
    <row r="59" spans="1:8" x14ac:dyDescent="0.2">
      <c r="A59" s="5">
        <v>53</v>
      </c>
      <c r="B59" s="6" t="s">
        <v>257</v>
      </c>
      <c r="C59" s="6" t="s">
        <v>258</v>
      </c>
      <c r="D59" s="6" t="s">
        <v>977</v>
      </c>
      <c r="E59" s="7">
        <v>44593</v>
      </c>
      <c r="F59" s="8">
        <v>40.958670499999997</v>
      </c>
      <c r="G59" s="9">
        <v>9.5718139999999997E-3</v>
      </c>
      <c r="H59" s="156"/>
    </row>
    <row r="60" spans="1:8" x14ac:dyDescent="0.2">
      <c r="A60" s="5">
        <v>54</v>
      </c>
      <c r="B60" s="6" t="s">
        <v>460</v>
      </c>
      <c r="C60" s="6" t="s">
        <v>461</v>
      </c>
      <c r="D60" s="6" t="s">
        <v>28</v>
      </c>
      <c r="E60" s="7">
        <v>6668</v>
      </c>
      <c r="F60" s="8">
        <v>40.424750000000003</v>
      </c>
      <c r="G60" s="9">
        <v>9.4470390000000008E-3</v>
      </c>
      <c r="H60" s="156"/>
    </row>
    <row r="61" spans="1:8" x14ac:dyDescent="0.2">
      <c r="A61" s="5">
        <v>55</v>
      </c>
      <c r="B61" s="6" t="s">
        <v>266</v>
      </c>
      <c r="C61" s="6" t="s">
        <v>267</v>
      </c>
      <c r="D61" s="6" t="s">
        <v>191</v>
      </c>
      <c r="E61" s="7">
        <v>6278</v>
      </c>
      <c r="F61" s="8">
        <v>40.298482</v>
      </c>
      <c r="G61" s="9">
        <v>9.4175309999999998E-3</v>
      </c>
      <c r="H61" s="156"/>
    </row>
    <row r="62" spans="1:8" x14ac:dyDescent="0.2">
      <c r="A62" s="5">
        <v>56</v>
      </c>
      <c r="B62" s="6" t="s">
        <v>259</v>
      </c>
      <c r="C62" s="6" t="s">
        <v>260</v>
      </c>
      <c r="D62" s="6" t="s">
        <v>261</v>
      </c>
      <c r="E62" s="7">
        <v>5050</v>
      </c>
      <c r="F62" s="8">
        <v>40.038924999999999</v>
      </c>
      <c r="G62" s="9">
        <v>9.3568739999999994E-3</v>
      </c>
      <c r="H62" s="156"/>
    </row>
    <row r="63" spans="1:8" x14ac:dyDescent="0.2">
      <c r="A63" s="5">
        <v>57</v>
      </c>
      <c r="B63" s="6" t="s">
        <v>264</v>
      </c>
      <c r="C63" s="6" t="s">
        <v>265</v>
      </c>
      <c r="D63" s="6" t="s">
        <v>975</v>
      </c>
      <c r="E63" s="7">
        <v>7984</v>
      </c>
      <c r="F63" s="8">
        <v>39.888064</v>
      </c>
      <c r="G63" s="9">
        <v>9.3216189999999997E-3</v>
      </c>
      <c r="H63" s="156"/>
    </row>
    <row r="64" spans="1:8" x14ac:dyDescent="0.2">
      <c r="A64" s="5">
        <v>58</v>
      </c>
      <c r="B64" s="6" t="s">
        <v>222</v>
      </c>
      <c r="C64" s="6" t="s">
        <v>223</v>
      </c>
      <c r="D64" s="6" t="s">
        <v>972</v>
      </c>
      <c r="E64" s="7">
        <v>19938</v>
      </c>
      <c r="F64" s="8">
        <v>38.270991000000002</v>
      </c>
      <c r="G64" s="9">
        <v>8.9437179999999998E-3</v>
      </c>
      <c r="H64" s="156"/>
    </row>
    <row r="65" spans="1:8" x14ac:dyDescent="0.2">
      <c r="A65" s="5">
        <v>59</v>
      </c>
      <c r="B65" s="6" t="s">
        <v>270</v>
      </c>
      <c r="C65" s="6" t="s">
        <v>271</v>
      </c>
      <c r="D65" s="6" t="s">
        <v>22</v>
      </c>
      <c r="E65" s="7">
        <v>36492</v>
      </c>
      <c r="F65" s="8">
        <v>37.769219999999997</v>
      </c>
      <c r="G65" s="9">
        <v>8.8264569999999994E-3</v>
      </c>
      <c r="H65" s="156"/>
    </row>
    <row r="66" spans="1:8" x14ac:dyDescent="0.2">
      <c r="A66" s="5">
        <v>60</v>
      </c>
      <c r="B66" s="6" t="s">
        <v>462</v>
      </c>
      <c r="C66" s="6" t="s">
        <v>463</v>
      </c>
      <c r="D66" s="6" t="s">
        <v>166</v>
      </c>
      <c r="E66" s="7">
        <v>5021</v>
      </c>
      <c r="F66" s="8">
        <v>37.657499999999999</v>
      </c>
      <c r="G66" s="9">
        <v>8.8003479999999995E-3</v>
      </c>
      <c r="H66" s="156"/>
    </row>
    <row r="67" spans="1:8" x14ac:dyDescent="0.2">
      <c r="A67" s="5">
        <v>61</v>
      </c>
      <c r="B67" s="6" t="s">
        <v>272</v>
      </c>
      <c r="C67" s="6" t="s">
        <v>273</v>
      </c>
      <c r="D67" s="6" t="s">
        <v>274</v>
      </c>
      <c r="E67" s="7">
        <v>13630</v>
      </c>
      <c r="F67" s="8">
        <v>34.402119999999996</v>
      </c>
      <c r="G67" s="9">
        <v>8.0395840000000007E-3</v>
      </c>
      <c r="H67" s="156"/>
    </row>
    <row r="68" spans="1:8" ht="25.5" x14ac:dyDescent="0.2">
      <c r="A68" s="5">
        <v>62</v>
      </c>
      <c r="B68" s="6" t="s">
        <v>251</v>
      </c>
      <c r="C68" s="6" t="s">
        <v>252</v>
      </c>
      <c r="D68" s="6" t="s">
        <v>155</v>
      </c>
      <c r="E68" s="7">
        <v>8044</v>
      </c>
      <c r="F68" s="8">
        <v>30.341968000000001</v>
      </c>
      <c r="G68" s="9">
        <v>7.0907490000000004E-3</v>
      </c>
      <c r="H68" s="156"/>
    </row>
    <row r="69" spans="1:8" x14ac:dyDescent="0.2">
      <c r="A69" s="5">
        <v>63</v>
      </c>
      <c r="B69" s="6" t="s">
        <v>279</v>
      </c>
      <c r="C69" s="6" t="s">
        <v>280</v>
      </c>
      <c r="D69" s="6" t="s">
        <v>974</v>
      </c>
      <c r="E69" s="7">
        <v>1658</v>
      </c>
      <c r="F69" s="8">
        <v>25.227298999999999</v>
      </c>
      <c r="G69" s="9">
        <v>5.8954790000000003E-3</v>
      </c>
      <c r="H69" s="156"/>
    </row>
    <row r="70" spans="1:8" x14ac:dyDescent="0.2">
      <c r="A70" s="5">
        <v>64</v>
      </c>
      <c r="B70" s="6" t="s">
        <v>281</v>
      </c>
      <c r="C70" s="6" t="s">
        <v>282</v>
      </c>
      <c r="D70" s="6" t="s">
        <v>155</v>
      </c>
      <c r="E70" s="7">
        <v>1512</v>
      </c>
      <c r="F70" s="8">
        <v>23.668848000000001</v>
      </c>
      <c r="G70" s="9">
        <v>5.5312779999999997E-3</v>
      </c>
      <c r="H70" s="156"/>
    </row>
    <row r="71" spans="1:8" x14ac:dyDescent="0.2">
      <c r="A71" s="5">
        <v>65</v>
      </c>
      <c r="B71" s="6" t="s">
        <v>283</v>
      </c>
      <c r="C71" s="6" t="s">
        <v>284</v>
      </c>
      <c r="D71" s="6" t="s">
        <v>169</v>
      </c>
      <c r="E71" s="7">
        <v>3705</v>
      </c>
      <c r="F71" s="8">
        <v>22.543072500000001</v>
      </c>
      <c r="G71" s="9">
        <v>5.2681910000000002E-3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0">
        <v>4157.2675175000004</v>
      </c>
      <c r="G72" s="11">
        <v>0.97153029800000001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106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107</v>
      </c>
      <c r="D77" s="3" t="s">
        <v>9</v>
      </c>
      <c r="E77" s="3" t="s">
        <v>9</v>
      </c>
      <c r="F77" s="3" t="s">
        <v>9</v>
      </c>
      <c r="G77" s="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111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112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113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114</v>
      </c>
      <c r="D89" s="3" t="s">
        <v>9</v>
      </c>
      <c r="E89" s="3" t="s">
        <v>9</v>
      </c>
      <c r="F89" s="10">
        <v>4157.2675175000004</v>
      </c>
      <c r="G89" s="11">
        <v>0.97153029800000001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115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116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117</v>
      </c>
      <c r="D98" s="3" t="s">
        <v>9</v>
      </c>
      <c r="E98" s="3" t="s">
        <v>9</v>
      </c>
      <c r="F98" s="3" t="s">
        <v>9</v>
      </c>
      <c r="G98" s="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118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4">
        <v>0</v>
      </c>
      <c r="G102" s="15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119</v>
      </c>
      <c r="D104" s="3" t="s">
        <v>9</v>
      </c>
      <c r="E104" s="3" t="s">
        <v>9</v>
      </c>
      <c r="F104" s="10">
        <v>0</v>
      </c>
      <c r="G104" s="11">
        <v>0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120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121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122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105</v>
      </c>
      <c r="D111" s="3" t="s">
        <v>9</v>
      </c>
      <c r="E111" s="3" t="s">
        <v>9</v>
      </c>
      <c r="F111" s="14">
        <v>0</v>
      </c>
      <c r="G111" s="15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123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4">
        <v>0</v>
      </c>
      <c r="G114" s="15">
        <v>0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124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5">
        <v>1</v>
      </c>
      <c r="B117" s="6"/>
      <c r="C117" s="6" t="s">
        <v>125</v>
      </c>
      <c r="D117" s="6"/>
      <c r="E117" s="16" t="s">
        <v>9</v>
      </c>
      <c r="F117" s="8">
        <v>93.512634399999996</v>
      </c>
      <c r="G117" s="9">
        <v>2.1853383000000001E-2</v>
      </c>
      <c r="H117" s="8">
        <v>3.3326163573085874</v>
      </c>
    </row>
    <row r="118" spans="1:8" x14ac:dyDescent="0.2">
      <c r="A118" s="5">
        <v>2</v>
      </c>
      <c r="B118" s="6"/>
      <c r="C118" s="6" t="s">
        <v>126</v>
      </c>
      <c r="D118" s="6"/>
      <c r="E118" s="16" t="s">
        <v>9</v>
      </c>
      <c r="F118" s="8">
        <v>66.791282600000002</v>
      </c>
      <c r="G118" s="9">
        <v>1.5608751000000001E-2</v>
      </c>
      <c r="H118" s="8">
        <v>3.2337849550915885</v>
      </c>
    </row>
    <row r="119" spans="1:8" x14ac:dyDescent="0.2">
      <c r="A119" s="3" t="s">
        <v>9</v>
      </c>
      <c r="B119" s="3" t="s">
        <v>9</v>
      </c>
      <c r="C119" s="4" t="s">
        <v>105</v>
      </c>
      <c r="D119" s="3" t="s">
        <v>9</v>
      </c>
      <c r="E119" s="3" t="s">
        <v>9</v>
      </c>
      <c r="F119" s="10">
        <v>160.30391700000001</v>
      </c>
      <c r="G119" s="11">
        <v>3.7462134000000001E-2</v>
      </c>
      <c r="H119" s="156"/>
    </row>
    <row r="120" spans="1:8" x14ac:dyDescent="0.2">
      <c r="A120" s="3" t="s">
        <v>9</v>
      </c>
      <c r="B120" s="3" t="s">
        <v>9</v>
      </c>
      <c r="C120" s="12" t="s">
        <v>9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127</v>
      </c>
      <c r="D121" s="3" t="s">
        <v>9</v>
      </c>
      <c r="E121" s="3" t="s">
        <v>9</v>
      </c>
      <c r="F121" s="10">
        <v>160.30391700000001</v>
      </c>
      <c r="G121" s="11">
        <v>3.7462134000000001E-2</v>
      </c>
      <c r="H121" s="156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3" t="s">
        <v>9</v>
      </c>
      <c r="G122" s="3" t="s">
        <v>9</v>
      </c>
      <c r="H122" s="156"/>
    </row>
    <row r="123" spans="1:8" x14ac:dyDescent="0.2">
      <c r="A123" s="3" t="s">
        <v>9</v>
      </c>
      <c r="B123" s="3" t="s">
        <v>9</v>
      </c>
      <c r="C123" s="4" t="s">
        <v>128</v>
      </c>
      <c r="D123" s="3" t="s">
        <v>9</v>
      </c>
      <c r="E123" s="3" t="s">
        <v>9</v>
      </c>
      <c r="F123" s="3" t="s">
        <v>9</v>
      </c>
      <c r="G123" s="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129</v>
      </c>
      <c r="D124" s="3" t="s">
        <v>9</v>
      </c>
      <c r="E124" s="3" t="s">
        <v>9</v>
      </c>
      <c r="F124" s="3" t="s">
        <v>9</v>
      </c>
      <c r="G124" s="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105</v>
      </c>
      <c r="D125" s="3" t="s">
        <v>9</v>
      </c>
      <c r="E125" s="3" t="s">
        <v>9</v>
      </c>
      <c r="F125" s="14">
        <v>0</v>
      </c>
      <c r="G125" s="15">
        <v>0</v>
      </c>
      <c r="H125" s="156"/>
    </row>
    <row r="126" spans="1:8" x14ac:dyDescent="0.2">
      <c r="A126" s="3" t="s">
        <v>9</v>
      </c>
      <c r="B126" s="3" t="s">
        <v>9</v>
      </c>
      <c r="C126" s="12" t="s">
        <v>9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130</v>
      </c>
      <c r="D127" s="3" t="s">
        <v>9</v>
      </c>
      <c r="E127" s="3" t="s">
        <v>9</v>
      </c>
      <c r="F127" s="3" t="s">
        <v>9</v>
      </c>
      <c r="G127" s="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131</v>
      </c>
      <c r="D128" s="3" t="s">
        <v>9</v>
      </c>
      <c r="E128" s="3" t="s">
        <v>9</v>
      </c>
      <c r="F128" s="3" t="s">
        <v>9</v>
      </c>
      <c r="G128" s="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105</v>
      </c>
      <c r="D129" s="3" t="s">
        <v>9</v>
      </c>
      <c r="E129" s="3" t="s">
        <v>9</v>
      </c>
      <c r="F129" s="14">
        <v>0</v>
      </c>
      <c r="G129" s="15">
        <v>0</v>
      </c>
      <c r="H129" s="156"/>
    </row>
    <row r="130" spans="1:8" x14ac:dyDescent="0.2">
      <c r="A130" s="3" t="s">
        <v>9</v>
      </c>
      <c r="B130" s="3" t="s">
        <v>9</v>
      </c>
      <c r="C130" s="12" t="s">
        <v>9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132</v>
      </c>
      <c r="D132" s="3" t="s">
        <v>9</v>
      </c>
      <c r="E132" s="3" t="s">
        <v>9</v>
      </c>
      <c r="F132" s="13" t="s">
        <v>9</v>
      </c>
      <c r="G132" s="13" t="s">
        <v>9</v>
      </c>
      <c r="H132" s="156"/>
    </row>
    <row r="133" spans="1:8" x14ac:dyDescent="0.2">
      <c r="A133" s="3" t="s">
        <v>9</v>
      </c>
      <c r="B133" s="3" t="s">
        <v>9</v>
      </c>
      <c r="C133" s="4" t="s">
        <v>105</v>
      </c>
      <c r="D133" s="3" t="s">
        <v>9</v>
      </c>
      <c r="E133" s="3" t="s">
        <v>9</v>
      </c>
      <c r="F133" s="14">
        <v>0</v>
      </c>
      <c r="G133" s="15">
        <v>0</v>
      </c>
      <c r="H133" s="156"/>
    </row>
    <row r="134" spans="1:8" x14ac:dyDescent="0.2">
      <c r="A134" s="3" t="s">
        <v>9</v>
      </c>
      <c r="B134" s="3" t="s">
        <v>9</v>
      </c>
      <c r="C134" s="12" t="s">
        <v>9</v>
      </c>
      <c r="D134" s="3" t="s">
        <v>9</v>
      </c>
      <c r="E134" s="3" t="s">
        <v>9</v>
      </c>
      <c r="F134" s="13" t="s">
        <v>9</v>
      </c>
      <c r="G134" s="13" t="s">
        <v>9</v>
      </c>
      <c r="H134" s="156"/>
    </row>
    <row r="135" spans="1:8" x14ac:dyDescent="0.2">
      <c r="A135" s="3" t="s">
        <v>9</v>
      </c>
      <c r="B135" s="6" t="s">
        <v>9</v>
      </c>
      <c r="C135" s="6" t="s">
        <v>9</v>
      </c>
      <c r="D135" s="4" t="s">
        <v>9</v>
      </c>
      <c r="E135" s="3" t="s">
        <v>9</v>
      </c>
      <c r="F135" s="6" t="s">
        <v>9</v>
      </c>
      <c r="G135" s="16" t="s">
        <v>9</v>
      </c>
      <c r="H135" s="156"/>
    </row>
    <row r="136" spans="1:8" x14ac:dyDescent="0.2">
      <c r="A136" s="16" t="s">
        <v>9</v>
      </c>
      <c r="B136" s="6" t="s">
        <v>9</v>
      </c>
      <c r="C136" s="6" t="s">
        <v>133</v>
      </c>
      <c r="D136" s="6" t="s">
        <v>9</v>
      </c>
      <c r="E136" s="16" t="s">
        <v>9</v>
      </c>
      <c r="F136" s="8">
        <v>-38.479451410000003</v>
      </c>
      <c r="G136" s="9">
        <v>-8.9924340000000005E-3</v>
      </c>
      <c r="H136" s="156"/>
    </row>
    <row r="137" spans="1:8" x14ac:dyDescent="0.2">
      <c r="A137" s="12" t="s">
        <v>9</v>
      </c>
      <c r="B137" s="12" t="s">
        <v>9</v>
      </c>
      <c r="C137" s="4" t="s">
        <v>134</v>
      </c>
      <c r="D137" s="17" t="s">
        <v>9</v>
      </c>
      <c r="E137" s="17" t="s">
        <v>9</v>
      </c>
      <c r="F137" s="10">
        <v>4279.0919830900002</v>
      </c>
      <c r="G137" s="11">
        <v>0.99999999799999995</v>
      </c>
      <c r="H137" s="156"/>
    </row>
    <row r="138" spans="1:8" ht="14.1" customHeight="1" x14ac:dyDescent="0.2">
      <c r="A138" s="18" t="s">
        <v>9</v>
      </c>
      <c r="B138" s="18" t="s">
        <v>9</v>
      </c>
      <c r="C138" s="18" t="s">
        <v>9</v>
      </c>
      <c r="D138" s="19" t="s">
        <v>9</v>
      </c>
      <c r="E138" s="19" t="s">
        <v>9</v>
      </c>
      <c r="F138" s="19" t="s">
        <v>9</v>
      </c>
      <c r="G138" s="19" t="s">
        <v>9</v>
      </c>
    </row>
    <row r="139" spans="1:8" ht="14.1" customHeight="1" x14ac:dyDescent="0.2">
      <c r="A139" s="20" t="s">
        <v>9</v>
      </c>
      <c r="B139" s="200" t="s">
        <v>9</v>
      </c>
      <c r="C139" s="200"/>
      <c r="D139" s="200"/>
      <c r="E139" s="200"/>
      <c r="F139" s="200"/>
      <c r="G139" s="22" t="s">
        <v>9</v>
      </c>
    </row>
    <row r="140" spans="1:8" ht="14.1" customHeight="1" x14ac:dyDescent="0.2">
      <c r="A140" s="20" t="s">
        <v>9</v>
      </c>
      <c r="B140" s="200" t="s">
        <v>9</v>
      </c>
      <c r="C140" s="200"/>
      <c r="D140" s="200"/>
      <c r="E140" s="200"/>
      <c r="F140" s="200"/>
      <c r="G140" s="22" t="s">
        <v>9</v>
      </c>
    </row>
    <row r="141" spans="1:8" ht="14.1" customHeight="1" x14ac:dyDescent="0.2">
      <c r="A141" s="20" t="s">
        <v>9</v>
      </c>
      <c r="B141" s="20" t="s">
        <v>9</v>
      </c>
      <c r="C141" s="20" t="s">
        <v>9</v>
      </c>
      <c r="D141" s="22" t="s">
        <v>9</v>
      </c>
      <c r="E141" s="22" t="s">
        <v>9</v>
      </c>
      <c r="F141" s="22" t="s">
        <v>9</v>
      </c>
      <c r="G141" s="22" t="s">
        <v>9</v>
      </c>
    </row>
    <row r="142" spans="1:8" ht="14.1" customHeight="1" x14ac:dyDescent="0.2">
      <c r="A142" s="20" t="s">
        <v>9</v>
      </c>
      <c r="B142" s="198" t="s">
        <v>136</v>
      </c>
      <c r="C142" s="199"/>
      <c r="D142" s="13" t="s">
        <v>9</v>
      </c>
      <c r="E142" s="23" t="s">
        <v>9</v>
      </c>
      <c r="F142" s="22" t="s">
        <v>9</v>
      </c>
      <c r="G142" s="22" t="s">
        <v>9</v>
      </c>
    </row>
    <row r="143" spans="1:8" ht="29.1" customHeight="1" x14ac:dyDescent="0.2">
      <c r="A143" s="20" t="s">
        <v>9</v>
      </c>
      <c r="B143" s="205" t="s">
        <v>137</v>
      </c>
      <c r="C143" s="206"/>
      <c r="D143" s="4" t="s">
        <v>138</v>
      </c>
      <c r="E143" s="23" t="s">
        <v>9</v>
      </c>
      <c r="F143" s="22" t="s">
        <v>9</v>
      </c>
      <c r="G143" s="22" t="s">
        <v>9</v>
      </c>
    </row>
    <row r="144" spans="1:8" ht="17.100000000000001" customHeight="1" x14ac:dyDescent="0.2">
      <c r="A144" s="20" t="s">
        <v>9</v>
      </c>
      <c r="B144" s="205" t="s">
        <v>139</v>
      </c>
      <c r="C144" s="206"/>
      <c r="D144" s="4" t="s">
        <v>138</v>
      </c>
      <c r="E144" s="23" t="s">
        <v>9</v>
      </c>
      <c r="F144" s="22" t="s">
        <v>9</v>
      </c>
      <c r="G144" s="22" t="s">
        <v>9</v>
      </c>
    </row>
    <row r="145" spans="1:8" ht="17.100000000000001" customHeight="1" x14ac:dyDescent="0.2">
      <c r="A145" s="20" t="s">
        <v>9</v>
      </c>
      <c r="B145" s="205" t="s">
        <v>140</v>
      </c>
      <c r="C145" s="206"/>
      <c r="D145" s="13" t="s">
        <v>9</v>
      </c>
      <c r="E145" s="23" t="s">
        <v>9</v>
      </c>
      <c r="F145" s="22" t="s">
        <v>9</v>
      </c>
      <c r="G145" s="22" t="s">
        <v>9</v>
      </c>
    </row>
    <row r="146" spans="1:8" ht="24" customHeight="1" x14ac:dyDescent="0.2">
      <c r="A146" s="24" t="s">
        <v>9</v>
      </c>
      <c r="B146" s="25" t="s">
        <v>9</v>
      </c>
      <c r="C146" s="25" t="s">
        <v>141</v>
      </c>
      <c r="D146" s="25" t="s">
        <v>142</v>
      </c>
      <c r="E146" s="24" t="s">
        <v>9</v>
      </c>
      <c r="F146" s="24" t="s">
        <v>9</v>
      </c>
      <c r="G146" s="24" t="s">
        <v>9</v>
      </c>
    </row>
    <row r="147" spans="1:8" ht="18" customHeight="1" x14ac:dyDescent="0.2">
      <c r="A147" s="24" t="s">
        <v>9</v>
      </c>
      <c r="B147" s="25" t="s">
        <v>143</v>
      </c>
      <c r="C147" s="25" t="s">
        <v>144</v>
      </c>
      <c r="D147" s="25" t="s">
        <v>145</v>
      </c>
      <c r="E147" s="24" t="s">
        <v>9</v>
      </c>
      <c r="F147" s="24" t="s">
        <v>9</v>
      </c>
      <c r="G147" s="24" t="s">
        <v>9</v>
      </c>
    </row>
    <row r="148" spans="1:8" ht="17.100000000000001" customHeight="1" x14ac:dyDescent="0.2">
      <c r="A148" s="24" t="s">
        <v>9</v>
      </c>
      <c r="B148" s="6" t="s">
        <v>146</v>
      </c>
      <c r="C148" s="26">
        <v>13.9686</v>
      </c>
      <c r="D148" s="26">
        <v>15.1594</v>
      </c>
      <c r="E148" s="24" t="s">
        <v>9</v>
      </c>
      <c r="F148" s="21" t="s">
        <v>9</v>
      </c>
      <c r="G148" s="27" t="s">
        <v>9</v>
      </c>
    </row>
    <row r="149" spans="1:8" ht="17.100000000000001" customHeight="1" x14ac:dyDescent="0.2">
      <c r="A149" s="24" t="s">
        <v>9</v>
      </c>
      <c r="B149" s="6" t="s">
        <v>839</v>
      </c>
      <c r="C149" s="26">
        <v>13.9686</v>
      </c>
      <c r="D149" s="26">
        <v>14.6388</v>
      </c>
      <c r="E149" s="24" t="s">
        <v>9</v>
      </c>
      <c r="F149" s="21" t="s">
        <v>9</v>
      </c>
      <c r="G149" s="27" t="s">
        <v>9</v>
      </c>
    </row>
    <row r="150" spans="1:8" ht="17.100000000000001" customHeight="1" x14ac:dyDescent="0.2">
      <c r="A150" s="24" t="s">
        <v>9</v>
      </c>
      <c r="B150" s="6" t="s">
        <v>147</v>
      </c>
      <c r="C150" s="26">
        <v>13.820600000000001</v>
      </c>
      <c r="D150" s="26">
        <v>14.995200000000001</v>
      </c>
      <c r="E150" s="24" t="s">
        <v>9</v>
      </c>
      <c r="F150" s="21" t="s">
        <v>9</v>
      </c>
      <c r="G150" s="27" t="s">
        <v>9</v>
      </c>
    </row>
    <row r="151" spans="1:8" ht="17.100000000000001" customHeight="1" x14ac:dyDescent="0.2">
      <c r="A151" s="24" t="s">
        <v>9</v>
      </c>
      <c r="B151" s="6" t="s">
        <v>840</v>
      </c>
      <c r="C151" s="26">
        <v>13.820600000000001</v>
      </c>
      <c r="D151" s="26">
        <v>14.4747</v>
      </c>
      <c r="E151" s="24" t="s">
        <v>9</v>
      </c>
      <c r="F151" s="21" t="s">
        <v>9</v>
      </c>
      <c r="G151" s="27" t="s">
        <v>9</v>
      </c>
    </row>
    <row r="152" spans="1:8" ht="14.1" customHeight="1" x14ac:dyDescent="0.2">
      <c r="A152" s="24" t="s">
        <v>9</v>
      </c>
      <c r="B152" s="24" t="s">
        <v>9</v>
      </c>
      <c r="C152" s="24" t="s">
        <v>9</v>
      </c>
      <c r="D152" s="24" t="s">
        <v>9</v>
      </c>
      <c r="E152" s="24" t="s">
        <v>9</v>
      </c>
      <c r="F152" s="24" t="s">
        <v>9</v>
      </c>
      <c r="G152" s="24" t="s">
        <v>9</v>
      </c>
    </row>
    <row r="153" spans="1:8" ht="29.1" customHeight="1" x14ac:dyDescent="0.2">
      <c r="A153" s="167" t="s">
        <v>9</v>
      </c>
      <c r="B153" s="207" t="s">
        <v>986</v>
      </c>
      <c r="C153" s="207"/>
      <c r="D153" s="160"/>
      <c r="E153" s="167" t="s">
        <v>9</v>
      </c>
      <c r="F153" s="167" t="s">
        <v>9</v>
      </c>
      <c r="G153" s="167" t="s">
        <v>9</v>
      </c>
    </row>
    <row r="154" spans="1:8" s="166" customFormat="1" ht="15" x14ac:dyDescent="0.2">
      <c r="A154" s="148" t="s">
        <v>9</v>
      </c>
      <c r="B154" s="161" t="s">
        <v>143</v>
      </c>
      <c r="C154" s="161" t="s">
        <v>878</v>
      </c>
      <c r="D154" s="161" t="s">
        <v>879</v>
      </c>
      <c r="E154" s="148" t="s">
        <v>9</v>
      </c>
      <c r="F154" s="148" t="s">
        <v>9</v>
      </c>
      <c r="G154" s="148" t="s">
        <v>9</v>
      </c>
      <c r="H154" s="165"/>
    </row>
    <row r="155" spans="1:8" ht="17.100000000000001" customHeight="1" x14ac:dyDescent="0.2">
      <c r="A155" s="24" t="s">
        <v>9</v>
      </c>
      <c r="B155" s="162" t="s">
        <v>839</v>
      </c>
      <c r="C155" s="163">
        <v>0.5</v>
      </c>
      <c r="D155" s="163">
        <v>0</v>
      </c>
      <c r="E155" s="24" t="s">
        <v>9</v>
      </c>
      <c r="F155" s="21" t="s">
        <v>9</v>
      </c>
      <c r="G155" s="27" t="s">
        <v>9</v>
      </c>
    </row>
    <row r="156" spans="1:8" ht="17.100000000000001" customHeight="1" x14ac:dyDescent="0.2">
      <c r="A156" s="24" t="s">
        <v>9</v>
      </c>
      <c r="B156" s="162" t="s">
        <v>840</v>
      </c>
      <c r="C156" s="163">
        <v>0.5</v>
      </c>
      <c r="D156" s="163">
        <v>0.5</v>
      </c>
      <c r="E156" s="24" t="s">
        <v>9</v>
      </c>
      <c r="F156" s="21" t="s">
        <v>9</v>
      </c>
      <c r="G156" s="27" t="s">
        <v>9</v>
      </c>
    </row>
    <row r="157" spans="1:8" ht="14.1" customHeight="1" x14ac:dyDescent="0.2">
      <c r="A157" s="24" t="s">
        <v>9</v>
      </c>
      <c r="B157" s="21" t="s">
        <v>9</v>
      </c>
      <c r="C157" s="21" t="s">
        <v>9</v>
      </c>
      <c r="D157" s="24" t="s">
        <v>9</v>
      </c>
      <c r="E157" s="24" t="s">
        <v>9</v>
      </c>
      <c r="F157" s="24" t="s">
        <v>9</v>
      </c>
      <c r="G157" s="24" t="s">
        <v>9</v>
      </c>
    </row>
    <row r="158" spans="1:8" s="197" customFormat="1" x14ac:dyDescent="0.2">
      <c r="B158" s="208" t="s">
        <v>841</v>
      </c>
      <c r="C158" s="208"/>
      <c r="D158" s="208"/>
      <c r="E158" s="208"/>
      <c r="F158" s="208"/>
    </row>
    <row r="159" spans="1:8" ht="14.1" customHeight="1" x14ac:dyDescent="0.2">
      <c r="A159" s="24"/>
      <c r="B159" s="182"/>
      <c r="C159" s="182"/>
      <c r="D159" s="24"/>
      <c r="E159" s="24"/>
      <c r="F159" s="24"/>
      <c r="G159" s="24"/>
    </row>
    <row r="160" spans="1:8" ht="29.1" customHeight="1" x14ac:dyDescent="0.2">
      <c r="A160" s="24" t="s">
        <v>9</v>
      </c>
      <c r="B160" s="205" t="s">
        <v>148</v>
      </c>
      <c r="C160" s="206"/>
      <c r="D160" s="4" t="s">
        <v>138</v>
      </c>
      <c r="E160" s="24" t="s">
        <v>9</v>
      </c>
      <c r="F160" s="24" t="s">
        <v>9</v>
      </c>
      <c r="G160" s="24" t="s">
        <v>9</v>
      </c>
    </row>
    <row r="161" spans="1:7" ht="29.1" customHeight="1" x14ac:dyDescent="0.2">
      <c r="A161" s="24" t="s">
        <v>9</v>
      </c>
      <c r="B161" s="205" t="s">
        <v>149</v>
      </c>
      <c r="C161" s="206"/>
      <c r="D161" s="4" t="s">
        <v>138</v>
      </c>
      <c r="E161" s="24" t="s">
        <v>9</v>
      </c>
      <c r="F161" s="24" t="s">
        <v>9</v>
      </c>
      <c r="G161" s="24" t="s">
        <v>9</v>
      </c>
    </row>
    <row r="162" spans="1:7" ht="17.100000000000001" customHeight="1" x14ac:dyDescent="0.2">
      <c r="A162" s="24" t="s">
        <v>9</v>
      </c>
      <c r="B162" s="205" t="s">
        <v>150</v>
      </c>
      <c r="C162" s="206"/>
      <c r="D162" s="29">
        <v>0.44606844533393741</v>
      </c>
      <c r="E162" s="24" t="s">
        <v>9</v>
      </c>
      <c r="F162" s="21" t="s">
        <v>9</v>
      </c>
      <c r="G162" s="27" t="s">
        <v>9</v>
      </c>
    </row>
    <row r="163" spans="1:7" ht="17.100000000000001" customHeight="1" x14ac:dyDescent="0.2">
      <c r="A163" s="24" t="s">
        <v>9</v>
      </c>
      <c r="B163" s="205" t="s">
        <v>151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</sheetData>
  <mergeCells count="15">
    <mergeCell ref="B162:C162"/>
    <mergeCell ref="B163:C163"/>
    <mergeCell ref="B143:C143"/>
    <mergeCell ref="B144:C144"/>
    <mergeCell ref="B145:C145"/>
    <mergeCell ref="B153:C153"/>
    <mergeCell ref="B160:C160"/>
    <mergeCell ref="B161:C161"/>
    <mergeCell ref="B158:F158"/>
    <mergeCell ref="B142:C142"/>
    <mergeCell ref="B139:F139"/>
    <mergeCell ref="B140:F14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38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495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50</v>
      </c>
      <c r="C7" s="6" t="s">
        <v>51</v>
      </c>
      <c r="D7" s="6" t="s">
        <v>22</v>
      </c>
      <c r="E7" s="7">
        <v>9322</v>
      </c>
      <c r="F7" s="8">
        <v>139.63423800000001</v>
      </c>
      <c r="G7" s="9">
        <v>7.8084723999999994E-2</v>
      </c>
      <c r="H7" s="156"/>
    </row>
    <row r="8" spans="1:8" x14ac:dyDescent="0.2">
      <c r="A8" s="5">
        <v>2</v>
      </c>
      <c r="B8" s="6" t="s">
        <v>398</v>
      </c>
      <c r="C8" s="6" t="s">
        <v>399</v>
      </c>
      <c r="D8" s="6" t="s">
        <v>169</v>
      </c>
      <c r="E8" s="7">
        <v>8574</v>
      </c>
      <c r="F8" s="8">
        <v>135.537792</v>
      </c>
      <c r="G8" s="9">
        <v>7.5793953999999997E-2</v>
      </c>
      <c r="H8" s="156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6300</v>
      </c>
      <c r="F9" s="8">
        <v>132.97094999999999</v>
      </c>
      <c r="G9" s="9">
        <v>7.4358552999999994E-2</v>
      </c>
      <c r="H9" s="156"/>
    </row>
    <row r="10" spans="1:8" x14ac:dyDescent="0.2">
      <c r="A10" s="5">
        <v>4</v>
      </c>
      <c r="B10" s="6" t="s">
        <v>20</v>
      </c>
      <c r="C10" s="6" t="s">
        <v>21</v>
      </c>
      <c r="D10" s="6" t="s">
        <v>22</v>
      </c>
      <c r="E10" s="7">
        <v>20627</v>
      </c>
      <c r="F10" s="8">
        <v>130.13574299999999</v>
      </c>
      <c r="G10" s="9">
        <v>7.2773080000000004E-2</v>
      </c>
      <c r="H10" s="156"/>
    </row>
    <row r="11" spans="1:8" x14ac:dyDescent="0.2">
      <c r="A11" s="5">
        <v>5</v>
      </c>
      <c r="B11" s="6" t="s">
        <v>400</v>
      </c>
      <c r="C11" s="6" t="s">
        <v>401</v>
      </c>
      <c r="D11" s="6" t="s">
        <v>166</v>
      </c>
      <c r="E11" s="7">
        <v>3376</v>
      </c>
      <c r="F11" s="8">
        <v>83.564440000000005</v>
      </c>
      <c r="G11" s="9">
        <v>4.6729988E-2</v>
      </c>
      <c r="H11" s="156"/>
    </row>
    <row r="12" spans="1:8" x14ac:dyDescent="0.2">
      <c r="A12" s="5">
        <v>6</v>
      </c>
      <c r="B12" s="6" t="s">
        <v>319</v>
      </c>
      <c r="C12" s="6" t="s">
        <v>320</v>
      </c>
      <c r="D12" s="6" t="s">
        <v>73</v>
      </c>
      <c r="E12" s="7">
        <v>9880</v>
      </c>
      <c r="F12" s="8">
        <v>72.084479999999999</v>
      </c>
      <c r="G12" s="9">
        <v>4.0310290999999998E-2</v>
      </c>
      <c r="H12" s="156"/>
    </row>
    <row r="13" spans="1:8" x14ac:dyDescent="0.2">
      <c r="A13" s="5">
        <v>7</v>
      </c>
      <c r="B13" s="6" t="s">
        <v>402</v>
      </c>
      <c r="C13" s="6" t="s">
        <v>403</v>
      </c>
      <c r="D13" s="6" t="s">
        <v>22</v>
      </c>
      <c r="E13" s="7">
        <v>15211</v>
      </c>
      <c r="F13" s="8">
        <v>63.764512000000003</v>
      </c>
      <c r="G13" s="9">
        <v>3.5657689999999999E-2</v>
      </c>
      <c r="H13" s="156"/>
    </row>
    <row r="14" spans="1:8" x14ac:dyDescent="0.2">
      <c r="A14" s="5">
        <v>8</v>
      </c>
      <c r="B14" s="6" t="s">
        <v>356</v>
      </c>
      <c r="C14" s="6" t="s">
        <v>357</v>
      </c>
      <c r="D14" s="6" t="s">
        <v>22</v>
      </c>
      <c r="E14" s="7">
        <v>8341</v>
      </c>
      <c r="F14" s="8">
        <v>62.415703000000001</v>
      </c>
      <c r="G14" s="9">
        <v>3.4903423000000003E-2</v>
      </c>
      <c r="H14" s="156"/>
    </row>
    <row r="15" spans="1:8" x14ac:dyDescent="0.2">
      <c r="A15" s="5">
        <v>9</v>
      </c>
      <c r="B15" s="6" t="s">
        <v>36</v>
      </c>
      <c r="C15" s="6" t="s">
        <v>37</v>
      </c>
      <c r="D15" s="6" t="s">
        <v>972</v>
      </c>
      <c r="E15" s="7">
        <v>887</v>
      </c>
      <c r="F15" s="8">
        <v>60.103119999999997</v>
      </c>
      <c r="G15" s="9">
        <v>3.3610205999999997E-2</v>
      </c>
      <c r="H15" s="156"/>
    </row>
    <row r="16" spans="1:8" x14ac:dyDescent="0.2">
      <c r="A16" s="5">
        <v>10</v>
      </c>
      <c r="B16" s="6" t="s">
        <v>153</v>
      </c>
      <c r="C16" s="6" t="s">
        <v>154</v>
      </c>
      <c r="D16" s="6" t="s">
        <v>155</v>
      </c>
      <c r="E16" s="7">
        <v>1505</v>
      </c>
      <c r="F16" s="8">
        <v>56.426212499999998</v>
      </c>
      <c r="G16" s="9">
        <v>3.1554046000000002E-2</v>
      </c>
      <c r="H16" s="156"/>
    </row>
    <row r="17" spans="1:8" x14ac:dyDescent="0.2">
      <c r="A17" s="5">
        <v>11</v>
      </c>
      <c r="B17" s="6" t="s">
        <v>12</v>
      </c>
      <c r="C17" s="6" t="s">
        <v>13</v>
      </c>
      <c r="D17" s="6" t="s">
        <v>14</v>
      </c>
      <c r="E17" s="7">
        <v>3340</v>
      </c>
      <c r="F17" s="8">
        <v>50.118369999999999</v>
      </c>
      <c r="G17" s="9">
        <v>2.8026644E-2</v>
      </c>
      <c r="H17" s="156"/>
    </row>
    <row r="18" spans="1:8" x14ac:dyDescent="0.2">
      <c r="A18" s="5">
        <v>12</v>
      </c>
      <c r="B18" s="6" t="s">
        <v>354</v>
      </c>
      <c r="C18" s="6" t="s">
        <v>355</v>
      </c>
      <c r="D18" s="6" t="s">
        <v>236</v>
      </c>
      <c r="E18" s="7">
        <v>4988</v>
      </c>
      <c r="F18" s="8">
        <v>44.936892</v>
      </c>
      <c r="G18" s="9">
        <v>2.5129115E-2</v>
      </c>
      <c r="H18" s="156"/>
    </row>
    <row r="19" spans="1:8" x14ac:dyDescent="0.2">
      <c r="A19" s="5">
        <v>13</v>
      </c>
      <c r="B19" s="6" t="s">
        <v>208</v>
      </c>
      <c r="C19" s="6" t="s">
        <v>209</v>
      </c>
      <c r="D19" s="6" t="s">
        <v>976</v>
      </c>
      <c r="E19" s="7">
        <v>4850</v>
      </c>
      <c r="F19" s="8">
        <v>39.670574999999999</v>
      </c>
      <c r="G19" s="9">
        <v>2.2184143E-2</v>
      </c>
      <c r="H19" s="156"/>
    </row>
    <row r="20" spans="1:8" x14ac:dyDescent="0.2">
      <c r="A20" s="5">
        <v>14</v>
      </c>
      <c r="B20" s="6" t="s">
        <v>496</v>
      </c>
      <c r="C20" s="6" t="s">
        <v>497</v>
      </c>
      <c r="D20" s="6" t="s">
        <v>972</v>
      </c>
      <c r="E20" s="7">
        <v>3200</v>
      </c>
      <c r="F20" s="8">
        <v>38.811199999999999</v>
      </c>
      <c r="G20" s="9">
        <v>2.1703573E-2</v>
      </c>
      <c r="H20" s="156"/>
    </row>
    <row r="21" spans="1:8" x14ac:dyDescent="0.2">
      <c r="A21" s="5">
        <v>15</v>
      </c>
      <c r="B21" s="6" t="s">
        <v>368</v>
      </c>
      <c r="C21" s="6" t="s">
        <v>369</v>
      </c>
      <c r="D21" s="6" t="s">
        <v>169</v>
      </c>
      <c r="E21" s="7">
        <v>3900</v>
      </c>
      <c r="F21" s="8">
        <v>38.356499999999997</v>
      </c>
      <c r="G21" s="9">
        <v>2.1449300000000001E-2</v>
      </c>
      <c r="H21" s="156"/>
    </row>
    <row r="22" spans="1:8" x14ac:dyDescent="0.2">
      <c r="A22" s="5">
        <v>16</v>
      </c>
      <c r="B22" s="6" t="s">
        <v>498</v>
      </c>
      <c r="C22" s="6" t="s">
        <v>499</v>
      </c>
      <c r="D22" s="6" t="s">
        <v>92</v>
      </c>
      <c r="E22" s="7">
        <v>11250</v>
      </c>
      <c r="F22" s="8">
        <v>38.204999999999998</v>
      </c>
      <c r="G22" s="9">
        <v>2.1364580000000001E-2</v>
      </c>
      <c r="H22" s="156"/>
    </row>
    <row r="23" spans="1:8" x14ac:dyDescent="0.2">
      <c r="A23" s="5">
        <v>17</v>
      </c>
      <c r="B23" s="6" t="s">
        <v>57</v>
      </c>
      <c r="C23" s="6" t="s">
        <v>58</v>
      </c>
      <c r="D23" s="6" t="s">
        <v>17</v>
      </c>
      <c r="E23" s="7">
        <v>8136</v>
      </c>
      <c r="F23" s="8">
        <v>38.084615999999997</v>
      </c>
      <c r="G23" s="9">
        <v>2.1297259999999998E-2</v>
      </c>
      <c r="H23" s="156"/>
    </row>
    <row r="24" spans="1:8" x14ac:dyDescent="0.2">
      <c r="A24" s="5">
        <v>18</v>
      </c>
      <c r="B24" s="6" t="s">
        <v>185</v>
      </c>
      <c r="C24" s="6" t="s">
        <v>186</v>
      </c>
      <c r="D24" s="6" t="s">
        <v>172</v>
      </c>
      <c r="E24" s="7">
        <v>16375</v>
      </c>
      <c r="F24" s="8">
        <v>36.68</v>
      </c>
      <c r="G24" s="9">
        <v>2.0511786000000001E-2</v>
      </c>
      <c r="H24" s="156"/>
    </row>
    <row r="25" spans="1:8" x14ac:dyDescent="0.2">
      <c r="A25" s="5">
        <v>19</v>
      </c>
      <c r="B25" s="6" t="s">
        <v>23</v>
      </c>
      <c r="C25" s="6" t="s">
        <v>24</v>
      </c>
      <c r="D25" s="6" t="s">
        <v>25</v>
      </c>
      <c r="E25" s="7">
        <v>6757</v>
      </c>
      <c r="F25" s="8">
        <v>35.518170499999997</v>
      </c>
      <c r="G25" s="9">
        <v>1.9862081E-2</v>
      </c>
      <c r="H25" s="156"/>
    </row>
    <row r="26" spans="1:8" x14ac:dyDescent="0.2">
      <c r="A26" s="5">
        <v>20</v>
      </c>
      <c r="B26" s="6" t="s">
        <v>404</v>
      </c>
      <c r="C26" s="6" t="s">
        <v>405</v>
      </c>
      <c r="D26" s="6" t="s">
        <v>971</v>
      </c>
      <c r="E26" s="7">
        <v>3435</v>
      </c>
      <c r="F26" s="8">
        <v>34.629952500000002</v>
      </c>
      <c r="G26" s="9">
        <v>1.9365381000000001E-2</v>
      </c>
      <c r="H26" s="156"/>
    </row>
    <row r="27" spans="1:8" x14ac:dyDescent="0.2">
      <c r="A27" s="5">
        <v>21</v>
      </c>
      <c r="B27" s="6" t="s">
        <v>339</v>
      </c>
      <c r="C27" s="6" t="s">
        <v>340</v>
      </c>
      <c r="D27" s="6" t="s">
        <v>68</v>
      </c>
      <c r="E27" s="7">
        <v>4814</v>
      </c>
      <c r="F27" s="8">
        <v>33.618569000000001</v>
      </c>
      <c r="G27" s="9">
        <v>1.8799807000000002E-2</v>
      </c>
      <c r="H27" s="156"/>
    </row>
    <row r="28" spans="1:8" x14ac:dyDescent="0.2">
      <c r="A28" s="5">
        <v>22</v>
      </c>
      <c r="B28" s="6" t="s">
        <v>408</v>
      </c>
      <c r="C28" s="6" t="s">
        <v>409</v>
      </c>
      <c r="D28" s="6" t="s">
        <v>169</v>
      </c>
      <c r="E28" s="7">
        <v>969</v>
      </c>
      <c r="F28" s="8">
        <v>32.420317500000003</v>
      </c>
      <c r="G28" s="9">
        <v>1.8129734000000002E-2</v>
      </c>
      <c r="H28" s="156"/>
    </row>
    <row r="29" spans="1:8" x14ac:dyDescent="0.2">
      <c r="A29" s="5">
        <v>23</v>
      </c>
      <c r="B29" s="6" t="s">
        <v>74</v>
      </c>
      <c r="C29" s="6" t="s">
        <v>75</v>
      </c>
      <c r="D29" s="6" t="s">
        <v>28</v>
      </c>
      <c r="E29" s="7">
        <v>3462</v>
      </c>
      <c r="F29" s="8">
        <v>31.140689999999999</v>
      </c>
      <c r="G29" s="9">
        <v>1.7414154000000001E-2</v>
      </c>
      <c r="H29" s="156"/>
    </row>
    <row r="30" spans="1:8" x14ac:dyDescent="0.2">
      <c r="A30" s="5">
        <v>24</v>
      </c>
      <c r="B30" s="6" t="s">
        <v>426</v>
      </c>
      <c r="C30" s="6" t="s">
        <v>427</v>
      </c>
      <c r="D30" s="6" t="s">
        <v>22</v>
      </c>
      <c r="E30" s="7">
        <v>1570</v>
      </c>
      <c r="F30" s="8">
        <v>26.781845000000001</v>
      </c>
      <c r="G30" s="9">
        <v>1.4976649E-2</v>
      </c>
      <c r="H30" s="156"/>
    </row>
    <row r="31" spans="1:8" x14ac:dyDescent="0.2">
      <c r="A31" s="5">
        <v>25</v>
      </c>
      <c r="B31" s="6" t="s">
        <v>422</v>
      </c>
      <c r="C31" s="6" t="s">
        <v>423</v>
      </c>
      <c r="D31" s="6" t="s">
        <v>73</v>
      </c>
      <c r="E31" s="7">
        <v>12606</v>
      </c>
      <c r="F31" s="8">
        <v>25.552361999999999</v>
      </c>
      <c r="G31" s="9">
        <v>1.4289111E-2</v>
      </c>
      <c r="H31" s="156"/>
    </row>
    <row r="32" spans="1:8" x14ac:dyDescent="0.2">
      <c r="A32" s="5">
        <v>26</v>
      </c>
      <c r="B32" s="6" t="s">
        <v>500</v>
      </c>
      <c r="C32" s="6" t="s">
        <v>395</v>
      </c>
      <c r="D32" s="6" t="s">
        <v>345</v>
      </c>
      <c r="E32" s="7">
        <v>11605</v>
      </c>
      <c r="F32" s="8">
        <v>25.0377875</v>
      </c>
      <c r="G32" s="9">
        <v>1.4001356E-2</v>
      </c>
      <c r="H32" s="156"/>
    </row>
    <row r="33" spans="1:8" x14ac:dyDescent="0.2">
      <c r="A33" s="5">
        <v>27</v>
      </c>
      <c r="B33" s="6" t="s">
        <v>501</v>
      </c>
      <c r="C33" s="6" t="s">
        <v>502</v>
      </c>
      <c r="D33" s="6" t="s">
        <v>63</v>
      </c>
      <c r="E33" s="7">
        <v>1421</v>
      </c>
      <c r="F33" s="8">
        <v>24.618825000000001</v>
      </c>
      <c r="G33" s="9">
        <v>1.3767069E-2</v>
      </c>
      <c r="H33" s="156"/>
    </row>
    <row r="34" spans="1:8" x14ac:dyDescent="0.2">
      <c r="A34" s="5">
        <v>28</v>
      </c>
      <c r="B34" s="6" t="s">
        <v>317</v>
      </c>
      <c r="C34" s="6" t="s">
        <v>318</v>
      </c>
      <c r="D34" s="6" t="s">
        <v>22</v>
      </c>
      <c r="E34" s="7">
        <v>28053</v>
      </c>
      <c r="F34" s="8">
        <v>24.434163000000002</v>
      </c>
      <c r="G34" s="9">
        <v>1.3663804E-2</v>
      </c>
      <c r="H34" s="156"/>
    </row>
    <row r="35" spans="1:8" x14ac:dyDescent="0.2">
      <c r="A35" s="5">
        <v>29</v>
      </c>
      <c r="B35" s="6" t="s">
        <v>454</v>
      </c>
      <c r="C35" s="6" t="s">
        <v>455</v>
      </c>
      <c r="D35" s="6" t="s">
        <v>68</v>
      </c>
      <c r="E35" s="7">
        <v>5743</v>
      </c>
      <c r="F35" s="8">
        <v>23.902366000000001</v>
      </c>
      <c r="G35" s="9">
        <v>1.3366418E-2</v>
      </c>
      <c r="H35" s="156"/>
    </row>
    <row r="36" spans="1:8" x14ac:dyDescent="0.2">
      <c r="A36" s="5">
        <v>30</v>
      </c>
      <c r="B36" s="6" t="s">
        <v>333</v>
      </c>
      <c r="C36" s="6" t="s">
        <v>334</v>
      </c>
      <c r="D36" s="6" t="s">
        <v>54</v>
      </c>
      <c r="E36" s="7">
        <v>6000</v>
      </c>
      <c r="F36" s="8">
        <v>23.847000000000001</v>
      </c>
      <c r="G36" s="9">
        <v>1.3335457E-2</v>
      </c>
      <c r="H36" s="156"/>
    </row>
    <row r="37" spans="1:8" x14ac:dyDescent="0.2">
      <c r="A37" s="5">
        <v>31</v>
      </c>
      <c r="B37" s="6" t="s">
        <v>346</v>
      </c>
      <c r="C37" s="6" t="s">
        <v>347</v>
      </c>
      <c r="D37" s="6" t="s">
        <v>22</v>
      </c>
      <c r="E37" s="7">
        <v>25574</v>
      </c>
      <c r="F37" s="8">
        <v>21.968066</v>
      </c>
      <c r="G37" s="9">
        <v>1.2284740000000001E-2</v>
      </c>
      <c r="H37" s="156"/>
    </row>
    <row r="38" spans="1:8" x14ac:dyDescent="0.2">
      <c r="A38" s="5">
        <v>32</v>
      </c>
      <c r="B38" s="6" t="s">
        <v>437</v>
      </c>
      <c r="C38" s="6" t="s">
        <v>438</v>
      </c>
      <c r="D38" s="6" t="s">
        <v>196</v>
      </c>
      <c r="E38" s="7">
        <v>2158</v>
      </c>
      <c r="F38" s="8">
        <v>20.973602</v>
      </c>
      <c r="G38" s="9">
        <v>1.1728627E-2</v>
      </c>
      <c r="H38" s="156"/>
    </row>
    <row r="39" spans="1:8" x14ac:dyDescent="0.2">
      <c r="A39" s="5">
        <v>33</v>
      </c>
      <c r="B39" s="6" t="s">
        <v>406</v>
      </c>
      <c r="C39" s="6" t="s">
        <v>407</v>
      </c>
      <c r="D39" s="6" t="s">
        <v>73</v>
      </c>
      <c r="E39" s="7">
        <v>788</v>
      </c>
      <c r="F39" s="8">
        <v>19.473844</v>
      </c>
      <c r="G39" s="9">
        <v>1.0889948999999999E-2</v>
      </c>
      <c r="H39" s="156"/>
    </row>
    <row r="40" spans="1:8" x14ac:dyDescent="0.2">
      <c r="A40" s="5">
        <v>34</v>
      </c>
      <c r="B40" s="6" t="s">
        <v>378</v>
      </c>
      <c r="C40" s="6" t="s">
        <v>379</v>
      </c>
      <c r="D40" s="6" t="s">
        <v>73</v>
      </c>
      <c r="E40" s="7">
        <v>2500</v>
      </c>
      <c r="F40" s="8">
        <v>18.86</v>
      </c>
      <c r="G40" s="9">
        <v>1.0546682E-2</v>
      </c>
      <c r="H40" s="156"/>
    </row>
    <row r="41" spans="1:8" x14ac:dyDescent="0.2">
      <c r="A41" s="5">
        <v>35</v>
      </c>
      <c r="B41" s="6" t="s">
        <v>441</v>
      </c>
      <c r="C41" s="6" t="s">
        <v>442</v>
      </c>
      <c r="D41" s="6" t="s">
        <v>196</v>
      </c>
      <c r="E41" s="7">
        <v>339</v>
      </c>
      <c r="F41" s="8">
        <v>18.3841395</v>
      </c>
      <c r="G41" s="9">
        <v>1.0280576E-2</v>
      </c>
      <c r="H41" s="156"/>
    </row>
    <row r="42" spans="1:8" x14ac:dyDescent="0.2">
      <c r="A42" s="5">
        <v>36</v>
      </c>
      <c r="B42" s="6" t="s">
        <v>412</v>
      </c>
      <c r="C42" s="6" t="s">
        <v>413</v>
      </c>
      <c r="D42" s="6" t="s">
        <v>196</v>
      </c>
      <c r="E42" s="7">
        <v>2650</v>
      </c>
      <c r="F42" s="8">
        <v>17.899425000000001</v>
      </c>
      <c r="G42" s="9">
        <v>1.0009519999999999E-2</v>
      </c>
      <c r="H42" s="156"/>
    </row>
    <row r="43" spans="1:8" x14ac:dyDescent="0.2">
      <c r="A43" s="5">
        <v>37</v>
      </c>
      <c r="B43" s="6" t="s">
        <v>414</v>
      </c>
      <c r="C43" s="6" t="s">
        <v>415</v>
      </c>
      <c r="D43" s="6" t="s">
        <v>54</v>
      </c>
      <c r="E43" s="7">
        <v>1501</v>
      </c>
      <c r="F43" s="8">
        <v>17.510666000000001</v>
      </c>
      <c r="G43" s="9">
        <v>9.7921220000000003E-3</v>
      </c>
      <c r="H43" s="156"/>
    </row>
    <row r="44" spans="1:8" x14ac:dyDescent="0.2">
      <c r="A44" s="5">
        <v>38</v>
      </c>
      <c r="B44" s="6" t="s">
        <v>76</v>
      </c>
      <c r="C44" s="6" t="s">
        <v>77</v>
      </c>
      <c r="D44" s="6" t="s">
        <v>78</v>
      </c>
      <c r="E44" s="7">
        <v>10893</v>
      </c>
      <c r="F44" s="8">
        <v>16.301374500000001</v>
      </c>
      <c r="G44" s="9">
        <v>9.1158750000000007E-3</v>
      </c>
      <c r="H44" s="156"/>
    </row>
    <row r="45" spans="1:8" x14ac:dyDescent="0.2">
      <c r="A45" s="5">
        <v>39</v>
      </c>
      <c r="B45" s="6" t="s">
        <v>410</v>
      </c>
      <c r="C45" s="6" t="s">
        <v>411</v>
      </c>
      <c r="D45" s="6" t="s">
        <v>169</v>
      </c>
      <c r="E45" s="7">
        <v>2582</v>
      </c>
      <c r="F45" s="8">
        <v>14.088683</v>
      </c>
      <c r="G45" s="9">
        <v>7.8785179999999993E-3</v>
      </c>
      <c r="H45" s="156"/>
    </row>
    <row r="46" spans="1:8" x14ac:dyDescent="0.2">
      <c r="A46" s="5">
        <v>40</v>
      </c>
      <c r="B46" s="6" t="s">
        <v>335</v>
      </c>
      <c r="C46" s="6" t="s">
        <v>336</v>
      </c>
      <c r="D46" s="6" t="s">
        <v>196</v>
      </c>
      <c r="E46" s="7">
        <v>280</v>
      </c>
      <c r="F46" s="8">
        <v>9.5880399999999995</v>
      </c>
      <c r="G46" s="9">
        <v>5.3617179999999997E-3</v>
      </c>
      <c r="H46" s="156"/>
    </row>
    <row r="47" spans="1:8" x14ac:dyDescent="0.2">
      <c r="A47" s="3" t="s">
        <v>9</v>
      </c>
      <c r="B47" s="3" t="s">
        <v>9</v>
      </c>
      <c r="C47" s="4" t="s">
        <v>105</v>
      </c>
      <c r="D47" s="3" t="s">
        <v>9</v>
      </c>
      <c r="E47" s="3" t="s">
        <v>9</v>
      </c>
      <c r="F47" s="10">
        <v>1778.0502315000001</v>
      </c>
      <c r="G47" s="11">
        <v>0.99430170399999995</v>
      </c>
      <c r="H47" s="156"/>
    </row>
    <row r="48" spans="1:8" x14ac:dyDescent="0.2">
      <c r="A48" s="3" t="s">
        <v>9</v>
      </c>
      <c r="B48" s="3" t="s">
        <v>9</v>
      </c>
      <c r="C48" s="12" t="s">
        <v>9</v>
      </c>
      <c r="D48" s="3" t="s">
        <v>9</v>
      </c>
      <c r="E48" s="3" t="s">
        <v>9</v>
      </c>
      <c r="F48" s="13" t="s">
        <v>9</v>
      </c>
      <c r="G48" s="1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106</v>
      </c>
      <c r="D49" s="3" t="s">
        <v>9</v>
      </c>
      <c r="E49" s="3" t="s">
        <v>9</v>
      </c>
      <c r="F49" s="3" t="s">
        <v>9</v>
      </c>
      <c r="G49" s="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105</v>
      </c>
      <c r="D50" s="3" t="s">
        <v>9</v>
      </c>
      <c r="E50" s="3" t="s">
        <v>9</v>
      </c>
      <c r="F50" s="14">
        <v>0</v>
      </c>
      <c r="G50" s="15">
        <v>0</v>
      </c>
      <c r="H50" s="156"/>
    </row>
    <row r="51" spans="1:8" x14ac:dyDescent="0.2">
      <c r="A51" s="3" t="s">
        <v>9</v>
      </c>
      <c r="B51" s="3" t="s">
        <v>9</v>
      </c>
      <c r="C51" s="12" t="s">
        <v>9</v>
      </c>
      <c r="D51" s="3" t="s">
        <v>9</v>
      </c>
      <c r="E51" s="3" t="s">
        <v>9</v>
      </c>
      <c r="F51" s="13" t="s">
        <v>9</v>
      </c>
      <c r="G51" s="13" t="s">
        <v>9</v>
      </c>
      <c r="H51" s="156"/>
    </row>
    <row r="52" spans="1:8" x14ac:dyDescent="0.2">
      <c r="A52" s="3" t="s">
        <v>9</v>
      </c>
      <c r="B52" s="3" t="s">
        <v>9</v>
      </c>
      <c r="C52" s="4" t="s">
        <v>107</v>
      </c>
      <c r="D52" s="3" t="s">
        <v>9</v>
      </c>
      <c r="E52" s="3" t="s">
        <v>9</v>
      </c>
      <c r="F52" s="3" t="s">
        <v>9</v>
      </c>
      <c r="G52" s="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4">
        <v>0</v>
      </c>
      <c r="G53" s="15">
        <v>0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111</v>
      </c>
      <c r="D55" s="3" t="s">
        <v>9</v>
      </c>
      <c r="E55" s="3" t="s">
        <v>9</v>
      </c>
      <c r="F55" s="3" t="s">
        <v>9</v>
      </c>
      <c r="G55" s="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105</v>
      </c>
      <c r="D56" s="3" t="s">
        <v>9</v>
      </c>
      <c r="E56" s="3" t="s">
        <v>9</v>
      </c>
      <c r="F56" s="14">
        <v>0</v>
      </c>
      <c r="G56" s="15">
        <v>0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112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105</v>
      </c>
      <c r="D59" s="3" t="s">
        <v>9</v>
      </c>
      <c r="E59" s="3" t="s">
        <v>9</v>
      </c>
      <c r="F59" s="14">
        <v>0</v>
      </c>
      <c r="G59" s="15">
        <v>0</v>
      </c>
      <c r="H59" s="156"/>
    </row>
    <row r="60" spans="1:8" x14ac:dyDescent="0.2">
      <c r="A60" s="3" t="s">
        <v>9</v>
      </c>
      <c r="B60" s="3" t="s">
        <v>9</v>
      </c>
      <c r="C60" s="12" t="s">
        <v>9</v>
      </c>
      <c r="D60" s="3" t="s">
        <v>9</v>
      </c>
      <c r="E60" s="3" t="s">
        <v>9</v>
      </c>
      <c r="F60" s="13" t="s">
        <v>9</v>
      </c>
      <c r="G60" s="1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113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105</v>
      </c>
      <c r="D62" s="3" t="s">
        <v>9</v>
      </c>
      <c r="E62" s="3" t="s">
        <v>9</v>
      </c>
      <c r="F62" s="14">
        <v>0</v>
      </c>
      <c r="G62" s="15">
        <v>0</v>
      </c>
      <c r="H62" s="156"/>
    </row>
    <row r="63" spans="1:8" x14ac:dyDescent="0.2">
      <c r="A63" s="3" t="s">
        <v>9</v>
      </c>
      <c r="B63" s="3" t="s">
        <v>9</v>
      </c>
      <c r="C63" s="12" t="s">
        <v>9</v>
      </c>
      <c r="D63" s="3" t="s">
        <v>9</v>
      </c>
      <c r="E63" s="3" t="s">
        <v>9</v>
      </c>
      <c r="F63" s="13" t="s">
        <v>9</v>
      </c>
      <c r="G63" s="1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114</v>
      </c>
      <c r="D64" s="3" t="s">
        <v>9</v>
      </c>
      <c r="E64" s="3" t="s">
        <v>9</v>
      </c>
      <c r="F64" s="10">
        <v>1778.0502315000001</v>
      </c>
      <c r="G64" s="11">
        <v>0.99430170399999995</v>
      </c>
      <c r="H64" s="156"/>
    </row>
    <row r="65" spans="1:8" x14ac:dyDescent="0.2">
      <c r="A65" s="3" t="s">
        <v>9</v>
      </c>
      <c r="B65" s="3" t="s">
        <v>9</v>
      </c>
      <c r="C65" s="12" t="s">
        <v>9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115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11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105</v>
      </c>
      <c r="D68" s="3" t="s">
        <v>9</v>
      </c>
      <c r="E68" s="3" t="s">
        <v>9</v>
      </c>
      <c r="F68" s="14">
        <v>0</v>
      </c>
      <c r="G68" s="15">
        <v>0</v>
      </c>
      <c r="H68" s="156"/>
    </row>
    <row r="69" spans="1:8" x14ac:dyDescent="0.2">
      <c r="A69" s="3" t="s">
        <v>9</v>
      </c>
      <c r="B69" s="3" t="s">
        <v>9</v>
      </c>
      <c r="C69" s="12" t="s">
        <v>9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116</v>
      </c>
      <c r="D70" s="3" t="s">
        <v>9</v>
      </c>
      <c r="E70" s="3" t="s">
        <v>9</v>
      </c>
      <c r="F70" s="3" t="s">
        <v>9</v>
      </c>
      <c r="G70" s="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4">
        <v>0</v>
      </c>
      <c r="G71" s="15">
        <v>0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117</v>
      </c>
      <c r="D73" s="3" t="s">
        <v>9</v>
      </c>
      <c r="E73" s="3" t="s">
        <v>9</v>
      </c>
      <c r="F73" s="3" t="s">
        <v>9</v>
      </c>
      <c r="G73" s="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105</v>
      </c>
      <c r="D74" s="3" t="s">
        <v>9</v>
      </c>
      <c r="E74" s="3" t="s">
        <v>9</v>
      </c>
      <c r="F74" s="14">
        <v>0</v>
      </c>
      <c r="G74" s="15">
        <v>0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118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105</v>
      </c>
      <c r="D77" s="3" t="s">
        <v>9</v>
      </c>
      <c r="E77" s="3" t="s">
        <v>9</v>
      </c>
      <c r="F77" s="14">
        <v>0</v>
      </c>
      <c r="G77" s="15">
        <v>0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119</v>
      </c>
      <c r="D79" s="3" t="s">
        <v>9</v>
      </c>
      <c r="E79" s="3" t="s">
        <v>9</v>
      </c>
      <c r="F79" s="10">
        <v>0</v>
      </c>
      <c r="G79" s="11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120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121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122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105</v>
      </c>
      <c r="D86" s="3" t="s">
        <v>9</v>
      </c>
      <c r="E86" s="3" t="s">
        <v>9</v>
      </c>
      <c r="F86" s="14">
        <v>0</v>
      </c>
      <c r="G86" s="15">
        <v>0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123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105</v>
      </c>
      <c r="D89" s="3" t="s">
        <v>9</v>
      </c>
      <c r="E89" s="3" t="s">
        <v>9</v>
      </c>
      <c r="F89" s="14">
        <v>0</v>
      </c>
      <c r="G89" s="15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124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5">
        <v>1</v>
      </c>
      <c r="B92" s="6"/>
      <c r="C92" s="6" t="s">
        <v>125</v>
      </c>
      <c r="D92" s="6"/>
      <c r="E92" s="16" t="s">
        <v>9</v>
      </c>
      <c r="F92" s="8">
        <v>5.9022157999999996</v>
      </c>
      <c r="G92" s="9">
        <v>3.3005719999999999E-3</v>
      </c>
      <c r="H92" s="8">
        <v>3.3326163573085874</v>
      </c>
    </row>
    <row r="93" spans="1:8" x14ac:dyDescent="0.2">
      <c r="A93" s="5">
        <v>2</v>
      </c>
      <c r="B93" s="6"/>
      <c r="C93" s="6" t="s">
        <v>126</v>
      </c>
      <c r="D93" s="6"/>
      <c r="E93" s="16" t="s">
        <v>9</v>
      </c>
      <c r="F93" s="8">
        <v>4.2156264999999999</v>
      </c>
      <c r="G93" s="9">
        <v>2.3574160000000002E-3</v>
      </c>
      <c r="H93" s="8">
        <v>3.2337849550915885</v>
      </c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0">
        <v>10.1178423</v>
      </c>
      <c r="G94" s="11">
        <v>5.6579880000000001E-3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127</v>
      </c>
      <c r="D96" s="3" t="s">
        <v>9</v>
      </c>
      <c r="E96" s="3" t="s">
        <v>9</v>
      </c>
      <c r="F96" s="10">
        <v>10.1178423</v>
      </c>
      <c r="G96" s="11">
        <v>5.6579880000000001E-3</v>
      </c>
      <c r="H96" s="156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3" t="s">
        <v>9</v>
      </c>
      <c r="G97" s="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128</v>
      </c>
      <c r="D98" s="3" t="s">
        <v>9</v>
      </c>
      <c r="E98" s="3" t="s">
        <v>9</v>
      </c>
      <c r="F98" s="3" t="s">
        <v>9</v>
      </c>
      <c r="G98" s="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129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130</v>
      </c>
      <c r="D102" s="3" t="s">
        <v>9</v>
      </c>
      <c r="E102" s="3" t="s">
        <v>9</v>
      </c>
      <c r="F102" s="3" t="s">
        <v>9</v>
      </c>
      <c r="G102" s="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131</v>
      </c>
      <c r="D103" s="3" t="s">
        <v>9</v>
      </c>
      <c r="E103" s="3" t="s">
        <v>9</v>
      </c>
      <c r="F103" s="3" t="s">
        <v>9</v>
      </c>
      <c r="G103" s="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105</v>
      </c>
      <c r="D104" s="3" t="s">
        <v>9</v>
      </c>
      <c r="E104" s="3" t="s">
        <v>9</v>
      </c>
      <c r="F104" s="14">
        <v>0</v>
      </c>
      <c r="G104" s="15">
        <v>0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132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6" t="s">
        <v>9</v>
      </c>
      <c r="C110" s="6" t="s">
        <v>9</v>
      </c>
      <c r="D110" s="4" t="s">
        <v>9</v>
      </c>
      <c r="E110" s="3" t="s">
        <v>9</v>
      </c>
      <c r="F110" s="6" t="s">
        <v>9</v>
      </c>
      <c r="G110" s="16" t="s">
        <v>9</v>
      </c>
      <c r="H110" s="156"/>
    </row>
    <row r="111" spans="1:8" x14ac:dyDescent="0.2">
      <c r="A111" s="16" t="s">
        <v>9</v>
      </c>
      <c r="B111" s="6" t="s">
        <v>9</v>
      </c>
      <c r="C111" s="6" t="s">
        <v>133</v>
      </c>
      <c r="D111" s="6" t="s">
        <v>9</v>
      </c>
      <c r="E111" s="16" t="s">
        <v>9</v>
      </c>
      <c r="F111" s="8">
        <v>7.2069709999999995E-2</v>
      </c>
      <c r="G111" s="9">
        <v>4.0302000000000001E-5</v>
      </c>
      <c r="H111" s="156"/>
    </row>
    <row r="112" spans="1:8" x14ac:dyDescent="0.2">
      <c r="A112" s="12" t="s">
        <v>9</v>
      </c>
      <c r="B112" s="12" t="s">
        <v>9</v>
      </c>
      <c r="C112" s="4" t="s">
        <v>134</v>
      </c>
      <c r="D112" s="17" t="s">
        <v>9</v>
      </c>
      <c r="E112" s="17" t="s">
        <v>9</v>
      </c>
      <c r="F112" s="10">
        <v>1788.2401435100001</v>
      </c>
      <c r="G112" s="11">
        <v>0.99999999399999995</v>
      </c>
      <c r="H112" s="156"/>
    </row>
    <row r="113" spans="1:7" ht="14.1" customHeight="1" x14ac:dyDescent="0.2">
      <c r="A113" s="18" t="s">
        <v>9</v>
      </c>
      <c r="B113" s="18" t="s">
        <v>9</v>
      </c>
      <c r="C113" s="18" t="s">
        <v>9</v>
      </c>
      <c r="D113" s="19" t="s">
        <v>9</v>
      </c>
      <c r="E113" s="19" t="s">
        <v>9</v>
      </c>
      <c r="F113" s="19" t="s">
        <v>9</v>
      </c>
      <c r="G113" s="19" t="s">
        <v>9</v>
      </c>
    </row>
    <row r="114" spans="1:7" ht="14.1" customHeight="1" x14ac:dyDescent="0.2">
      <c r="A114" s="20" t="s">
        <v>9</v>
      </c>
      <c r="B114" s="200" t="s">
        <v>9</v>
      </c>
      <c r="C114" s="200"/>
      <c r="D114" s="200"/>
      <c r="E114" s="200"/>
      <c r="F114" s="200"/>
      <c r="G114" s="22" t="s">
        <v>9</v>
      </c>
    </row>
    <row r="115" spans="1:7" ht="14.1" customHeight="1" x14ac:dyDescent="0.2">
      <c r="A115" s="20" t="s">
        <v>9</v>
      </c>
      <c r="B115" s="200" t="s">
        <v>9</v>
      </c>
      <c r="C115" s="200"/>
      <c r="D115" s="200"/>
      <c r="E115" s="200"/>
      <c r="F115" s="200"/>
      <c r="G115" s="22" t="s">
        <v>9</v>
      </c>
    </row>
    <row r="116" spans="1:7" ht="14.1" customHeight="1" x14ac:dyDescent="0.2">
      <c r="A116" s="20" t="s">
        <v>9</v>
      </c>
      <c r="B116" s="20" t="s">
        <v>9</v>
      </c>
      <c r="C116" s="20" t="s">
        <v>9</v>
      </c>
      <c r="D116" s="22" t="s">
        <v>9</v>
      </c>
      <c r="E116" s="22" t="s">
        <v>9</v>
      </c>
      <c r="F116" s="22" t="s">
        <v>9</v>
      </c>
      <c r="G116" s="22" t="s">
        <v>9</v>
      </c>
    </row>
    <row r="117" spans="1:7" ht="14.1" customHeight="1" x14ac:dyDescent="0.2">
      <c r="A117" s="20" t="s">
        <v>9</v>
      </c>
      <c r="B117" s="198" t="s">
        <v>136</v>
      </c>
      <c r="C117" s="199"/>
      <c r="D117" s="13" t="s">
        <v>9</v>
      </c>
      <c r="E117" s="23" t="s">
        <v>9</v>
      </c>
      <c r="F117" s="22" t="s">
        <v>9</v>
      </c>
      <c r="G117" s="22" t="s">
        <v>9</v>
      </c>
    </row>
    <row r="118" spans="1:7" ht="29.1" customHeight="1" x14ac:dyDescent="0.2">
      <c r="A118" s="20" t="s">
        <v>9</v>
      </c>
      <c r="B118" s="205" t="s">
        <v>137</v>
      </c>
      <c r="C118" s="206"/>
      <c r="D118" s="4" t="s">
        <v>138</v>
      </c>
      <c r="E118" s="23" t="s">
        <v>9</v>
      </c>
      <c r="F118" s="22" t="s">
        <v>9</v>
      </c>
      <c r="G118" s="22" t="s">
        <v>9</v>
      </c>
    </row>
    <row r="119" spans="1:7" ht="17.100000000000001" customHeight="1" x14ac:dyDescent="0.2">
      <c r="A119" s="20" t="s">
        <v>9</v>
      </c>
      <c r="B119" s="205" t="s">
        <v>139</v>
      </c>
      <c r="C119" s="206"/>
      <c r="D119" s="4" t="s">
        <v>138</v>
      </c>
      <c r="E119" s="23" t="s">
        <v>9</v>
      </c>
      <c r="F119" s="22" t="s">
        <v>9</v>
      </c>
      <c r="G119" s="22" t="s">
        <v>9</v>
      </c>
    </row>
    <row r="120" spans="1:7" ht="17.100000000000001" customHeight="1" x14ac:dyDescent="0.2">
      <c r="A120" s="20" t="s">
        <v>9</v>
      </c>
      <c r="B120" s="205" t="s">
        <v>140</v>
      </c>
      <c r="C120" s="206"/>
      <c r="D120" s="13" t="s">
        <v>9</v>
      </c>
      <c r="E120" s="23" t="s">
        <v>9</v>
      </c>
      <c r="F120" s="22" t="s">
        <v>9</v>
      </c>
      <c r="G120" s="22" t="s">
        <v>9</v>
      </c>
    </row>
    <row r="121" spans="1:7" ht="24" customHeight="1" x14ac:dyDescent="0.2">
      <c r="A121" s="24" t="s">
        <v>9</v>
      </c>
      <c r="B121" s="25" t="s">
        <v>9</v>
      </c>
      <c r="C121" s="25" t="s">
        <v>141</v>
      </c>
      <c r="D121" s="25" t="s">
        <v>142</v>
      </c>
      <c r="E121" s="24" t="s">
        <v>9</v>
      </c>
      <c r="F121" s="24" t="s">
        <v>9</v>
      </c>
      <c r="G121" s="24" t="s">
        <v>9</v>
      </c>
    </row>
    <row r="122" spans="1:7" ht="18" customHeight="1" x14ac:dyDescent="0.2">
      <c r="A122" s="24" t="s">
        <v>9</v>
      </c>
      <c r="B122" s="25" t="s">
        <v>143</v>
      </c>
      <c r="C122" s="25" t="s">
        <v>144</v>
      </c>
      <c r="D122" s="25" t="s">
        <v>145</v>
      </c>
      <c r="E122" s="24" t="s">
        <v>9</v>
      </c>
      <c r="F122" s="24" t="s">
        <v>9</v>
      </c>
      <c r="G122" s="24" t="s">
        <v>9</v>
      </c>
    </row>
    <row r="123" spans="1:7" ht="17.100000000000001" customHeight="1" x14ac:dyDescent="0.2">
      <c r="A123" s="24" t="s">
        <v>9</v>
      </c>
      <c r="B123" s="6" t="s">
        <v>146</v>
      </c>
      <c r="C123" s="26">
        <v>19.273700000000002</v>
      </c>
      <c r="D123" s="26">
        <v>19.780100000000001</v>
      </c>
      <c r="E123" s="24" t="s">
        <v>9</v>
      </c>
      <c r="F123" s="21" t="s">
        <v>9</v>
      </c>
      <c r="G123" s="27" t="s">
        <v>9</v>
      </c>
    </row>
    <row r="124" spans="1:7" ht="17.100000000000001" customHeight="1" x14ac:dyDescent="0.2">
      <c r="A124" s="24" t="s">
        <v>9</v>
      </c>
      <c r="B124" s="6" t="s">
        <v>839</v>
      </c>
      <c r="C124" s="26">
        <v>17.7773</v>
      </c>
      <c r="D124" s="26">
        <v>16.477599999999999</v>
      </c>
      <c r="E124" s="24" t="s">
        <v>9</v>
      </c>
      <c r="F124" s="21" t="s">
        <v>9</v>
      </c>
      <c r="G124" s="27" t="s">
        <v>9</v>
      </c>
    </row>
    <row r="125" spans="1:7" ht="17.100000000000001" customHeight="1" x14ac:dyDescent="0.2">
      <c r="A125" s="24" t="s">
        <v>9</v>
      </c>
      <c r="B125" s="6" t="s">
        <v>147</v>
      </c>
      <c r="C125" s="26">
        <v>18.868099999999998</v>
      </c>
      <c r="D125" s="26">
        <v>19.363499999999998</v>
      </c>
      <c r="E125" s="24" t="s">
        <v>9</v>
      </c>
      <c r="F125" s="21" t="s">
        <v>9</v>
      </c>
      <c r="G125" s="27" t="s">
        <v>9</v>
      </c>
    </row>
    <row r="126" spans="1:7" ht="17.100000000000001" customHeight="1" x14ac:dyDescent="0.2">
      <c r="A126" s="24" t="s">
        <v>9</v>
      </c>
      <c r="B126" s="6" t="s">
        <v>840</v>
      </c>
      <c r="C126" s="26">
        <v>17.3858</v>
      </c>
      <c r="D126" s="26">
        <v>16.075500000000002</v>
      </c>
      <c r="E126" s="24" t="s">
        <v>9</v>
      </c>
      <c r="F126" s="21" t="s">
        <v>9</v>
      </c>
      <c r="G126" s="27" t="s">
        <v>9</v>
      </c>
    </row>
    <row r="127" spans="1:7" ht="14.1" customHeight="1" x14ac:dyDescent="0.2">
      <c r="A127" s="24" t="s">
        <v>9</v>
      </c>
      <c r="B127" s="24" t="s">
        <v>9</v>
      </c>
      <c r="C127" s="24" t="s">
        <v>9</v>
      </c>
      <c r="D127" s="24" t="s">
        <v>9</v>
      </c>
      <c r="E127" s="24" t="s">
        <v>9</v>
      </c>
      <c r="F127" s="24" t="s">
        <v>9</v>
      </c>
      <c r="G127" s="24" t="s">
        <v>9</v>
      </c>
    </row>
    <row r="128" spans="1:7" ht="29.1" customHeight="1" x14ac:dyDescent="0.2">
      <c r="A128" s="167" t="s">
        <v>9</v>
      </c>
      <c r="B128" s="207" t="s">
        <v>986</v>
      </c>
      <c r="C128" s="207"/>
      <c r="D128" s="160"/>
      <c r="E128" s="167" t="s">
        <v>9</v>
      </c>
      <c r="F128" s="167" t="s">
        <v>9</v>
      </c>
      <c r="G128" s="167" t="s">
        <v>9</v>
      </c>
    </row>
    <row r="129" spans="1:8" s="166" customFormat="1" ht="15" x14ac:dyDescent="0.2">
      <c r="A129" s="148" t="s">
        <v>9</v>
      </c>
      <c r="B129" s="161" t="s">
        <v>143</v>
      </c>
      <c r="C129" s="161" t="s">
        <v>878</v>
      </c>
      <c r="D129" s="161" t="s">
        <v>879</v>
      </c>
      <c r="E129" s="148" t="s">
        <v>9</v>
      </c>
      <c r="F129" s="148" t="s">
        <v>9</v>
      </c>
      <c r="G129" s="148" t="s">
        <v>9</v>
      </c>
      <c r="H129" s="165"/>
    </row>
    <row r="130" spans="1:8" ht="17.100000000000001" customHeight="1" x14ac:dyDescent="0.2">
      <c r="A130" s="24" t="s">
        <v>9</v>
      </c>
      <c r="B130" s="162" t="s">
        <v>839</v>
      </c>
      <c r="C130" s="163">
        <v>1.75</v>
      </c>
      <c r="D130" s="163">
        <v>0</v>
      </c>
      <c r="E130" s="24" t="s">
        <v>9</v>
      </c>
      <c r="F130" s="21" t="s">
        <v>9</v>
      </c>
      <c r="G130" s="27" t="s">
        <v>9</v>
      </c>
    </row>
    <row r="131" spans="1:8" ht="17.100000000000001" customHeight="1" x14ac:dyDescent="0.2">
      <c r="A131" s="24" t="s">
        <v>9</v>
      </c>
      <c r="B131" s="162" t="s">
        <v>840</v>
      </c>
      <c r="C131" s="163">
        <v>1.75</v>
      </c>
      <c r="D131" s="163">
        <v>0</v>
      </c>
      <c r="E131" s="24" t="s">
        <v>9</v>
      </c>
      <c r="F131" s="21" t="s">
        <v>9</v>
      </c>
      <c r="G131" s="27" t="s">
        <v>9</v>
      </c>
    </row>
    <row r="132" spans="1:8" ht="14.1" customHeight="1" x14ac:dyDescent="0.2">
      <c r="A132" s="24" t="s">
        <v>9</v>
      </c>
      <c r="B132" s="21" t="s">
        <v>9</v>
      </c>
      <c r="C132" s="21" t="s">
        <v>9</v>
      </c>
      <c r="D132" s="24" t="s">
        <v>9</v>
      </c>
      <c r="E132" s="24" t="s">
        <v>9</v>
      </c>
      <c r="F132" s="24" t="s">
        <v>9</v>
      </c>
      <c r="G132" s="24" t="s">
        <v>9</v>
      </c>
    </row>
    <row r="133" spans="1:8" s="197" customFormat="1" x14ac:dyDescent="0.2">
      <c r="B133" s="208" t="s">
        <v>841</v>
      </c>
      <c r="C133" s="208"/>
      <c r="D133" s="208"/>
      <c r="E133" s="208"/>
      <c r="F133" s="208"/>
    </row>
    <row r="134" spans="1:8" ht="14.1" customHeight="1" x14ac:dyDescent="0.2">
      <c r="A134" s="24"/>
      <c r="B134" s="182"/>
      <c r="C134" s="182"/>
      <c r="D134" s="24"/>
      <c r="E134" s="24"/>
      <c r="F134" s="24"/>
      <c r="G134" s="24"/>
    </row>
    <row r="135" spans="1:8" ht="29.1" customHeight="1" x14ac:dyDescent="0.2">
      <c r="A135" s="24" t="s">
        <v>9</v>
      </c>
      <c r="B135" s="205" t="s">
        <v>148</v>
      </c>
      <c r="C135" s="206"/>
      <c r="D135" s="4" t="s">
        <v>138</v>
      </c>
      <c r="E135" s="24" t="s">
        <v>9</v>
      </c>
      <c r="F135" s="24" t="s">
        <v>9</v>
      </c>
      <c r="G135" s="24" t="s">
        <v>9</v>
      </c>
    </row>
    <row r="136" spans="1:8" ht="29.1" customHeight="1" x14ac:dyDescent="0.2">
      <c r="A136" s="24" t="s">
        <v>9</v>
      </c>
      <c r="B136" s="205" t="s">
        <v>149</v>
      </c>
      <c r="C136" s="206"/>
      <c r="D136" s="4" t="s">
        <v>138</v>
      </c>
      <c r="E136" s="24" t="s">
        <v>9</v>
      </c>
      <c r="F136" s="24" t="s">
        <v>9</v>
      </c>
      <c r="G136" s="24" t="s">
        <v>9</v>
      </c>
    </row>
    <row r="137" spans="1:8" ht="17.100000000000001" customHeight="1" x14ac:dyDescent="0.2">
      <c r="A137" s="24" t="s">
        <v>9</v>
      </c>
      <c r="B137" s="205" t="s">
        <v>150</v>
      </c>
      <c r="C137" s="206"/>
      <c r="D137" s="29">
        <v>0.30145670722993362</v>
      </c>
      <c r="E137" s="24" t="s">
        <v>9</v>
      </c>
      <c r="F137" s="21" t="s">
        <v>9</v>
      </c>
      <c r="G137" s="27" t="s">
        <v>9</v>
      </c>
    </row>
    <row r="138" spans="1:8" ht="17.100000000000001" customHeight="1" x14ac:dyDescent="0.2">
      <c r="A138" s="24" t="s">
        <v>9</v>
      </c>
      <c r="B138" s="205" t="s">
        <v>151</v>
      </c>
      <c r="C138" s="206"/>
      <c r="D138" s="4" t="s">
        <v>138</v>
      </c>
      <c r="E138" s="24" t="s">
        <v>9</v>
      </c>
      <c r="F138" s="24" t="s">
        <v>9</v>
      </c>
      <c r="G138" s="24" t="s">
        <v>9</v>
      </c>
    </row>
  </sheetData>
  <mergeCells count="15">
    <mergeCell ref="B137:C137"/>
    <mergeCell ref="B138:C138"/>
    <mergeCell ref="B118:C118"/>
    <mergeCell ref="B119:C119"/>
    <mergeCell ref="B120:C120"/>
    <mergeCell ref="B128:C128"/>
    <mergeCell ref="B135:C135"/>
    <mergeCell ref="B136:C136"/>
    <mergeCell ref="B133:F133"/>
    <mergeCell ref="B117:C117"/>
    <mergeCell ref="B114:F114"/>
    <mergeCell ref="B115:F11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135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503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398</v>
      </c>
      <c r="C7" s="6" t="s">
        <v>399</v>
      </c>
      <c r="D7" s="6" t="s">
        <v>169</v>
      </c>
      <c r="E7" s="7">
        <v>6220</v>
      </c>
      <c r="F7" s="8">
        <v>98.325760000000002</v>
      </c>
      <c r="G7" s="9">
        <v>7.6398898000000007E-2</v>
      </c>
      <c r="H7" s="156"/>
    </row>
    <row r="8" spans="1:8" x14ac:dyDescent="0.2">
      <c r="A8" s="5">
        <v>2</v>
      </c>
      <c r="B8" s="6" t="s">
        <v>50</v>
      </c>
      <c r="C8" s="6" t="s">
        <v>51</v>
      </c>
      <c r="D8" s="6" t="s">
        <v>22</v>
      </c>
      <c r="E8" s="7">
        <v>6510</v>
      </c>
      <c r="F8" s="8">
        <v>97.513289999999998</v>
      </c>
      <c r="G8" s="9">
        <v>7.5767610999999999E-2</v>
      </c>
      <c r="H8" s="156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4500</v>
      </c>
      <c r="F9" s="8">
        <v>94.979249999999993</v>
      </c>
      <c r="G9" s="9">
        <v>7.3798666999999998E-2</v>
      </c>
      <c r="H9" s="156"/>
    </row>
    <row r="10" spans="1:8" x14ac:dyDescent="0.2">
      <c r="A10" s="5">
        <v>4</v>
      </c>
      <c r="B10" s="6" t="s">
        <v>20</v>
      </c>
      <c r="C10" s="6" t="s">
        <v>21</v>
      </c>
      <c r="D10" s="6" t="s">
        <v>22</v>
      </c>
      <c r="E10" s="7">
        <v>14816</v>
      </c>
      <c r="F10" s="8">
        <v>93.474143999999995</v>
      </c>
      <c r="G10" s="9">
        <v>7.2629203000000003E-2</v>
      </c>
      <c r="H10" s="156"/>
    </row>
    <row r="11" spans="1:8" x14ac:dyDescent="0.2">
      <c r="A11" s="5">
        <v>5</v>
      </c>
      <c r="B11" s="6" t="s">
        <v>400</v>
      </c>
      <c r="C11" s="6" t="s">
        <v>401</v>
      </c>
      <c r="D11" s="6" t="s">
        <v>166</v>
      </c>
      <c r="E11" s="7">
        <v>2510</v>
      </c>
      <c r="F11" s="8">
        <v>62.128774999999997</v>
      </c>
      <c r="G11" s="9">
        <v>4.8273920999999997E-2</v>
      </c>
      <c r="H11" s="156"/>
    </row>
    <row r="12" spans="1:8" x14ac:dyDescent="0.2">
      <c r="A12" s="5">
        <v>6</v>
      </c>
      <c r="B12" s="6" t="s">
        <v>319</v>
      </c>
      <c r="C12" s="6" t="s">
        <v>320</v>
      </c>
      <c r="D12" s="6" t="s">
        <v>73</v>
      </c>
      <c r="E12" s="7">
        <v>6450</v>
      </c>
      <c r="F12" s="8">
        <v>47.059199999999997</v>
      </c>
      <c r="G12" s="9">
        <v>3.6564894000000001E-2</v>
      </c>
      <c r="H12" s="156"/>
    </row>
    <row r="13" spans="1:8" x14ac:dyDescent="0.2">
      <c r="A13" s="5">
        <v>7</v>
      </c>
      <c r="B13" s="6" t="s">
        <v>402</v>
      </c>
      <c r="C13" s="6" t="s">
        <v>403</v>
      </c>
      <c r="D13" s="6" t="s">
        <v>22</v>
      </c>
      <c r="E13" s="7">
        <v>11063</v>
      </c>
      <c r="F13" s="8">
        <v>46.376095999999997</v>
      </c>
      <c r="G13" s="9">
        <v>3.6034124000000001E-2</v>
      </c>
      <c r="H13" s="156"/>
    </row>
    <row r="14" spans="1:8" x14ac:dyDescent="0.2">
      <c r="A14" s="5">
        <v>8</v>
      </c>
      <c r="B14" s="6" t="s">
        <v>36</v>
      </c>
      <c r="C14" s="6" t="s">
        <v>37</v>
      </c>
      <c r="D14" s="6" t="s">
        <v>972</v>
      </c>
      <c r="E14" s="7">
        <v>641</v>
      </c>
      <c r="F14" s="8">
        <v>43.434159999999999</v>
      </c>
      <c r="G14" s="9">
        <v>3.3748246000000003E-2</v>
      </c>
      <c r="H14" s="156"/>
    </row>
    <row r="15" spans="1:8" x14ac:dyDescent="0.2">
      <c r="A15" s="5">
        <v>9</v>
      </c>
      <c r="B15" s="6" t="s">
        <v>356</v>
      </c>
      <c r="C15" s="6" t="s">
        <v>357</v>
      </c>
      <c r="D15" s="6" t="s">
        <v>22</v>
      </c>
      <c r="E15" s="7">
        <v>5742</v>
      </c>
      <c r="F15" s="8">
        <v>42.967385999999998</v>
      </c>
      <c r="G15" s="9">
        <v>3.3385564E-2</v>
      </c>
      <c r="H15" s="156"/>
    </row>
    <row r="16" spans="1:8" x14ac:dyDescent="0.2">
      <c r="A16" s="5">
        <v>10</v>
      </c>
      <c r="B16" s="6" t="s">
        <v>153</v>
      </c>
      <c r="C16" s="6" t="s">
        <v>154</v>
      </c>
      <c r="D16" s="6" t="s">
        <v>155</v>
      </c>
      <c r="E16" s="7">
        <v>1104</v>
      </c>
      <c r="F16" s="8">
        <v>41.391719999999999</v>
      </c>
      <c r="G16" s="9">
        <v>3.2161275000000003E-2</v>
      </c>
      <c r="H16" s="156"/>
    </row>
    <row r="17" spans="1:8" x14ac:dyDescent="0.2">
      <c r="A17" s="5">
        <v>11</v>
      </c>
      <c r="B17" s="6" t="s">
        <v>354</v>
      </c>
      <c r="C17" s="6" t="s">
        <v>355</v>
      </c>
      <c r="D17" s="6" t="s">
        <v>236</v>
      </c>
      <c r="E17" s="7">
        <v>4040</v>
      </c>
      <c r="F17" s="8">
        <v>36.396360000000001</v>
      </c>
      <c r="G17" s="9">
        <v>2.8279891000000001E-2</v>
      </c>
      <c r="H17" s="156"/>
    </row>
    <row r="18" spans="1:8" x14ac:dyDescent="0.2">
      <c r="A18" s="5">
        <v>12</v>
      </c>
      <c r="B18" s="6" t="s">
        <v>12</v>
      </c>
      <c r="C18" s="6" t="s">
        <v>13</v>
      </c>
      <c r="D18" s="6" t="s">
        <v>14</v>
      </c>
      <c r="E18" s="7">
        <v>2403</v>
      </c>
      <c r="F18" s="8">
        <v>36.0582165</v>
      </c>
      <c r="G18" s="9">
        <v>2.8017154999999998E-2</v>
      </c>
      <c r="H18" s="156"/>
    </row>
    <row r="19" spans="1:8" x14ac:dyDescent="0.2">
      <c r="A19" s="5">
        <v>13</v>
      </c>
      <c r="B19" s="6" t="s">
        <v>496</v>
      </c>
      <c r="C19" s="6" t="s">
        <v>497</v>
      </c>
      <c r="D19" s="6" t="s">
        <v>972</v>
      </c>
      <c r="E19" s="7">
        <v>2456</v>
      </c>
      <c r="F19" s="8">
        <v>29.787596000000001</v>
      </c>
      <c r="G19" s="9">
        <v>2.3144896000000002E-2</v>
      </c>
      <c r="H19" s="156"/>
    </row>
    <row r="20" spans="1:8" x14ac:dyDescent="0.2">
      <c r="A20" s="5">
        <v>14</v>
      </c>
      <c r="B20" s="6" t="s">
        <v>208</v>
      </c>
      <c r="C20" s="6" t="s">
        <v>209</v>
      </c>
      <c r="D20" s="6" t="s">
        <v>976</v>
      </c>
      <c r="E20" s="7">
        <v>3606</v>
      </c>
      <c r="F20" s="8">
        <v>29.495277000000002</v>
      </c>
      <c r="G20" s="9">
        <v>2.2917765E-2</v>
      </c>
      <c r="H20" s="156"/>
    </row>
    <row r="21" spans="1:8" x14ac:dyDescent="0.2">
      <c r="A21" s="5">
        <v>15</v>
      </c>
      <c r="B21" s="6" t="s">
        <v>57</v>
      </c>
      <c r="C21" s="6" t="s">
        <v>58</v>
      </c>
      <c r="D21" s="6" t="s">
        <v>17</v>
      </c>
      <c r="E21" s="7">
        <v>6145</v>
      </c>
      <c r="F21" s="8">
        <v>28.764745000000001</v>
      </c>
      <c r="G21" s="9">
        <v>2.2350142999999999E-2</v>
      </c>
      <c r="H21" s="156"/>
    </row>
    <row r="22" spans="1:8" x14ac:dyDescent="0.2">
      <c r="A22" s="5">
        <v>16</v>
      </c>
      <c r="B22" s="6" t="s">
        <v>498</v>
      </c>
      <c r="C22" s="6" t="s">
        <v>499</v>
      </c>
      <c r="D22" s="6" t="s">
        <v>92</v>
      </c>
      <c r="E22" s="7">
        <v>8169</v>
      </c>
      <c r="F22" s="8">
        <v>27.741924000000001</v>
      </c>
      <c r="G22" s="9">
        <v>2.1555413999999998E-2</v>
      </c>
      <c r="H22" s="156"/>
    </row>
    <row r="23" spans="1:8" x14ac:dyDescent="0.2">
      <c r="A23" s="5">
        <v>17</v>
      </c>
      <c r="B23" s="6" t="s">
        <v>368</v>
      </c>
      <c r="C23" s="6" t="s">
        <v>369</v>
      </c>
      <c r="D23" s="6" t="s">
        <v>169</v>
      </c>
      <c r="E23" s="7">
        <v>2813</v>
      </c>
      <c r="F23" s="8">
        <v>27.665855000000001</v>
      </c>
      <c r="G23" s="9">
        <v>2.1496307999999999E-2</v>
      </c>
      <c r="H23" s="156"/>
    </row>
    <row r="24" spans="1:8" x14ac:dyDescent="0.2">
      <c r="A24" s="5">
        <v>18</v>
      </c>
      <c r="B24" s="6" t="s">
        <v>23</v>
      </c>
      <c r="C24" s="6" t="s">
        <v>24</v>
      </c>
      <c r="D24" s="6" t="s">
        <v>25</v>
      </c>
      <c r="E24" s="7">
        <v>4918</v>
      </c>
      <c r="F24" s="8">
        <v>25.851467</v>
      </c>
      <c r="G24" s="9">
        <v>2.0086533E-2</v>
      </c>
      <c r="H24" s="156"/>
    </row>
    <row r="25" spans="1:8" x14ac:dyDescent="0.2">
      <c r="A25" s="5">
        <v>19</v>
      </c>
      <c r="B25" s="6" t="s">
        <v>74</v>
      </c>
      <c r="C25" s="6" t="s">
        <v>75</v>
      </c>
      <c r="D25" s="6" t="s">
        <v>28</v>
      </c>
      <c r="E25" s="7">
        <v>2788</v>
      </c>
      <c r="F25" s="8">
        <v>25.078060000000001</v>
      </c>
      <c r="G25" s="9">
        <v>1.9485597E-2</v>
      </c>
      <c r="H25" s="156"/>
    </row>
    <row r="26" spans="1:8" x14ac:dyDescent="0.2">
      <c r="A26" s="5">
        <v>20</v>
      </c>
      <c r="B26" s="6" t="s">
        <v>185</v>
      </c>
      <c r="C26" s="6" t="s">
        <v>186</v>
      </c>
      <c r="D26" s="6" t="s">
        <v>172</v>
      </c>
      <c r="E26" s="7">
        <v>11000</v>
      </c>
      <c r="F26" s="8">
        <v>24.64</v>
      </c>
      <c r="G26" s="9">
        <v>1.9145226000000001E-2</v>
      </c>
      <c r="H26" s="156"/>
    </row>
    <row r="27" spans="1:8" x14ac:dyDescent="0.2">
      <c r="A27" s="5">
        <v>21</v>
      </c>
      <c r="B27" s="6" t="s">
        <v>339</v>
      </c>
      <c r="C27" s="6" t="s">
        <v>340</v>
      </c>
      <c r="D27" s="6" t="s">
        <v>68</v>
      </c>
      <c r="E27" s="7">
        <v>3496</v>
      </c>
      <c r="F27" s="8">
        <v>24.414315999999999</v>
      </c>
      <c r="G27" s="9">
        <v>1.896987E-2</v>
      </c>
      <c r="H27" s="156"/>
    </row>
    <row r="28" spans="1:8" x14ac:dyDescent="0.2">
      <c r="A28" s="5">
        <v>22</v>
      </c>
      <c r="B28" s="6" t="s">
        <v>408</v>
      </c>
      <c r="C28" s="6" t="s">
        <v>409</v>
      </c>
      <c r="D28" s="6" t="s">
        <v>169</v>
      </c>
      <c r="E28" s="7">
        <v>729</v>
      </c>
      <c r="F28" s="8">
        <v>24.390517500000001</v>
      </c>
      <c r="G28" s="9">
        <v>1.8951378000000001E-2</v>
      </c>
      <c r="H28" s="156"/>
    </row>
    <row r="29" spans="1:8" x14ac:dyDescent="0.2">
      <c r="A29" s="5">
        <v>23</v>
      </c>
      <c r="B29" s="6" t="s">
        <v>404</v>
      </c>
      <c r="C29" s="6" t="s">
        <v>405</v>
      </c>
      <c r="D29" s="6" t="s">
        <v>971</v>
      </c>
      <c r="E29" s="7">
        <v>2300</v>
      </c>
      <c r="F29" s="8">
        <v>23.187449999999998</v>
      </c>
      <c r="G29" s="9">
        <v>1.8016596999999999E-2</v>
      </c>
      <c r="H29" s="156"/>
    </row>
    <row r="30" spans="1:8" x14ac:dyDescent="0.2">
      <c r="A30" s="5">
        <v>24</v>
      </c>
      <c r="B30" s="6" t="s">
        <v>426</v>
      </c>
      <c r="C30" s="6" t="s">
        <v>427</v>
      </c>
      <c r="D30" s="6" t="s">
        <v>22</v>
      </c>
      <c r="E30" s="7">
        <v>1305</v>
      </c>
      <c r="F30" s="8">
        <v>22.261342500000001</v>
      </c>
      <c r="G30" s="9">
        <v>1.7297013999999999E-2</v>
      </c>
      <c r="H30" s="156"/>
    </row>
    <row r="31" spans="1:8" x14ac:dyDescent="0.2">
      <c r="A31" s="5">
        <v>25</v>
      </c>
      <c r="B31" s="6" t="s">
        <v>317</v>
      </c>
      <c r="C31" s="6" t="s">
        <v>318</v>
      </c>
      <c r="D31" s="6" t="s">
        <v>22</v>
      </c>
      <c r="E31" s="7">
        <v>22387</v>
      </c>
      <c r="F31" s="8">
        <v>19.499077</v>
      </c>
      <c r="G31" s="9">
        <v>1.5150739999999999E-2</v>
      </c>
      <c r="H31" s="156"/>
    </row>
    <row r="32" spans="1:8" x14ac:dyDescent="0.2">
      <c r="A32" s="5">
        <v>26</v>
      </c>
      <c r="B32" s="6" t="s">
        <v>422</v>
      </c>
      <c r="C32" s="6" t="s">
        <v>423</v>
      </c>
      <c r="D32" s="6" t="s">
        <v>73</v>
      </c>
      <c r="E32" s="7">
        <v>9339</v>
      </c>
      <c r="F32" s="8">
        <v>18.930153000000001</v>
      </c>
      <c r="G32" s="9">
        <v>1.4708687E-2</v>
      </c>
      <c r="H32" s="156"/>
    </row>
    <row r="33" spans="1:8" x14ac:dyDescent="0.2">
      <c r="A33" s="5">
        <v>27</v>
      </c>
      <c r="B33" s="6" t="s">
        <v>378</v>
      </c>
      <c r="C33" s="6" t="s">
        <v>379</v>
      </c>
      <c r="D33" s="6" t="s">
        <v>73</v>
      </c>
      <c r="E33" s="7">
        <v>2443</v>
      </c>
      <c r="F33" s="8">
        <v>18.429991999999999</v>
      </c>
      <c r="G33" s="9">
        <v>1.4320062999999999E-2</v>
      </c>
      <c r="H33" s="156"/>
    </row>
    <row r="34" spans="1:8" x14ac:dyDescent="0.2">
      <c r="A34" s="5">
        <v>28</v>
      </c>
      <c r="B34" s="6" t="s">
        <v>501</v>
      </c>
      <c r="C34" s="6" t="s">
        <v>502</v>
      </c>
      <c r="D34" s="6" t="s">
        <v>63</v>
      </c>
      <c r="E34" s="7">
        <v>1032</v>
      </c>
      <c r="F34" s="8">
        <v>17.8794</v>
      </c>
      <c r="G34" s="9">
        <v>1.3892254E-2</v>
      </c>
      <c r="H34" s="156"/>
    </row>
    <row r="35" spans="1:8" x14ac:dyDescent="0.2">
      <c r="A35" s="5">
        <v>29</v>
      </c>
      <c r="B35" s="6" t="s">
        <v>454</v>
      </c>
      <c r="C35" s="6" t="s">
        <v>455</v>
      </c>
      <c r="D35" s="6" t="s">
        <v>68</v>
      </c>
      <c r="E35" s="7">
        <v>4188</v>
      </c>
      <c r="F35" s="8">
        <v>17.430456</v>
      </c>
      <c r="G35" s="9">
        <v>1.3543426000000001E-2</v>
      </c>
      <c r="H35" s="156"/>
    </row>
    <row r="36" spans="1:8" x14ac:dyDescent="0.2">
      <c r="A36" s="5">
        <v>30</v>
      </c>
      <c r="B36" s="6" t="s">
        <v>500</v>
      </c>
      <c r="C36" s="6" t="s">
        <v>395</v>
      </c>
      <c r="D36" s="6" t="s">
        <v>345</v>
      </c>
      <c r="E36" s="7">
        <v>8072</v>
      </c>
      <c r="F36" s="8">
        <v>17.41534</v>
      </c>
      <c r="G36" s="9">
        <v>1.3531681E-2</v>
      </c>
      <c r="H36" s="156"/>
    </row>
    <row r="37" spans="1:8" x14ac:dyDescent="0.2">
      <c r="A37" s="5">
        <v>31</v>
      </c>
      <c r="B37" s="6" t="s">
        <v>346</v>
      </c>
      <c r="C37" s="6" t="s">
        <v>347</v>
      </c>
      <c r="D37" s="6" t="s">
        <v>22</v>
      </c>
      <c r="E37" s="7">
        <v>19598</v>
      </c>
      <c r="F37" s="8">
        <v>16.834682000000001</v>
      </c>
      <c r="G37" s="9">
        <v>1.3080511E-2</v>
      </c>
      <c r="H37" s="156"/>
    </row>
    <row r="38" spans="1:8" x14ac:dyDescent="0.2">
      <c r="A38" s="5">
        <v>32</v>
      </c>
      <c r="B38" s="6" t="s">
        <v>333</v>
      </c>
      <c r="C38" s="6" t="s">
        <v>334</v>
      </c>
      <c r="D38" s="6" t="s">
        <v>54</v>
      </c>
      <c r="E38" s="7">
        <v>4100</v>
      </c>
      <c r="F38" s="8">
        <v>16.295449999999999</v>
      </c>
      <c r="G38" s="9">
        <v>1.2661528999999999E-2</v>
      </c>
      <c r="H38" s="156"/>
    </row>
    <row r="39" spans="1:8" x14ac:dyDescent="0.2">
      <c r="A39" s="5">
        <v>33</v>
      </c>
      <c r="B39" s="6" t="s">
        <v>437</v>
      </c>
      <c r="C39" s="6" t="s">
        <v>438</v>
      </c>
      <c r="D39" s="6" t="s">
        <v>196</v>
      </c>
      <c r="E39" s="7">
        <v>1593</v>
      </c>
      <c r="F39" s="8">
        <v>15.482367</v>
      </c>
      <c r="G39" s="9">
        <v>1.2029765E-2</v>
      </c>
      <c r="H39" s="156"/>
    </row>
    <row r="40" spans="1:8" x14ac:dyDescent="0.2">
      <c r="A40" s="5">
        <v>34</v>
      </c>
      <c r="B40" s="6" t="s">
        <v>441</v>
      </c>
      <c r="C40" s="6" t="s">
        <v>442</v>
      </c>
      <c r="D40" s="6" t="s">
        <v>196</v>
      </c>
      <c r="E40" s="7">
        <v>260</v>
      </c>
      <c r="F40" s="8">
        <v>14.099930000000001</v>
      </c>
      <c r="G40" s="9">
        <v>1.0955614000000001E-2</v>
      </c>
      <c r="H40" s="156"/>
    </row>
    <row r="41" spans="1:8" x14ac:dyDescent="0.2">
      <c r="A41" s="5">
        <v>35</v>
      </c>
      <c r="B41" s="6" t="s">
        <v>406</v>
      </c>
      <c r="C41" s="6" t="s">
        <v>407</v>
      </c>
      <c r="D41" s="6" t="s">
        <v>73</v>
      </c>
      <c r="E41" s="7">
        <v>556</v>
      </c>
      <c r="F41" s="8">
        <v>13.740428</v>
      </c>
      <c r="G41" s="9">
        <v>1.0676282E-2</v>
      </c>
      <c r="H41" s="156"/>
    </row>
    <row r="42" spans="1:8" x14ac:dyDescent="0.2">
      <c r="A42" s="5">
        <v>36</v>
      </c>
      <c r="B42" s="6" t="s">
        <v>410</v>
      </c>
      <c r="C42" s="6" t="s">
        <v>411</v>
      </c>
      <c r="D42" s="6" t="s">
        <v>169</v>
      </c>
      <c r="E42" s="7">
        <v>1875</v>
      </c>
      <c r="F42" s="8">
        <v>10.2309375</v>
      </c>
      <c r="G42" s="9">
        <v>7.9494160000000008E-3</v>
      </c>
      <c r="H42" s="156"/>
    </row>
    <row r="43" spans="1:8" x14ac:dyDescent="0.2">
      <c r="A43" s="5">
        <v>37</v>
      </c>
      <c r="B43" s="6" t="s">
        <v>335</v>
      </c>
      <c r="C43" s="6" t="s">
        <v>336</v>
      </c>
      <c r="D43" s="6" t="s">
        <v>196</v>
      </c>
      <c r="E43" s="7">
        <v>202</v>
      </c>
      <c r="F43" s="8">
        <v>6.9170860000000003</v>
      </c>
      <c r="G43" s="9">
        <v>5.3745609999999999E-3</v>
      </c>
      <c r="H43" s="156"/>
    </row>
    <row r="44" spans="1:8" x14ac:dyDescent="0.2">
      <c r="A44" s="3" t="s">
        <v>9</v>
      </c>
      <c r="B44" s="3" t="s">
        <v>9</v>
      </c>
      <c r="C44" s="4" t="s">
        <v>105</v>
      </c>
      <c r="D44" s="3" t="s">
        <v>9</v>
      </c>
      <c r="E44" s="3" t="s">
        <v>9</v>
      </c>
      <c r="F44" s="10">
        <v>1256.5682059999999</v>
      </c>
      <c r="G44" s="11">
        <v>0.97635071900000003</v>
      </c>
      <c r="H44" s="156"/>
    </row>
    <row r="45" spans="1:8" x14ac:dyDescent="0.2">
      <c r="A45" s="3" t="s">
        <v>9</v>
      </c>
      <c r="B45" s="3" t="s">
        <v>9</v>
      </c>
      <c r="C45" s="12" t="s">
        <v>9</v>
      </c>
      <c r="D45" s="3" t="s">
        <v>9</v>
      </c>
      <c r="E45" s="3" t="s">
        <v>9</v>
      </c>
      <c r="F45" s="13" t="s">
        <v>9</v>
      </c>
      <c r="G45" s="13" t="s">
        <v>9</v>
      </c>
      <c r="H45" s="156"/>
    </row>
    <row r="46" spans="1:8" x14ac:dyDescent="0.2">
      <c r="A46" s="3" t="s">
        <v>9</v>
      </c>
      <c r="B46" s="3" t="s">
        <v>9</v>
      </c>
      <c r="C46" s="4" t="s">
        <v>106</v>
      </c>
      <c r="D46" s="3" t="s">
        <v>9</v>
      </c>
      <c r="E46" s="3" t="s">
        <v>9</v>
      </c>
      <c r="F46" s="3" t="s">
        <v>9</v>
      </c>
      <c r="G46" s="3" t="s">
        <v>9</v>
      </c>
      <c r="H46" s="156"/>
    </row>
    <row r="47" spans="1:8" x14ac:dyDescent="0.2">
      <c r="A47" s="3" t="s">
        <v>9</v>
      </c>
      <c r="B47" s="3" t="s">
        <v>9</v>
      </c>
      <c r="C47" s="4" t="s">
        <v>105</v>
      </c>
      <c r="D47" s="3" t="s">
        <v>9</v>
      </c>
      <c r="E47" s="3" t="s">
        <v>9</v>
      </c>
      <c r="F47" s="14">
        <v>0</v>
      </c>
      <c r="G47" s="15">
        <v>0</v>
      </c>
      <c r="H47" s="156"/>
    </row>
    <row r="48" spans="1:8" x14ac:dyDescent="0.2">
      <c r="A48" s="3" t="s">
        <v>9</v>
      </c>
      <c r="B48" s="3" t="s">
        <v>9</v>
      </c>
      <c r="C48" s="12" t="s">
        <v>9</v>
      </c>
      <c r="D48" s="3" t="s">
        <v>9</v>
      </c>
      <c r="E48" s="3" t="s">
        <v>9</v>
      </c>
      <c r="F48" s="13" t="s">
        <v>9</v>
      </c>
      <c r="G48" s="1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107</v>
      </c>
      <c r="D49" s="3" t="s">
        <v>9</v>
      </c>
      <c r="E49" s="3" t="s">
        <v>9</v>
      </c>
      <c r="F49" s="3" t="s">
        <v>9</v>
      </c>
      <c r="G49" s="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105</v>
      </c>
      <c r="D50" s="3" t="s">
        <v>9</v>
      </c>
      <c r="E50" s="3" t="s">
        <v>9</v>
      </c>
      <c r="F50" s="14">
        <v>0</v>
      </c>
      <c r="G50" s="15">
        <v>0</v>
      </c>
      <c r="H50" s="156"/>
    </row>
    <row r="51" spans="1:8" x14ac:dyDescent="0.2">
      <c r="A51" s="3" t="s">
        <v>9</v>
      </c>
      <c r="B51" s="3" t="s">
        <v>9</v>
      </c>
      <c r="C51" s="12" t="s">
        <v>9</v>
      </c>
      <c r="D51" s="3" t="s">
        <v>9</v>
      </c>
      <c r="E51" s="3" t="s">
        <v>9</v>
      </c>
      <c r="F51" s="13" t="s">
        <v>9</v>
      </c>
      <c r="G51" s="13" t="s">
        <v>9</v>
      </c>
      <c r="H51" s="156"/>
    </row>
    <row r="52" spans="1:8" x14ac:dyDescent="0.2">
      <c r="A52" s="3" t="s">
        <v>9</v>
      </c>
      <c r="B52" s="3" t="s">
        <v>9</v>
      </c>
      <c r="C52" s="4" t="s">
        <v>111</v>
      </c>
      <c r="D52" s="3" t="s">
        <v>9</v>
      </c>
      <c r="E52" s="3" t="s">
        <v>9</v>
      </c>
      <c r="F52" s="3" t="s">
        <v>9</v>
      </c>
      <c r="G52" s="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4">
        <v>0</v>
      </c>
      <c r="G53" s="15">
        <v>0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112</v>
      </c>
      <c r="D55" s="3" t="s">
        <v>9</v>
      </c>
      <c r="E55" s="3" t="s">
        <v>9</v>
      </c>
      <c r="F55" s="13" t="s">
        <v>9</v>
      </c>
      <c r="G55" s="1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105</v>
      </c>
      <c r="D56" s="3" t="s">
        <v>9</v>
      </c>
      <c r="E56" s="3" t="s">
        <v>9</v>
      </c>
      <c r="F56" s="14">
        <v>0</v>
      </c>
      <c r="G56" s="15">
        <v>0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113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105</v>
      </c>
      <c r="D59" s="3" t="s">
        <v>9</v>
      </c>
      <c r="E59" s="3" t="s">
        <v>9</v>
      </c>
      <c r="F59" s="14">
        <v>0</v>
      </c>
      <c r="G59" s="15">
        <v>0</v>
      </c>
      <c r="H59" s="156"/>
    </row>
    <row r="60" spans="1:8" x14ac:dyDescent="0.2">
      <c r="A60" s="3" t="s">
        <v>9</v>
      </c>
      <c r="B60" s="3" t="s">
        <v>9</v>
      </c>
      <c r="C60" s="12" t="s">
        <v>9</v>
      </c>
      <c r="D60" s="3" t="s">
        <v>9</v>
      </c>
      <c r="E60" s="3" t="s">
        <v>9</v>
      </c>
      <c r="F60" s="13" t="s">
        <v>9</v>
      </c>
      <c r="G60" s="1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114</v>
      </c>
      <c r="D61" s="3" t="s">
        <v>9</v>
      </c>
      <c r="E61" s="3" t="s">
        <v>9</v>
      </c>
      <c r="F61" s="10">
        <v>1256.5682059999999</v>
      </c>
      <c r="G61" s="11">
        <v>0.97635071900000003</v>
      </c>
      <c r="H61" s="156"/>
    </row>
    <row r="62" spans="1:8" x14ac:dyDescent="0.2">
      <c r="A62" s="3" t="s">
        <v>9</v>
      </c>
      <c r="B62" s="3" t="s">
        <v>9</v>
      </c>
      <c r="C62" s="12" t="s">
        <v>9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115</v>
      </c>
      <c r="D63" s="3" t="s">
        <v>9</v>
      </c>
      <c r="E63" s="3" t="s">
        <v>9</v>
      </c>
      <c r="F63" s="13" t="s">
        <v>9</v>
      </c>
      <c r="G63" s="1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11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105</v>
      </c>
      <c r="D65" s="3" t="s">
        <v>9</v>
      </c>
      <c r="E65" s="3" t="s">
        <v>9</v>
      </c>
      <c r="F65" s="14">
        <v>0</v>
      </c>
      <c r="G65" s="15">
        <v>0</v>
      </c>
      <c r="H65" s="156"/>
    </row>
    <row r="66" spans="1:8" x14ac:dyDescent="0.2">
      <c r="A66" s="3" t="s">
        <v>9</v>
      </c>
      <c r="B66" s="3" t="s">
        <v>9</v>
      </c>
      <c r="C66" s="12" t="s">
        <v>9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116</v>
      </c>
      <c r="D67" s="3" t="s">
        <v>9</v>
      </c>
      <c r="E67" s="3" t="s">
        <v>9</v>
      </c>
      <c r="F67" s="3" t="s">
        <v>9</v>
      </c>
      <c r="G67" s="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105</v>
      </c>
      <c r="D68" s="3" t="s">
        <v>9</v>
      </c>
      <c r="E68" s="3" t="s">
        <v>9</v>
      </c>
      <c r="F68" s="14">
        <v>0</v>
      </c>
      <c r="G68" s="15">
        <v>0</v>
      </c>
      <c r="H68" s="156"/>
    </row>
    <row r="69" spans="1:8" x14ac:dyDescent="0.2">
      <c r="A69" s="3" t="s">
        <v>9</v>
      </c>
      <c r="B69" s="3" t="s">
        <v>9</v>
      </c>
      <c r="C69" s="12" t="s">
        <v>9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117</v>
      </c>
      <c r="D70" s="3" t="s">
        <v>9</v>
      </c>
      <c r="E70" s="3" t="s">
        <v>9</v>
      </c>
      <c r="F70" s="3" t="s">
        <v>9</v>
      </c>
      <c r="G70" s="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4">
        <v>0</v>
      </c>
      <c r="G71" s="15">
        <v>0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118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105</v>
      </c>
      <c r="D74" s="3" t="s">
        <v>9</v>
      </c>
      <c r="E74" s="3" t="s">
        <v>9</v>
      </c>
      <c r="F74" s="14">
        <v>0</v>
      </c>
      <c r="G74" s="15">
        <v>0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119</v>
      </c>
      <c r="D76" s="3" t="s">
        <v>9</v>
      </c>
      <c r="E76" s="3" t="s">
        <v>9</v>
      </c>
      <c r="F76" s="10">
        <v>0</v>
      </c>
      <c r="G76" s="11">
        <v>0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120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121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105</v>
      </c>
      <c r="D80" s="3" t="s">
        <v>9</v>
      </c>
      <c r="E80" s="3" t="s">
        <v>9</v>
      </c>
      <c r="F80" s="14">
        <v>0</v>
      </c>
      <c r="G80" s="15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122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123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105</v>
      </c>
      <c r="D86" s="3" t="s">
        <v>9</v>
      </c>
      <c r="E86" s="3" t="s">
        <v>9</v>
      </c>
      <c r="F86" s="14">
        <v>0</v>
      </c>
      <c r="G86" s="15">
        <v>0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124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5">
        <v>1</v>
      </c>
      <c r="B89" s="6"/>
      <c r="C89" s="6" t="s">
        <v>125</v>
      </c>
      <c r="D89" s="6"/>
      <c r="E89" s="16" t="s">
        <v>9</v>
      </c>
      <c r="F89" s="8">
        <v>20.951808199999999</v>
      </c>
      <c r="G89" s="9">
        <v>1.6279509000000001E-2</v>
      </c>
      <c r="H89" s="8">
        <v>3.3326163573085874</v>
      </c>
    </row>
    <row r="90" spans="1:8" x14ac:dyDescent="0.2">
      <c r="A90" s="5">
        <v>2</v>
      </c>
      <c r="B90" s="6"/>
      <c r="C90" s="6" t="s">
        <v>126</v>
      </c>
      <c r="D90" s="6"/>
      <c r="E90" s="16" t="s">
        <v>9</v>
      </c>
      <c r="F90" s="8">
        <v>14.964874200000001</v>
      </c>
      <c r="G90" s="9">
        <v>1.1627673999999999E-2</v>
      </c>
      <c r="H90" s="8">
        <v>3.2337849550915885</v>
      </c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0">
        <v>35.916682399999999</v>
      </c>
      <c r="G91" s="11">
        <v>2.7907182999999999E-2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127</v>
      </c>
      <c r="D93" s="3" t="s">
        <v>9</v>
      </c>
      <c r="E93" s="3" t="s">
        <v>9</v>
      </c>
      <c r="F93" s="10">
        <v>35.916682399999999</v>
      </c>
      <c r="G93" s="11">
        <v>2.7907182999999999E-2</v>
      </c>
      <c r="H93" s="156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3" t="s">
        <v>9</v>
      </c>
      <c r="G94" s="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128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129</v>
      </c>
      <c r="D96" s="3" t="s">
        <v>9</v>
      </c>
      <c r="E96" s="3" t="s">
        <v>9</v>
      </c>
      <c r="F96" s="3" t="s">
        <v>9</v>
      </c>
      <c r="G96" s="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130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131</v>
      </c>
      <c r="D100" s="3" t="s">
        <v>9</v>
      </c>
      <c r="E100" s="3" t="s">
        <v>9</v>
      </c>
      <c r="F100" s="3" t="s">
        <v>9</v>
      </c>
      <c r="G100" s="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4">
        <v>0</v>
      </c>
      <c r="G101" s="15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132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6" t="s">
        <v>9</v>
      </c>
      <c r="C107" s="6" t="s">
        <v>9</v>
      </c>
      <c r="D107" s="4" t="s">
        <v>9</v>
      </c>
      <c r="E107" s="3" t="s">
        <v>9</v>
      </c>
      <c r="F107" s="6" t="s">
        <v>9</v>
      </c>
      <c r="G107" s="16" t="s">
        <v>9</v>
      </c>
      <c r="H107" s="156"/>
    </row>
    <row r="108" spans="1:8" x14ac:dyDescent="0.2">
      <c r="A108" s="16" t="s">
        <v>9</v>
      </c>
      <c r="B108" s="6" t="s">
        <v>9</v>
      </c>
      <c r="C108" s="6" t="s">
        <v>133</v>
      </c>
      <c r="D108" s="6" t="s">
        <v>9</v>
      </c>
      <c r="E108" s="16" t="s">
        <v>9</v>
      </c>
      <c r="F108" s="8">
        <v>-5.4799411899999999</v>
      </c>
      <c r="G108" s="9">
        <v>-4.257902E-3</v>
      </c>
      <c r="H108" s="156"/>
    </row>
    <row r="109" spans="1:8" x14ac:dyDescent="0.2">
      <c r="A109" s="12" t="s">
        <v>9</v>
      </c>
      <c r="B109" s="12" t="s">
        <v>9</v>
      </c>
      <c r="C109" s="4" t="s">
        <v>134</v>
      </c>
      <c r="D109" s="17" t="s">
        <v>9</v>
      </c>
      <c r="E109" s="17" t="s">
        <v>9</v>
      </c>
      <c r="F109" s="10">
        <v>1287.00494721</v>
      </c>
      <c r="G109" s="11">
        <v>1</v>
      </c>
      <c r="H109" s="156"/>
    </row>
    <row r="110" spans="1:8" ht="14.1" customHeight="1" x14ac:dyDescent="0.2">
      <c r="A110" s="18" t="s">
        <v>9</v>
      </c>
      <c r="B110" s="18" t="s">
        <v>9</v>
      </c>
      <c r="C110" s="18" t="s">
        <v>9</v>
      </c>
      <c r="D110" s="19" t="s">
        <v>9</v>
      </c>
      <c r="E110" s="19" t="s">
        <v>9</v>
      </c>
      <c r="F110" s="19" t="s">
        <v>9</v>
      </c>
      <c r="G110" s="19" t="s">
        <v>9</v>
      </c>
    </row>
    <row r="111" spans="1:8" ht="14.1" customHeight="1" x14ac:dyDescent="0.2">
      <c r="A111" s="20" t="s">
        <v>9</v>
      </c>
      <c r="B111" s="200" t="s">
        <v>9</v>
      </c>
      <c r="C111" s="200"/>
      <c r="D111" s="200"/>
      <c r="E111" s="200"/>
      <c r="F111" s="200"/>
      <c r="G111" s="22" t="s">
        <v>9</v>
      </c>
    </row>
    <row r="112" spans="1:8" ht="14.1" customHeight="1" x14ac:dyDescent="0.2">
      <c r="A112" s="20" t="s">
        <v>9</v>
      </c>
      <c r="B112" s="200" t="s">
        <v>9</v>
      </c>
      <c r="C112" s="200"/>
      <c r="D112" s="200"/>
      <c r="E112" s="200"/>
      <c r="F112" s="200"/>
      <c r="G112" s="22" t="s">
        <v>9</v>
      </c>
    </row>
    <row r="113" spans="1:8" ht="14.1" customHeight="1" x14ac:dyDescent="0.2">
      <c r="A113" s="20" t="s">
        <v>9</v>
      </c>
      <c r="B113" s="20" t="s">
        <v>9</v>
      </c>
      <c r="C113" s="20" t="s">
        <v>9</v>
      </c>
      <c r="D113" s="22" t="s">
        <v>9</v>
      </c>
      <c r="E113" s="22" t="s">
        <v>9</v>
      </c>
      <c r="F113" s="22" t="s">
        <v>9</v>
      </c>
      <c r="G113" s="22" t="s">
        <v>9</v>
      </c>
    </row>
    <row r="114" spans="1:8" ht="14.1" customHeight="1" x14ac:dyDescent="0.2">
      <c r="A114" s="20" t="s">
        <v>9</v>
      </c>
      <c r="B114" s="198" t="s">
        <v>136</v>
      </c>
      <c r="C114" s="199"/>
      <c r="D114" s="13" t="s">
        <v>9</v>
      </c>
      <c r="E114" s="23" t="s">
        <v>9</v>
      </c>
      <c r="F114" s="22" t="s">
        <v>9</v>
      </c>
      <c r="G114" s="22" t="s">
        <v>9</v>
      </c>
    </row>
    <row r="115" spans="1:8" ht="29.1" customHeight="1" x14ac:dyDescent="0.2">
      <c r="A115" s="20" t="s">
        <v>9</v>
      </c>
      <c r="B115" s="205" t="s">
        <v>137</v>
      </c>
      <c r="C115" s="206"/>
      <c r="D115" s="4" t="s">
        <v>138</v>
      </c>
      <c r="E115" s="23" t="s">
        <v>9</v>
      </c>
      <c r="F115" s="22" t="s">
        <v>9</v>
      </c>
      <c r="G115" s="22" t="s">
        <v>9</v>
      </c>
    </row>
    <row r="116" spans="1:8" ht="17.100000000000001" customHeight="1" x14ac:dyDescent="0.2">
      <c r="A116" s="20" t="s">
        <v>9</v>
      </c>
      <c r="B116" s="205" t="s">
        <v>139</v>
      </c>
      <c r="C116" s="206"/>
      <c r="D116" s="4" t="s">
        <v>138</v>
      </c>
      <c r="E116" s="23" t="s">
        <v>9</v>
      </c>
      <c r="F116" s="22" t="s">
        <v>9</v>
      </c>
      <c r="G116" s="22" t="s">
        <v>9</v>
      </c>
    </row>
    <row r="117" spans="1:8" ht="17.100000000000001" customHeight="1" x14ac:dyDescent="0.2">
      <c r="A117" s="20" t="s">
        <v>9</v>
      </c>
      <c r="B117" s="205" t="s">
        <v>140</v>
      </c>
      <c r="C117" s="206"/>
      <c r="D117" s="13" t="s">
        <v>9</v>
      </c>
      <c r="E117" s="23" t="s">
        <v>9</v>
      </c>
      <c r="F117" s="22" t="s">
        <v>9</v>
      </c>
      <c r="G117" s="22" t="s">
        <v>9</v>
      </c>
    </row>
    <row r="118" spans="1:8" ht="24" customHeight="1" x14ac:dyDescent="0.2">
      <c r="A118" s="24" t="s">
        <v>9</v>
      </c>
      <c r="B118" s="25" t="s">
        <v>9</v>
      </c>
      <c r="C118" s="25" t="s">
        <v>141</v>
      </c>
      <c r="D118" s="25" t="s">
        <v>142</v>
      </c>
      <c r="E118" s="24" t="s">
        <v>9</v>
      </c>
      <c r="F118" s="24" t="s">
        <v>9</v>
      </c>
      <c r="G118" s="24" t="s">
        <v>9</v>
      </c>
    </row>
    <row r="119" spans="1:8" ht="18" customHeight="1" x14ac:dyDescent="0.2">
      <c r="A119" s="24" t="s">
        <v>9</v>
      </c>
      <c r="B119" s="25" t="s">
        <v>143</v>
      </c>
      <c r="C119" s="25" t="s">
        <v>144</v>
      </c>
      <c r="D119" s="25" t="s">
        <v>145</v>
      </c>
      <c r="E119" s="24" t="s">
        <v>9</v>
      </c>
      <c r="F119" s="24" t="s">
        <v>9</v>
      </c>
      <c r="G119" s="24" t="s">
        <v>9</v>
      </c>
    </row>
    <row r="120" spans="1:8" ht="17.100000000000001" customHeight="1" x14ac:dyDescent="0.2">
      <c r="A120" s="24" t="s">
        <v>9</v>
      </c>
      <c r="B120" s="6" t="s">
        <v>146</v>
      </c>
      <c r="C120" s="26">
        <v>21.036899999999999</v>
      </c>
      <c r="D120" s="26">
        <v>21.591699999999999</v>
      </c>
      <c r="E120" s="24" t="s">
        <v>9</v>
      </c>
      <c r="F120" s="21" t="s">
        <v>9</v>
      </c>
      <c r="G120" s="27" t="s">
        <v>9</v>
      </c>
    </row>
    <row r="121" spans="1:8" ht="17.100000000000001" customHeight="1" x14ac:dyDescent="0.2">
      <c r="A121" s="24" t="s">
        <v>9</v>
      </c>
      <c r="B121" s="6" t="s">
        <v>839</v>
      </c>
      <c r="C121" s="26">
        <v>19.504200000000001</v>
      </c>
      <c r="D121" s="26">
        <v>17.494499999999999</v>
      </c>
      <c r="E121" s="24" t="s">
        <v>9</v>
      </c>
      <c r="F121" s="21" t="s">
        <v>9</v>
      </c>
      <c r="G121" s="27" t="s">
        <v>9</v>
      </c>
    </row>
    <row r="122" spans="1:8" ht="17.100000000000001" customHeight="1" x14ac:dyDescent="0.2">
      <c r="A122" s="24" t="s">
        <v>9</v>
      </c>
      <c r="B122" s="6" t="s">
        <v>147</v>
      </c>
      <c r="C122" s="26">
        <v>20.5794</v>
      </c>
      <c r="D122" s="26">
        <v>21.119399999999999</v>
      </c>
      <c r="E122" s="24" t="s">
        <v>9</v>
      </c>
      <c r="F122" s="21" t="s">
        <v>9</v>
      </c>
      <c r="G122" s="27" t="s">
        <v>9</v>
      </c>
    </row>
    <row r="123" spans="1:8" ht="17.100000000000001" customHeight="1" x14ac:dyDescent="0.2">
      <c r="A123" s="24" t="s">
        <v>9</v>
      </c>
      <c r="B123" s="6" t="s">
        <v>840</v>
      </c>
      <c r="C123" s="26">
        <v>19.069700000000001</v>
      </c>
      <c r="D123" s="26">
        <v>17.045999999999999</v>
      </c>
      <c r="E123" s="24" t="s">
        <v>9</v>
      </c>
      <c r="F123" s="21" t="s">
        <v>9</v>
      </c>
      <c r="G123" s="27" t="s">
        <v>9</v>
      </c>
    </row>
    <row r="124" spans="1:8" ht="14.1" customHeight="1" x14ac:dyDescent="0.2">
      <c r="A124" s="24" t="s">
        <v>9</v>
      </c>
      <c r="B124" s="24" t="s">
        <v>9</v>
      </c>
      <c r="C124" s="24" t="s">
        <v>9</v>
      </c>
      <c r="D124" s="24" t="s">
        <v>9</v>
      </c>
      <c r="E124" s="24" t="s">
        <v>9</v>
      </c>
      <c r="F124" s="24" t="s">
        <v>9</v>
      </c>
      <c r="G124" s="24" t="s">
        <v>9</v>
      </c>
    </row>
    <row r="125" spans="1:8" ht="29.1" customHeight="1" x14ac:dyDescent="0.2">
      <c r="A125" s="167" t="s">
        <v>9</v>
      </c>
      <c r="B125" s="207" t="s">
        <v>986</v>
      </c>
      <c r="C125" s="207"/>
      <c r="D125" s="160"/>
      <c r="E125" s="167" t="s">
        <v>9</v>
      </c>
      <c r="F125" s="167" t="s">
        <v>9</v>
      </c>
      <c r="G125" s="167" t="s">
        <v>9</v>
      </c>
    </row>
    <row r="126" spans="1:8" s="166" customFormat="1" ht="15" x14ac:dyDescent="0.2">
      <c r="A126" s="148" t="s">
        <v>9</v>
      </c>
      <c r="B126" s="161" t="s">
        <v>143</v>
      </c>
      <c r="C126" s="161" t="s">
        <v>878</v>
      </c>
      <c r="D126" s="161" t="s">
        <v>879</v>
      </c>
      <c r="E126" s="148" t="s">
        <v>9</v>
      </c>
      <c r="F126" s="148" t="s">
        <v>9</v>
      </c>
      <c r="G126" s="148" t="s">
        <v>9</v>
      </c>
      <c r="H126" s="165"/>
    </row>
    <row r="127" spans="1:8" ht="17.100000000000001" customHeight="1" x14ac:dyDescent="0.2">
      <c r="A127" s="24" t="s">
        <v>9</v>
      </c>
      <c r="B127" s="162" t="s">
        <v>839</v>
      </c>
      <c r="C127" s="163">
        <v>2.5</v>
      </c>
      <c r="D127" s="163">
        <v>0</v>
      </c>
      <c r="E127" s="24" t="s">
        <v>9</v>
      </c>
      <c r="F127" s="31" t="s">
        <v>9</v>
      </c>
      <c r="G127" s="27" t="s">
        <v>9</v>
      </c>
    </row>
    <row r="128" spans="1:8" ht="17.100000000000001" customHeight="1" x14ac:dyDescent="0.2">
      <c r="A128" s="24" t="s">
        <v>9</v>
      </c>
      <c r="B128" s="162" t="s">
        <v>840</v>
      </c>
      <c r="C128" s="163">
        <v>2.5</v>
      </c>
      <c r="D128" s="163">
        <v>0</v>
      </c>
      <c r="E128" s="24" t="s">
        <v>9</v>
      </c>
      <c r="F128" s="31" t="s">
        <v>9</v>
      </c>
      <c r="G128" s="27" t="s">
        <v>9</v>
      </c>
    </row>
    <row r="129" spans="1:7" ht="14.1" customHeight="1" x14ac:dyDescent="0.2">
      <c r="A129" s="24" t="s">
        <v>9</v>
      </c>
      <c r="B129" s="21" t="s">
        <v>9</v>
      </c>
      <c r="C129" s="21" t="s">
        <v>9</v>
      </c>
      <c r="D129" s="24" t="s">
        <v>9</v>
      </c>
      <c r="E129" s="24" t="s">
        <v>9</v>
      </c>
      <c r="F129" s="24" t="s">
        <v>9</v>
      </c>
      <c r="G129" s="24" t="s">
        <v>9</v>
      </c>
    </row>
    <row r="130" spans="1:7" s="197" customFormat="1" x14ac:dyDescent="0.2">
      <c r="B130" s="208" t="s">
        <v>841</v>
      </c>
      <c r="C130" s="208"/>
      <c r="D130" s="208"/>
      <c r="E130" s="208"/>
      <c r="F130" s="208"/>
    </row>
    <row r="131" spans="1:7" ht="14.1" customHeight="1" x14ac:dyDescent="0.2">
      <c r="A131" s="24"/>
      <c r="B131" s="182"/>
      <c r="C131" s="182"/>
      <c r="D131" s="24"/>
      <c r="E131" s="24"/>
      <c r="F131" s="24"/>
      <c r="G131" s="24"/>
    </row>
    <row r="132" spans="1:7" ht="29.1" customHeight="1" x14ac:dyDescent="0.2">
      <c r="A132" s="24" t="s">
        <v>9</v>
      </c>
      <c r="B132" s="205" t="s">
        <v>148</v>
      </c>
      <c r="C132" s="206"/>
      <c r="D132" s="4" t="s">
        <v>138</v>
      </c>
      <c r="E132" s="24" t="s">
        <v>9</v>
      </c>
      <c r="F132" s="24" t="s">
        <v>9</v>
      </c>
      <c r="G132" s="24" t="s">
        <v>9</v>
      </c>
    </row>
    <row r="133" spans="1:7" ht="29.1" customHeight="1" x14ac:dyDescent="0.2">
      <c r="A133" s="24" t="s">
        <v>9</v>
      </c>
      <c r="B133" s="205" t="s">
        <v>149</v>
      </c>
      <c r="C133" s="206"/>
      <c r="D133" s="4" t="s">
        <v>138</v>
      </c>
      <c r="E133" s="24" t="s">
        <v>9</v>
      </c>
      <c r="F133" s="24" t="s">
        <v>9</v>
      </c>
      <c r="G133" s="24" t="s">
        <v>9</v>
      </c>
    </row>
    <row r="134" spans="1:7" ht="17.100000000000001" customHeight="1" x14ac:dyDescent="0.2">
      <c r="A134" s="24" t="s">
        <v>9</v>
      </c>
      <c r="B134" s="205" t="s">
        <v>150</v>
      </c>
      <c r="C134" s="206"/>
      <c r="D134" s="29">
        <v>0.2718777549700836</v>
      </c>
      <c r="E134" s="24" t="s">
        <v>9</v>
      </c>
      <c r="F134" s="21" t="s">
        <v>9</v>
      </c>
      <c r="G134" s="27" t="s">
        <v>9</v>
      </c>
    </row>
    <row r="135" spans="1:7" ht="17.100000000000001" customHeight="1" x14ac:dyDescent="0.2">
      <c r="A135" s="24" t="s">
        <v>9</v>
      </c>
      <c r="B135" s="205" t="s">
        <v>151</v>
      </c>
      <c r="C135" s="206"/>
      <c r="D135" s="4" t="s">
        <v>138</v>
      </c>
      <c r="E135" s="24" t="s">
        <v>9</v>
      </c>
      <c r="F135" s="24" t="s">
        <v>9</v>
      </c>
      <c r="G135" s="24" t="s">
        <v>9</v>
      </c>
    </row>
  </sheetData>
  <mergeCells count="15">
    <mergeCell ref="B134:C134"/>
    <mergeCell ref="B135:C135"/>
    <mergeCell ref="B115:C115"/>
    <mergeCell ref="B116:C116"/>
    <mergeCell ref="B117:C117"/>
    <mergeCell ref="B125:C125"/>
    <mergeCell ref="B132:C132"/>
    <mergeCell ref="B133:C133"/>
    <mergeCell ref="B130:F130"/>
    <mergeCell ref="B114:C114"/>
    <mergeCell ref="B111:F111"/>
    <mergeCell ref="B112:F11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57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504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24542</v>
      </c>
      <c r="F7" s="8">
        <v>304.79936900000001</v>
      </c>
      <c r="G7" s="9">
        <v>3.6898014999999999E-2</v>
      </c>
      <c r="H7" s="156"/>
    </row>
    <row r="8" spans="1:8" x14ac:dyDescent="0.2">
      <c r="A8" s="5">
        <v>2</v>
      </c>
      <c r="B8" s="6" t="s">
        <v>468</v>
      </c>
      <c r="C8" s="6" t="s">
        <v>469</v>
      </c>
      <c r="D8" s="6" t="s">
        <v>196</v>
      </c>
      <c r="E8" s="7">
        <v>61480</v>
      </c>
      <c r="F8" s="8">
        <v>301.77458000000001</v>
      </c>
      <c r="G8" s="9">
        <v>3.6531844000000001E-2</v>
      </c>
      <c r="H8" s="156"/>
    </row>
    <row r="9" spans="1:8" x14ac:dyDescent="0.2">
      <c r="A9" s="5">
        <v>3</v>
      </c>
      <c r="B9" s="6" t="s">
        <v>153</v>
      </c>
      <c r="C9" s="6" t="s">
        <v>154</v>
      </c>
      <c r="D9" s="6" t="s">
        <v>155</v>
      </c>
      <c r="E9" s="7">
        <v>7931</v>
      </c>
      <c r="F9" s="8">
        <v>297.35301750000002</v>
      </c>
      <c r="G9" s="9">
        <v>3.5996583999999998E-2</v>
      </c>
      <c r="H9" s="156"/>
    </row>
    <row r="10" spans="1:8" x14ac:dyDescent="0.2">
      <c r="A10" s="5">
        <v>4</v>
      </c>
      <c r="B10" s="6" t="s">
        <v>160</v>
      </c>
      <c r="C10" s="6" t="s">
        <v>161</v>
      </c>
      <c r="D10" s="6" t="s">
        <v>28</v>
      </c>
      <c r="E10" s="7">
        <v>36203</v>
      </c>
      <c r="F10" s="8">
        <v>244.37025</v>
      </c>
      <c r="G10" s="9">
        <v>2.9582662999999999E-2</v>
      </c>
      <c r="H10" s="156"/>
    </row>
    <row r="11" spans="1:8" x14ac:dyDescent="0.2">
      <c r="A11" s="5">
        <v>5</v>
      </c>
      <c r="B11" s="6" t="s">
        <v>185</v>
      </c>
      <c r="C11" s="6" t="s">
        <v>186</v>
      </c>
      <c r="D11" s="6" t="s">
        <v>172</v>
      </c>
      <c r="E11" s="7">
        <v>102498</v>
      </c>
      <c r="F11" s="8">
        <v>229.59551999999999</v>
      </c>
      <c r="G11" s="9">
        <v>2.7794083000000001E-2</v>
      </c>
      <c r="H11" s="156"/>
    </row>
    <row r="12" spans="1:8" x14ac:dyDescent="0.2">
      <c r="A12" s="5">
        <v>6</v>
      </c>
      <c r="B12" s="6" t="s">
        <v>158</v>
      </c>
      <c r="C12" s="6" t="s">
        <v>159</v>
      </c>
      <c r="D12" s="6" t="s">
        <v>28</v>
      </c>
      <c r="E12" s="7">
        <v>30438</v>
      </c>
      <c r="F12" s="8">
        <v>211.07231100000001</v>
      </c>
      <c r="G12" s="9">
        <v>2.5551724000000001E-2</v>
      </c>
      <c r="H12" s="156"/>
    </row>
    <row r="13" spans="1:8" x14ac:dyDescent="0.2">
      <c r="A13" s="5">
        <v>7</v>
      </c>
      <c r="B13" s="6" t="s">
        <v>167</v>
      </c>
      <c r="C13" s="6" t="s">
        <v>168</v>
      </c>
      <c r="D13" s="6" t="s">
        <v>169</v>
      </c>
      <c r="E13" s="7">
        <v>78633</v>
      </c>
      <c r="F13" s="8">
        <v>204.209901</v>
      </c>
      <c r="G13" s="9">
        <v>2.4720982999999998E-2</v>
      </c>
      <c r="H13" s="156"/>
    </row>
    <row r="14" spans="1:8" x14ac:dyDescent="0.2">
      <c r="A14" s="5">
        <v>8</v>
      </c>
      <c r="B14" s="6" t="s">
        <v>175</v>
      </c>
      <c r="C14" s="6" t="s">
        <v>176</v>
      </c>
      <c r="D14" s="6" t="s">
        <v>974</v>
      </c>
      <c r="E14" s="7">
        <v>23395</v>
      </c>
      <c r="F14" s="8">
        <v>200.75249500000001</v>
      </c>
      <c r="G14" s="9">
        <v>2.4302441000000001E-2</v>
      </c>
      <c r="H14" s="156"/>
    </row>
    <row r="15" spans="1:8" x14ac:dyDescent="0.2">
      <c r="A15" s="5">
        <v>9</v>
      </c>
      <c r="B15" s="6" t="s">
        <v>31</v>
      </c>
      <c r="C15" s="6" t="s">
        <v>32</v>
      </c>
      <c r="D15" s="6" t="s">
        <v>972</v>
      </c>
      <c r="E15" s="7">
        <v>6837</v>
      </c>
      <c r="F15" s="8">
        <v>194.957055</v>
      </c>
      <c r="G15" s="9">
        <v>2.3600863999999999E-2</v>
      </c>
      <c r="H15" s="156"/>
    </row>
    <row r="16" spans="1:8" x14ac:dyDescent="0.2">
      <c r="A16" s="5">
        <v>10</v>
      </c>
      <c r="B16" s="6" t="s">
        <v>173</v>
      </c>
      <c r="C16" s="6" t="s">
        <v>174</v>
      </c>
      <c r="D16" s="6" t="s">
        <v>63</v>
      </c>
      <c r="E16" s="7">
        <v>47942</v>
      </c>
      <c r="F16" s="8">
        <v>193.94936100000001</v>
      </c>
      <c r="G16" s="9">
        <v>2.3478875999999999E-2</v>
      </c>
      <c r="H16" s="156"/>
    </row>
    <row r="17" spans="1:8" x14ac:dyDescent="0.2">
      <c r="A17" s="5">
        <v>11</v>
      </c>
      <c r="B17" s="6" t="s">
        <v>183</v>
      </c>
      <c r="C17" s="6" t="s">
        <v>184</v>
      </c>
      <c r="D17" s="6" t="s">
        <v>43</v>
      </c>
      <c r="E17" s="7">
        <v>44883</v>
      </c>
      <c r="F17" s="8">
        <v>191.11181400000001</v>
      </c>
      <c r="G17" s="9">
        <v>2.3135370999999998E-2</v>
      </c>
      <c r="H17" s="156"/>
    </row>
    <row r="18" spans="1:8" x14ac:dyDescent="0.2">
      <c r="A18" s="5">
        <v>12</v>
      </c>
      <c r="B18" s="6" t="s">
        <v>450</v>
      </c>
      <c r="C18" s="6" t="s">
        <v>451</v>
      </c>
      <c r="D18" s="6" t="s">
        <v>35</v>
      </c>
      <c r="E18" s="7">
        <v>15552</v>
      </c>
      <c r="F18" s="8">
        <v>189.24451199999999</v>
      </c>
      <c r="G18" s="9">
        <v>2.2909321999999999E-2</v>
      </c>
      <c r="H18" s="156"/>
    </row>
    <row r="19" spans="1:8" x14ac:dyDescent="0.2">
      <c r="A19" s="5">
        <v>13</v>
      </c>
      <c r="B19" s="6" t="s">
        <v>44</v>
      </c>
      <c r="C19" s="6" t="s">
        <v>45</v>
      </c>
      <c r="D19" s="6" t="s">
        <v>978</v>
      </c>
      <c r="E19" s="7">
        <v>112301</v>
      </c>
      <c r="F19" s="8">
        <v>188.216476</v>
      </c>
      <c r="G19" s="9">
        <v>2.2784871000000002E-2</v>
      </c>
      <c r="H19" s="156"/>
    </row>
    <row r="20" spans="1:8" x14ac:dyDescent="0.2">
      <c r="A20" s="5">
        <v>14</v>
      </c>
      <c r="B20" s="6" t="s">
        <v>164</v>
      </c>
      <c r="C20" s="6" t="s">
        <v>165</v>
      </c>
      <c r="D20" s="6" t="s">
        <v>166</v>
      </c>
      <c r="E20" s="7">
        <v>193699</v>
      </c>
      <c r="F20" s="8">
        <v>182.07705999999999</v>
      </c>
      <c r="G20" s="9">
        <v>2.2041654000000001E-2</v>
      </c>
      <c r="H20" s="156"/>
    </row>
    <row r="21" spans="1:8" x14ac:dyDescent="0.2">
      <c r="A21" s="5">
        <v>15</v>
      </c>
      <c r="B21" s="6" t="s">
        <v>194</v>
      </c>
      <c r="C21" s="6" t="s">
        <v>195</v>
      </c>
      <c r="D21" s="6" t="s">
        <v>196</v>
      </c>
      <c r="E21" s="7">
        <v>42854</v>
      </c>
      <c r="F21" s="8">
        <v>176.85845800000001</v>
      </c>
      <c r="G21" s="9">
        <v>2.1409906999999999E-2</v>
      </c>
      <c r="H21" s="156"/>
    </row>
    <row r="22" spans="1:8" x14ac:dyDescent="0.2">
      <c r="A22" s="5">
        <v>16</v>
      </c>
      <c r="B22" s="6" t="s">
        <v>220</v>
      </c>
      <c r="C22" s="6" t="s">
        <v>221</v>
      </c>
      <c r="D22" s="6" t="s">
        <v>191</v>
      </c>
      <c r="E22" s="7">
        <v>40048</v>
      </c>
      <c r="F22" s="8">
        <v>172.84716800000001</v>
      </c>
      <c r="G22" s="9">
        <v>2.0924313E-2</v>
      </c>
      <c r="H22" s="156"/>
    </row>
    <row r="23" spans="1:8" x14ac:dyDescent="0.2">
      <c r="A23" s="5">
        <v>17</v>
      </c>
      <c r="B23" s="6" t="s">
        <v>206</v>
      </c>
      <c r="C23" s="6" t="s">
        <v>207</v>
      </c>
      <c r="D23" s="6" t="s">
        <v>73</v>
      </c>
      <c r="E23" s="7">
        <v>38459</v>
      </c>
      <c r="F23" s="8">
        <v>165.96981450000001</v>
      </c>
      <c r="G23" s="9">
        <v>2.0091762999999999E-2</v>
      </c>
      <c r="H23" s="156"/>
    </row>
    <row r="24" spans="1:8" x14ac:dyDescent="0.2">
      <c r="A24" s="5">
        <v>18</v>
      </c>
      <c r="B24" s="6" t="s">
        <v>170</v>
      </c>
      <c r="C24" s="6" t="s">
        <v>171</v>
      </c>
      <c r="D24" s="6" t="s">
        <v>172</v>
      </c>
      <c r="E24" s="7">
        <v>12359</v>
      </c>
      <c r="F24" s="8">
        <v>162.236593</v>
      </c>
      <c r="G24" s="9">
        <v>1.9639831999999999E-2</v>
      </c>
      <c r="H24" s="156"/>
    </row>
    <row r="25" spans="1:8" x14ac:dyDescent="0.2">
      <c r="A25" s="5">
        <v>19</v>
      </c>
      <c r="B25" s="6" t="s">
        <v>55</v>
      </c>
      <c r="C25" s="6" t="s">
        <v>56</v>
      </c>
      <c r="D25" s="6" t="s">
        <v>35</v>
      </c>
      <c r="E25" s="7">
        <v>20320</v>
      </c>
      <c r="F25" s="8">
        <v>155.95599999999999</v>
      </c>
      <c r="G25" s="9">
        <v>1.8879522999999999E-2</v>
      </c>
      <c r="H25" s="156"/>
    </row>
    <row r="26" spans="1:8" x14ac:dyDescent="0.2">
      <c r="A26" s="5">
        <v>20</v>
      </c>
      <c r="B26" s="6" t="s">
        <v>237</v>
      </c>
      <c r="C26" s="6" t="s">
        <v>238</v>
      </c>
      <c r="D26" s="6" t="s">
        <v>239</v>
      </c>
      <c r="E26" s="7">
        <v>83608</v>
      </c>
      <c r="F26" s="8">
        <v>155.59448800000001</v>
      </c>
      <c r="G26" s="9">
        <v>1.883576E-2</v>
      </c>
      <c r="H26" s="156"/>
    </row>
    <row r="27" spans="1:8" x14ac:dyDescent="0.2">
      <c r="A27" s="5">
        <v>21</v>
      </c>
      <c r="B27" s="6" t="s">
        <v>181</v>
      </c>
      <c r="C27" s="6" t="s">
        <v>182</v>
      </c>
      <c r="D27" s="6" t="s">
        <v>972</v>
      </c>
      <c r="E27" s="7">
        <v>54769</v>
      </c>
      <c r="F27" s="8">
        <v>138.37387849999999</v>
      </c>
      <c r="G27" s="9">
        <v>1.6751089E-2</v>
      </c>
      <c r="H27" s="156"/>
    </row>
    <row r="28" spans="1:8" x14ac:dyDescent="0.2">
      <c r="A28" s="5">
        <v>22</v>
      </c>
      <c r="B28" s="6" t="s">
        <v>162</v>
      </c>
      <c r="C28" s="6" t="s">
        <v>163</v>
      </c>
      <c r="D28" s="6" t="s">
        <v>169</v>
      </c>
      <c r="E28" s="7">
        <v>13563</v>
      </c>
      <c r="F28" s="8">
        <v>136.186083</v>
      </c>
      <c r="G28" s="9">
        <v>1.6486242000000002E-2</v>
      </c>
      <c r="H28" s="156"/>
    </row>
    <row r="29" spans="1:8" x14ac:dyDescent="0.2">
      <c r="A29" s="5">
        <v>23</v>
      </c>
      <c r="B29" s="6" t="s">
        <v>187</v>
      </c>
      <c r="C29" s="6" t="s">
        <v>188</v>
      </c>
      <c r="D29" s="6" t="s">
        <v>973</v>
      </c>
      <c r="E29" s="7">
        <v>42844</v>
      </c>
      <c r="F29" s="8">
        <v>132.25942800000001</v>
      </c>
      <c r="G29" s="9">
        <v>1.6010894000000001E-2</v>
      </c>
      <c r="H29" s="156"/>
    </row>
    <row r="30" spans="1:8" x14ac:dyDescent="0.2">
      <c r="A30" s="5">
        <v>24</v>
      </c>
      <c r="B30" s="6" t="s">
        <v>210</v>
      </c>
      <c r="C30" s="6" t="s">
        <v>211</v>
      </c>
      <c r="D30" s="6" t="s">
        <v>169</v>
      </c>
      <c r="E30" s="7">
        <v>15206</v>
      </c>
      <c r="F30" s="8">
        <v>130.71077600000001</v>
      </c>
      <c r="G30" s="9">
        <v>1.5823418999999998E-2</v>
      </c>
      <c r="H30" s="156"/>
    </row>
    <row r="31" spans="1:8" x14ac:dyDescent="0.2">
      <c r="A31" s="5">
        <v>25</v>
      </c>
      <c r="B31" s="6" t="s">
        <v>61</v>
      </c>
      <c r="C31" s="6" t="s">
        <v>62</v>
      </c>
      <c r="D31" s="6" t="s">
        <v>63</v>
      </c>
      <c r="E31" s="7">
        <v>4397</v>
      </c>
      <c r="F31" s="8">
        <v>128.66501400000001</v>
      </c>
      <c r="G31" s="9">
        <v>1.5575766E-2</v>
      </c>
      <c r="H31" s="156"/>
    </row>
    <row r="32" spans="1:8" x14ac:dyDescent="0.2">
      <c r="A32" s="5">
        <v>26</v>
      </c>
      <c r="B32" s="6" t="s">
        <v>48</v>
      </c>
      <c r="C32" s="6" t="s">
        <v>49</v>
      </c>
      <c r="D32" s="6" t="s">
        <v>28</v>
      </c>
      <c r="E32" s="7">
        <v>12434</v>
      </c>
      <c r="F32" s="8">
        <v>125.800995</v>
      </c>
      <c r="G32" s="9">
        <v>1.5229057000000001E-2</v>
      </c>
      <c r="H32" s="156"/>
    </row>
    <row r="33" spans="1:8" x14ac:dyDescent="0.2">
      <c r="A33" s="5">
        <v>27</v>
      </c>
      <c r="B33" s="6" t="s">
        <v>222</v>
      </c>
      <c r="C33" s="6" t="s">
        <v>223</v>
      </c>
      <c r="D33" s="6" t="s">
        <v>972</v>
      </c>
      <c r="E33" s="7">
        <v>63946</v>
      </c>
      <c r="F33" s="8">
        <v>122.744347</v>
      </c>
      <c r="G33" s="9">
        <v>1.4859028999999999E-2</v>
      </c>
      <c r="H33" s="156"/>
    </row>
    <row r="34" spans="1:8" x14ac:dyDescent="0.2">
      <c r="A34" s="5">
        <v>28</v>
      </c>
      <c r="B34" s="6" t="s">
        <v>201</v>
      </c>
      <c r="C34" s="6" t="s">
        <v>202</v>
      </c>
      <c r="D34" s="6" t="s">
        <v>40</v>
      </c>
      <c r="E34" s="7">
        <v>108993</v>
      </c>
      <c r="F34" s="8">
        <v>120.60075449999999</v>
      </c>
      <c r="G34" s="9">
        <v>1.4599533E-2</v>
      </c>
      <c r="H34" s="156"/>
    </row>
    <row r="35" spans="1:8" x14ac:dyDescent="0.2">
      <c r="A35" s="5">
        <v>29</v>
      </c>
      <c r="B35" s="6" t="s">
        <v>177</v>
      </c>
      <c r="C35" s="6" t="s">
        <v>178</v>
      </c>
      <c r="D35" s="6" t="s">
        <v>54</v>
      </c>
      <c r="E35" s="7">
        <v>42816</v>
      </c>
      <c r="F35" s="8">
        <v>120.05606400000001</v>
      </c>
      <c r="G35" s="9">
        <v>1.4533595E-2</v>
      </c>
      <c r="H35" s="156"/>
    </row>
    <row r="36" spans="1:8" x14ac:dyDescent="0.2">
      <c r="A36" s="5">
        <v>30</v>
      </c>
      <c r="B36" s="6" t="s">
        <v>212</v>
      </c>
      <c r="C36" s="6" t="s">
        <v>213</v>
      </c>
      <c r="D36" s="6" t="s">
        <v>28</v>
      </c>
      <c r="E36" s="7">
        <v>7702</v>
      </c>
      <c r="F36" s="8">
        <v>113.169337</v>
      </c>
      <c r="G36" s="9">
        <v>1.3699909999999999E-2</v>
      </c>
      <c r="H36" s="156"/>
    </row>
    <row r="37" spans="1:8" x14ac:dyDescent="0.2">
      <c r="A37" s="5">
        <v>31</v>
      </c>
      <c r="B37" s="6" t="s">
        <v>38</v>
      </c>
      <c r="C37" s="6" t="s">
        <v>39</v>
      </c>
      <c r="D37" s="6" t="s">
        <v>40</v>
      </c>
      <c r="E37" s="7">
        <v>40332</v>
      </c>
      <c r="F37" s="8">
        <v>112.808604</v>
      </c>
      <c r="G37" s="9">
        <v>1.3656241E-2</v>
      </c>
      <c r="H37" s="156"/>
    </row>
    <row r="38" spans="1:8" ht="25.5" x14ac:dyDescent="0.2">
      <c r="A38" s="5">
        <v>32</v>
      </c>
      <c r="B38" s="6" t="s">
        <v>214</v>
      </c>
      <c r="C38" s="6" t="s">
        <v>215</v>
      </c>
      <c r="D38" s="6" t="s">
        <v>63</v>
      </c>
      <c r="E38" s="7">
        <v>5046</v>
      </c>
      <c r="F38" s="8">
        <v>112.485432</v>
      </c>
      <c r="G38" s="9">
        <v>1.3617119E-2</v>
      </c>
      <c r="H38" s="156"/>
    </row>
    <row r="39" spans="1:8" x14ac:dyDescent="0.2">
      <c r="A39" s="5">
        <v>33</v>
      </c>
      <c r="B39" s="6" t="s">
        <v>464</v>
      </c>
      <c r="C39" s="6" t="s">
        <v>465</v>
      </c>
      <c r="D39" s="6" t="s">
        <v>974</v>
      </c>
      <c r="E39" s="7">
        <v>146896</v>
      </c>
      <c r="F39" s="8">
        <v>109.584416</v>
      </c>
      <c r="G39" s="9">
        <v>1.3265931E-2</v>
      </c>
      <c r="H39" s="156"/>
    </row>
    <row r="40" spans="1:8" x14ac:dyDescent="0.2">
      <c r="A40" s="5">
        <v>34</v>
      </c>
      <c r="B40" s="6" t="s">
        <v>216</v>
      </c>
      <c r="C40" s="6" t="s">
        <v>217</v>
      </c>
      <c r="D40" s="6" t="s">
        <v>54</v>
      </c>
      <c r="E40" s="7">
        <v>9828</v>
      </c>
      <c r="F40" s="8">
        <v>109.21365</v>
      </c>
      <c r="G40" s="9">
        <v>1.3221047E-2</v>
      </c>
      <c r="H40" s="156"/>
    </row>
    <row r="41" spans="1:8" x14ac:dyDescent="0.2">
      <c r="A41" s="5">
        <v>35</v>
      </c>
      <c r="B41" s="6" t="s">
        <v>228</v>
      </c>
      <c r="C41" s="6" t="s">
        <v>229</v>
      </c>
      <c r="D41" s="6" t="s">
        <v>35</v>
      </c>
      <c r="E41" s="7">
        <v>134113</v>
      </c>
      <c r="F41" s="8">
        <v>106.083383</v>
      </c>
      <c r="G41" s="9">
        <v>1.2842108E-2</v>
      </c>
      <c r="H41" s="156"/>
    </row>
    <row r="42" spans="1:8" x14ac:dyDescent="0.2">
      <c r="A42" s="5">
        <v>36</v>
      </c>
      <c r="B42" s="6" t="s">
        <v>79</v>
      </c>
      <c r="C42" s="6" t="s">
        <v>80</v>
      </c>
      <c r="D42" s="6" t="s">
        <v>63</v>
      </c>
      <c r="E42" s="7">
        <v>45272</v>
      </c>
      <c r="F42" s="8">
        <v>105.642212</v>
      </c>
      <c r="G42" s="9">
        <v>1.2788701E-2</v>
      </c>
      <c r="H42" s="156"/>
    </row>
    <row r="43" spans="1:8" x14ac:dyDescent="0.2">
      <c r="A43" s="5">
        <v>37</v>
      </c>
      <c r="B43" s="6" t="s">
        <v>257</v>
      </c>
      <c r="C43" s="6" t="s">
        <v>258</v>
      </c>
      <c r="D43" s="6" t="s">
        <v>977</v>
      </c>
      <c r="E43" s="7">
        <v>107569</v>
      </c>
      <c r="F43" s="8">
        <v>98.8021265</v>
      </c>
      <c r="G43" s="9">
        <v>1.1960662E-2</v>
      </c>
      <c r="H43" s="156"/>
    </row>
    <row r="44" spans="1:8" x14ac:dyDescent="0.2">
      <c r="A44" s="5">
        <v>38</v>
      </c>
      <c r="B44" s="6" t="s">
        <v>226</v>
      </c>
      <c r="C44" s="6" t="s">
        <v>227</v>
      </c>
      <c r="D44" s="6" t="s">
        <v>166</v>
      </c>
      <c r="E44" s="7">
        <v>17935</v>
      </c>
      <c r="F44" s="8">
        <v>97.073187500000003</v>
      </c>
      <c r="G44" s="9">
        <v>1.1751363000000001E-2</v>
      </c>
      <c r="H44" s="156"/>
    </row>
    <row r="45" spans="1:8" x14ac:dyDescent="0.2">
      <c r="A45" s="5">
        <v>39</v>
      </c>
      <c r="B45" s="6" t="s">
        <v>240</v>
      </c>
      <c r="C45" s="6" t="s">
        <v>241</v>
      </c>
      <c r="D45" s="6" t="s">
        <v>191</v>
      </c>
      <c r="E45" s="7">
        <v>25572</v>
      </c>
      <c r="F45" s="8">
        <v>94.744259999999997</v>
      </c>
      <c r="G45" s="9">
        <v>1.1469429999999999E-2</v>
      </c>
      <c r="H45" s="156"/>
    </row>
    <row r="46" spans="1:8" x14ac:dyDescent="0.2">
      <c r="A46" s="5">
        <v>40</v>
      </c>
      <c r="B46" s="6" t="s">
        <v>266</v>
      </c>
      <c r="C46" s="6" t="s">
        <v>267</v>
      </c>
      <c r="D46" s="6" t="s">
        <v>191</v>
      </c>
      <c r="E46" s="7">
        <v>14616</v>
      </c>
      <c r="F46" s="8">
        <v>93.820104000000001</v>
      </c>
      <c r="G46" s="9">
        <v>1.1357555E-2</v>
      </c>
      <c r="H46" s="156"/>
    </row>
    <row r="47" spans="1:8" x14ac:dyDescent="0.2">
      <c r="A47" s="5">
        <v>41</v>
      </c>
      <c r="B47" s="6" t="s">
        <v>288</v>
      </c>
      <c r="C47" s="6" t="s">
        <v>289</v>
      </c>
      <c r="D47" s="6" t="s">
        <v>28</v>
      </c>
      <c r="E47" s="7">
        <v>8330</v>
      </c>
      <c r="F47" s="8">
        <v>92.167285000000007</v>
      </c>
      <c r="G47" s="9">
        <v>1.1157469999999999E-2</v>
      </c>
      <c r="H47" s="156"/>
    </row>
    <row r="48" spans="1:8" x14ac:dyDescent="0.2">
      <c r="A48" s="5">
        <v>42</v>
      </c>
      <c r="B48" s="6" t="s">
        <v>264</v>
      </c>
      <c r="C48" s="6" t="s">
        <v>265</v>
      </c>
      <c r="D48" s="6" t="s">
        <v>975</v>
      </c>
      <c r="E48" s="7">
        <v>18393</v>
      </c>
      <c r="F48" s="8">
        <v>91.891428000000005</v>
      </c>
      <c r="G48" s="9">
        <v>1.1124076E-2</v>
      </c>
      <c r="H48" s="156"/>
    </row>
    <row r="49" spans="1:8" x14ac:dyDescent="0.2">
      <c r="A49" s="5">
        <v>43</v>
      </c>
      <c r="B49" s="6" t="s">
        <v>275</v>
      </c>
      <c r="C49" s="6" t="s">
        <v>276</v>
      </c>
      <c r="D49" s="6" t="s">
        <v>975</v>
      </c>
      <c r="E49" s="7">
        <v>65797</v>
      </c>
      <c r="F49" s="8">
        <v>91.030149499999993</v>
      </c>
      <c r="G49" s="9">
        <v>1.1019812E-2</v>
      </c>
      <c r="H49" s="156"/>
    </row>
    <row r="50" spans="1:8" x14ac:dyDescent="0.2">
      <c r="A50" s="5">
        <v>44</v>
      </c>
      <c r="B50" s="6" t="s">
        <v>234</v>
      </c>
      <c r="C50" s="6" t="s">
        <v>235</v>
      </c>
      <c r="D50" s="6" t="s">
        <v>73</v>
      </c>
      <c r="E50" s="7">
        <v>21059</v>
      </c>
      <c r="F50" s="8">
        <v>89.806105500000001</v>
      </c>
      <c r="G50" s="9">
        <v>1.0871634E-2</v>
      </c>
      <c r="H50" s="156"/>
    </row>
    <row r="51" spans="1:8" x14ac:dyDescent="0.2">
      <c r="A51" s="5">
        <v>45</v>
      </c>
      <c r="B51" s="6" t="s">
        <v>270</v>
      </c>
      <c r="C51" s="6" t="s">
        <v>271</v>
      </c>
      <c r="D51" s="6" t="s">
        <v>22</v>
      </c>
      <c r="E51" s="7">
        <v>82133</v>
      </c>
      <c r="F51" s="8">
        <v>85.007655</v>
      </c>
      <c r="G51" s="9">
        <v>1.0290749E-2</v>
      </c>
      <c r="H51" s="156"/>
    </row>
    <row r="52" spans="1:8" x14ac:dyDescent="0.2">
      <c r="A52" s="5">
        <v>46</v>
      </c>
      <c r="B52" s="6" t="s">
        <v>272</v>
      </c>
      <c r="C52" s="6" t="s">
        <v>273</v>
      </c>
      <c r="D52" s="6" t="s">
        <v>274</v>
      </c>
      <c r="E52" s="7">
        <v>33525</v>
      </c>
      <c r="F52" s="8">
        <v>84.617099999999994</v>
      </c>
      <c r="G52" s="9">
        <v>1.0243469E-2</v>
      </c>
      <c r="H52" s="156"/>
    </row>
    <row r="53" spans="1:8" x14ac:dyDescent="0.2">
      <c r="A53" s="5">
        <v>47</v>
      </c>
      <c r="B53" s="6" t="s">
        <v>249</v>
      </c>
      <c r="C53" s="6" t="s">
        <v>250</v>
      </c>
      <c r="D53" s="6" t="s">
        <v>73</v>
      </c>
      <c r="E53" s="7">
        <v>22731</v>
      </c>
      <c r="F53" s="8">
        <v>82.206661499999996</v>
      </c>
      <c r="G53" s="9">
        <v>9.9516699999999993E-3</v>
      </c>
      <c r="H53" s="156"/>
    </row>
    <row r="54" spans="1:8" x14ac:dyDescent="0.2">
      <c r="A54" s="5">
        <v>48</v>
      </c>
      <c r="B54" s="6" t="s">
        <v>247</v>
      </c>
      <c r="C54" s="6" t="s">
        <v>248</v>
      </c>
      <c r="D54" s="6" t="s">
        <v>166</v>
      </c>
      <c r="E54" s="7">
        <v>15588</v>
      </c>
      <c r="F54" s="8">
        <v>81.610973999999999</v>
      </c>
      <c r="G54" s="9">
        <v>9.8795580000000001E-3</v>
      </c>
      <c r="H54" s="156"/>
    </row>
    <row r="55" spans="1:8" x14ac:dyDescent="0.2">
      <c r="A55" s="5">
        <v>49</v>
      </c>
      <c r="B55" s="6" t="s">
        <v>203</v>
      </c>
      <c r="C55" s="6" t="s">
        <v>204</v>
      </c>
      <c r="D55" s="6" t="s">
        <v>205</v>
      </c>
      <c r="E55" s="7">
        <v>10328</v>
      </c>
      <c r="F55" s="8">
        <v>81.560215999999997</v>
      </c>
      <c r="G55" s="9">
        <v>9.8734129999999993E-3</v>
      </c>
      <c r="H55" s="156"/>
    </row>
    <row r="56" spans="1:8" x14ac:dyDescent="0.2">
      <c r="A56" s="5">
        <v>50</v>
      </c>
      <c r="B56" s="6" t="s">
        <v>259</v>
      </c>
      <c r="C56" s="6" t="s">
        <v>260</v>
      </c>
      <c r="D56" s="6" t="s">
        <v>261</v>
      </c>
      <c r="E56" s="7">
        <v>10077</v>
      </c>
      <c r="F56" s="8">
        <v>79.895494499999998</v>
      </c>
      <c r="G56" s="9">
        <v>9.6718870000000005E-3</v>
      </c>
      <c r="H56" s="156"/>
    </row>
    <row r="57" spans="1:8" x14ac:dyDescent="0.2">
      <c r="A57" s="5">
        <v>51</v>
      </c>
      <c r="B57" s="6" t="s">
        <v>253</v>
      </c>
      <c r="C57" s="6" t="s">
        <v>254</v>
      </c>
      <c r="D57" s="6" t="s">
        <v>975</v>
      </c>
      <c r="E57" s="7">
        <v>20135</v>
      </c>
      <c r="F57" s="8">
        <v>79.331900000000005</v>
      </c>
      <c r="G57" s="9">
        <v>9.60366E-3</v>
      </c>
      <c r="H57" s="156"/>
    </row>
    <row r="58" spans="1:8" x14ac:dyDescent="0.2">
      <c r="A58" s="5">
        <v>52</v>
      </c>
      <c r="B58" s="6" t="s">
        <v>59</v>
      </c>
      <c r="C58" s="6" t="s">
        <v>60</v>
      </c>
      <c r="D58" s="6" t="s">
        <v>40</v>
      </c>
      <c r="E58" s="7">
        <v>39491</v>
      </c>
      <c r="F58" s="8">
        <v>76.612539999999996</v>
      </c>
      <c r="G58" s="9">
        <v>9.2744639999999996E-3</v>
      </c>
      <c r="H58" s="156"/>
    </row>
    <row r="59" spans="1:8" x14ac:dyDescent="0.2">
      <c r="A59" s="5">
        <v>53</v>
      </c>
      <c r="B59" s="6" t="s">
        <v>262</v>
      </c>
      <c r="C59" s="6" t="s">
        <v>263</v>
      </c>
      <c r="D59" s="6" t="s">
        <v>975</v>
      </c>
      <c r="E59" s="7">
        <v>28654</v>
      </c>
      <c r="F59" s="8">
        <v>71.649327</v>
      </c>
      <c r="G59" s="9">
        <v>8.673633E-3</v>
      </c>
      <c r="H59" s="156"/>
    </row>
    <row r="60" spans="1:8" x14ac:dyDescent="0.2">
      <c r="A60" s="5">
        <v>54</v>
      </c>
      <c r="B60" s="6" t="s">
        <v>277</v>
      </c>
      <c r="C60" s="6" t="s">
        <v>278</v>
      </c>
      <c r="D60" s="6" t="s">
        <v>63</v>
      </c>
      <c r="E60" s="7">
        <v>38073</v>
      </c>
      <c r="F60" s="8">
        <v>70.6825245</v>
      </c>
      <c r="G60" s="9">
        <v>8.5565950000000002E-3</v>
      </c>
      <c r="H60" s="156"/>
    </row>
    <row r="61" spans="1:8" x14ac:dyDescent="0.2">
      <c r="A61" s="5">
        <v>55</v>
      </c>
      <c r="B61" s="6" t="s">
        <v>199</v>
      </c>
      <c r="C61" s="6" t="s">
        <v>200</v>
      </c>
      <c r="D61" s="6" t="s">
        <v>63</v>
      </c>
      <c r="E61" s="7">
        <v>20113</v>
      </c>
      <c r="F61" s="8">
        <v>69.490414999999999</v>
      </c>
      <c r="G61" s="9">
        <v>8.4122820000000001E-3</v>
      </c>
      <c r="H61" s="156"/>
    </row>
    <row r="62" spans="1:8" x14ac:dyDescent="0.2">
      <c r="A62" s="5">
        <v>56</v>
      </c>
      <c r="B62" s="6" t="s">
        <v>218</v>
      </c>
      <c r="C62" s="6" t="s">
        <v>219</v>
      </c>
      <c r="D62" s="6" t="s">
        <v>63</v>
      </c>
      <c r="E62" s="7">
        <v>9272</v>
      </c>
      <c r="F62" s="8">
        <v>68.135292000000007</v>
      </c>
      <c r="G62" s="9">
        <v>8.2482360000000008E-3</v>
      </c>
      <c r="H62" s="156"/>
    </row>
    <row r="63" spans="1:8" ht="25.5" x14ac:dyDescent="0.2">
      <c r="A63" s="5">
        <v>57</v>
      </c>
      <c r="B63" s="6" t="s">
        <v>251</v>
      </c>
      <c r="C63" s="6" t="s">
        <v>252</v>
      </c>
      <c r="D63" s="6" t="s">
        <v>155</v>
      </c>
      <c r="E63" s="7">
        <v>15548</v>
      </c>
      <c r="F63" s="8">
        <v>58.647055999999999</v>
      </c>
      <c r="G63" s="9">
        <v>7.0996210000000004E-3</v>
      </c>
      <c r="H63" s="156"/>
    </row>
    <row r="64" spans="1:8" x14ac:dyDescent="0.2">
      <c r="A64" s="5">
        <v>58</v>
      </c>
      <c r="B64" s="6" t="s">
        <v>281</v>
      </c>
      <c r="C64" s="6" t="s">
        <v>282</v>
      </c>
      <c r="D64" s="6" t="s">
        <v>155</v>
      </c>
      <c r="E64" s="7">
        <v>3563</v>
      </c>
      <c r="F64" s="8">
        <v>55.775202</v>
      </c>
      <c r="G64" s="9">
        <v>6.7519640000000001E-3</v>
      </c>
      <c r="H64" s="156"/>
    </row>
    <row r="65" spans="1:8" x14ac:dyDescent="0.2">
      <c r="A65" s="5">
        <v>59</v>
      </c>
      <c r="B65" s="6" t="s">
        <v>232</v>
      </c>
      <c r="C65" s="6" t="s">
        <v>233</v>
      </c>
      <c r="D65" s="6" t="s">
        <v>166</v>
      </c>
      <c r="E65" s="7">
        <v>94633</v>
      </c>
      <c r="F65" s="8">
        <v>51.007187000000002</v>
      </c>
      <c r="G65" s="9">
        <v>6.1747629999999998E-3</v>
      </c>
      <c r="H65" s="156"/>
    </row>
    <row r="66" spans="1:8" x14ac:dyDescent="0.2">
      <c r="A66" s="5">
        <v>60</v>
      </c>
      <c r="B66" s="6" t="s">
        <v>283</v>
      </c>
      <c r="C66" s="6" t="s">
        <v>284</v>
      </c>
      <c r="D66" s="6" t="s">
        <v>169</v>
      </c>
      <c r="E66" s="7">
        <v>7394</v>
      </c>
      <c r="F66" s="8">
        <v>44.988793000000001</v>
      </c>
      <c r="G66" s="9">
        <v>5.4461960000000004E-3</v>
      </c>
      <c r="H66" s="156"/>
    </row>
    <row r="67" spans="1:8" x14ac:dyDescent="0.2">
      <c r="A67" s="5">
        <v>61</v>
      </c>
      <c r="B67" s="6" t="s">
        <v>230</v>
      </c>
      <c r="C67" s="6" t="s">
        <v>231</v>
      </c>
      <c r="D67" s="6" t="s">
        <v>978</v>
      </c>
      <c r="E67" s="7">
        <v>3788</v>
      </c>
      <c r="F67" s="8">
        <v>42.698335999999998</v>
      </c>
      <c r="G67" s="9">
        <v>5.1689209999999999E-3</v>
      </c>
      <c r="H67" s="156"/>
    </row>
    <row r="68" spans="1:8" x14ac:dyDescent="0.2">
      <c r="A68" s="5">
        <v>62</v>
      </c>
      <c r="B68" s="6" t="s">
        <v>268</v>
      </c>
      <c r="C68" s="6" t="s">
        <v>269</v>
      </c>
      <c r="D68" s="6" t="s">
        <v>43</v>
      </c>
      <c r="E68" s="7">
        <v>40010</v>
      </c>
      <c r="F68" s="8">
        <v>41.410350000000001</v>
      </c>
      <c r="G68" s="9">
        <v>5.0130019999999999E-3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0">
        <v>8021.9922864999999</v>
      </c>
      <c r="G69" s="11">
        <v>0.97111615900000003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106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107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111</v>
      </c>
      <c r="D77" s="3" t="s">
        <v>9</v>
      </c>
      <c r="E77" s="3" t="s">
        <v>9</v>
      </c>
      <c r="F77" s="3" t="s">
        <v>9</v>
      </c>
      <c r="G77" s="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112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113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114</v>
      </c>
      <c r="D86" s="3" t="s">
        <v>9</v>
      </c>
      <c r="E86" s="3" t="s">
        <v>9</v>
      </c>
      <c r="F86" s="10">
        <v>8021.9922864999999</v>
      </c>
      <c r="G86" s="11">
        <v>0.97111615900000003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115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116</v>
      </c>
      <c r="D92" s="3" t="s">
        <v>9</v>
      </c>
      <c r="E92" s="3" t="s">
        <v>9</v>
      </c>
      <c r="F92" s="3" t="s">
        <v>9</v>
      </c>
      <c r="G92" s="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117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118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119</v>
      </c>
      <c r="D101" s="3" t="s">
        <v>9</v>
      </c>
      <c r="E101" s="3" t="s">
        <v>9</v>
      </c>
      <c r="F101" s="10">
        <v>0</v>
      </c>
      <c r="G101" s="11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120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121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122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123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105</v>
      </c>
      <c r="D111" s="3" t="s">
        <v>9</v>
      </c>
      <c r="E111" s="3" t="s">
        <v>9</v>
      </c>
      <c r="F111" s="14">
        <v>0</v>
      </c>
      <c r="G111" s="15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124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5">
        <v>1</v>
      </c>
      <c r="B114" s="6"/>
      <c r="C114" s="6" t="s">
        <v>125</v>
      </c>
      <c r="D114" s="6"/>
      <c r="E114" s="16" t="s">
        <v>9</v>
      </c>
      <c r="F114" s="8">
        <v>150.0037907</v>
      </c>
      <c r="G114" s="9">
        <v>1.8158968000000001E-2</v>
      </c>
      <c r="H114" s="8">
        <v>3.3326163573085874</v>
      </c>
    </row>
    <row r="115" spans="1:8" x14ac:dyDescent="0.2">
      <c r="A115" s="5">
        <v>2</v>
      </c>
      <c r="B115" s="6"/>
      <c r="C115" s="6" t="s">
        <v>126</v>
      </c>
      <c r="D115" s="6"/>
      <c r="E115" s="16" t="s">
        <v>9</v>
      </c>
      <c r="F115" s="8">
        <v>107.1400077</v>
      </c>
      <c r="G115" s="9">
        <v>1.2970018999999999E-2</v>
      </c>
      <c r="H115" s="8">
        <v>3.2337849550915885</v>
      </c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0">
        <v>257.14379839999998</v>
      </c>
      <c r="G116" s="11">
        <v>3.1128987E-2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127</v>
      </c>
      <c r="D118" s="3" t="s">
        <v>9</v>
      </c>
      <c r="E118" s="3" t="s">
        <v>9</v>
      </c>
      <c r="F118" s="10">
        <v>257.14379839999998</v>
      </c>
      <c r="G118" s="11">
        <v>3.1128987E-2</v>
      </c>
      <c r="H118" s="156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128</v>
      </c>
      <c r="D120" s="3" t="s">
        <v>9</v>
      </c>
      <c r="E120" s="3" t="s">
        <v>9</v>
      </c>
      <c r="F120" s="3" t="s">
        <v>9</v>
      </c>
      <c r="G120" s="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129</v>
      </c>
      <c r="D121" s="3" t="s">
        <v>9</v>
      </c>
      <c r="E121" s="3" t="s">
        <v>9</v>
      </c>
      <c r="F121" s="3" t="s">
        <v>9</v>
      </c>
      <c r="G121" s="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105</v>
      </c>
      <c r="D122" s="3" t="s">
        <v>9</v>
      </c>
      <c r="E122" s="3" t="s">
        <v>9</v>
      </c>
      <c r="F122" s="14">
        <v>0</v>
      </c>
      <c r="G122" s="15">
        <v>0</v>
      </c>
      <c r="H122" s="156"/>
    </row>
    <row r="123" spans="1:8" x14ac:dyDescent="0.2">
      <c r="A123" s="3" t="s">
        <v>9</v>
      </c>
      <c r="B123" s="3" t="s">
        <v>9</v>
      </c>
      <c r="C123" s="12" t="s">
        <v>9</v>
      </c>
      <c r="D123" s="3" t="s">
        <v>9</v>
      </c>
      <c r="E123" s="3" t="s">
        <v>9</v>
      </c>
      <c r="F123" s="13" t="s">
        <v>9</v>
      </c>
      <c r="G123" s="1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130</v>
      </c>
      <c r="D124" s="3" t="s">
        <v>9</v>
      </c>
      <c r="E124" s="3" t="s">
        <v>9</v>
      </c>
      <c r="F124" s="3" t="s">
        <v>9</v>
      </c>
      <c r="G124" s="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131</v>
      </c>
      <c r="D125" s="3" t="s">
        <v>9</v>
      </c>
      <c r="E125" s="3" t="s">
        <v>9</v>
      </c>
      <c r="F125" s="3" t="s">
        <v>9</v>
      </c>
      <c r="G125" s="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105</v>
      </c>
      <c r="D126" s="3" t="s">
        <v>9</v>
      </c>
      <c r="E126" s="3" t="s">
        <v>9</v>
      </c>
      <c r="F126" s="14">
        <v>0</v>
      </c>
      <c r="G126" s="15">
        <v>0</v>
      </c>
      <c r="H126" s="156"/>
    </row>
    <row r="127" spans="1:8" x14ac:dyDescent="0.2">
      <c r="A127" s="3" t="s">
        <v>9</v>
      </c>
      <c r="B127" s="3" t="s">
        <v>9</v>
      </c>
      <c r="C127" s="12" t="s">
        <v>9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12" t="s">
        <v>9</v>
      </c>
      <c r="D128" s="3" t="s">
        <v>9</v>
      </c>
      <c r="E128" s="3" t="s">
        <v>9</v>
      </c>
      <c r="F128" s="13" t="s">
        <v>9</v>
      </c>
      <c r="G128" s="1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132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105</v>
      </c>
      <c r="D130" s="3" t="s">
        <v>9</v>
      </c>
      <c r="E130" s="3" t="s">
        <v>9</v>
      </c>
      <c r="F130" s="14">
        <v>0</v>
      </c>
      <c r="G130" s="15">
        <v>0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6" t="s">
        <v>9</v>
      </c>
      <c r="C132" s="6" t="s">
        <v>9</v>
      </c>
      <c r="D132" s="4" t="s">
        <v>9</v>
      </c>
      <c r="E132" s="3" t="s">
        <v>9</v>
      </c>
      <c r="F132" s="6" t="s">
        <v>9</v>
      </c>
      <c r="G132" s="16" t="s">
        <v>9</v>
      </c>
      <c r="H132" s="156"/>
    </row>
    <row r="133" spans="1:8" x14ac:dyDescent="0.2">
      <c r="A133" s="16" t="s">
        <v>9</v>
      </c>
      <c r="B133" s="6" t="s">
        <v>9</v>
      </c>
      <c r="C133" s="6" t="s">
        <v>133</v>
      </c>
      <c r="D133" s="6" t="s">
        <v>9</v>
      </c>
      <c r="E133" s="16" t="s">
        <v>9</v>
      </c>
      <c r="F133" s="8">
        <v>-18.54622681</v>
      </c>
      <c r="G133" s="9">
        <v>-2.2451459999999999E-3</v>
      </c>
      <c r="H133" s="156"/>
    </row>
    <row r="134" spans="1:8" x14ac:dyDescent="0.2">
      <c r="A134" s="12" t="s">
        <v>9</v>
      </c>
      <c r="B134" s="12" t="s">
        <v>9</v>
      </c>
      <c r="C134" s="4" t="s">
        <v>134</v>
      </c>
      <c r="D134" s="17" t="s">
        <v>9</v>
      </c>
      <c r="E134" s="17" t="s">
        <v>9</v>
      </c>
      <c r="F134" s="10">
        <v>8260.5898580899993</v>
      </c>
      <c r="G134" s="11">
        <v>1</v>
      </c>
      <c r="H134" s="156"/>
    </row>
    <row r="135" spans="1:8" ht="14.1" customHeight="1" x14ac:dyDescent="0.2">
      <c r="A135" s="18" t="s">
        <v>9</v>
      </c>
      <c r="B135" s="18" t="s">
        <v>9</v>
      </c>
      <c r="C135" s="18" t="s">
        <v>9</v>
      </c>
      <c r="D135" s="19" t="s">
        <v>9</v>
      </c>
      <c r="E135" s="19" t="s">
        <v>9</v>
      </c>
      <c r="F135" s="19" t="s">
        <v>9</v>
      </c>
      <c r="G135" s="19" t="s">
        <v>9</v>
      </c>
    </row>
    <row r="136" spans="1:8" ht="14.1" customHeight="1" x14ac:dyDescent="0.2">
      <c r="A136" s="20" t="s">
        <v>9</v>
      </c>
      <c r="B136" s="200" t="s">
        <v>9</v>
      </c>
      <c r="C136" s="200"/>
      <c r="D136" s="200"/>
      <c r="E136" s="200"/>
      <c r="F136" s="200"/>
      <c r="G136" s="22" t="s">
        <v>9</v>
      </c>
    </row>
    <row r="137" spans="1:8" ht="14.1" customHeight="1" x14ac:dyDescent="0.2">
      <c r="A137" s="20" t="s">
        <v>9</v>
      </c>
      <c r="B137" s="200" t="s">
        <v>9</v>
      </c>
      <c r="C137" s="200"/>
      <c r="D137" s="200"/>
      <c r="E137" s="200"/>
      <c r="F137" s="200"/>
      <c r="G137" s="22" t="s">
        <v>9</v>
      </c>
    </row>
    <row r="138" spans="1:8" ht="14.1" customHeight="1" x14ac:dyDescent="0.2">
      <c r="A138" s="20" t="s">
        <v>9</v>
      </c>
      <c r="B138" s="20" t="s">
        <v>9</v>
      </c>
      <c r="C138" s="20" t="s">
        <v>9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pans="1:8" ht="14.1" customHeight="1" x14ac:dyDescent="0.2">
      <c r="A139" s="20" t="s">
        <v>9</v>
      </c>
      <c r="B139" s="198" t="s">
        <v>136</v>
      </c>
      <c r="C139" s="199"/>
      <c r="D139" s="13" t="s">
        <v>9</v>
      </c>
      <c r="E139" s="23" t="s">
        <v>9</v>
      </c>
      <c r="F139" s="22" t="s">
        <v>9</v>
      </c>
      <c r="G139" s="22" t="s">
        <v>9</v>
      </c>
    </row>
    <row r="140" spans="1:8" ht="29.1" customHeight="1" x14ac:dyDescent="0.2">
      <c r="A140" s="20" t="s">
        <v>9</v>
      </c>
      <c r="B140" s="205" t="s">
        <v>137</v>
      </c>
      <c r="C140" s="206"/>
      <c r="D140" s="4" t="s">
        <v>138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05" t="s">
        <v>139</v>
      </c>
      <c r="C141" s="206"/>
      <c r="D141" s="4" t="s">
        <v>138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05" t="s">
        <v>140</v>
      </c>
      <c r="C142" s="206"/>
      <c r="D142" s="13" t="s">
        <v>9</v>
      </c>
      <c r="E142" s="23" t="s">
        <v>9</v>
      </c>
      <c r="F142" s="22" t="s">
        <v>9</v>
      </c>
      <c r="G142" s="22" t="s">
        <v>9</v>
      </c>
    </row>
    <row r="143" spans="1:8" ht="24" customHeight="1" x14ac:dyDescent="0.2">
      <c r="A143" s="24" t="s">
        <v>9</v>
      </c>
      <c r="B143" s="25" t="s">
        <v>9</v>
      </c>
      <c r="C143" s="25" t="s">
        <v>141</v>
      </c>
      <c r="D143" s="25" t="s">
        <v>142</v>
      </c>
      <c r="E143" s="24" t="s">
        <v>9</v>
      </c>
      <c r="F143" s="24" t="s">
        <v>9</v>
      </c>
      <c r="G143" s="24" t="s">
        <v>9</v>
      </c>
    </row>
    <row r="144" spans="1:8" ht="18" customHeight="1" x14ac:dyDescent="0.2">
      <c r="A144" s="24" t="s">
        <v>9</v>
      </c>
      <c r="B144" s="25" t="s">
        <v>143</v>
      </c>
      <c r="C144" s="25" t="s">
        <v>144</v>
      </c>
      <c r="D144" s="25" t="s">
        <v>145</v>
      </c>
      <c r="E144" s="24" t="s">
        <v>9</v>
      </c>
      <c r="F144" s="24" t="s">
        <v>9</v>
      </c>
      <c r="G144" s="24" t="s">
        <v>9</v>
      </c>
    </row>
    <row r="145" spans="1:7" ht="17.100000000000001" customHeight="1" x14ac:dyDescent="0.2">
      <c r="A145" s="24" t="s">
        <v>9</v>
      </c>
      <c r="B145" s="6" t="s">
        <v>146</v>
      </c>
      <c r="C145" s="26">
        <v>14.524800000000001</v>
      </c>
      <c r="D145" s="26">
        <v>15.7781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839</v>
      </c>
      <c r="C146" s="26">
        <v>13.378399999999999</v>
      </c>
      <c r="D146" s="26">
        <v>14.5327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147</v>
      </c>
      <c r="C147" s="26">
        <v>14.2075</v>
      </c>
      <c r="D147" s="26">
        <v>15.4312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840</v>
      </c>
      <c r="C148" s="26">
        <v>13.0739</v>
      </c>
      <c r="D148" s="26">
        <v>14.2</v>
      </c>
      <c r="E148" s="24" t="s">
        <v>9</v>
      </c>
      <c r="F148" s="21" t="s">
        <v>9</v>
      </c>
      <c r="G148" s="27" t="s">
        <v>9</v>
      </c>
    </row>
    <row r="149" spans="1:7" ht="14.1" customHeight="1" x14ac:dyDescent="0.2">
      <c r="A149" s="24" t="s">
        <v>9</v>
      </c>
      <c r="B149" s="24" t="s">
        <v>9</v>
      </c>
      <c r="C149" s="24" t="s">
        <v>9</v>
      </c>
      <c r="D149" s="24" t="s">
        <v>9</v>
      </c>
      <c r="E149" s="24" t="s">
        <v>9</v>
      </c>
      <c r="F149" s="24" t="s">
        <v>9</v>
      </c>
      <c r="G149" s="24" t="s">
        <v>9</v>
      </c>
    </row>
    <row r="150" spans="1:7" ht="17.100000000000001" customHeight="1" x14ac:dyDescent="0.2">
      <c r="A150" s="24" t="s">
        <v>9</v>
      </c>
      <c r="B150" s="205" t="s">
        <v>1013</v>
      </c>
      <c r="C150" s="206"/>
      <c r="D150" s="4" t="s">
        <v>138</v>
      </c>
      <c r="E150" s="24" t="s">
        <v>9</v>
      </c>
      <c r="F150" s="24" t="s">
        <v>9</v>
      </c>
      <c r="G150" s="24" t="s">
        <v>9</v>
      </c>
    </row>
    <row r="151" spans="1:7" ht="18" customHeight="1" x14ac:dyDescent="0.2">
      <c r="A151" s="24" t="s">
        <v>9</v>
      </c>
      <c r="B151" s="30"/>
      <c r="C151" s="30"/>
      <c r="D151" s="28" t="s">
        <v>9</v>
      </c>
      <c r="E151" s="24" t="s">
        <v>9</v>
      </c>
      <c r="F151" s="24" t="s">
        <v>9</v>
      </c>
      <c r="G151" s="24" t="s">
        <v>9</v>
      </c>
    </row>
    <row r="152" spans="1:7" s="197" customFormat="1" x14ac:dyDescent="0.2">
      <c r="B152" s="208" t="s">
        <v>841</v>
      </c>
      <c r="C152" s="208"/>
      <c r="D152" s="208"/>
      <c r="E152" s="208"/>
      <c r="F152" s="208"/>
    </row>
    <row r="153" spans="1:7" ht="14.1" customHeight="1" x14ac:dyDescent="0.2">
      <c r="A153" s="24" t="s">
        <v>9</v>
      </c>
      <c r="B153" s="21" t="s">
        <v>9</v>
      </c>
      <c r="C153" s="21" t="s">
        <v>9</v>
      </c>
      <c r="D153" s="24" t="s">
        <v>9</v>
      </c>
      <c r="E153" s="24" t="s">
        <v>9</v>
      </c>
      <c r="F153" s="24" t="s">
        <v>9</v>
      </c>
      <c r="G153" s="24" t="s">
        <v>9</v>
      </c>
    </row>
    <row r="154" spans="1:7" ht="29.1" customHeight="1" x14ac:dyDescent="0.2">
      <c r="A154" s="24" t="s">
        <v>9</v>
      </c>
      <c r="B154" s="205" t="s">
        <v>148</v>
      </c>
      <c r="C154" s="206"/>
      <c r="D154" s="4" t="s">
        <v>138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05" t="s">
        <v>149</v>
      </c>
      <c r="C155" s="206"/>
      <c r="D155" s="4" t="s">
        <v>138</v>
      </c>
      <c r="E155" s="24" t="s">
        <v>9</v>
      </c>
      <c r="F155" s="24" t="s">
        <v>9</v>
      </c>
      <c r="G155" s="24" t="s">
        <v>9</v>
      </c>
    </row>
    <row r="156" spans="1:7" ht="17.100000000000001" customHeight="1" x14ac:dyDescent="0.2">
      <c r="A156" s="24" t="s">
        <v>9</v>
      </c>
      <c r="B156" s="205" t="s">
        <v>150</v>
      </c>
      <c r="C156" s="206"/>
      <c r="D156" s="29">
        <v>0.393136774049759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205" t="s">
        <v>151</v>
      </c>
      <c r="C157" s="206"/>
      <c r="D157" s="4" t="s">
        <v>138</v>
      </c>
      <c r="E157" s="24" t="s">
        <v>9</v>
      </c>
      <c r="F157" s="24" t="s">
        <v>9</v>
      </c>
      <c r="G157" s="24" t="s">
        <v>9</v>
      </c>
    </row>
  </sheetData>
  <mergeCells count="15"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155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505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11998</v>
      </c>
      <c r="F7" s="8">
        <v>149.00916100000001</v>
      </c>
      <c r="G7" s="9">
        <v>3.7009570999999998E-2</v>
      </c>
      <c r="H7" s="156"/>
    </row>
    <row r="8" spans="1:8" x14ac:dyDescent="0.2">
      <c r="A8" s="5">
        <v>2</v>
      </c>
      <c r="B8" s="6" t="s">
        <v>153</v>
      </c>
      <c r="C8" s="6" t="s">
        <v>154</v>
      </c>
      <c r="D8" s="6" t="s">
        <v>155</v>
      </c>
      <c r="E8" s="7">
        <v>3854</v>
      </c>
      <c r="F8" s="8">
        <v>144.496095</v>
      </c>
      <c r="G8" s="9">
        <v>3.5888655999999998E-2</v>
      </c>
      <c r="H8" s="156"/>
    </row>
    <row r="9" spans="1:8" x14ac:dyDescent="0.2">
      <c r="A9" s="5">
        <v>3</v>
      </c>
      <c r="B9" s="6" t="s">
        <v>468</v>
      </c>
      <c r="C9" s="6" t="s">
        <v>469</v>
      </c>
      <c r="D9" s="6" t="s">
        <v>196</v>
      </c>
      <c r="E9" s="7">
        <v>27663</v>
      </c>
      <c r="F9" s="8">
        <v>135.78383550000001</v>
      </c>
      <c r="G9" s="9">
        <v>3.3724782000000002E-2</v>
      </c>
      <c r="H9" s="156"/>
    </row>
    <row r="10" spans="1:8" x14ac:dyDescent="0.2">
      <c r="A10" s="5">
        <v>4</v>
      </c>
      <c r="B10" s="6" t="s">
        <v>160</v>
      </c>
      <c r="C10" s="6" t="s">
        <v>161</v>
      </c>
      <c r="D10" s="6" t="s">
        <v>28</v>
      </c>
      <c r="E10" s="7">
        <v>17288</v>
      </c>
      <c r="F10" s="8">
        <v>116.694</v>
      </c>
      <c r="G10" s="9">
        <v>2.8983419E-2</v>
      </c>
      <c r="H10" s="156"/>
    </row>
    <row r="11" spans="1:8" x14ac:dyDescent="0.2">
      <c r="A11" s="5">
        <v>5</v>
      </c>
      <c r="B11" s="6" t="s">
        <v>158</v>
      </c>
      <c r="C11" s="6" t="s">
        <v>159</v>
      </c>
      <c r="D11" s="6" t="s">
        <v>28</v>
      </c>
      <c r="E11" s="7">
        <v>16510</v>
      </c>
      <c r="F11" s="8">
        <v>114.488595</v>
      </c>
      <c r="G11" s="9">
        <v>2.8435660000000001E-2</v>
      </c>
      <c r="H11" s="156"/>
    </row>
    <row r="12" spans="1:8" x14ac:dyDescent="0.2">
      <c r="A12" s="5">
        <v>6</v>
      </c>
      <c r="B12" s="6" t="s">
        <v>162</v>
      </c>
      <c r="C12" s="6" t="s">
        <v>163</v>
      </c>
      <c r="D12" s="6" t="s">
        <v>169</v>
      </c>
      <c r="E12" s="7">
        <v>10469</v>
      </c>
      <c r="F12" s="8">
        <v>105.119229</v>
      </c>
      <c r="G12" s="9">
        <v>2.6108579999999999E-2</v>
      </c>
      <c r="H12" s="156"/>
    </row>
    <row r="13" spans="1:8" x14ac:dyDescent="0.2">
      <c r="A13" s="5">
        <v>7</v>
      </c>
      <c r="B13" s="6" t="s">
        <v>173</v>
      </c>
      <c r="C13" s="6" t="s">
        <v>174</v>
      </c>
      <c r="D13" s="6" t="s">
        <v>63</v>
      </c>
      <c r="E13" s="7">
        <v>24349</v>
      </c>
      <c r="F13" s="8">
        <v>98.503879499999996</v>
      </c>
      <c r="G13" s="9">
        <v>2.4465517999999999E-2</v>
      </c>
      <c r="H13" s="156"/>
    </row>
    <row r="14" spans="1:8" x14ac:dyDescent="0.2">
      <c r="A14" s="5">
        <v>8</v>
      </c>
      <c r="B14" s="6" t="s">
        <v>31</v>
      </c>
      <c r="C14" s="6" t="s">
        <v>32</v>
      </c>
      <c r="D14" s="6" t="s">
        <v>972</v>
      </c>
      <c r="E14" s="7">
        <v>3446</v>
      </c>
      <c r="F14" s="8">
        <v>98.262690000000006</v>
      </c>
      <c r="G14" s="9">
        <v>2.4405613999999999E-2</v>
      </c>
      <c r="H14" s="156"/>
    </row>
    <row r="15" spans="1:8" x14ac:dyDescent="0.2">
      <c r="A15" s="5">
        <v>9</v>
      </c>
      <c r="B15" s="6" t="s">
        <v>185</v>
      </c>
      <c r="C15" s="6" t="s">
        <v>186</v>
      </c>
      <c r="D15" s="6" t="s">
        <v>172</v>
      </c>
      <c r="E15" s="7">
        <v>42955</v>
      </c>
      <c r="F15" s="8">
        <v>96.219200000000001</v>
      </c>
      <c r="G15" s="9">
        <v>2.389807E-2</v>
      </c>
      <c r="H15" s="156"/>
    </row>
    <row r="16" spans="1:8" x14ac:dyDescent="0.2">
      <c r="A16" s="5">
        <v>10</v>
      </c>
      <c r="B16" s="6" t="s">
        <v>450</v>
      </c>
      <c r="C16" s="6" t="s">
        <v>451</v>
      </c>
      <c r="D16" s="6" t="s">
        <v>35</v>
      </c>
      <c r="E16" s="7">
        <v>7864</v>
      </c>
      <c r="F16" s="8">
        <v>95.693083999999999</v>
      </c>
      <c r="G16" s="9">
        <v>2.3767397999999999E-2</v>
      </c>
      <c r="H16" s="156"/>
    </row>
    <row r="17" spans="1:8" x14ac:dyDescent="0.2">
      <c r="A17" s="5">
        <v>11</v>
      </c>
      <c r="B17" s="6" t="s">
        <v>175</v>
      </c>
      <c r="C17" s="6" t="s">
        <v>176</v>
      </c>
      <c r="D17" s="6" t="s">
        <v>974</v>
      </c>
      <c r="E17" s="7">
        <v>11047</v>
      </c>
      <c r="F17" s="8">
        <v>94.794307000000003</v>
      </c>
      <c r="G17" s="9">
        <v>2.3544168000000001E-2</v>
      </c>
      <c r="H17" s="156"/>
    </row>
    <row r="18" spans="1:8" x14ac:dyDescent="0.2">
      <c r="A18" s="5">
        <v>12</v>
      </c>
      <c r="B18" s="6" t="s">
        <v>167</v>
      </c>
      <c r="C18" s="6" t="s">
        <v>168</v>
      </c>
      <c r="D18" s="6" t="s">
        <v>169</v>
      </c>
      <c r="E18" s="7">
        <v>35753</v>
      </c>
      <c r="F18" s="8">
        <v>92.850541000000007</v>
      </c>
      <c r="G18" s="9">
        <v>2.3061392E-2</v>
      </c>
      <c r="H18" s="156"/>
    </row>
    <row r="19" spans="1:8" x14ac:dyDescent="0.2">
      <c r="A19" s="5">
        <v>13</v>
      </c>
      <c r="B19" s="6" t="s">
        <v>164</v>
      </c>
      <c r="C19" s="6" t="s">
        <v>165</v>
      </c>
      <c r="D19" s="6" t="s">
        <v>166</v>
      </c>
      <c r="E19" s="7">
        <v>94764</v>
      </c>
      <c r="F19" s="8">
        <v>89.078159999999997</v>
      </c>
      <c r="G19" s="9">
        <v>2.2124442000000001E-2</v>
      </c>
      <c r="H19" s="156"/>
    </row>
    <row r="20" spans="1:8" x14ac:dyDescent="0.2">
      <c r="A20" s="5">
        <v>14</v>
      </c>
      <c r="B20" s="6" t="s">
        <v>194</v>
      </c>
      <c r="C20" s="6" t="s">
        <v>195</v>
      </c>
      <c r="D20" s="6" t="s">
        <v>196</v>
      </c>
      <c r="E20" s="7">
        <v>21423</v>
      </c>
      <c r="F20" s="8">
        <v>88.412721000000005</v>
      </c>
      <c r="G20" s="9">
        <v>2.1959165999999999E-2</v>
      </c>
      <c r="H20" s="156"/>
    </row>
    <row r="21" spans="1:8" x14ac:dyDescent="0.2">
      <c r="A21" s="5">
        <v>15</v>
      </c>
      <c r="B21" s="6" t="s">
        <v>206</v>
      </c>
      <c r="C21" s="6" t="s">
        <v>207</v>
      </c>
      <c r="D21" s="6" t="s">
        <v>73</v>
      </c>
      <c r="E21" s="7">
        <v>19076</v>
      </c>
      <c r="F21" s="8">
        <v>82.322478000000004</v>
      </c>
      <c r="G21" s="9">
        <v>2.0446526E-2</v>
      </c>
      <c r="H21" s="156"/>
    </row>
    <row r="22" spans="1:8" x14ac:dyDescent="0.2">
      <c r="A22" s="5">
        <v>16</v>
      </c>
      <c r="B22" s="6" t="s">
        <v>170</v>
      </c>
      <c r="C22" s="6" t="s">
        <v>171</v>
      </c>
      <c r="D22" s="6" t="s">
        <v>172</v>
      </c>
      <c r="E22" s="7">
        <v>6011</v>
      </c>
      <c r="F22" s="8">
        <v>78.906396999999998</v>
      </c>
      <c r="G22" s="9">
        <v>1.9598069999999999E-2</v>
      </c>
      <c r="H22" s="156"/>
    </row>
    <row r="23" spans="1:8" x14ac:dyDescent="0.2">
      <c r="A23" s="5">
        <v>17</v>
      </c>
      <c r="B23" s="6" t="s">
        <v>183</v>
      </c>
      <c r="C23" s="6" t="s">
        <v>184</v>
      </c>
      <c r="D23" s="6" t="s">
        <v>43</v>
      </c>
      <c r="E23" s="7">
        <v>18293</v>
      </c>
      <c r="F23" s="8">
        <v>77.891593999999998</v>
      </c>
      <c r="G23" s="9">
        <v>1.9346022000000001E-2</v>
      </c>
      <c r="H23" s="156"/>
    </row>
    <row r="24" spans="1:8" x14ac:dyDescent="0.2">
      <c r="A24" s="5">
        <v>18</v>
      </c>
      <c r="B24" s="6" t="s">
        <v>55</v>
      </c>
      <c r="C24" s="6" t="s">
        <v>56</v>
      </c>
      <c r="D24" s="6" t="s">
        <v>35</v>
      </c>
      <c r="E24" s="7">
        <v>9915</v>
      </c>
      <c r="F24" s="8">
        <v>76.097624999999994</v>
      </c>
      <c r="G24" s="9">
        <v>1.8900452000000002E-2</v>
      </c>
      <c r="H24" s="156"/>
    </row>
    <row r="25" spans="1:8" x14ac:dyDescent="0.2">
      <c r="A25" s="5">
        <v>19</v>
      </c>
      <c r="B25" s="6" t="s">
        <v>237</v>
      </c>
      <c r="C25" s="6" t="s">
        <v>238</v>
      </c>
      <c r="D25" s="6" t="s">
        <v>239</v>
      </c>
      <c r="E25" s="7">
        <v>40589</v>
      </c>
      <c r="F25" s="8">
        <v>75.536129000000003</v>
      </c>
      <c r="G25" s="9">
        <v>1.8760992000000001E-2</v>
      </c>
      <c r="H25" s="156"/>
    </row>
    <row r="26" spans="1:8" x14ac:dyDescent="0.2">
      <c r="A26" s="5">
        <v>20</v>
      </c>
      <c r="B26" s="6" t="s">
        <v>44</v>
      </c>
      <c r="C26" s="6" t="s">
        <v>45</v>
      </c>
      <c r="D26" s="6" t="s">
        <v>978</v>
      </c>
      <c r="E26" s="7">
        <v>44851</v>
      </c>
      <c r="F26" s="8">
        <v>75.170276000000001</v>
      </c>
      <c r="G26" s="9">
        <v>1.8670124999999999E-2</v>
      </c>
      <c r="H26" s="156"/>
    </row>
    <row r="27" spans="1:8" x14ac:dyDescent="0.2">
      <c r="A27" s="5">
        <v>21</v>
      </c>
      <c r="B27" s="6" t="s">
        <v>181</v>
      </c>
      <c r="C27" s="6" t="s">
        <v>182</v>
      </c>
      <c r="D27" s="6" t="s">
        <v>972</v>
      </c>
      <c r="E27" s="7">
        <v>29729</v>
      </c>
      <c r="F27" s="8">
        <v>75.110318500000005</v>
      </c>
      <c r="G27" s="9">
        <v>1.8655233E-2</v>
      </c>
      <c r="H27" s="156"/>
    </row>
    <row r="28" spans="1:8" x14ac:dyDescent="0.2">
      <c r="A28" s="5">
        <v>22</v>
      </c>
      <c r="B28" s="6" t="s">
        <v>220</v>
      </c>
      <c r="C28" s="6" t="s">
        <v>221</v>
      </c>
      <c r="D28" s="6" t="s">
        <v>191</v>
      </c>
      <c r="E28" s="7">
        <v>17373</v>
      </c>
      <c r="F28" s="8">
        <v>74.981868000000006</v>
      </c>
      <c r="G28" s="9">
        <v>1.862333E-2</v>
      </c>
      <c r="H28" s="156"/>
    </row>
    <row r="29" spans="1:8" x14ac:dyDescent="0.2">
      <c r="A29" s="5">
        <v>23</v>
      </c>
      <c r="B29" s="6" t="s">
        <v>210</v>
      </c>
      <c r="C29" s="6" t="s">
        <v>211</v>
      </c>
      <c r="D29" s="6" t="s">
        <v>169</v>
      </c>
      <c r="E29" s="7">
        <v>7691</v>
      </c>
      <c r="F29" s="8">
        <v>66.111835999999997</v>
      </c>
      <c r="G29" s="9">
        <v>1.6420270000000001E-2</v>
      </c>
      <c r="H29" s="156"/>
    </row>
    <row r="30" spans="1:8" x14ac:dyDescent="0.2">
      <c r="A30" s="5">
        <v>24</v>
      </c>
      <c r="B30" s="6" t="s">
        <v>218</v>
      </c>
      <c r="C30" s="6" t="s">
        <v>219</v>
      </c>
      <c r="D30" s="6" t="s">
        <v>63</v>
      </c>
      <c r="E30" s="7">
        <v>8930</v>
      </c>
      <c r="F30" s="8">
        <v>65.622105000000005</v>
      </c>
      <c r="G30" s="9">
        <v>1.6298634999999999E-2</v>
      </c>
      <c r="H30" s="156"/>
    </row>
    <row r="31" spans="1:8" x14ac:dyDescent="0.2">
      <c r="A31" s="5">
        <v>25</v>
      </c>
      <c r="B31" s="6" t="s">
        <v>187</v>
      </c>
      <c r="C31" s="6" t="s">
        <v>188</v>
      </c>
      <c r="D31" s="6" t="s">
        <v>973</v>
      </c>
      <c r="E31" s="7">
        <v>21095</v>
      </c>
      <c r="F31" s="8">
        <v>65.120265000000003</v>
      </c>
      <c r="G31" s="9">
        <v>1.6173993000000001E-2</v>
      </c>
      <c r="H31" s="156"/>
    </row>
    <row r="32" spans="1:8" x14ac:dyDescent="0.2">
      <c r="A32" s="5">
        <v>26</v>
      </c>
      <c r="B32" s="6" t="s">
        <v>222</v>
      </c>
      <c r="C32" s="6" t="s">
        <v>223</v>
      </c>
      <c r="D32" s="6" t="s">
        <v>972</v>
      </c>
      <c r="E32" s="7">
        <v>32604</v>
      </c>
      <c r="F32" s="8">
        <v>62.583378000000003</v>
      </c>
      <c r="G32" s="9">
        <v>1.5543903E-2</v>
      </c>
      <c r="H32" s="156"/>
    </row>
    <row r="33" spans="1:8" x14ac:dyDescent="0.2">
      <c r="A33" s="5">
        <v>27</v>
      </c>
      <c r="B33" s="6" t="s">
        <v>61</v>
      </c>
      <c r="C33" s="6" t="s">
        <v>62</v>
      </c>
      <c r="D33" s="6" t="s">
        <v>63</v>
      </c>
      <c r="E33" s="7">
        <v>2133</v>
      </c>
      <c r="F33" s="8">
        <v>62.415846000000002</v>
      </c>
      <c r="G33" s="9">
        <v>1.5502293E-2</v>
      </c>
      <c r="H33" s="156"/>
    </row>
    <row r="34" spans="1:8" x14ac:dyDescent="0.2">
      <c r="A34" s="5">
        <v>28</v>
      </c>
      <c r="B34" s="6" t="s">
        <v>48</v>
      </c>
      <c r="C34" s="6" t="s">
        <v>49</v>
      </c>
      <c r="D34" s="6" t="s">
        <v>28</v>
      </c>
      <c r="E34" s="7">
        <v>6141</v>
      </c>
      <c r="F34" s="8">
        <v>62.131567500000003</v>
      </c>
      <c r="G34" s="9">
        <v>1.5431686999999999E-2</v>
      </c>
      <c r="H34" s="156"/>
    </row>
    <row r="35" spans="1:8" x14ac:dyDescent="0.2">
      <c r="A35" s="5">
        <v>29</v>
      </c>
      <c r="B35" s="6" t="s">
        <v>201</v>
      </c>
      <c r="C35" s="6" t="s">
        <v>202</v>
      </c>
      <c r="D35" s="6" t="s">
        <v>40</v>
      </c>
      <c r="E35" s="7">
        <v>55673</v>
      </c>
      <c r="F35" s="8">
        <v>61.602174499999997</v>
      </c>
      <c r="G35" s="9">
        <v>1.5300200999999999E-2</v>
      </c>
      <c r="H35" s="156"/>
    </row>
    <row r="36" spans="1:8" x14ac:dyDescent="0.2">
      <c r="A36" s="5">
        <v>30</v>
      </c>
      <c r="B36" s="6" t="s">
        <v>212</v>
      </c>
      <c r="C36" s="6" t="s">
        <v>213</v>
      </c>
      <c r="D36" s="6" t="s">
        <v>28</v>
      </c>
      <c r="E36" s="7">
        <v>3769</v>
      </c>
      <c r="F36" s="8">
        <v>55.379801499999999</v>
      </c>
      <c r="G36" s="9">
        <v>1.3754743E-2</v>
      </c>
      <c r="H36" s="156"/>
    </row>
    <row r="37" spans="1:8" x14ac:dyDescent="0.2">
      <c r="A37" s="5">
        <v>31</v>
      </c>
      <c r="B37" s="6" t="s">
        <v>464</v>
      </c>
      <c r="C37" s="6" t="s">
        <v>465</v>
      </c>
      <c r="D37" s="6" t="s">
        <v>974</v>
      </c>
      <c r="E37" s="7">
        <v>73686</v>
      </c>
      <c r="F37" s="8">
        <v>54.969755999999997</v>
      </c>
      <c r="G37" s="9">
        <v>1.3652900000000001E-2</v>
      </c>
      <c r="H37" s="156"/>
    </row>
    <row r="38" spans="1:8" x14ac:dyDescent="0.2">
      <c r="A38" s="5">
        <v>32</v>
      </c>
      <c r="B38" s="6" t="s">
        <v>38</v>
      </c>
      <c r="C38" s="6" t="s">
        <v>39</v>
      </c>
      <c r="D38" s="6" t="s">
        <v>40</v>
      </c>
      <c r="E38" s="7">
        <v>19628</v>
      </c>
      <c r="F38" s="8">
        <v>54.899515999999998</v>
      </c>
      <c r="G38" s="9">
        <v>1.3635454E-2</v>
      </c>
      <c r="H38" s="156"/>
    </row>
    <row r="39" spans="1:8" x14ac:dyDescent="0.2">
      <c r="A39" s="5">
        <v>33</v>
      </c>
      <c r="B39" s="6" t="s">
        <v>216</v>
      </c>
      <c r="C39" s="6" t="s">
        <v>217</v>
      </c>
      <c r="D39" s="6" t="s">
        <v>54</v>
      </c>
      <c r="E39" s="7">
        <v>4937</v>
      </c>
      <c r="F39" s="8">
        <v>54.862412499999998</v>
      </c>
      <c r="G39" s="9">
        <v>1.3626238000000001E-2</v>
      </c>
      <c r="H39" s="156"/>
    </row>
    <row r="40" spans="1:8" x14ac:dyDescent="0.2">
      <c r="A40" s="5">
        <v>34</v>
      </c>
      <c r="B40" s="6" t="s">
        <v>177</v>
      </c>
      <c r="C40" s="6" t="s">
        <v>178</v>
      </c>
      <c r="D40" s="6" t="s">
        <v>54</v>
      </c>
      <c r="E40" s="7">
        <v>19005</v>
      </c>
      <c r="F40" s="8">
        <v>53.290019999999998</v>
      </c>
      <c r="G40" s="9">
        <v>1.3235702E-2</v>
      </c>
      <c r="H40" s="156"/>
    </row>
    <row r="41" spans="1:8" x14ac:dyDescent="0.2">
      <c r="A41" s="5">
        <v>35</v>
      </c>
      <c r="B41" s="6" t="s">
        <v>228</v>
      </c>
      <c r="C41" s="6" t="s">
        <v>229</v>
      </c>
      <c r="D41" s="6" t="s">
        <v>35</v>
      </c>
      <c r="E41" s="7">
        <v>67085</v>
      </c>
      <c r="F41" s="8">
        <v>53.064234999999996</v>
      </c>
      <c r="G41" s="9">
        <v>1.3179623E-2</v>
      </c>
      <c r="H41" s="156"/>
    </row>
    <row r="42" spans="1:8" x14ac:dyDescent="0.2">
      <c r="A42" s="5">
        <v>36</v>
      </c>
      <c r="B42" s="6" t="s">
        <v>79</v>
      </c>
      <c r="C42" s="6" t="s">
        <v>80</v>
      </c>
      <c r="D42" s="6" t="s">
        <v>63</v>
      </c>
      <c r="E42" s="7">
        <v>22125</v>
      </c>
      <c r="F42" s="8">
        <v>51.628687499999998</v>
      </c>
      <c r="G42" s="9">
        <v>1.2823075E-2</v>
      </c>
      <c r="H42" s="156"/>
    </row>
    <row r="43" spans="1:8" ht="25.5" x14ac:dyDescent="0.2">
      <c r="A43" s="5">
        <v>37</v>
      </c>
      <c r="B43" s="6" t="s">
        <v>214</v>
      </c>
      <c r="C43" s="6" t="s">
        <v>215</v>
      </c>
      <c r="D43" s="6" t="s">
        <v>63</v>
      </c>
      <c r="E43" s="7">
        <v>2210</v>
      </c>
      <c r="F43" s="8">
        <v>49.265320000000003</v>
      </c>
      <c r="G43" s="9">
        <v>1.2236082000000001E-2</v>
      </c>
      <c r="H43" s="156"/>
    </row>
    <row r="44" spans="1:8" x14ac:dyDescent="0.2">
      <c r="A44" s="5">
        <v>38</v>
      </c>
      <c r="B44" s="6" t="s">
        <v>226</v>
      </c>
      <c r="C44" s="6" t="s">
        <v>227</v>
      </c>
      <c r="D44" s="6" t="s">
        <v>166</v>
      </c>
      <c r="E44" s="7">
        <v>8874</v>
      </c>
      <c r="F44" s="8">
        <v>48.030524999999997</v>
      </c>
      <c r="G44" s="9">
        <v>1.1929395000000001E-2</v>
      </c>
      <c r="H44" s="156"/>
    </row>
    <row r="45" spans="1:8" x14ac:dyDescent="0.2">
      <c r="A45" s="5">
        <v>39</v>
      </c>
      <c r="B45" s="6" t="s">
        <v>264</v>
      </c>
      <c r="C45" s="6" t="s">
        <v>265</v>
      </c>
      <c r="D45" s="6" t="s">
        <v>975</v>
      </c>
      <c r="E45" s="7">
        <v>9270</v>
      </c>
      <c r="F45" s="8">
        <v>46.312919999999998</v>
      </c>
      <c r="G45" s="9">
        <v>1.1502792E-2</v>
      </c>
      <c r="H45" s="156"/>
    </row>
    <row r="46" spans="1:8" x14ac:dyDescent="0.2">
      <c r="A46" s="5">
        <v>40</v>
      </c>
      <c r="B46" s="6" t="s">
        <v>266</v>
      </c>
      <c r="C46" s="6" t="s">
        <v>267</v>
      </c>
      <c r="D46" s="6" t="s">
        <v>191</v>
      </c>
      <c r="E46" s="7">
        <v>7210</v>
      </c>
      <c r="F46" s="8">
        <v>46.280990000000003</v>
      </c>
      <c r="G46" s="9">
        <v>1.1494861E-2</v>
      </c>
      <c r="H46" s="156"/>
    </row>
    <row r="47" spans="1:8" x14ac:dyDescent="0.2">
      <c r="A47" s="5">
        <v>41</v>
      </c>
      <c r="B47" s="6" t="s">
        <v>275</v>
      </c>
      <c r="C47" s="6" t="s">
        <v>276</v>
      </c>
      <c r="D47" s="6" t="s">
        <v>975</v>
      </c>
      <c r="E47" s="7">
        <v>33289</v>
      </c>
      <c r="F47" s="8">
        <v>46.055331500000001</v>
      </c>
      <c r="G47" s="9">
        <v>1.1438814E-2</v>
      </c>
      <c r="H47" s="156"/>
    </row>
    <row r="48" spans="1:8" x14ac:dyDescent="0.2">
      <c r="A48" s="5">
        <v>42</v>
      </c>
      <c r="B48" s="6" t="s">
        <v>272</v>
      </c>
      <c r="C48" s="6" t="s">
        <v>273</v>
      </c>
      <c r="D48" s="6" t="s">
        <v>274</v>
      </c>
      <c r="E48" s="7">
        <v>17355</v>
      </c>
      <c r="F48" s="8">
        <v>43.804020000000001</v>
      </c>
      <c r="G48" s="9">
        <v>1.0879653E-2</v>
      </c>
      <c r="H48" s="156"/>
    </row>
    <row r="49" spans="1:8" x14ac:dyDescent="0.2">
      <c r="A49" s="5">
        <v>43</v>
      </c>
      <c r="B49" s="6" t="s">
        <v>234</v>
      </c>
      <c r="C49" s="6" t="s">
        <v>235</v>
      </c>
      <c r="D49" s="6" t="s">
        <v>73</v>
      </c>
      <c r="E49" s="7">
        <v>10229</v>
      </c>
      <c r="F49" s="8">
        <v>43.621570499999997</v>
      </c>
      <c r="G49" s="9">
        <v>1.0834338000000001E-2</v>
      </c>
      <c r="H49" s="156"/>
    </row>
    <row r="50" spans="1:8" x14ac:dyDescent="0.2">
      <c r="A50" s="5">
        <v>44</v>
      </c>
      <c r="B50" s="6" t="s">
        <v>257</v>
      </c>
      <c r="C50" s="6" t="s">
        <v>258</v>
      </c>
      <c r="D50" s="6" t="s">
        <v>977</v>
      </c>
      <c r="E50" s="7">
        <v>47409</v>
      </c>
      <c r="F50" s="8">
        <v>43.545166500000001</v>
      </c>
      <c r="G50" s="9">
        <v>1.0815361000000001E-2</v>
      </c>
      <c r="H50" s="156"/>
    </row>
    <row r="51" spans="1:8" x14ac:dyDescent="0.2">
      <c r="A51" s="5">
        <v>45</v>
      </c>
      <c r="B51" s="6" t="s">
        <v>270</v>
      </c>
      <c r="C51" s="6" t="s">
        <v>271</v>
      </c>
      <c r="D51" s="6" t="s">
        <v>22</v>
      </c>
      <c r="E51" s="7">
        <v>41278</v>
      </c>
      <c r="F51" s="8">
        <v>42.722729999999999</v>
      </c>
      <c r="G51" s="9">
        <v>1.0611092000000001E-2</v>
      </c>
      <c r="H51" s="156"/>
    </row>
    <row r="52" spans="1:8" x14ac:dyDescent="0.2">
      <c r="A52" s="5">
        <v>46</v>
      </c>
      <c r="B52" s="6" t="s">
        <v>288</v>
      </c>
      <c r="C52" s="6" t="s">
        <v>289</v>
      </c>
      <c r="D52" s="6" t="s">
        <v>28</v>
      </c>
      <c r="E52" s="7">
        <v>3789</v>
      </c>
      <c r="F52" s="8">
        <v>41.923390499999996</v>
      </c>
      <c r="G52" s="9">
        <v>1.0412559E-2</v>
      </c>
      <c r="H52" s="156"/>
    </row>
    <row r="53" spans="1:8" x14ac:dyDescent="0.2">
      <c r="A53" s="5">
        <v>47</v>
      </c>
      <c r="B53" s="6" t="s">
        <v>249</v>
      </c>
      <c r="C53" s="6" t="s">
        <v>250</v>
      </c>
      <c r="D53" s="6" t="s">
        <v>73</v>
      </c>
      <c r="E53" s="7">
        <v>11256</v>
      </c>
      <c r="F53" s="8">
        <v>40.707324</v>
      </c>
      <c r="G53" s="9">
        <v>1.0110523E-2</v>
      </c>
      <c r="H53" s="156"/>
    </row>
    <row r="54" spans="1:8" x14ac:dyDescent="0.2">
      <c r="A54" s="5">
        <v>48</v>
      </c>
      <c r="B54" s="6" t="s">
        <v>203</v>
      </c>
      <c r="C54" s="6" t="s">
        <v>204</v>
      </c>
      <c r="D54" s="6" t="s">
        <v>205</v>
      </c>
      <c r="E54" s="7">
        <v>5085</v>
      </c>
      <c r="F54" s="8">
        <v>40.156244999999998</v>
      </c>
      <c r="G54" s="9">
        <v>9.973651E-3</v>
      </c>
      <c r="H54" s="156"/>
    </row>
    <row r="55" spans="1:8" x14ac:dyDescent="0.2">
      <c r="A55" s="5">
        <v>49</v>
      </c>
      <c r="B55" s="6" t="s">
        <v>230</v>
      </c>
      <c r="C55" s="6" t="s">
        <v>231</v>
      </c>
      <c r="D55" s="6" t="s">
        <v>978</v>
      </c>
      <c r="E55" s="7">
        <v>3550</v>
      </c>
      <c r="F55" s="8">
        <v>40.015599999999999</v>
      </c>
      <c r="G55" s="9">
        <v>9.9387190000000004E-3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7612</v>
      </c>
      <c r="F56" s="8">
        <v>39.852626000000001</v>
      </c>
      <c r="G56" s="9">
        <v>9.8982410000000003E-3</v>
      </c>
      <c r="H56" s="156"/>
    </row>
    <row r="57" spans="1:8" x14ac:dyDescent="0.2">
      <c r="A57" s="5">
        <v>51</v>
      </c>
      <c r="B57" s="6" t="s">
        <v>259</v>
      </c>
      <c r="C57" s="6" t="s">
        <v>260</v>
      </c>
      <c r="D57" s="6" t="s">
        <v>261</v>
      </c>
      <c r="E57" s="7">
        <v>4967</v>
      </c>
      <c r="F57" s="8">
        <v>39.3808595</v>
      </c>
      <c r="G57" s="9">
        <v>9.7810680000000004E-3</v>
      </c>
      <c r="H57" s="156"/>
    </row>
    <row r="58" spans="1:8" x14ac:dyDescent="0.2">
      <c r="A58" s="5">
        <v>52</v>
      </c>
      <c r="B58" s="6" t="s">
        <v>262</v>
      </c>
      <c r="C58" s="6" t="s">
        <v>263</v>
      </c>
      <c r="D58" s="6" t="s">
        <v>975</v>
      </c>
      <c r="E58" s="7">
        <v>15533</v>
      </c>
      <c r="F58" s="8">
        <v>38.840266499999998</v>
      </c>
      <c r="G58" s="9">
        <v>9.6468000000000005E-3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9841</v>
      </c>
      <c r="F59" s="8">
        <v>38.773539999999997</v>
      </c>
      <c r="G59" s="9">
        <v>9.6302269999999999E-3</v>
      </c>
      <c r="H59" s="156"/>
    </row>
    <row r="60" spans="1:8" x14ac:dyDescent="0.2">
      <c r="A60" s="5">
        <v>54</v>
      </c>
      <c r="B60" s="6" t="s">
        <v>240</v>
      </c>
      <c r="C60" s="6" t="s">
        <v>241</v>
      </c>
      <c r="D60" s="6" t="s">
        <v>191</v>
      </c>
      <c r="E60" s="7">
        <v>9613</v>
      </c>
      <c r="F60" s="8">
        <v>35.616165000000002</v>
      </c>
      <c r="G60" s="9">
        <v>8.8460269999999994E-3</v>
      </c>
      <c r="H60" s="156"/>
    </row>
    <row r="61" spans="1:8" x14ac:dyDescent="0.2">
      <c r="A61" s="5">
        <v>55</v>
      </c>
      <c r="B61" s="6" t="s">
        <v>277</v>
      </c>
      <c r="C61" s="6" t="s">
        <v>278</v>
      </c>
      <c r="D61" s="6" t="s">
        <v>63</v>
      </c>
      <c r="E61" s="7">
        <v>19014</v>
      </c>
      <c r="F61" s="8">
        <v>35.299491000000003</v>
      </c>
      <c r="G61" s="9">
        <v>8.7673739999999997E-3</v>
      </c>
      <c r="H61" s="156"/>
    </row>
    <row r="62" spans="1:8" x14ac:dyDescent="0.2">
      <c r="A62" s="5">
        <v>56</v>
      </c>
      <c r="B62" s="6" t="s">
        <v>59</v>
      </c>
      <c r="C62" s="6" t="s">
        <v>60</v>
      </c>
      <c r="D62" s="6" t="s">
        <v>40</v>
      </c>
      <c r="E62" s="7">
        <v>17008</v>
      </c>
      <c r="F62" s="8">
        <v>32.995519999999999</v>
      </c>
      <c r="G62" s="9">
        <v>8.1951339999999998E-3</v>
      </c>
      <c r="H62" s="156"/>
    </row>
    <row r="63" spans="1:8" x14ac:dyDescent="0.2">
      <c r="A63" s="5">
        <v>57</v>
      </c>
      <c r="B63" s="6" t="s">
        <v>281</v>
      </c>
      <c r="C63" s="6" t="s">
        <v>282</v>
      </c>
      <c r="D63" s="6" t="s">
        <v>155</v>
      </c>
      <c r="E63" s="7">
        <v>1858</v>
      </c>
      <c r="F63" s="8">
        <v>29.085132000000002</v>
      </c>
      <c r="G63" s="9">
        <v>7.2239069999999999E-3</v>
      </c>
      <c r="H63" s="156"/>
    </row>
    <row r="64" spans="1:8" ht="25.5" x14ac:dyDescent="0.2">
      <c r="A64" s="5">
        <v>58</v>
      </c>
      <c r="B64" s="6" t="s">
        <v>251</v>
      </c>
      <c r="C64" s="6" t="s">
        <v>252</v>
      </c>
      <c r="D64" s="6" t="s">
        <v>155</v>
      </c>
      <c r="E64" s="7">
        <v>7678</v>
      </c>
      <c r="F64" s="8">
        <v>28.961416</v>
      </c>
      <c r="G64" s="9">
        <v>7.1931790000000001E-3</v>
      </c>
      <c r="H64" s="156"/>
    </row>
    <row r="65" spans="1:8" x14ac:dyDescent="0.2">
      <c r="A65" s="5">
        <v>59</v>
      </c>
      <c r="B65" s="6" t="s">
        <v>232</v>
      </c>
      <c r="C65" s="6" t="s">
        <v>233</v>
      </c>
      <c r="D65" s="6" t="s">
        <v>166</v>
      </c>
      <c r="E65" s="7">
        <v>47615</v>
      </c>
      <c r="F65" s="8">
        <v>25.664484999999999</v>
      </c>
      <c r="G65" s="9">
        <v>6.374317E-3</v>
      </c>
      <c r="H65" s="156"/>
    </row>
    <row r="66" spans="1:8" x14ac:dyDescent="0.2">
      <c r="A66" s="5">
        <v>60</v>
      </c>
      <c r="B66" s="6" t="s">
        <v>283</v>
      </c>
      <c r="C66" s="6" t="s">
        <v>284</v>
      </c>
      <c r="D66" s="6" t="s">
        <v>169</v>
      </c>
      <c r="E66" s="7">
        <v>3644</v>
      </c>
      <c r="F66" s="8">
        <v>22.171918000000002</v>
      </c>
      <c r="G66" s="9">
        <v>5.5068640000000002E-3</v>
      </c>
      <c r="H66" s="156"/>
    </row>
    <row r="67" spans="1:8" x14ac:dyDescent="0.2">
      <c r="A67" s="3" t="s">
        <v>9</v>
      </c>
      <c r="B67" s="3" t="s">
        <v>9</v>
      </c>
      <c r="C67" s="4" t="s">
        <v>105</v>
      </c>
      <c r="D67" s="3" t="s">
        <v>9</v>
      </c>
      <c r="E67" s="3" t="s">
        <v>9</v>
      </c>
      <c r="F67" s="10">
        <v>3898.1863360000002</v>
      </c>
      <c r="G67" s="11">
        <v>0.96819688100000001</v>
      </c>
      <c r="H67" s="156"/>
    </row>
    <row r="68" spans="1:8" x14ac:dyDescent="0.2">
      <c r="A68" s="3" t="s">
        <v>9</v>
      </c>
      <c r="B68" s="3" t="s">
        <v>9</v>
      </c>
      <c r="C68" s="12" t="s">
        <v>9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106</v>
      </c>
      <c r="D69" s="3" t="s">
        <v>9</v>
      </c>
      <c r="E69" s="3" t="s">
        <v>9</v>
      </c>
      <c r="F69" s="3" t="s">
        <v>9</v>
      </c>
      <c r="G69" s="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105</v>
      </c>
      <c r="D70" s="3" t="s">
        <v>9</v>
      </c>
      <c r="E70" s="3" t="s">
        <v>9</v>
      </c>
      <c r="F70" s="14">
        <v>0</v>
      </c>
      <c r="G70" s="15">
        <v>0</v>
      </c>
      <c r="H70" s="156"/>
    </row>
    <row r="71" spans="1:8" x14ac:dyDescent="0.2">
      <c r="A71" s="3" t="s">
        <v>9</v>
      </c>
      <c r="B71" s="3" t="s">
        <v>9</v>
      </c>
      <c r="C71" s="12" t="s">
        <v>9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107</v>
      </c>
      <c r="D72" s="3" t="s">
        <v>9</v>
      </c>
      <c r="E72" s="3" t="s">
        <v>9</v>
      </c>
      <c r="F72" s="3" t="s">
        <v>9</v>
      </c>
      <c r="G72" s="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105</v>
      </c>
      <c r="D73" s="3" t="s">
        <v>9</v>
      </c>
      <c r="E73" s="3" t="s">
        <v>9</v>
      </c>
      <c r="F73" s="14">
        <v>0</v>
      </c>
      <c r="G73" s="15">
        <v>0</v>
      </c>
      <c r="H73" s="156"/>
    </row>
    <row r="74" spans="1:8" x14ac:dyDescent="0.2">
      <c r="A74" s="3" t="s">
        <v>9</v>
      </c>
      <c r="B74" s="3" t="s">
        <v>9</v>
      </c>
      <c r="C74" s="12" t="s">
        <v>9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111</v>
      </c>
      <c r="D75" s="3" t="s">
        <v>9</v>
      </c>
      <c r="E75" s="3" t="s">
        <v>9</v>
      </c>
      <c r="F75" s="3" t="s">
        <v>9</v>
      </c>
      <c r="G75" s="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4">
        <v>0</v>
      </c>
      <c r="G76" s="15">
        <v>0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112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113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114</v>
      </c>
      <c r="D84" s="3" t="s">
        <v>9</v>
      </c>
      <c r="E84" s="3" t="s">
        <v>9</v>
      </c>
      <c r="F84" s="10">
        <v>3898.1863360000002</v>
      </c>
      <c r="G84" s="11">
        <v>0.96819688100000001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115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105</v>
      </c>
      <c r="D88" s="3" t="s">
        <v>9</v>
      </c>
      <c r="E88" s="3" t="s">
        <v>9</v>
      </c>
      <c r="F88" s="14">
        <v>0</v>
      </c>
      <c r="G88" s="15">
        <v>0</v>
      </c>
      <c r="H88" s="156"/>
    </row>
    <row r="89" spans="1:8" x14ac:dyDescent="0.2">
      <c r="A89" s="3" t="s">
        <v>9</v>
      </c>
      <c r="B89" s="3" t="s">
        <v>9</v>
      </c>
      <c r="C89" s="12" t="s">
        <v>9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116</v>
      </c>
      <c r="D90" s="3" t="s">
        <v>9</v>
      </c>
      <c r="E90" s="3" t="s">
        <v>9</v>
      </c>
      <c r="F90" s="3" t="s">
        <v>9</v>
      </c>
      <c r="G90" s="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117</v>
      </c>
      <c r="D93" s="3" t="s">
        <v>9</v>
      </c>
      <c r="E93" s="3" t="s">
        <v>9</v>
      </c>
      <c r="F93" s="3" t="s">
        <v>9</v>
      </c>
      <c r="G93" s="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4">
        <v>0</v>
      </c>
      <c r="G94" s="15">
        <v>0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118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119</v>
      </c>
      <c r="D99" s="3" t="s">
        <v>9</v>
      </c>
      <c r="E99" s="3" t="s">
        <v>9</v>
      </c>
      <c r="F99" s="10">
        <v>0</v>
      </c>
      <c r="G99" s="11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120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121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105</v>
      </c>
      <c r="D103" s="3" t="s">
        <v>9</v>
      </c>
      <c r="E103" s="3" t="s">
        <v>9</v>
      </c>
      <c r="F103" s="14">
        <v>0</v>
      </c>
      <c r="G103" s="15">
        <v>0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122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105</v>
      </c>
      <c r="D106" s="3" t="s">
        <v>9</v>
      </c>
      <c r="E106" s="3" t="s">
        <v>9</v>
      </c>
      <c r="F106" s="14">
        <v>0</v>
      </c>
      <c r="G106" s="15">
        <v>0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123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105</v>
      </c>
      <c r="D109" s="3" t="s">
        <v>9</v>
      </c>
      <c r="E109" s="3" t="s">
        <v>9</v>
      </c>
      <c r="F109" s="14">
        <v>0</v>
      </c>
      <c r="G109" s="15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124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5">
        <v>1</v>
      </c>
      <c r="B112" s="6"/>
      <c r="C112" s="6" t="s">
        <v>125</v>
      </c>
      <c r="D112" s="6"/>
      <c r="E112" s="16" t="s">
        <v>9</v>
      </c>
      <c r="F112" s="8">
        <v>76.398573600000006</v>
      </c>
      <c r="G112" s="9">
        <v>1.8975199000000002E-2</v>
      </c>
      <c r="H112" s="8">
        <v>3.3326163573085874</v>
      </c>
    </row>
    <row r="113" spans="1:8" x14ac:dyDescent="0.2">
      <c r="A113" s="5">
        <v>2</v>
      </c>
      <c r="B113" s="6"/>
      <c r="C113" s="6" t="s">
        <v>126</v>
      </c>
      <c r="D113" s="6"/>
      <c r="E113" s="16" t="s">
        <v>9</v>
      </c>
      <c r="F113" s="8">
        <v>54.567665599999998</v>
      </c>
      <c r="G113" s="9">
        <v>1.3553032E-2</v>
      </c>
      <c r="H113" s="8">
        <v>3.2337849550915885</v>
      </c>
    </row>
    <row r="114" spans="1:8" x14ac:dyDescent="0.2">
      <c r="A114" s="3" t="s">
        <v>9</v>
      </c>
      <c r="B114" s="3" t="s">
        <v>9</v>
      </c>
      <c r="C114" s="4" t="s">
        <v>105</v>
      </c>
      <c r="D114" s="3" t="s">
        <v>9</v>
      </c>
      <c r="E114" s="3" t="s">
        <v>9</v>
      </c>
      <c r="F114" s="10">
        <v>130.96623919999999</v>
      </c>
      <c r="G114" s="11">
        <v>3.2528230999999998E-2</v>
      </c>
      <c r="H114" s="156"/>
    </row>
    <row r="115" spans="1:8" x14ac:dyDescent="0.2">
      <c r="A115" s="3" t="s">
        <v>9</v>
      </c>
      <c r="B115" s="3" t="s">
        <v>9</v>
      </c>
      <c r="C115" s="12" t="s">
        <v>9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127</v>
      </c>
      <c r="D116" s="3" t="s">
        <v>9</v>
      </c>
      <c r="E116" s="3" t="s">
        <v>9</v>
      </c>
      <c r="F116" s="10">
        <v>130.96623919999999</v>
      </c>
      <c r="G116" s="11">
        <v>3.2528230999999998E-2</v>
      </c>
      <c r="H116" s="156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3" t="s">
        <v>9</v>
      </c>
      <c r="G117" s="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128</v>
      </c>
      <c r="D118" s="3" t="s">
        <v>9</v>
      </c>
      <c r="E118" s="3" t="s">
        <v>9</v>
      </c>
      <c r="F118" s="3" t="s">
        <v>9</v>
      </c>
      <c r="G118" s="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129</v>
      </c>
      <c r="D119" s="3" t="s">
        <v>9</v>
      </c>
      <c r="E119" s="3" t="s">
        <v>9</v>
      </c>
      <c r="F119" s="3" t="s">
        <v>9</v>
      </c>
      <c r="G119" s="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105</v>
      </c>
      <c r="D120" s="3" t="s">
        <v>9</v>
      </c>
      <c r="E120" s="3" t="s">
        <v>9</v>
      </c>
      <c r="F120" s="14">
        <v>0</v>
      </c>
      <c r="G120" s="15">
        <v>0</v>
      </c>
      <c r="H120" s="156"/>
    </row>
    <row r="121" spans="1:8" x14ac:dyDescent="0.2">
      <c r="A121" s="3" t="s">
        <v>9</v>
      </c>
      <c r="B121" s="3" t="s">
        <v>9</v>
      </c>
      <c r="C121" s="12" t="s">
        <v>9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130</v>
      </c>
      <c r="D122" s="3" t="s">
        <v>9</v>
      </c>
      <c r="E122" s="3" t="s">
        <v>9</v>
      </c>
      <c r="F122" s="3" t="s">
        <v>9</v>
      </c>
      <c r="G122" s="3" t="s">
        <v>9</v>
      </c>
      <c r="H122" s="156"/>
    </row>
    <row r="123" spans="1:8" x14ac:dyDescent="0.2">
      <c r="A123" s="3" t="s">
        <v>9</v>
      </c>
      <c r="B123" s="3" t="s">
        <v>9</v>
      </c>
      <c r="C123" s="4" t="s">
        <v>131</v>
      </c>
      <c r="D123" s="3" t="s">
        <v>9</v>
      </c>
      <c r="E123" s="3" t="s">
        <v>9</v>
      </c>
      <c r="F123" s="3" t="s">
        <v>9</v>
      </c>
      <c r="G123" s="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105</v>
      </c>
      <c r="D124" s="3" t="s">
        <v>9</v>
      </c>
      <c r="E124" s="3" t="s">
        <v>9</v>
      </c>
      <c r="F124" s="14">
        <v>0</v>
      </c>
      <c r="G124" s="15">
        <v>0</v>
      </c>
      <c r="H124" s="156"/>
    </row>
    <row r="125" spans="1:8" x14ac:dyDescent="0.2">
      <c r="A125" s="3" t="s">
        <v>9</v>
      </c>
      <c r="B125" s="3" t="s">
        <v>9</v>
      </c>
      <c r="C125" s="12" t="s">
        <v>9</v>
      </c>
      <c r="D125" s="3" t="s">
        <v>9</v>
      </c>
      <c r="E125" s="3" t="s">
        <v>9</v>
      </c>
      <c r="F125" s="13" t="s">
        <v>9</v>
      </c>
      <c r="G125" s="13" t="s">
        <v>9</v>
      </c>
      <c r="H125" s="156"/>
    </row>
    <row r="126" spans="1:8" x14ac:dyDescent="0.2">
      <c r="A126" s="3" t="s">
        <v>9</v>
      </c>
      <c r="B126" s="3" t="s">
        <v>9</v>
      </c>
      <c r="C126" s="12" t="s">
        <v>9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132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105</v>
      </c>
      <c r="D128" s="3" t="s">
        <v>9</v>
      </c>
      <c r="E128" s="3" t="s">
        <v>9</v>
      </c>
      <c r="F128" s="14">
        <v>0</v>
      </c>
      <c r="G128" s="15">
        <v>0</v>
      </c>
      <c r="H128" s="156"/>
    </row>
    <row r="129" spans="1:8" x14ac:dyDescent="0.2">
      <c r="A129" s="3" t="s">
        <v>9</v>
      </c>
      <c r="B129" s="3" t="s">
        <v>9</v>
      </c>
      <c r="C129" s="12" t="s">
        <v>9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6" t="s">
        <v>9</v>
      </c>
      <c r="C130" s="6" t="s">
        <v>9</v>
      </c>
      <c r="D130" s="4" t="s">
        <v>9</v>
      </c>
      <c r="E130" s="3" t="s">
        <v>9</v>
      </c>
      <c r="F130" s="6" t="s">
        <v>9</v>
      </c>
      <c r="G130" s="16" t="s">
        <v>9</v>
      </c>
      <c r="H130" s="156"/>
    </row>
    <row r="131" spans="1:8" x14ac:dyDescent="0.2">
      <c r="A131" s="16" t="s">
        <v>9</v>
      </c>
      <c r="B131" s="6" t="s">
        <v>9</v>
      </c>
      <c r="C131" s="6" t="s">
        <v>133</v>
      </c>
      <c r="D131" s="6" t="s">
        <v>9</v>
      </c>
      <c r="E131" s="16" t="s">
        <v>9</v>
      </c>
      <c r="F131" s="8">
        <v>-2.91946679</v>
      </c>
      <c r="G131" s="9">
        <v>-7.2511099999999996E-4</v>
      </c>
      <c r="H131" s="156"/>
    </row>
    <row r="132" spans="1:8" x14ac:dyDescent="0.2">
      <c r="A132" s="12" t="s">
        <v>9</v>
      </c>
      <c r="B132" s="12" t="s">
        <v>9</v>
      </c>
      <c r="C132" s="4" t="s">
        <v>134</v>
      </c>
      <c r="D132" s="17" t="s">
        <v>9</v>
      </c>
      <c r="E132" s="17" t="s">
        <v>9</v>
      </c>
      <c r="F132" s="10">
        <v>4026.2331084100001</v>
      </c>
      <c r="G132" s="11">
        <v>1.0000000010000001</v>
      </c>
      <c r="H132" s="156"/>
    </row>
    <row r="133" spans="1:8" ht="14.1" customHeight="1" x14ac:dyDescent="0.2">
      <c r="A133" s="18" t="s">
        <v>9</v>
      </c>
      <c r="B133" s="18" t="s">
        <v>9</v>
      </c>
      <c r="C133" s="18" t="s">
        <v>9</v>
      </c>
      <c r="D133" s="19" t="s">
        <v>9</v>
      </c>
      <c r="E133" s="19" t="s">
        <v>9</v>
      </c>
      <c r="F133" s="19" t="s">
        <v>9</v>
      </c>
      <c r="G133" s="19" t="s">
        <v>9</v>
      </c>
    </row>
    <row r="134" spans="1:8" ht="14.1" customHeight="1" x14ac:dyDescent="0.2">
      <c r="A134" s="20" t="s">
        <v>9</v>
      </c>
      <c r="B134" s="200" t="s">
        <v>9</v>
      </c>
      <c r="C134" s="200"/>
      <c r="D134" s="200"/>
      <c r="E134" s="200"/>
      <c r="F134" s="200"/>
      <c r="G134" s="22" t="s">
        <v>9</v>
      </c>
    </row>
    <row r="135" spans="1:8" ht="14.1" customHeight="1" x14ac:dyDescent="0.2">
      <c r="A135" s="20" t="s">
        <v>9</v>
      </c>
      <c r="B135" s="200" t="s">
        <v>9</v>
      </c>
      <c r="C135" s="200"/>
      <c r="D135" s="200"/>
      <c r="E135" s="200"/>
      <c r="F135" s="200"/>
      <c r="G135" s="22" t="s">
        <v>9</v>
      </c>
    </row>
    <row r="136" spans="1:8" ht="14.1" customHeight="1" x14ac:dyDescent="0.2">
      <c r="A136" s="20" t="s">
        <v>9</v>
      </c>
      <c r="B136" s="20" t="s">
        <v>9</v>
      </c>
      <c r="C136" s="20" t="s">
        <v>9</v>
      </c>
      <c r="D136" s="22" t="s">
        <v>9</v>
      </c>
      <c r="E136" s="22" t="s">
        <v>9</v>
      </c>
      <c r="F136" s="22" t="s">
        <v>9</v>
      </c>
      <c r="G136" s="22" t="s">
        <v>9</v>
      </c>
    </row>
    <row r="137" spans="1:8" ht="14.1" customHeight="1" x14ac:dyDescent="0.2">
      <c r="A137" s="20" t="s">
        <v>9</v>
      </c>
      <c r="B137" s="198" t="s">
        <v>136</v>
      </c>
      <c r="C137" s="199"/>
      <c r="D137" s="13" t="s">
        <v>9</v>
      </c>
      <c r="E137" s="23" t="s">
        <v>9</v>
      </c>
      <c r="F137" s="22" t="s">
        <v>9</v>
      </c>
      <c r="G137" s="22" t="s">
        <v>9</v>
      </c>
    </row>
    <row r="138" spans="1:8" ht="29.1" customHeight="1" x14ac:dyDescent="0.2">
      <c r="A138" s="20" t="s">
        <v>9</v>
      </c>
      <c r="B138" s="205" t="s">
        <v>137</v>
      </c>
      <c r="C138" s="206"/>
      <c r="D138" s="4" t="s">
        <v>138</v>
      </c>
      <c r="E138" s="23" t="s">
        <v>9</v>
      </c>
      <c r="F138" s="22" t="s">
        <v>9</v>
      </c>
      <c r="G138" s="22" t="s">
        <v>9</v>
      </c>
    </row>
    <row r="139" spans="1:8" ht="17.100000000000001" customHeight="1" x14ac:dyDescent="0.2">
      <c r="A139" s="20" t="s">
        <v>9</v>
      </c>
      <c r="B139" s="205" t="s">
        <v>139</v>
      </c>
      <c r="C139" s="206"/>
      <c r="D139" s="4" t="s">
        <v>138</v>
      </c>
      <c r="E139" s="23" t="s">
        <v>9</v>
      </c>
      <c r="F139" s="22" t="s">
        <v>9</v>
      </c>
      <c r="G139" s="22" t="s">
        <v>9</v>
      </c>
    </row>
    <row r="140" spans="1:8" ht="17.100000000000001" customHeight="1" x14ac:dyDescent="0.2">
      <c r="A140" s="20" t="s">
        <v>9</v>
      </c>
      <c r="B140" s="205" t="s">
        <v>140</v>
      </c>
      <c r="C140" s="206"/>
      <c r="D140" s="13" t="s">
        <v>9</v>
      </c>
      <c r="E140" s="23" t="s">
        <v>9</v>
      </c>
      <c r="F140" s="22" t="s">
        <v>9</v>
      </c>
      <c r="G140" s="22" t="s">
        <v>9</v>
      </c>
    </row>
    <row r="141" spans="1:8" ht="24" customHeight="1" x14ac:dyDescent="0.2">
      <c r="A141" s="24" t="s">
        <v>9</v>
      </c>
      <c r="B141" s="25" t="s">
        <v>9</v>
      </c>
      <c r="C141" s="25" t="s">
        <v>141</v>
      </c>
      <c r="D141" s="25" t="s">
        <v>142</v>
      </c>
      <c r="E141" s="24" t="s">
        <v>9</v>
      </c>
      <c r="F141" s="24" t="s">
        <v>9</v>
      </c>
      <c r="G141" s="24" t="s">
        <v>9</v>
      </c>
    </row>
    <row r="142" spans="1:8" ht="18" customHeight="1" x14ac:dyDescent="0.2">
      <c r="A142" s="24" t="s">
        <v>9</v>
      </c>
      <c r="B142" s="25" t="s">
        <v>143</v>
      </c>
      <c r="C142" s="25" t="s">
        <v>144</v>
      </c>
      <c r="D142" s="25" t="s">
        <v>145</v>
      </c>
      <c r="E142" s="24" t="s">
        <v>9</v>
      </c>
      <c r="F142" s="24" t="s">
        <v>9</v>
      </c>
      <c r="G142" s="24" t="s">
        <v>9</v>
      </c>
    </row>
    <row r="143" spans="1:8" ht="17.100000000000001" customHeight="1" x14ac:dyDescent="0.2">
      <c r="A143" s="24" t="s">
        <v>9</v>
      </c>
      <c r="B143" s="6" t="s">
        <v>146</v>
      </c>
      <c r="C143" s="26">
        <v>12.466900000000001</v>
      </c>
      <c r="D143" s="26">
        <v>13.479799999999999</v>
      </c>
      <c r="E143" s="24" t="s">
        <v>9</v>
      </c>
      <c r="F143" s="21" t="s">
        <v>9</v>
      </c>
      <c r="G143" s="27" t="s">
        <v>9</v>
      </c>
    </row>
    <row r="144" spans="1:8" ht="17.100000000000001" customHeight="1" x14ac:dyDescent="0.2">
      <c r="A144" s="24" t="s">
        <v>9</v>
      </c>
      <c r="B144" s="6" t="s">
        <v>839</v>
      </c>
      <c r="C144" s="26">
        <v>12.466900000000001</v>
      </c>
      <c r="D144" s="26">
        <v>13.479799999999999</v>
      </c>
      <c r="E144" s="24" t="s">
        <v>9</v>
      </c>
      <c r="F144" s="21" t="s">
        <v>9</v>
      </c>
      <c r="G144" s="27" t="s">
        <v>9</v>
      </c>
    </row>
    <row r="145" spans="1:7" ht="17.100000000000001" customHeight="1" x14ac:dyDescent="0.2">
      <c r="A145" s="24" t="s">
        <v>9</v>
      </c>
      <c r="B145" s="6" t="s">
        <v>147</v>
      </c>
      <c r="C145" s="26">
        <v>12.247999999999999</v>
      </c>
      <c r="D145" s="26">
        <v>13.241899999999999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840</v>
      </c>
      <c r="C146" s="26">
        <v>12.2478</v>
      </c>
      <c r="D146" s="26">
        <v>13.2418</v>
      </c>
      <c r="E146" s="24" t="s">
        <v>9</v>
      </c>
      <c r="F146" s="21" t="s">
        <v>9</v>
      </c>
      <c r="G146" s="27" t="s">
        <v>9</v>
      </c>
    </row>
    <row r="147" spans="1:7" ht="14.1" customHeight="1" x14ac:dyDescent="0.2">
      <c r="A147" s="24" t="s">
        <v>9</v>
      </c>
      <c r="B147" s="24" t="s">
        <v>9</v>
      </c>
      <c r="C147" s="24" t="s">
        <v>9</v>
      </c>
      <c r="D147" s="24" t="s">
        <v>9</v>
      </c>
      <c r="E147" s="24" t="s">
        <v>9</v>
      </c>
      <c r="F147" s="24" t="s">
        <v>9</v>
      </c>
      <c r="G147" s="24" t="s">
        <v>9</v>
      </c>
    </row>
    <row r="148" spans="1:7" ht="17.100000000000001" customHeight="1" x14ac:dyDescent="0.2">
      <c r="A148" s="24" t="s">
        <v>9</v>
      </c>
      <c r="B148" s="205" t="s">
        <v>1013</v>
      </c>
      <c r="C148" s="206"/>
      <c r="D148" s="4" t="s">
        <v>138</v>
      </c>
      <c r="E148" s="24" t="s">
        <v>9</v>
      </c>
      <c r="F148" s="24" t="s">
        <v>9</v>
      </c>
      <c r="G148" s="24" t="s">
        <v>9</v>
      </c>
    </row>
    <row r="149" spans="1:7" ht="18" customHeight="1" x14ac:dyDescent="0.2">
      <c r="A149" s="24" t="s">
        <v>9</v>
      </c>
      <c r="B149" s="30"/>
      <c r="C149" s="30"/>
      <c r="D149" s="28" t="s">
        <v>9</v>
      </c>
      <c r="E149" s="24" t="s">
        <v>9</v>
      </c>
      <c r="F149" s="24" t="s">
        <v>9</v>
      </c>
      <c r="G149" s="24" t="s">
        <v>9</v>
      </c>
    </row>
    <row r="150" spans="1:7" s="197" customFormat="1" x14ac:dyDescent="0.2">
      <c r="B150" s="208" t="s">
        <v>841</v>
      </c>
      <c r="C150" s="208"/>
      <c r="D150" s="208"/>
      <c r="E150" s="208"/>
      <c r="F150" s="208"/>
    </row>
    <row r="151" spans="1:7" ht="14.1" customHeight="1" x14ac:dyDescent="0.2">
      <c r="A151" s="24" t="s">
        <v>9</v>
      </c>
      <c r="B151" s="21" t="s">
        <v>9</v>
      </c>
      <c r="C151" s="21" t="s">
        <v>9</v>
      </c>
      <c r="D151" s="24" t="s">
        <v>9</v>
      </c>
      <c r="E151" s="24" t="s">
        <v>9</v>
      </c>
      <c r="F151" s="24" t="s">
        <v>9</v>
      </c>
      <c r="G151" s="24" t="s">
        <v>9</v>
      </c>
    </row>
    <row r="152" spans="1:7" ht="29.1" customHeight="1" x14ac:dyDescent="0.2">
      <c r="A152" s="24" t="s">
        <v>9</v>
      </c>
      <c r="B152" s="205" t="s">
        <v>148</v>
      </c>
      <c r="C152" s="206"/>
      <c r="D152" s="4" t="s">
        <v>138</v>
      </c>
      <c r="E152" s="24" t="s">
        <v>9</v>
      </c>
      <c r="F152" s="24" t="s">
        <v>9</v>
      </c>
      <c r="G152" s="24" t="s">
        <v>9</v>
      </c>
    </row>
    <row r="153" spans="1:7" ht="29.1" customHeight="1" x14ac:dyDescent="0.2">
      <c r="A153" s="24" t="s">
        <v>9</v>
      </c>
      <c r="B153" s="205" t="s">
        <v>149</v>
      </c>
      <c r="C153" s="206"/>
      <c r="D153" s="4" t="s">
        <v>138</v>
      </c>
      <c r="E153" s="24" t="s">
        <v>9</v>
      </c>
      <c r="F153" s="24" t="s">
        <v>9</v>
      </c>
      <c r="G153" s="24" t="s">
        <v>9</v>
      </c>
    </row>
    <row r="154" spans="1:7" ht="17.100000000000001" customHeight="1" x14ac:dyDescent="0.2">
      <c r="A154" s="24" t="s">
        <v>9</v>
      </c>
      <c r="B154" s="205" t="s">
        <v>150</v>
      </c>
      <c r="C154" s="206"/>
      <c r="D154" s="29">
        <v>0.37342145546615402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205" t="s">
        <v>151</v>
      </c>
      <c r="C155" s="206"/>
      <c r="D155" s="4" t="s">
        <v>138</v>
      </c>
      <c r="E155" s="24" t="s">
        <v>9</v>
      </c>
      <c r="F155" s="24" t="s">
        <v>9</v>
      </c>
      <c r="G155" s="24" t="s">
        <v>9</v>
      </c>
    </row>
  </sheetData>
  <mergeCells count="15">
    <mergeCell ref="B154:C154"/>
    <mergeCell ref="B155:C155"/>
    <mergeCell ref="B138:C138"/>
    <mergeCell ref="B139:C139"/>
    <mergeCell ref="B140:C140"/>
    <mergeCell ref="B148:C148"/>
    <mergeCell ref="B152:C152"/>
    <mergeCell ref="B153:C153"/>
    <mergeCell ref="B150:F150"/>
    <mergeCell ref="B137:C137"/>
    <mergeCell ref="B134:F134"/>
    <mergeCell ref="B135:F13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158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506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12678</v>
      </c>
      <c r="F7" s="8">
        <v>157.454421</v>
      </c>
      <c r="G7" s="9">
        <v>3.7347225999999997E-2</v>
      </c>
      <c r="H7" s="156"/>
    </row>
    <row r="8" spans="1:8" x14ac:dyDescent="0.2">
      <c r="A8" s="5">
        <v>2</v>
      </c>
      <c r="B8" s="6" t="s">
        <v>153</v>
      </c>
      <c r="C8" s="6" t="s">
        <v>154</v>
      </c>
      <c r="D8" s="6" t="s">
        <v>155</v>
      </c>
      <c r="E8" s="7">
        <v>4031</v>
      </c>
      <c r="F8" s="8">
        <v>151.13226750000001</v>
      </c>
      <c r="G8" s="9">
        <v>3.5847650000000002E-2</v>
      </c>
      <c r="H8" s="156"/>
    </row>
    <row r="9" spans="1:8" x14ac:dyDescent="0.2">
      <c r="A9" s="5">
        <v>3</v>
      </c>
      <c r="B9" s="6" t="s">
        <v>468</v>
      </c>
      <c r="C9" s="6" t="s">
        <v>469</v>
      </c>
      <c r="D9" s="6" t="s">
        <v>196</v>
      </c>
      <c r="E9" s="7">
        <v>28032</v>
      </c>
      <c r="F9" s="8">
        <v>137.59507199999999</v>
      </c>
      <c r="G9" s="9">
        <v>3.2636709999999999E-2</v>
      </c>
      <c r="H9" s="156"/>
    </row>
    <row r="10" spans="1:8" x14ac:dyDescent="0.2">
      <c r="A10" s="5">
        <v>4</v>
      </c>
      <c r="B10" s="6" t="s">
        <v>158</v>
      </c>
      <c r="C10" s="6" t="s">
        <v>159</v>
      </c>
      <c r="D10" s="6" t="s">
        <v>28</v>
      </c>
      <c r="E10" s="7">
        <v>17000</v>
      </c>
      <c r="F10" s="8">
        <v>117.8865</v>
      </c>
      <c r="G10" s="9">
        <v>2.7961956999999999E-2</v>
      </c>
      <c r="H10" s="156"/>
    </row>
    <row r="11" spans="1:8" x14ac:dyDescent="0.2">
      <c r="A11" s="5">
        <v>5</v>
      </c>
      <c r="B11" s="6" t="s">
        <v>160</v>
      </c>
      <c r="C11" s="6" t="s">
        <v>161</v>
      </c>
      <c r="D11" s="6" t="s">
        <v>28</v>
      </c>
      <c r="E11" s="7">
        <v>17000</v>
      </c>
      <c r="F11" s="8">
        <v>114.75</v>
      </c>
      <c r="G11" s="9">
        <v>2.7217998E-2</v>
      </c>
      <c r="H11" s="156"/>
    </row>
    <row r="12" spans="1:8" x14ac:dyDescent="0.2">
      <c r="A12" s="5">
        <v>6</v>
      </c>
      <c r="B12" s="6" t="s">
        <v>177</v>
      </c>
      <c r="C12" s="6" t="s">
        <v>178</v>
      </c>
      <c r="D12" s="6" t="s">
        <v>54</v>
      </c>
      <c r="E12" s="7">
        <v>37174</v>
      </c>
      <c r="F12" s="8">
        <v>104.235896</v>
      </c>
      <c r="G12" s="9">
        <v>2.4724117E-2</v>
      </c>
      <c r="H12" s="156"/>
    </row>
    <row r="13" spans="1:8" x14ac:dyDescent="0.2">
      <c r="A13" s="5">
        <v>7</v>
      </c>
      <c r="B13" s="6" t="s">
        <v>175</v>
      </c>
      <c r="C13" s="6" t="s">
        <v>176</v>
      </c>
      <c r="D13" s="6" t="s">
        <v>974</v>
      </c>
      <c r="E13" s="7">
        <v>11979</v>
      </c>
      <c r="F13" s="8">
        <v>102.791799</v>
      </c>
      <c r="G13" s="9">
        <v>2.4381586E-2</v>
      </c>
      <c r="H13" s="156"/>
    </row>
    <row r="14" spans="1:8" x14ac:dyDescent="0.2">
      <c r="A14" s="5">
        <v>8</v>
      </c>
      <c r="B14" s="6" t="s">
        <v>173</v>
      </c>
      <c r="C14" s="6" t="s">
        <v>174</v>
      </c>
      <c r="D14" s="6" t="s">
        <v>63</v>
      </c>
      <c r="E14" s="7">
        <v>24926</v>
      </c>
      <c r="F14" s="8">
        <v>100.838133</v>
      </c>
      <c r="G14" s="9">
        <v>2.3918188E-2</v>
      </c>
      <c r="H14" s="156"/>
    </row>
    <row r="15" spans="1:8" x14ac:dyDescent="0.2">
      <c r="A15" s="5">
        <v>9</v>
      </c>
      <c r="B15" s="6" t="s">
        <v>31</v>
      </c>
      <c r="C15" s="6" t="s">
        <v>32</v>
      </c>
      <c r="D15" s="6" t="s">
        <v>972</v>
      </c>
      <c r="E15" s="7">
        <v>3517</v>
      </c>
      <c r="F15" s="8">
        <v>100.287255</v>
      </c>
      <c r="G15" s="9">
        <v>2.3787524000000001E-2</v>
      </c>
      <c r="H15" s="156"/>
    </row>
    <row r="16" spans="1:8" x14ac:dyDescent="0.2">
      <c r="A16" s="5">
        <v>10</v>
      </c>
      <c r="B16" s="6" t="s">
        <v>164</v>
      </c>
      <c r="C16" s="6" t="s">
        <v>165</v>
      </c>
      <c r="D16" s="6" t="s">
        <v>166</v>
      </c>
      <c r="E16" s="7">
        <v>100136</v>
      </c>
      <c r="F16" s="8">
        <v>94.127840000000006</v>
      </c>
      <c r="G16" s="9">
        <v>2.2326548000000002E-2</v>
      </c>
      <c r="H16" s="156"/>
    </row>
    <row r="17" spans="1:8" x14ac:dyDescent="0.2">
      <c r="A17" s="5">
        <v>11</v>
      </c>
      <c r="B17" s="6" t="s">
        <v>185</v>
      </c>
      <c r="C17" s="6" t="s">
        <v>186</v>
      </c>
      <c r="D17" s="6" t="s">
        <v>172</v>
      </c>
      <c r="E17" s="7">
        <v>41205</v>
      </c>
      <c r="F17" s="8">
        <v>92.299199999999999</v>
      </c>
      <c r="G17" s="9">
        <v>2.1892806000000001E-2</v>
      </c>
      <c r="H17" s="156"/>
    </row>
    <row r="18" spans="1:8" x14ac:dyDescent="0.2">
      <c r="A18" s="5">
        <v>12</v>
      </c>
      <c r="B18" s="6" t="s">
        <v>450</v>
      </c>
      <c r="C18" s="6" t="s">
        <v>451</v>
      </c>
      <c r="D18" s="6" t="s">
        <v>35</v>
      </c>
      <c r="E18" s="7">
        <v>7547</v>
      </c>
      <c r="F18" s="8">
        <v>91.835669499999995</v>
      </c>
      <c r="G18" s="9">
        <v>2.1782859000000002E-2</v>
      </c>
      <c r="H18" s="156"/>
    </row>
    <row r="19" spans="1:8" x14ac:dyDescent="0.2">
      <c r="A19" s="5">
        <v>13</v>
      </c>
      <c r="B19" s="6" t="s">
        <v>167</v>
      </c>
      <c r="C19" s="6" t="s">
        <v>168</v>
      </c>
      <c r="D19" s="6" t="s">
        <v>169</v>
      </c>
      <c r="E19" s="7">
        <v>34124</v>
      </c>
      <c r="F19" s="8">
        <v>88.620028000000005</v>
      </c>
      <c r="G19" s="9">
        <v>2.1020128999999999E-2</v>
      </c>
      <c r="H19" s="156"/>
    </row>
    <row r="20" spans="1:8" x14ac:dyDescent="0.2">
      <c r="A20" s="5">
        <v>14</v>
      </c>
      <c r="B20" s="6" t="s">
        <v>194</v>
      </c>
      <c r="C20" s="6" t="s">
        <v>195</v>
      </c>
      <c r="D20" s="6" t="s">
        <v>196</v>
      </c>
      <c r="E20" s="7">
        <v>21294</v>
      </c>
      <c r="F20" s="8">
        <v>87.880337999999995</v>
      </c>
      <c r="G20" s="9">
        <v>2.0844679000000001E-2</v>
      </c>
      <c r="H20" s="156"/>
    </row>
    <row r="21" spans="1:8" x14ac:dyDescent="0.2">
      <c r="A21" s="5">
        <v>15</v>
      </c>
      <c r="B21" s="6" t="s">
        <v>170</v>
      </c>
      <c r="C21" s="6" t="s">
        <v>171</v>
      </c>
      <c r="D21" s="6" t="s">
        <v>172</v>
      </c>
      <c r="E21" s="7">
        <v>6295</v>
      </c>
      <c r="F21" s="8">
        <v>82.634465000000006</v>
      </c>
      <c r="G21" s="9">
        <v>1.9600389999999999E-2</v>
      </c>
      <c r="H21" s="156"/>
    </row>
    <row r="22" spans="1:8" x14ac:dyDescent="0.2">
      <c r="A22" s="5">
        <v>16</v>
      </c>
      <c r="B22" s="6" t="s">
        <v>183</v>
      </c>
      <c r="C22" s="6" t="s">
        <v>184</v>
      </c>
      <c r="D22" s="6" t="s">
        <v>43</v>
      </c>
      <c r="E22" s="7">
        <v>19016</v>
      </c>
      <c r="F22" s="8">
        <v>80.970128000000003</v>
      </c>
      <c r="G22" s="9">
        <v>1.9205619E-2</v>
      </c>
      <c r="H22" s="156"/>
    </row>
    <row r="23" spans="1:8" x14ac:dyDescent="0.2">
      <c r="A23" s="5">
        <v>17</v>
      </c>
      <c r="B23" s="6" t="s">
        <v>206</v>
      </c>
      <c r="C23" s="6" t="s">
        <v>207</v>
      </c>
      <c r="D23" s="6" t="s">
        <v>73</v>
      </c>
      <c r="E23" s="7">
        <v>18738</v>
      </c>
      <c r="F23" s="8">
        <v>80.863838999999999</v>
      </c>
      <c r="G23" s="9">
        <v>1.9180407999999999E-2</v>
      </c>
      <c r="H23" s="156"/>
    </row>
    <row r="24" spans="1:8" x14ac:dyDescent="0.2">
      <c r="A24" s="5">
        <v>18</v>
      </c>
      <c r="B24" s="6" t="s">
        <v>44</v>
      </c>
      <c r="C24" s="6" t="s">
        <v>45</v>
      </c>
      <c r="D24" s="6" t="s">
        <v>978</v>
      </c>
      <c r="E24" s="7">
        <v>46873</v>
      </c>
      <c r="F24" s="8">
        <v>78.559147999999993</v>
      </c>
      <c r="G24" s="9">
        <v>1.8633749000000002E-2</v>
      </c>
      <c r="H24" s="156"/>
    </row>
    <row r="25" spans="1:8" x14ac:dyDescent="0.2">
      <c r="A25" s="5">
        <v>19</v>
      </c>
      <c r="B25" s="6" t="s">
        <v>192</v>
      </c>
      <c r="C25" s="6" t="s">
        <v>193</v>
      </c>
      <c r="D25" s="6" t="s">
        <v>196</v>
      </c>
      <c r="E25" s="7">
        <v>11402</v>
      </c>
      <c r="F25" s="8">
        <v>78.519873000000004</v>
      </c>
      <c r="G25" s="9">
        <v>1.8624433999999999E-2</v>
      </c>
      <c r="H25" s="156"/>
    </row>
    <row r="26" spans="1:8" x14ac:dyDescent="0.2">
      <c r="A26" s="5">
        <v>20</v>
      </c>
      <c r="B26" s="6" t="s">
        <v>220</v>
      </c>
      <c r="C26" s="6" t="s">
        <v>221</v>
      </c>
      <c r="D26" s="6" t="s">
        <v>191</v>
      </c>
      <c r="E26" s="7">
        <v>17798</v>
      </c>
      <c r="F26" s="8">
        <v>76.816168000000005</v>
      </c>
      <c r="G26" s="9">
        <v>1.8220324999999999E-2</v>
      </c>
      <c r="H26" s="156"/>
    </row>
    <row r="27" spans="1:8" x14ac:dyDescent="0.2">
      <c r="A27" s="5">
        <v>21</v>
      </c>
      <c r="B27" s="6" t="s">
        <v>162</v>
      </c>
      <c r="C27" s="6" t="s">
        <v>163</v>
      </c>
      <c r="D27" s="6" t="s">
        <v>169</v>
      </c>
      <c r="E27" s="7">
        <v>7059</v>
      </c>
      <c r="F27" s="8">
        <v>70.879418999999999</v>
      </c>
      <c r="G27" s="9">
        <v>1.6812165E-2</v>
      </c>
      <c r="H27" s="156"/>
    </row>
    <row r="28" spans="1:8" x14ac:dyDescent="0.2">
      <c r="A28" s="5">
        <v>22</v>
      </c>
      <c r="B28" s="6" t="s">
        <v>181</v>
      </c>
      <c r="C28" s="6" t="s">
        <v>182</v>
      </c>
      <c r="D28" s="6" t="s">
        <v>972</v>
      </c>
      <c r="E28" s="7">
        <v>27933</v>
      </c>
      <c r="F28" s="8">
        <v>70.572724500000007</v>
      </c>
      <c r="G28" s="9">
        <v>1.6739418999999998E-2</v>
      </c>
      <c r="H28" s="156"/>
    </row>
    <row r="29" spans="1:8" x14ac:dyDescent="0.2">
      <c r="A29" s="5">
        <v>23</v>
      </c>
      <c r="B29" s="6" t="s">
        <v>218</v>
      </c>
      <c r="C29" s="6" t="s">
        <v>219</v>
      </c>
      <c r="D29" s="6" t="s">
        <v>63</v>
      </c>
      <c r="E29" s="7">
        <v>9500</v>
      </c>
      <c r="F29" s="8">
        <v>69.810749999999999</v>
      </c>
      <c r="G29" s="9">
        <v>1.6558683000000001E-2</v>
      </c>
      <c r="H29" s="156"/>
    </row>
    <row r="30" spans="1:8" x14ac:dyDescent="0.2">
      <c r="A30" s="5">
        <v>24</v>
      </c>
      <c r="B30" s="6" t="s">
        <v>179</v>
      </c>
      <c r="C30" s="6" t="s">
        <v>180</v>
      </c>
      <c r="D30" s="6" t="s">
        <v>169</v>
      </c>
      <c r="E30" s="7">
        <v>2343</v>
      </c>
      <c r="F30" s="8">
        <v>68.857255499999994</v>
      </c>
      <c r="G30" s="9">
        <v>1.633252E-2</v>
      </c>
      <c r="H30" s="156"/>
    </row>
    <row r="31" spans="1:8" x14ac:dyDescent="0.2">
      <c r="A31" s="5">
        <v>25</v>
      </c>
      <c r="B31" s="6" t="s">
        <v>187</v>
      </c>
      <c r="C31" s="6" t="s">
        <v>188</v>
      </c>
      <c r="D31" s="6" t="s">
        <v>973</v>
      </c>
      <c r="E31" s="7">
        <v>22271</v>
      </c>
      <c r="F31" s="8">
        <v>68.750577000000007</v>
      </c>
      <c r="G31" s="9">
        <v>1.6307215999999999E-2</v>
      </c>
      <c r="H31" s="156"/>
    </row>
    <row r="32" spans="1:8" x14ac:dyDescent="0.2">
      <c r="A32" s="5">
        <v>26</v>
      </c>
      <c r="B32" s="6" t="s">
        <v>210</v>
      </c>
      <c r="C32" s="6" t="s">
        <v>211</v>
      </c>
      <c r="D32" s="6" t="s">
        <v>169</v>
      </c>
      <c r="E32" s="7">
        <v>7863</v>
      </c>
      <c r="F32" s="8">
        <v>67.590348000000006</v>
      </c>
      <c r="G32" s="9">
        <v>1.6032016999999999E-2</v>
      </c>
      <c r="H32" s="156"/>
    </row>
    <row r="33" spans="1:8" x14ac:dyDescent="0.2">
      <c r="A33" s="5">
        <v>27</v>
      </c>
      <c r="B33" s="6" t="s">
        <v>61</v>
      </c>
      <c r="C33" s="6" t="s">
        <v>62</v>
      </c>
      <c r="D33" s="6" t="s">
        <v>63</v>
      </c>
      <c r="E33" s="7">
        <v>2243</v>
      </c>
      <c r="F33" s="8">
        <v>65.634665999999996</v>
      </c>
      <c r="G33" s="9">
        <v>1.5568141000000001E-2</v>
      </c>
      <c r="H33" s="156"/>
    </row>
    <row r="34" spans="1:8" x14ac:dyDescent="0.2">
      <c r="A34" s="5">
        <v>28</v>
      </c>
      <c r="B34" s="6" t="s">
        <v>48</v>
      </c>
      <c r="C34" s="6" t="s">
        <v>49</v>
      </c>
      <c r="D34" s="6" t="s">
        <v>28</v>
      </c>
      <c r="E34" s="7">
        <v>6458</v>
      </c>
      <c r="F34" s="8">
        <v>65.338814999999997</v>
      </c>
      <c r="G34" s="9">
        <v>1.5497967E-2</v>
      </c>
      <c r="H34" s="156"/>
    </row>
    <row r="35" spans="1:8" x14ac:dyDescent="0.2">
      <c r="A35" s="5">
        <v>29</v>
      </c>
      <c r="B35" s="6" t="s">
        <v>201</v>
      </c>
      <c r="C35" s="6" t="s">
        <v>202</v>
      </c>
      <c r="D35" s="6" t="s">
        <v>40</v>
      </c>
      <c r="E35" s="7">
        <v>54093</v>
      </c>
      <c r="F35" s="8">
        <v>59.853904499999999</v>
      </c>
      <c r="G35" s="9">
        <v>1.419698E-2</v>
      </c>
      <c r="H35" s="156"/>
    </row>
    <row r="36" spans="1:8" x14ac:dyDescent="0.2">
      <c r="A36" s="5">
        <v>30</v>
      </c>
      <c r="B36" s="6" t="s">
        <v>237</v>
      </c>
      <c r="C36" s="6" t="s">
        <v>238</v>
      </c>
      <c r="D36" s="6" t="s">
        <v>239</v>
      </c>
      <c r="E36" s="7">
        <v>32045</v>
      </c>
      <c r="F36" s="8">
        <v>59.635745</v>
      </c>
      <c r="G36" s="9">
        <v>1.4145234E-2</v>
      </c>
      <c r="H36" s="156"/>
    </row>
    <row r="37" spans="1:8" x14ac:dyDescent="0.2">
      <c r="A37" s="5">
        <v>31</v>
      </c>
      <c r="B37" s="6" t="s">
        <v>232</v>
      </c>
      <c r="C37" s="6" t="s">
        <v>233</v>
      </c>
      <c r="D37" s="6" t="s">
        <v>166</v>
      </c>
      <c r="E37" s="7">
        <v>108845</v>
      </c>
      <c r="F37" s="8">
        <v>58.667454999999997</v>
      </c>
      <c r="G37" s="9">
        <v>1.3915561999999999E-2</v>
      </c>
      <c r="H37" s="156"/>
    </row>
    <row r="38" spans="1:8" x14ac:dyDescent="0.2">
      <c r="A38" s="5">
        <v>32</v>
      </c>
      <c r="B38" s="6" t="s">
        <v>208</v>
      </c>
      <c r="C38" s="6" t="s">
        <v>209</v>
      </c>
      <c r="D38" s="6" t="s">
        <v>976</v>
      </c>
      <c r="E38" s="7">
        <v>7162</v>
      </c>
      <c r="F38" s="8">
        <v>58.581578999999998</v>
      </c>
      <c r="G38" s="9">
        <v>1.3895192000000001E-2</v>
      </c>
      <c r="H38" s="156"/>
    </row>
    <row r="39" spans="1:8" x14ac:dyDescent="0.2">
      <c r="A39" s="5">
        <v>33</v>
      </c>
      <c r="B39" s="6" t="s">
        <v>38</v>
      </c>
      <c r="C39" s="6" t="s">
        <v>39</v>
      </c>
      <c r="D39" s="6" t="s">
        <v>40</v>
      </c>
      <c r="E39" s="7">
        <v>20448</v>
      </c>
      <c r="F39" s="8">
        <v>57.193055999999999</v>
      </c>
      <c r="G39" s="9">
        <v>1.3565842999999999E-2</v>
      </c>
      <c r="H39" s="156"/>
    </row>
    <row r="40" spans="1:8" x14ac:dyDescent="0.2">
      <c r="A40" s="5">
        <v>34</v>
      </c>
      <c r="B40" s="6" t="s">
        <v>216</v>
      </c>
      <c r="C40" s="6" t="s">
        <v>217</v>
      </c>
      <c r="D40" s="6" t="s">
        <v>54</v>
      </c>
      <c r="E40" s="7">
        <v>5046</v>
      </c>
      <c r="F40" s="8">
        <v>56.073675000000001</v>
      </c>
      <c r="G40" s="9">
        <v>1.3300332999999999E-2</v>
      </c>
      <c r="H40" s="156"/>
    </row>
    <row r="41" spans="1:8" x14ac:dyDescent="0.2">
      <c r="A41" s="5">
        <v>35</v>
      </c>
      <c r="B41" s="6" t="s">
        <v>464</v>
      </c>
      <c r="C41" s="6" t="s">
        <v>465</v>
      </c>
      <c r="D41" s="6" t="s">
        <v>974</v>
      </c>
      <c r="E41" s="7">
        <v>74070</v>
      </c>
      <c r="F41" s="8">
        <v>55.256219999999999</v>
      </c>
      <c r="G41" s="9">
        <v>1.3106437E-2</v>
      </c>
      <c r="H41" s="156"/>
    </row>
    <row r="42" spans="1:8" x14ac:dyDescent="0.2">
      <c r="A42" s="5">
        <v>36</v>
      </c>
      <c r="B42" s="6" t="s">
        <v>228</v>
      </c>
      <c r="C42" s="6" t="s">
        <v>229</v>
      </c>
      <c r="D42" s="6" t="s">
        <v>35</v>
      </c>
      <c r="E42" s="7">
        <v>68857</v>
      </c>
      <c r="F42" s="8">
        <v>54.465887000000002</v>
      </c>
      <c r="G42" s="9">
        <v>1.2918974999999999E-2</v>
      </c>
      <c r="H42" s="156"/>
    </row>
    <row r="43" spans="1:8" x14ac:dyDescent="0.2">
      <c r="A43" s="5">
        <v>37</v>
      </c>
      <c r="B43" s="6" t="s">
        <v>79</v>
      </c>
      <c r="C43" s="6" t="s">
        <v>80</v>
      </c>
      <c r="D43" s="6" t="s">
        <v>63</v>
      </c>
      <c r="E43" s="7">
        <v>23220</v>
      </c>
      <c r="F43" s="8">
        <v>54.183869999999999</v>
      </c>
      <c r="G43" s="9">
        <v>1.2852083E-2</v>
      </c>
      <c r="H43" s="156"/>
    </row>
    <row r="44" spans="1:8" x14ac:dyDescent="0.2">
      <c r="A44" s="5">
        <v>38</v>
      </c>
      <c r="B44" s="6" t="s">
        <v>264</v>
      </c>
      <c r="C44" s="6" t="s">
        <v>265</v>
      </c>
      <c r="D44" s="6" t="s">
        <v>975</v>
      </c>
      <c r="E44" s="7">
        <v>10737</v>
      </c>
      <c r="F44" s="8">
        <v>53.642052</v>
      </c>
      <c r="G44" s="9">
        <v>1.2723567E-2</v>
      </c>
      <c r="H44" s="156"/>
    </row>
    <row r="45" spans="1:8" x14ac:dyDescent="0.2">
      <c r="A45" s="5">
        <v>39</v>
      </c>
      <c r="B45" s="6" t="s">
        <v>55</v>
      </c>
      <c r="C45" s="6" t="s">
        <v>56</v>
      </c>
      <c r="D45" s="6" t="s">
        <v>35</v>
      </c>
      <c r="E45" s="7">
        <v>6865</v>
      </c>
      <c r="F45" s="8">
        <v>52.688875000000003</v>
      </c>
      <c r="G45" s="9">
        <v>1.2497479000000001E-2</v>
      </c>
      <c r="H45" s="156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166</v>
      </c>
      <c r="E46" s="7">
        <v>9342</v>
      </c>
      <c r="F46" s="8">
        <v>50.563575</v>
      </c>
      <c r="G46" s="9">
        <v>1.1993370999999999E-2</v>
      </c>
      <c r="H46" s="156"/>
    </row>
    <row r="47" spans="1:8" ht="25.5" x14ac:dyDescent="0.2">
      <c r="A47" s="5">
        <v>41</v>
      </c>
      <c r="B47" s="6" t="s">
        <v>214</v>
      </c>
      <c r="C47" s="6" t="s">
        <v>215</v>
      </c>
      <c r="D47" s="6" t="s">
        <v>63</v>
      </c>
      <c r="E47" s="7">
        <v>2262</v>
      </c>
      <c r="F47" s="8">
        <v>50.424503999999999</v>
      </c>
      <c r="G47" s="9">
        <v>1.1960383999999999E-2</v>
      </c>
      <c r="H47" s="156"/>
    </row>
    <row r="48" spans="1:8" x14ac:dyDescent="0.2">
      <c r="A48" s="5">
        <v>42</v>
      </c>
      <c r="B48" s="6" t="s">
        <v>275</v>
      </c>
      <c r="C48" s="6" t="s">
        <v>276</v>
      </c>
      <c r="D48" s="6" t="s">
        <v>975</v>
      </c>
      <c r="E48" s="7">
        <v>33431</v>
      </c>
      <c r="F48" s="8">
        <v>46.251788500000004</v>
      </c>
      <c r="G48" s="9">
        <v>1.0970641E-2</v>
      </c>
      <c r="H48" s="156"/>
    </row>
    <row r="49" spans="1:8" x14ac:dyDescent="0.2">
      <c r="A49" s="5">
        <v>43</v>
      </c>
      <c r="B49" s="6" t="s">
        <v>266</v>
      </c>
      <c r="C49" s="6" t="s">
        <v>267</v>
      </c>
      <c r="D49" s="6" t="s">
        <v>191</v>
      </c>
      <c r="E49" s="7">
        <v>7135</v>
      </c>
      <c r="F49" s="8">
        <v>45.799565000000001</v>
      </c>
      <c r="G49" s="9">
        <v>1.0863377E-2</v>
      </c>
      <c r="H49" s="156"/>
    </row>
    <row r="50" spans="1:8" x14ac:dyDescent="0.2">
      <c r="A50" s="5">
        <v>44</v>
      </c>
      <c r="B50" s="6" t="s">
        <v>234</v>
      </c>
      <c r="C50" s="6" t="s">
        <v>235</v>
      </c>
      <c r="D50" s="6" t="s">
        <v>73</v>
      </c>
      <c r="E50" s="7">
        <v>10717</v>
      </c>
      <c r="F50" s="8">
        <v>45.7026465</v>
      </c>
      <c r="G50" s="9">
        <v>1.0840387999999999E-2</v>
      </c>
      <c r="H50" s="156"/>
    </row>
    <row r="51" spans="1:8" x14ac:dyDescent="0.2">
      <c r="A51" s="5">
        <v>45</v>
      </c>
      <c r="B51" s="6" t="s">
        <v>272</v>
      </c>
      <c r="C51" s="6" t="s">
        <v>273</v>
      </c>
      <c r="D51" s="6" t="s">
        <v>274</v>
      </c>
      <c r="E51" s="7">
        <v>17156</v>
      </c>
      <c r="F51" s="8">
        <v>43.301743999999999</v>
      </c>
      <c r="G51" s="9">
        <v>1.0270909E-2</v>
      </c>
      <c r="H51" s="156"/>
    </row>
    <row r="52" spans="1:8" x14ac:dyDescent="0.2">
      <c r="A52" s="5">
        <v>46</v>
      </c>
      <c r="B52" s="6" t="s">
        <v>270</v>
      </c>
      <c r="C52" s="6" t="s">
        <v>271</v>
      </c>
      <c r="D52" s="6" t="s">
        <v>22</v>
      </c>
      <c r="E52" s="7">
        <v>41531</v>
      </c>
      <c r="F52" s="8">
        <v>42.984585000000003</v>
      </c>
      <c r="G52" s="9">
        <v>1.0195681E-2</v>
      </c>
      <c r="H52" s="156"/>
    </row>
    <row r="53" spans="1:8" x14ac:dyDescent="0.2">
      <c r="A53" s="5">
        <v>47</v>
      </c>
      <c r="B53" s="6" t="s">
        <v>249</v>
      </c>
      <c r="C53" s="6" t="s">
        <v>250</v>
      </c>
      <c r="D53" s="6" t="s">
        <v>73</v>
      </c>
      <c r="E53" s="7">
        <v>11863</v>
      </c>
      <c r="F53" s="8">
        <v>42.902539500000003</v>
      </c>
      <c r="G53" s="9">
        <v>1.017622E-2</v>
      </c>
      <c r="H53" s="156"/>
    </row>
    <row r="54" spans="1:8" x14ac:dyDescent="0.2">
      <c r="A54" s="5">
        <v>48</v>
      </c>
      <c r="B54" s="6" t="s">
        <v>288</v>
      </c>
      <c r="C54" s="6" t="s">
        <v>289</v>
      </c>
      <c r="D54" s="6" t="s">
        <v>28</v>
      </c>
      <c r="E54" s="7">
        <v>3843</v>
      </c>
      <c r="F54" s="8">
        <v>42.5208735</v>
      </c>
      <c r="G54" s="9">
        <v>1.0085691000000001E-2</v>
      </c>
      <c r="H54" s="156"/>
    </row>
    <row r="55" spans="1:8" x14ac:dyDescent="0.2">
      <c r="A55" s="5">
        <v>49</v>
      </c>
      <c r="B55" s="6" t="s">
        <v>203</v>
      </c>
      <c r="C55" s="6" t="s">
        <v>204</v>
      </c>
      <c r="D55" s="6" t="s">
        <v>205</v>
      </c>
      <c r="E55" s="7">
        <v>5370</v>
      </c>
      <c r="F55" s="8">
        <v>42.406889999999997</v>
      </c>
      <c r="G55" s="9">
        <v>1.0058655E-2</v>
      </c>
      <c r="H55" s="156"/>
    </row>
    <row r="56" spans="1:8" x14ac:dyDescent="0.2">
      <c r="A56" s="5">
        <v>50</v>
      </c>
      <c r="B56" s="6" t="s">
        <v>247</v>
      </c>
      <c r="C56" s="6" t="s">
        <v>248</v>
      </c>
      <c r="D56" s="6" t="s">
        <v>166</v>
      </c>
      <c r="E56" s="7">
        <v>7933</v>
      </c>
      <c r="F56" s="8">
        <v>41.533221500000003</v>
      </c>
      <c r="G56" s="9">
        <v>9.8514259999999999E-3</v>
      </c>
      <c r="H56" s="156"/>
    </row>
    <row r="57" spans="1:8" x14ac:dyDescent="0.2">
      <c r="A57" s="5">
        <v>51</v>
      </c>
      <c r="B57" s="6" t="s">
        <v>259</v>
      </c>
      <c r="C57" s="6" t="s">
        <v>260</v>
      </c>
      <c r="D57" s="6" t="s">
        <v>261</v>
      </c>
      <c r="E57" s="7">
        <v>5220</v>
      </c>
      <c r="F57" s="8">
        <v>41.386769999999999</v>
      </c>
      <c r="G57" s="9">
        <v>9.816689E-3</v>
      </c>
      <c r="H57" s="156"/>
    </row>
    <row r="58" spans="1:8" x14ac:dyDescent="0.2">
      <c r="A58" s="5">
        <v>52</v>
      </c>
      <c r="B58" s="6" t="s">
        <v>257</v>
      </c>
      <c r="C58" s="6" t="s">
        <v>258</v>
      </c>
      <c r="D58" s="6" t="s">
        <v>977</v>
      </c>
      <c r="E58" s="7">
        <v>43509</v>
      </c>
      <c r="F58" s="8">
        <v>39.963016500000002</v>
      </c>
      <c r="G58" s="9">
        <v>9.4789829999999999E-3</v>
      </c>
      <c r="H58" s="156"/>
    </row>
    <row r="59" spans="1:8" x14ac:dyDescent="0.2">
      <c r="A59" s="5">
        <v>53</v>
      </c>
      <c r="B59" s="6" t="s">
        <v>253</v>
      </c>
      <c r="C59" s="6" t="s">
        <v>254</v>
      </c>
      <c r="D59" s="6" t="s">
        <v>975</v>
      </c>
      <c r="E59" s="7">
        <v>9945</v>
      </c>
      <c r="F59" s="8">
        <v>39.183300000000003</v>
      </c>
      <c r="G59" s="9">
        <v>9.2940390000000005E-3</v>
      </c>
      <c r="H59" s="156"/>
    </row>
    <row r="60" spans="1:8" x14ac:dyDescent="0.2">
      <c r="A60" s="5">
        <v>54</v>
      </c>
      <c r="B60" s="6" t="s">
        <v>199</v>
      </c>
      <c r="C60" s="6" t="s">
        <v>200</v>
      </c>
      <c r="D60" s="6" t="s">
        <v>63</v>
      </c>
      <c r="E60" s="7">
        <v>11000</v>
      </c>
      <c r="F60" s="8">
        <v>38.005000000000003</v>
      </c>
      <c r="G60" s="9">
        <v>9.0145539999999993E-3</v>
      </c>
      <c r="H60" s="156"/>
    </row>
    <row r="61" spans="1:8" x14ac:dyDescent="0.2">
      <c r="A61" s="5">
        <v>55</v>
      </c>
      <c r="B61" s="6" t="s">
        <v>240</v>
      </c>
      <c r="C61" s="6" t="s">
        <v>241</v>
      </c>
      <c r="D61" s="6" t="s">
        <v>191</v>
      </c>
      <c r="E61" s="7">
        <v>10008</v>
      </c>
      <c r="F61" s="8">
        <v>37.079639999999998</v>
      </c>
      <c r="G61" s="9">
        <v>8.795064E-3</v>
      </c>
      <c r="H61" s="156"/>
    </row>
    <row r="62" spans="1:8" x14ac:dyDescent="0.2">
      <c r="A62" s="5">
        <v>56</v>
      </c>
      <c r="B62" s="6" t="s">
        <v>262</v>
      </c>
      <c r="C62" s="6" t="s">
        <v>263</v>
      </c>
      <c r="D62" s="6" t="s">
        <v>975</v>
      </c>
      <c r="E62" s="7">
        <v>14576</v>
      </c>
      <c r="F62" s="8">
        <v>36.447288</v>
      </c>
      <c r="G62" s="9">
        <v>8.6450740000000009E-3</v>
      </c>
      <c r="H62" s="156"/>
    </row>
    <row r="63" spans="1:8" x14ac:dyDescent="0.2">
      <c r="A63" s="5">
        <v>57</v>
      </c>
      <c r="B63" s="6" t="s">
        <v>277</v>
      </c>
      <c r="C63" s="6" t="s">
        <v>278</v>
      </c>
      <c r="D63" s="6" t="s">
        <v>63</v>
      </c>
      <c r="E63" s="7">
        <v>18897</v>
      </c>
      <c r="F63" s="8">
        <v>35.082280500000003</v>
      </c>
      <c r="G63" s="9">
        <v>8.3213019999999992E-3</v>
      </c>
      <c r="H63" s="156"/>
    </row>
    <row r="64" spans="1:8" x14ac:dyDescent="0.2">
      <c r="A64" s="5">
        <v>58</v>
      </c>
      <c r="B64" s="6" t="s">
        <v>242</v>
      </c>
      <c r="C64" s="6" t="s">
        <v>243</v>
      </c>
      <c r="D64" s="6" t="s">
        <v>196</v>
      </c>
      <c r="E64" s="7">
        <v>1976</v>
      </c>
      <c r="F64" s="8">
        <v>32.904352000000003</v>
      </c>
      <c r="G64" s="9">
        <v>7.8047109999999998E-3</v>
      </c>
      <c r="H64" s="156"/>
    </row>
    <row r="65" spans="1:8" ht="25.5" x14ac:dyDescent="0.2">
      <c r="A65" s="5">
        <v>59</v>
      </c>
      <c r="B65" s="6" t="s">
        <v>251</v>
      </c>
      <c r="C65" s="6" t="s">
        <v>252</v>
      </c>
      <c r="D65" s="6" t="s">
        <v>155</v>
      </c>
      <c r="E65" s="7">
        <v>8058</v>
      </c>
      <c r="F65" s="8">
        <v>30.394776</v>
      </c>
      <c r="G65" s="9">
        <v>7.209455E-3</v>
      </c>
      <c r="H65" s="156"/>
    </row>
    <row r="66" spans="1:8" x14ac:dyDescent="0.2">
      <c r="A66" s="5">
        <v>60</v>
      </c>
      <c r="B66" s="6" t="s">
        <v>281</v>
      </c>
      <c r="C66" s="6" t="s">
        <v>282</v>
      </c>
      <c r="D66" s="6" t="s">
        <v>155</v>
      </c>
      <c r="E66" s="7">
        <v>1926</v>
      </c>
      <c r="F66" s="8">
        <v>30.149604</v>
      </c>
      <c r="G66" s="9">
        <v>7.151302E-3</v>
      </c>
      <c r="H66" s="156"/>
    </row>
    <row r="67" spans="1:8" x14ac:dyDescent="0.2">
      <c r="A67" s="5">
        <v>61</v>
      </c>
      <c r="B67" s="6" t="s">
        <v>59</v>
      </c>
      <c r="C67" s="6" t="s">
        <v>60</v>
      </c>
      <c r="D67" s="6" t="s">
        <v>40</v>
      </c>
      <c r="E67" s="7">
        <v>15361</v>
      </c>
      <c r="F67" s="8">
        <v>29.800339999999998</v>
      </c>
      <c r="G67" s="9">
        <v>7.0684579999999997E-3</v>
      </c>
      <c r="H67" s="156"/>
    </row>
    <row r="68" spans="1:8" x14ac:dyDescent="0.2">
      <c r="A68" s="5">
        <v>62</v>
      </c>
      <c r="B68" s="6" t="s">
        <v>283</v>
      </c>
      <c r="C68" s="6" t="s">
        <v>284</v>
      </c>
      <c r="D68" s="6" t="s">
        <v>169</v>
      </c>
      <c r="E68" s="7">
        <v>3830</v>
      </c>
      <c r="F68" s="8">
        <v>23.303635</v>
      </c>
      <c r="G68" s="9">
        <v>5.5274800000000004E-3</v>
      </c>
      <c r="H68" s="156"/>
    </row>
    <row r="69" spans="1:8" x14ac:dyDescent="0.2">
      <c r="A69" s="5">
        <v>63</v>
      </c>
      <c r="B69" s="6" t="s">
        <v>230</v>
      </c>
      <c r="C69" s="6" t="s">
        <v>231</v>
      </c>
      <c r="D69" s="6" t="s">
        <v>978</v>
      </c>
      <c r="E69" s="7">
        <v>1939</v>
      </c>
      <c r="F69" s="8">
        <v>21.856407999999998</v>
      </c>
      <c r="G69" s="9">
        <v>5.1842060000000002E-3</v>
      </c>
      <c r="H69" s="156"/>
    </row>
    <row r="70" spans="1:8" x14ac:dyDescent="0.2">
      <c r="A70" s="3" t="s">
        <v>9</v>
      </c>
      <c r="B70" s="3" t="s">
        <v>9</v>
      </c>
      <c r="C70" s="4" t="s">
        <v>105</v>
      </c>
      <c r="D70" s="3" t="s">
        <v>9</v>
      </c>
      <c r="E70" s="3" t="s">
        <v>9</v>
      </c>
      <c r="F70" s="10">
        <v>4117.7232560000002</v>
      </c>
      <c r="G70" s="11">
        <v>0.97669877500000002</v>
      </c>
      <c r="H70" s="156"/>
    </row>
    <row r="71" spans="1:8" x14ac:dyDescent="0.2">
      <c r="A71" s="3" t="s">
        <v>9</v>
      </c>
      <c r="B71" s="3" t="s">
        <v>9</v>
      </c>
      <c r="C71" s="12" t="s">
        <v>9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106</v>
      </c>
      <c r="D72" s="3" t="s">
        <v>9</v>
      </c>
      <c r="E72" s="3" t="s">
        <v>9</v>
      </c>
      <c r="F72" s="3" t="s">
        <v>9</v>
      </c>
      <c r="G72" s="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105</v>
      </c>
      <c r="D73" s="3" t="s">
        <v>9</v>
      </c>
      <c r="E73" s="3" t="s">
        <v>9</v>
      </c>
      <c r="F73" s="14">
        <v>0</v>
      </c>
      <c r="G73" s="15">
        <v>0</v>
      </c>
      <c r="H73" s="156"/>
    </row>
    <row r="74" spans="1:8" x14ac:dyDescent="0.2">
      <c r="A74" s="3" t="s">
        <v>9</v>
      </c>
      <c r="B74" s="3" t="s">
        <v>9</v>
      </c>
      <c r="C74" s="12" t="s">
        <v>9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107</v>
      </c>
      <c r="D75" s="3" t="s">
        <v>9</v>
      </c>
      <c r="E75" s="3" t="s">
        <v>9</v>
      </c>
      <c r="F75" s="3" t="s">
        <v>9</v>
      </c>
      <c r="G75" s="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4">
        <v>0</v>
      </c>
      <c r="G76" s="15">
        <v>0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111</v>
      </c>
      <c r="D78" s="3" t="s">
        <v>9</v>
      </c>
      <c r="E78" s="3" t="s">
        <v>9</v>
      </c>
      <c r="F78" s="3" t="s">
        <v>9</v>
      </c>
      <c r="G78" s="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112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113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114</v>
      </c>
      <c r="D87" s="3" t="s">
        <v>9</v>
      </c>
      <c r="E87" s="3" t="s">
        <v>9</v>
      </c>
      <c r="F87" s="10">
        <v>4117.7232560000002</v>
      </c>
      <c r="G87" s="11">
        <v>0.97669877500000002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115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11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116</v>
      </c>
      <c r="D93" s="3" t="s">
        <v>9</v>
      </c>
      <c r="E93" s="3" t="s">
        <v>9</v>
      </c>
      <c r="F93" s="3" t="s">
        <v>9</v>
      </c>
      <c r="G93" s="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4">
        <v>0</v>
      </c>
      <c r="G94" s="15">
        <v>0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117</v>
      </c>
      <c r="D96" s="3" t="s">
        <v>9</v>
      </c>
      <c r="E96" s="3" t="s">
        <v>9</v>
      </c>
      <c r="F96" s="3" t="s">
        <v>9</v>
      </c>
      <c r="G96" s="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118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119</v>
      </c>
      <c r="D102" s="3" t="s">
        <v>9</v>
      </c>
      <c r="E102" s="3" t="s">
        <v>9</v>
      </c>
      <c r="F102" s="10">
        <v>0</v>
      </c>
      <c r="G102" s="11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120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121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105</v>
      </c>
      <c r="D106" s="3" t="s">
        <v>9</v>
      </c>
      <c r="E106" s="3" t="s">
        <v>9</v>
      </c>
      <c r="F106" s="14">
        <v>0</v>
      </c>
      <c r="G106" s="15">
        <v>0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122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105</v>
      </c>
      <c r="D109" s="3" t="s">
        <v>9</v>
      </c>
      <c r="E109" s="3" t="s">
        <v>9</v>
      </c>
      <c r="F109" s="14">
        <v>0</v>
      </c>
      <c r="G109" s="15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123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105</v>
      </c>
      <c r="D112" s="3" t="s">
        <v>9</v>
      </c>
      <c r="E112" s="3" t="s">
        <v>9</v>
      </c>
      <c r="F112" s="14">
        <v>0</v>
      </c>
      <c r="G112" s="15">
        <v>0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124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5">
        <v>1</v>
      </c>
      <c r="B115" s="6"/>
      <c r="C115" s="6" t="s">
        <v>125</v>
      </c>
      <c r="D115" s="6"/>
      <c r="E115" s="16" t="s">
        <v>9</v>
      </c>
      <c r="F115" s="8">
        <v>64.157549700000004</v>
      </c>
      <c r="G115" s="9">
        <v>1.5217778E-2</v>
      </c>
      <c r="H115" s="8">
        <v>3.3326163573085874</v>
      </c>
    </row>
    <row r="116" spans="1:8" x14ac:dyDescent="0.2">
      <c r="A116" s="5">
        <v>2</v>
      </c>
      <c r="B116" s="6"/>
      <c r="C116" s="6" t="s">
        <v>126</v>
      </c>
      <c r="D116" s="6"/>
      <c r="E116" s="16" t="s">
        <v>9</v>
      </c>
      <c r="F116" s="8">
        <v>45.824440099999997</v>
      </c>
      <c r="G116" s="9">
        <v>1.0869277E-2</v>
      </c>
      <c r="H116" s="8">
        <v>3.2337849550915885</v>
      </c>
    </row>
    <row r="117" spans="1:8" x14ac:dyDescent="0.2">
      <c r="A117" s="3" t="s">
        <v>9</v>
      </c>
      <c r="B117" s="3" t="s">
        <v>9</v>
      </c>
      <c r="C117" s="4" t="s">
        <v>105</v>
      </c>
      <c r="D117" s="3" t="s">
        <v>9</v>
      </c>
      <c r="E117" s="3" t="s">
        <v>9</v>
      </c>
      <c r="F117" s="10">
        <v>109.98198979999999</v>
      </c>
      <c r="G117" s="11">
        <v>2.6087055000000001E-2</v>
      </c>
      <c r="H117" s="156"/>
    </row>
    <row r="118" spans="1:8" x14ac:dyDescent="0.2">
      <c r="A118" s="3" t="s">
        <v>9</v>
      </c>
      <c r="B118" s="3" t="s">
        <v>9</v>
      </c>
      <c r="C118" s="12" t="s">
        <v>9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127</v>
      </c>
      <c r="D119" s="3" t="s">
        <v>9</v>
      </c>
      <c r="E119" s="3" t="s">
        <v>9</v>
      </c>
      <c r="F119" s="10">
        <v>109.98198979999999</v>
      </c>
      <c r="G119" s="11">
        <v>2.6087055000000001E-2</v>
      </c>
      <c r="H119" s="156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3" t="s">
        <v>9</v>
      </c>
      <c r="G120" s="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128</v>
      </c>
      <c r="D121" s="3" t="s">
        <v>9</v>
      </c>
      <c r="E121" s="3" t="s">
        <v>9</v>
      </c>
      <c r="F121" s="3" t="s">
        <v>9</v>
      </c>
      <c r="G121" s="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129</v>
      </c>
      <c r="D122" s="3" t="s">
        <v>9</v>
      </c>
      <c r="E122" s="3" t="s">
        <v>9</v>
      </c>
      <c r="F122" s="3" t="s">
        <v>9</v>
      </c>
      <c r="G122" s="3" t="s">
        <v>9</v>
      </c>
      <c r="H122" s="156"/>
    </row>
    <row r="123" spans="1:8" x14ac:dyDescent="0.2">
      <c r="A123" s="3" t="s">
        <v>9</v>
      </c>
      <c r="B123" s="3" t="s">
        <v>9</v>
      </c>
      <c r="C123" s="4" t="s">
        <v>105</v>
      </c>
      <c r="D123" s="3" t="s">
        <v>9</v>
      </c>
      <c r="E123" s="3" t="s">
        <v>9</v>
      </c>
      <c r="F123" s="14">
        <v>0</v>
      </c>
      <c r="G123" s="15">
        <v>0</v>
      </c>
      <c r="H123" s="156"/>
    </row>
    <row r="124" spans="1:8" x14ac:dyDescent="0.2">
      <c r="A124" s="3" t="s">
        <v>9</v>
      </c>
      <c r="B124" s="3" t="s">
        <v>9</v>
      </c>
      <c r="C124" s="12" t="s">
        <v>9</v>
      </c>
      <c r="D124" s="3" t="s">
        <v>9</v>
      </c>
      <c r="E124" s="3" t="s">
        <v>9</v>
      </c>
      <c r="F124" s="13" t="s">
        <v>9</v>
      </c>
      <c r="G124" s="1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130</v>
      </c>
      <c r="D125" s="3" t="s">
        <v>9</v>
      </c>
      <c r="E125" s="3" t="s">
        <v>9</v>
      </c>
      <c r="F125" s="3" t="s">
        <v>9</v>
      </c>
      <c r="G125" s="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131</v>
      </c>
      <c r="D126" s="3" t="s">
        <v>9</v>
      </c>
      <c r="E126" s="3" t="s">
        <v>9</v>
      </c>
      <c r="F126" s="3" t="s">
        <v>9</v>
      </c>
      <c r="G126" s="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105</v>
      </c>
      <c r="D127" s="3" t="s">
        <v>9</v>
      </c>
      <c r="E127" s="3" t="s">
        <v>9</v>
      </c>
      <c r="F127" s="14">
        <v>0</v>
      </c>
      <c r="G127" s="15">
        <v>0</v>
      </c>
      <c r="H127" s="156"/>
    </row>
    <row r="128" spans="1:8" x14ac:dyDescent="0.2">
      <c r="A128" s="3" t="s">
        <v>9</v>
      </c>
      <c r="B128" s="3" t="s">
        <v>9</v>
      </c>
      <c r="C128" s="12" t="s">
        <v>9</v>
      </c>
      <c r="D128" s="3" t="s">
        <v>9</v>
      </c>
      <c r="E128" s="3" t="s">
        <v>9</v>
      </c>
      <c r="F128" s="13" t="s">
        <v>9</v>
      </c>
      <c r="G128" s="13" t="s">
        <v>9</v>
      </c>
      <c r="H128" s="156"/>
    </row>
    <row r="129" spans="1:8" x14ac:dyDescent="0.2">
      <c r="A129" s="3" t="s">
        <v>9</v>
      </c>
      <c r="B129" s="3" t="s">
        <v>9</v>
      </c>
      <c r="C129" s="12" t="s">
        <v>9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132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105</v>
      </c>
      <c r="D131" s="3" t="s">
        <v>9</v>
      </c>
      <c r="E131" s="3" t="s">
        <v>9</v>
      </c>
      <c r="F131" s="14">
        <v>0</v>
      </c>
      <c r="G131" s="15">
        <v>0</v>
      </c>
      <c r="H131" s="156"/>
    </row>
    <row r="132" spans="1:8" x14ac:dyDescent="0.2">
      <c r="A132" s="3" t="s">
        <v>9</v>
      </c>
      <c r="B132" s="3" t="s">
        <v>9</v>
      </c>
      <c r="C132" s="12" t="s">
        <v>9</v>
      </c>
      <c r="D132" s="3" t="s">
        <v>9</v>
      </c>
      <c r="E132" s="3" t="s">
        <v>9</v>
      </c>
      <c r="F132" s="13" t="s">
        <v>9</v>
      </c>
      <c r="G132" s="13" t="s">
        <v>9</v>
      </c>
      <c r="H132" s="156"/>
    </row>
    <row r="133" spans="1:8" x14ac:dyDescent="0.2">
      <c r="A133" s="3" t="s">
        <v>9</v>
      </c>
      <c r="B133" s="6" t="s">
        <v>9</v>
      </c>
      <c r="C133" s="6" t="s">
        <v>9</v>
      </c>
      <c r="D133" s="4" t="s">
        <v>9</v>
      </c>
      <c r="E133" s="3" t="s">
        <v>9</v>
      </c>
      <c r="F133" s="6" t="s">
        <v>9</v>
      </c>
      <c r="G133" s="16" t="s">
        <v>9</v>
      </c>
      <c r="H133" s="156"/>
    </row>
    <row r="134" spans="1:8" x14ac:dyDescent="0.2">
      <c r="A134" s="16" t="s">
        <v>9</v>
      </c>
      <c r="B134" s="6" t="s">
        <v>9</v>
      </c>
      <c r="C134" s="6" t="s">
        <v>133</v>
      </c>
      <c r="D134" s="6" t="s">
        <v>9</v>
      </c>
      <c r="E134" s="16" t="s">
        <v>9</v>
      </c>
      <c r="F134" s="8">
        <v>-11.744937699999999</v>
      </c>
      <c r="G134" s="9">
        <v>-2.7858269999999998E-3</v>
      </c>
      <c r="H134" s="156"/>
    </row>
    <row r="135" spans="1:8" x14ac:dyDescent="0.2">
      <c r="A135" s="12" t="s">
        <v>9</v>
      </c>
      <c r="B135" s="12" t="s">
        <v>9</v>
      </c>
      <c r="C135" s="4" t="s">
        <v>134</v>
      </c>
      <c r="D135" s="17" t="s">
        <v>9</v>
      </c>
      <c r="E135" s="17" t="s">
        <v>9</v>
      </c>
      <c r="F135" s="10">
        <v>4215.9603080999996</v>
      </c>
      <c r="G135" s="11">
        <v>1.000000003</v>
      </c>
      <c r="H135" s="156"/>
    </row>
    <row r="136" spans="1:8" ht="14.1" customHeight="1" x14ac:dyDescent="0.2">
      <c r="A136" s="18" t="s">
        <v>9</v>
      </c>
      <c r="B136" s="18" t="s">
        <v>9</v>
      </c>
      <c r="C136" s="18" t="s">
        <v>9</v>
      </c>
      <c r="D136" s="19" t="s">
        <v>9</v>
      </c>
      <c r="E136" s="19" t="s">
        <v>9</v>
      </c>
      <c r="F136" s="19" t="s">
        <v>9</v>
      </c>
      <c r="G136" s="19" t="s">
        <v>9</v>
      </c>
    </row>
    <row r="137" spans="1:8" ht="14.1" customHeight="1" x14ac:dyDescent="0.2">
      <c r="A137" s="20" t="s">
        <v>9</v>
      </c>
      <c r="B137" s="200" t="s">
        <v>9</v>
      </c>
      <c r="C137" s="200"/>
      <c r="D137" s="200"/>
      <c r="E137" s="200"/>
      <c r="F137" s="200"/>
      <c r="G137" s="22" t="s">
        <v>9</v>
      </c>
    </row>
    <row r="138" spans="1:8" ht="14.1" customHeight="1" x14ac:dyDescent="0.2">
      <c r="A138" s="20" t="s">
        <v>9</v>
      </c>
      <c r="B138" s="200" t="s">
        <v>9</v>
      </c>
      <c r="C138" s="200"/>
      <c r="D138" s="200"/>
      <c r="E138" s="200"/>
      <c r="F138" s="200"/>
      <c r="G138" s="22" t="s">
        <v>9</v>
      </c>
    </row>
    <row r="139" spans="1:8" ht="14.1" customHeight="1" x14ac:dyDescent="0.2">
      <c r="A139" s="20" t="s">
        <v>9</v>
      </c>
      <c r="B139" s="20" t="s">
        <v>9</v>
      </c>
      <c r="C139" s="20" t="s">
        <v>9</v>
      </c>
      <c r="D139" s="22" t="s">
        <v>9</v>
      </c>
      <c r="E139" s="22" t="s">
        <v>9</v>
      </c>
      <c r="F139" s="22" t="s">
        <v>9</v>
      </c>
      <c r="G139" s="22" t="s">
        <v>9</v>
      </c>
    </row>
    <row r="140" spans="1:8" ht="14.1" customHeight="1" x14ac:dyDescent="0.2">
      <c r="A140" s="20" t="s">
        <v>9</v>
      </c>
      <c r="B140" s="198" t="s">
        <v>136</v>
      </c>
      <c r="C140" s="199"/>
      <c r="D140" s="13" t="s">
        <v>9</v>
      </c>
      <c r="E140" s="23" t="s">
        <v>9</v>
      </c>
      <c r="F140" s="22" t="s">
        <v>9</v>
      </c>
      <c r="G140" s="22" t="s">
        <v>9</v>
      </c>
    </row>
    <row r="141" spans="1:8" ht="29.1" customHeight="1" x14ac:dyDescent="0.2">
      <c r="A141" s="20" t="s">
        <v>9</v>
      </c>
      <c r="B141" s="205" t="s">
        <v>137</v>
      </c>
      <c r="C141" s="206"/>
      <c r="D141" s="4" t="s">
        <v>138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05" t="s">
        <v>139</v>
      </c>
      <c r="C142" s="206"/>
      <c r="D142" s="4" t="s">
        <v>138</v>
      </c>
      <c r="E142" s="23" t="s">
        <v>9</v>
      </c>
      <c r="F142" s="22" t="s">
        <v>9</v>
      </c>
      <c r="G142" s="22" t="s">
        <v>9</v>
      </c>
    </row>
    <row r="143" spans="1:8" ht="17.100000000000001" customHeight="1" x14ac:dyDescent="0.2">
      <c r="A143" s="20" t="s">
        <v>9</v>
      </c>
      <c r="B143" s="205" t="s">
        <v>140</v>
      </c>
      <c r="C143" s="206"/>
      <c r="D143" s="13" t="s">
        <v>9</v>
      </c>
      <c r="E143" s="23" t="s">
        <v>9</v>
      </c>
      <c r="F143" s="22" t="s">
        <v>9</v>
      </c>
      <c r="G143" s="22" t="s">
        <v>9</v>
      </c>
    </row>
    <row r="144" spans="1:8" ht="24" customHeight="1" x14ac:dyDescent="0.2">
      <c r="A144" s="24" t="s">
        <v>9</v>
      </c>
      <c r="B144" s="25" t="s">
        <v>9</v>
      </c>
      <c r="C144" s="25" t="s">
        <v>141</v>
      </c>
      <c r="D144" s="25" t="s">
        <v>142</v>
      </c>
      <c r="E144" s="24" t="s">
        <v>9</v>
      </c>
      <c r="F144" s="24" t="s">
        <v>9</v>
      </c>
      <c r="G144" s="24" t="s">
        <v>9</v>
      </c>
    </row>
    <row r="145" spans="1:7" ht="18" customHeight="1" x14ac:dyDescent="0.2">
      <c r="A145" s="24" t="s">
        <v>9</v>
      </c>
      <c r="B145" s="25" t="s">
        <v>143</v>
      </c>
      <c r="C145" s="25" t="s">
        <v>144</v>
      </c>
      <c r="D145" s="25" t="s">
        <v>145</v>
      </c>
      <c r="E145" s="24" t="s">
        <v>9</v>
      </c>
      <c r="F145" s="24" t="s">
        <v>9</v>
      </c>
      <c r="G145" s="24" t="s">
        <v>9</v>
      </c>
    </row>
    <row r="146" spans="1:7" ht="17.100000000000001" customHeight="1" x14ac:dyDescent="0.2">
      <c r="A146" s="24" t="s">
        <v>9</v>
      </c>
      <c r="B146" s="6" t="s">
        <v>146</v>
      </c>
      <c r="C146" s="26">
        <v>12.4328</v>
      </c>
      <c r="D146" s="26">
        <v>13.553599999999999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839</v>
      </c>
      <c r="C147" s="26">
        <v>12.4328</v>
      </c>
      <c r="D147" s="26">
        <v>13.553599999999999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147</v>
      </c>
      <c r="C148" s="26">
        <v>12.198399999999999</v>
      </c>
      <c r="D148" s="26">
        <v>13.295999999999999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840</v>
      </c>
      <c r="C149" s="26">
        <v>12.198499999999999</v>
      </c>
      <c r="D149" s="26">
        <v>13.295999999999999</v>
      </c>
      <c r="E149" s="24" t="s">
        <v>9</v>
      </c>
      <c r="F149" s="21" t="s">
        <v>9</v>
      </c>
      <c r="G149" s="27" t="s">
        <v>9</v>
      </c>
    </row>
    <row r="150" spans="1:7" ht="14.1" customHeight="1" x14ac:dyDescent="0.2">
      <c r="A150" s="24" t="s">
        <v>9</v>
      </c>
      <c r="B150" s="24" t="s">
        <v>9</v>
      </c>
      <c r="C150" s="24" t="s">
        <v>9</v>
      </c>
      <c r="D150" s="24" t="s">
        <v>9</v>
      </c>
      <c r="E150" s="24" t="s">
        <v>9</v>
      </c>
      <c r="F150" s="24" t="s">
        <v>9</v>
      </c>
      <c r="G150" s="24" t="s">
        <v>9</v>
      </c>
    </row>
    <row r="151" spans="1:7" ht="17.100000000000001" customHeight="1" x14ac:dyDescent="0.2">
      <c r="A151" s="24" t="s">
        <v>9</v>
      </c>
      <c r="B151" s="205" t="s">
        <v>1013</v>
      </c>
      <c r="C151" s="206"/>
      <c r="D151" s="4" t="s">
        <v>138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30"/>
      <c r="C152" s="30"/>
      <c r="D152" s="28" t="s">
        <v>9</v>
      </c>
      <c r="E152" s="24" t="s">
        <v>9</v>
      </c>
      <c r="F152" s="24" t="s">
        <v>9</v>
      </c>
      <c r="G152" s="24" t="s">
        <v>9</v>
      </c>
    </row>
    <row r="153" spans="1:7" s="197" customFormat="1" x14ac:dyDescent="0.2">
      <c r="B153" s="208" t="s">
        <v>841</v>
      </c>
      <c r="C153" s="208"/>
      <c r="D153" s="208"/>
      <c r="E153" s="208"/>
      <c r="F153" s="208"/>
    </row>
    <row r="154" spans="1:7" ht="14.1" customHeight="1" x14ac:dyDescent="0.2">
      <c r="A154" s="24" t="s">
        <v>9</v>
      </c>
      <c r="B154" s="21" t="s">
        <v>9</v>
      </c>
      <c r="C154" s="21" t="s">
        <v>9</v>
      </c>
      <c r="D154" s="24" t="s">
        <v>9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05" t="s">
        <v>148</v>
      </c>
      <c r="C155" s="206"/>
      <c r="D155" s="4" t="s">
        <v>138</v>
      </c>
      <c r="E155" s="24" t="s">
        <v>9</v>
      </c>
      <c r="F155" s="24" t="s">
        <v>9</v>
      </c>
      <c r="G155" s="24" t="s">
        <v>9</v>
      </c>
    </row>
    <row r="156" spans="1:7" ht="29.1" customHeight="1" x14ac:dyDescent="0.2">
      <c r="A156" s="24" t="s">
        <v>9</v>
      </c>
      <c r="B156" s="205" t="s">
        <v>149</v>
      </c>
      <c r="C156" s="206"/>
      <c r="D156" s="4" t="s">
        <v>138</v>
      </c>
      <c r="E156" s="24" t="s">
        <v>9</v>
      </c>
      <c r="F156" s="24" t="s">
        <v>9</v>
      </c>
      <c r="G156" s="24" t="s">
        <v>9</v>
      </c>
    </row>
    <row r="157" spans="1:7" ht="17.100000000000001" customHeight="1" x14ac:dyDescent="0.2">
      <c r="A157" s="24" t="s">
        <v>9</v>
      </c>
      <c r="B157" s="205" t="s">
        <v>150</v>
      </c>
      <c r="C157" s="206"/>
      <c r="D157" s="29">
        <v>0.42552968537383684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205" t="s">
        <v>151</v>
      </c>
      <c r="C158" s="206"/>
      <c r="D158" s="4" t="s">
        <v>138</v>
      </c>
      <c r="E158" s="24" t="s">
        <v>9</v>
      </c>
      <c r="F158" s="24" t="s">
        <v>9</v>
      </c>
      <c r="G158" s="24" t="s">
        <v>9</v>
      </c>
    </row>
  </sheetData>
  <mergeCells count="15"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  <mergeCell ref="B140:C140"/>
    <mergeCell ref="B137:F137"/>
    <mergeCell ref="B138:F13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59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507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153</v>
      </c>
      <c r="C7" s="6" t="s">
        <v>154</v>
      </c>
      <c r="D7" s="6" t="s">
        <v>155</v>
      </c>
      <c r="E7" s="7">
        <v>4093</v>
      </c>
      <c r="F7" s="8">
        <v>153.45680250000001</v>
      </c>
      <c r="G7" s="9">
        <v>3.5842131999999999E-2</v>
      </c>
      <c r="H7" s="156"/>
    </row>
    <row r="8" spans="1:8" x14ac:dyDescent="0.2">
      <c r="A8" s="5">
        <v>2</v>
      </c>
      <c r="B8" s="6" t="s">
        <v>468</v>
      </c>
      <c r="C8" s="6" t="s">
        <v>469</v>
      </c>
      <c r="D8" s="6" t="s">
        <v>196</v>
      </c>
      <c r="E8" s="7">
        <v>27571</v>
      </c>
      <c r="F8" s="8">
        <v>135.33225350000001</v>
      </c>
      <c r="G8" s="9">
        <v>3.1608872000000003E-2</v>
      </c>
      <c r="H8" s="156"/>
    </row>
    <row r="9" spans="1:8" x14ac:dyDescent="0.2">
      <c r="A9" s="5">
        <v>3</v>
      </c>
      <c r="B9" s="6" t="s">
        <v>158</v>
      </c>
      <c r="C9" s="6" t="s">
        <v>159</v>
      </c>
      <c r="D9" s="6" t="s">
        <v>28</v>
      </c>
      <c r="E9" s="7">
        <v>17182</v>
      </c>
      <c r="F9" s="8">
        <v>119.148579</v>
      </c>
      <c r="G9" s="9">
        <v>2.7828933E-2</v>
      </c>
      <c r="H9" s="156"/>
    </row>
    <row r="10" spans="1:8" x14ac:dyDescent="0.2">
      <c r="A10" s="5">
        <v>4</v>
      </c>
      <c r="B10" s="6" t="s">
        <v>160</v>
      </c>
      <c r="C10" s="6" t="s">
        <v>161</v>
      </c>
      <c r="D10" s="6" t="s">
        <v>28</v>
      </c>
      <c r="E10" s="7">
        <v>17081</v>
      </c>
      <c r="F10" s="8">
        <v>115.29675</v>
      </c>
      <c r="G10" s="9">
        <v>2.6929280999999999E-2</v>
      </c>
      <c r="H10" s="156"/>
    </row>
    <row r="11" spans="1:8" x14ac:dyDescent="0.2">
      <c r="A11" s="5">
        <v>5</v>
      </c>
      <c r="B11" s="6" t="s">
        <v>292</v>
      </c>
      <c r="C11" s="6" t="s">
        <v>293</v>
      </c>
      <c r="D11" s="6" t="s">
        <v>28</v>
      </c>
      <c r="E11" s="7">
        <v>16694</v>
      </c>
      <c r="F11" s="8">
        <v>112.60937699999999</v>
      </c>
      <c r="G11" s="9">
        <v>2.6301604999999999E-2</v>
      </c>
      <c r="H11" s="156"/>
    </row>
    <row r="12" spans="1:8" x14ac:dyDescent="0.2">
      <c r="A12" s="5">
        <v>6</v>
      </c>
      <c r="B12" s="6" t="s">
        <v>173</v>
      </c>
      <c r="C12" s="6" t="s">
        <v>174</v>
      </c>
      <c r="D12" s="6" t="s">
        <v>63</v>
      </c>
      <c r="E12" s="7">
        <v>25103</v>
      </c>
      <c r="F12" s="8">
        <v>101.5541865</v>
      </c>
      <c r="G12" s="9">
        <v>2.3719499000000002E-2</v>
      </c>
      <c r="H12" s="156"/>
    </row>
    <row r="13" spans="1:8" x14ac:dyDescent="0.2">
      <c r="A13" s="5">
        <v>7</v>
      </c>
      <c r="B13" s="6" t="s">
        <v>175</v>
      </c>
      <c r="C13" s="6" t="s">
        <v>176</v>
      </c>
      <c r="D13" s="6" t="s">
        <v>974</v>
      </c>
      <c r="E13" s="7">
        <v>11809</v>
      </c>
      <c r="F13" s="8">
        <v>101.333029</v>
      </c>
      <c r="G13" s="9">
        <v>2.3667845E-2</v>
      </c>
      <c r="H13" s="156"/>
    </row>
    <row r="14" spans="1:8" x14ac:dyDescent="0.2">
      <c r="A14" s="5">
        <v>8</v>
      </c>
      <c r="B14" s="6" t="s">
        <v>31</v>
      </c>
      <c r="C14" s="6" t="s">
        <v>32</v>
      </c>
      <c r="D14" s="6" t="s">
        <v>972</v>
      </c>
      <c r="E14" s="7">
        <v>3553</v>
      </c>
      <c r="F14" s="8">
        <v>101.313795</v>
      </c>
      <c r="G14" s="9">
        <v>2.3663351999999999E-2</v>
      </c>
      <c r="H14" s="156"/>
    </row>
    <row r="15" spans="1:8" x14ac:dyDescent="0.2">
      <c r="A15" s="5">
        <v>9</v>
      </c>
      <c r="B15" s="6" t="s">
        <v>177</v>
      </c>
      <c r="C15" s="6" t="s">
        <v>178</v>
      </c>
      <c r="D15" s="6" t="s">
        <v>54</v>
      </c>
      <c r="E15" s="7">
        <v>34408</v>
      </c>
      <c r="F15" s="8">
        <v>96.480031999999994</v>
      </c>
      <c r="G15" s="9">
        <v>2.2534354999999999E-2</v>
      </c>
      <c r="H15" s="156"/>
    </row>
    <row r="16" spans="1:8" x14ac:dyDescent="0.2">
      <c r="A16" s="5">
        <v>10</v>
      </c>
      <c r="B16" s="6" t="s">
        <v>164</v>
      </c>
      <c r="C16" s="6" t="s">
        <v>165</v>
      </c>
      <c r="D16" s="6" t="s">
        <v>166</v>
      </c>
      <c r="E16" s="7">
        <v>102135</v>
      </c>
      <c r="F16" s="8">
        <v>96.006900000000002</v>
      </c>
      <c r="G16" s="9">
        <v>2.2423848E-2</v>
      </c>
      <c r="H16" s="156"/>
    </row>
    <row r="17" spans="1:8" x14ac:dyDescent="0.2">
      <c r="A17" s="5">
        <v>11</v>
      </c>
      <c r="B17" s="6" t="s">
        <v>185</v>
      </c>
      <c r="C17" s="6" t="s">
        <v>186</v>
      </c>
      <c r="D17" s="6" t="s">
        <v>172</v>
      </c>
      <c r="E17" s="7">
        <v>41749</v>
      </c>
      <c r="F17" s="8">
        <v>93.517759999999996</v>
      </c>
      <c r="G17" s="9">
        <v>2.1842472000000002E-2</v>
      </c>
      <c r="H17" s="156"/>
    </row>
    <row r="18" spans="1:8" x14ac:dyDescent="0.2">
      <c r="A18" s="5">
        <v>12</v>
      </c>
      <c r="B18" s="6" t="s">
        <v>167</v>
      </c>
      <c r="C18" s="6" t="s">
        <v>168</v>
      </c>
      <c r="D18" s="6" t="s">
        <v>169</v>
      </c>
      <c r="E18" s="7">
        <v>34600</v>
      </c>
      <c r="F18" s="8">
        <v>89.856200000000001</v>
      </c>
      <c r="G18" s="9">
        <v>2.0987260000000001E-2</v>
      </c>
      <c r="H18" s="156"/>
    </row>
    <row r="19" spans="1:8" x14ac:dyDescent="0.2">
      <c r="A19" s="5">
        <v>13</v>
      </c>
      <c r="B19" s="6" t="s">
        <v>450</v>
      </c>
      <c r="C19" s="6" t="s">
        <v>451</v>
      </c>
      <c r="D19" s="6" t="s">
        <v>35</v>
      </c>
      <c r="E19" s="7">
        <v>7360</v>
      </c>
      <c r="F19" s="8">
        <v>89.560159999999996</v>
      </c>
      <c r="G19" s="9">
        <v>2.0918115000000001E-2</v>
      </c>
      <c r="H19" s="156"/>
    </row>
    <row r="20" spans="1:8" x14ac:dyDescent="0.2">
      <c r="A20" s="5">
        <v>14</v>
      </c>
      <c r="B20" s="6" t="s">
        <v>194</v>
      </c>
      <c r="C20" s="6" t="s">
        <v>195</v>
      </c>
      <c r="D20" s="6" t="s">
        <v>196</v>
      </c>
      <c r="E20" s="7">
        <v>21332</v>
      </c>
      <c r="F20" s="8">
        <v>88.037164000000004</v>
      </c>
      <c r="G20" s="9">
        <v>2.0562397E-2</v>
      </c>
      <c r="H20" s="156"/>
    </row>
    <row r="21" spans="1:8" x14ac:dyDescent="0.2">
      <c r="A21" s="5">
        <v>15</v>
      </c>
      <c r="B21" s="6" t="s">
        <v>170</v>
      </c>
      <c r="C21" s="6" t="s">
        <v>171</v>
      </c>
      <c r="D21" s="6" t="s">
        <v>172</v>
      </c>
      <c r="E21" s="7">
        <v>6406</v>
      </c>
      <c r="F21" s="8">
        <v>84.091561999999996</v>
      </c>
      <c r="G21" s="9">
        <v>1.9640841999999999E-2</v>
      </c>
      <c r="H21" s="156"/>
    </row>
    <row r="22" spans="1:8" x14ac:dyDescent="0.2">
      <c r="A22" s="5">
        <v>16</v>
      </c>
      <c r="B22" s="6" t="s">
        <v>183</v>
      </c>
      <c r="C22" s="6" t="s">
        <v>184</v>
      </c>
      <c r="D22" s="6" t="s">
        <v>43</v>
      </c>
      <c r="E22" s="7">
        <v>19575</v>
      </c>
      <c r="F22" s="8">
        <v>83.350350000000006</v>
      </c>
      <c r="G22" s="9">
        <v>1.9467721E-2</v>
      </c>
      <c r="H22" s="156"/>
    </row>
    <row r="23" spans="1:8" x14ac:dyDescent="0.2">
      <c r="A23" s="5">
        <v>17</v>
      </c>
      <c r="B23" s="6" t="s">
        <v>44</v>
      </c>
      <c r="C23" s="6" t="s">
        <v>45</v>
      </c>
      <c r="D23" s="6" t="s">
        <v>978</v>
      </c>
      <c r="E23" s="7">
        <v>48585</v>
      </c>
      <c r="F23" s="8">
        <v>81.428460000000001</v>
      </c>
      <c r="G23" s="9">
        <v>1.9018835000000001E-2</v>
      </c>
      <c r="H23" s="156"/>
    </row>
    <row r="24" spans="1:8" x14ac:dyDescent="0.2">
      <c r="A24" s="5">
        <v>18</v>
      </c>
      <c r="B24" s="6" t="s">
        <v>206</v>
      </c>
      <c r="C24" s="6" t="s">
        <v>207</v>
      </c>
      <c r="D24" s="6" t="s">
        <v>73</v>
      </c>
      <c r="E24" s="7">
        <v>18670</v>
      </c>
      <c r="F24" s="8">
        <v>80.570385000000002</v>
      </c>
      <c r="G24" s="9">
        <v>1.8818418999999999E-2</v>
      </c>
      <c r="H24" s="156"/>
    </row>
    <row r="25" spans="1:8" x14ac:dyDescent="0.2">
      <c r="A25" s="5">
        <v>19</v>
      </c>
      <c r="B25" s="6" t="s">
        <v>192</v>
      </c>
      <c r="C25" s="6" t="s">
        <v>193</v>
      </c>
      <c r="D25" s="6" t="s">
        <v>196</v>
      </c>
      <c r="E25" s="7">
        <v>11300</v>
      </c>
      <c r="F25" s="8">
        <v>77.817449999999994</v>
      </c>
      <c r="G25" s="9">
        <v>1.8175429999999999E-2</v>
      </c>
      <c r="H25" s="156"/>
    </row>
    <row r="26" spans="1:8" x14ac:dyDescent="0.2">
      <c r="A26" s="5">
        <v>20</v>
      </c>
      <c r="B26" s="6" t="s">
        <v>220</v>
      </c>
      <c r="C26" s="6" t="s">
        <v>221</v>
      </c>
      <c r="D26" s="6" t="s">
        <v>191</v>
      </c>
      <c r="E26" s="7">
        <v>17672</v>
      </c>
      <c r="F26" s="8">
        <v>76.272351999999998</v>
      </c>
      <c r="G26" s="9">
        <v>1.7814548999999999E-2</v>
      </c>
      <c r="H26" s="156"/>
    </row>
    <row r="27" spans="1:8" x14ac:dyDescent="0.2">
      <c r="A27" s="5">
        <v>21</v>
      </c>
      <c r="B27" s="6" t="s">
        <v>181</v>
      </c>
      <c r="C27" s="6" t="s">
        <v>182</v>
      </c>
      <c r="D27" s="6" t="s">
        <v>972</v>
      </c>
      <c r="E27" s="7">
        <v>28858</v>
      </c>
      <c r="F27" s="8">
        <v>72.909737000000007</v>
      </c>
      <c r="G27" s="9">
        <v>1.7029160000000002E-2</v>
      </c>
      <c r="H27" s="156"/>
    </row>
    <row r="28" spans="1:8" x14ac:dyDescent="0.2">
      <c r="A28" s="5">
        <v>22</v>
      </c>
      <c r="B28" s="6" t="s">
        <v>162</v>
      </c>
      <c r="C28" s="6" t="s">
        <v>163</v>
      </c>
      <c r="D28" s="6" t="s">
        <v>169</v>
      </c>
      <c r="E28" s="7">
        <v>7153</v>
      </c>
      <c r="F28" s="8">
        <v>71.823273</v>
      </c>
      <c r="G28" s="9">
        <v>1.6775399999999999E-2</v>
      </c>
      <c r="H28" s="156"/>
    </row>
    <row r="29" spans="1:8" x14ac:dyDescent="0.2">
      <c r="A29" s="5">
        <v>23</v>
      </c>
      <c r="B29" s="6" t="s">
        <v>187</v>
      </c>
      <c r="C29" s="6" t="s">
        <v>188</v>
      </c>
      <c r="D29" s="6" t="s">
        <v>973</v>
      </c>
      <c r="E29" s="7">
        <v>22539</v>
      </c>
      <c r="F29" s="8">
        <v>69.577893000000003</v>
      </c>
      <c r="G29" s="9">
        <v>1.6250957999999999E-2</v>
      </c>
      <c r="H29" s="156"/>
    </row>
    <row r="30" spans="1:8" x14ac:dyDescent="0.2">
      <c r="A30" s="5">
        <v>24</v>
      </c>
      <c r="B30" s="6" t="s">
        <v>179</v>
      </c>
      <c r="C30" s="6" t="s">
        <v>180</v>
      </c>
      <c r="D30" s="6" t="s">
        <v>169</v>
      </c>
      <c r="E30" s="7">
        <v>2353</v>
      </c>
      <c r="F30" s="8">
        <v>69.151140499999997</v>
      </c>
      <c r="G30" s="9">
        <v>1.6151282999999999E-2</v>
      </c>
      <c r="H30" s="156"/>
    </row>
    <row r="31" spans="1:8" x14ac:dyDescent="0.2">
      <c r="A31" s="5">
        <v>25</v>
      </c>
      <c r="B31" s="6" t="s">
        <v>210</v>
      </c>
      <c r="C31" s="6" t="s">
        <v>211</v>
      </c>
      <c r="D31" s="6" t="s">
        <v>169</v>
      </c>
      <c r="E31" s="7">
        <v>7920</v>
      </c>
      <c r="F31" s="8">
        <v>68.08032</v>
      </c>
      <c r="G31" s="9">
        <v>1.5901176999999999E-2</v>
      </c>
      <c r="H31" s="156"/>
    </row>
    <row r="32" spans="1:8" x14ac:dyDescent="0.2">
      <c r="A32" s="5">
        <v>26</v>
      </c>
      <c r="B32" s="6" t="s">
        <v>48</v>
      </c>
      <c r="C32" s="6" t="s">
        <v>49</v>
      </c>
      <c r="D32" s="6" t="s">
        <v>28</v>
      </c>
      <c r="E32" s="7">
        <v>6666</v>
      </c>
      <c r="F32" s="8">
        <v>67.443254999999994</v>
      </c>
      <c r="G32" s="9">
        <v>1.5752380999999999E-2</v>
      </c>
      <c r="H32" s="156"/>
    </row>
    <row r="33" spans="1:8" x14ac:dyDescent="0.2">
      <c r="A33" s="5">
        <v>27</v>
      </c>
      <c r="B33" s="6" t="s">
        <v>61</v>
      </c>
      <c r="C33" s="6" t="s">
        <v>62</v>
      </c>
      <c r="D33" s="6" t="s">
        <v>63</v>
      </c>
      <c r="E33" s="7">
        <v>2279</v>
      </c>
      <c r="F33" s="8">
        <v>66.688097999999997</v>
      </c>
      <c r="G33" s="9">
        <v>1.5576003E-2</v>
      </c>
      <c r="H33" s="156"/>
    </row>
    <row r="34" spans="1:8" x14ac:dyDescent="0.2">
      <c r="A34" s="5">
        <v>28</v>
      </c>
      <c r="B34" s="6" t="s">
        <v>218</v>
      </c>
      <c r="C34" s="6" t="s">
        <v>219</v>
      </c>
      <c r="D34" s="6" t="s">
        <v>63</v>
      </c>
      <c r="E34" s="7">
        <v>8892</v>
      </c>
      <c r="F34" s="8">
        <v>65.342861999999997</v>
      </c>
      <c r="G34" s="9">
        <v>1.5261802999999999E-2</v>
      </c>
      <c r="H34" s="156"/>
    </row>
    <row r="35" spans="1:8" x14ac:dyDescent="0.2">
      <c r="A35" s="5">
        <v>29</v>
      </c>
      <c r="B35" s="6" t="s">
        <v>212</v>
      </c>
      <c r="C35" s="6" t="s">
        <v>213</v>
      </c>
      <c r="D35" s="6" t="s">
        <v>28</v>
      </c>
      <c r="E35" s="7">
        <v>4150</v>
      </c>
      <c r="F35" s="8">
        <v>60.978025000000002</v>
      </c>
      <c r="G35" s="9">
        <v>1.4242329999999999E-2</v>
      </c>
      <c r="H35" s="156"/>
    </row>
    <row r="36" spans="1:8" x14ac:dyDescent="0.2">
      <c r="A36" s="5">
        <v>30</v>
      </c>
      <c r="B36" s="6" t="s">
        <v>237</v>
      </c>
      <c r="C36" s="6" t="s">
        <v>238</v>
      </c>
      <c r="D36" s="6" t="s">
        <v>239</v>
      </c>
      <c r="E36" s="7">
        <v>32633</v>
      </c>
      <c r="F36" s="8">
        <v>60.730013</v>
      </c>
      <c r="G36" s="9">
        <v>1.4184403E-2</v>
      </c>
      <c r="H36" s="156"/>
    </row>
    <row r="37" spans="1:8" x14ac:dyDescent="0.2">
      <c r="A37" s="5">
        <v>31</v>
      </c>
      <c r="B37" s="6" t="s">
        <v>38</v>
      </c>
      <c r="C37" s="6" t="s">
        <v>39</v>
      </c>
      <c r="D37" s="6" t="s">
        <v>40</v>
      </c>
      <c r="E37" s="7">
        <v>21150</v>
      </c>
      <c r="F37" s="8">
        <v>59.156550000000003</v>
      </c>
      <c r="G37" s="9">
        <v>1.3816897E-2</v>
      </c>
      <c r="H37" s="156"/>
    </row>
    <row r="38" spans="1:8" x14ac:dyDescent="0.2">
      <c r="A38" s="5">
        <v>32</v>
      </c>
      <c r="B38" s="6" t="s">
        <v>232</v>
      </c>
      <c r="C38" s="6" t="s">
        <v>233</v>
      </c>
      <c r="D38" s="6" t="s">
        <v>166</v>
      </c>
      <c r="E38" s="7">
        <v>108798</v>
      </c>
      <c r="F38" s="8">
        <v>58.642122000000001</v>
      </c>
      <c r="G38" s="9">
        <v>1.3696745E-2</v>
      </c>
      <c r="H38" s="156"/>
    </row>
    <row r="39" spans="1:8" x14ac:dyDescent="0.2">
      <c r="A39" s="5">
        <v>33</v>
      </c>
      <c r="B39" s="6" t="s">
        <v>199</v>
      </c>
      <c r="C39" s="6" t="s">
        <v>200</v>
      </c>
      <c r="D39" s="6" t="s">
        <v>63</v>
      </c>
      <c r="E39" s="7">
        <v>16672</v>
      </c>
      <c r="F39" s="8">
        <v>57.601759999999999</v>
      </c>
      <c r="G39" s="9">
        <v>1.3453753000000001E-2</v>
      </c>
      <c r="H39" s="156"/>
    </row>
    <row r="40" spans="1:8" x14ac:dyDescent="0.2">
      <c r="A40" s="5">
        <v>34</v>
      </c>
      <c r="B40" s="6" t="s">
        <v>208</v>
      </c>
      <c r="C40" s="6" t="s">
        <v>209</v>
      </c>
      <c r="D40" s="6" t="s">
        <v>976</v>
      </c>
      <c r="E40" s="7">
        <v>7019</v>
      </c>
      <c r="F40" s="8">
        <v>57.411910499999998</v>
      </c>
      <c r="G40" s="9">
        <v>1.3409411E-2</v>
      </c>
      <c r="H40" s="156"/>
    </row>
    <row r="41" spans="1:8" x14ac:dyDescent="0.2">
      <c r="A41" s="5">
        <v>35</v>
      </c>
      <c r="B41" s="6" t="s">
        <v>216</v>
      </c>
      <c r="C41" s="6" t="s">
        <v>217</v>
      </c>
      <c r="D41" s="6" t="s">
        <v>54</v>
      </c>
      <c r="E41" s="7">
        <v>5160</v>
      </c>
      <c r="F41" s="8">
        <v>57.340499999999999</v>
      </c>
      <c r="G41" s="9">
        <v>1.3392731999999999E-2</v>
      </c>
      <c r="H41" s="156"/>
    </row>
    <row r="42" spans="1:8" x14ac:dyDescent="0.2">
      <c r="A42" s="5">
        <v>36</v>
      </c>
      <c r="B42" s="6" t="s">
        <v>201</v>
      </c>
      <c r="C42" s="6" t="s">
        <v>202</v>
      </c>
      <c r="D42" s="6" t="s">
        <v>40</v>
      </c>
      <c r="E42" s="7">
        <v>50979</v>
      </c>
      <c r="F42" s="8">
        <v>56.408263499999997</v>
      </c>
      <c r="G42" s="9">
        <v>1.3174994000000001E-2</v>
      </c>
      <c r="H42" s="156"/>
    </row>
    <row r="43" spans="1:8" x14ac:dyDescent="0.2">
      <c r="A43" s="5">
        <v>37</v>
      </c>
      <c r="B43" s="6" t="s">
        <v>228</v>
      </c>
      <c r="C43" s="6" t="s">
        <v>229</v>
      </c>
      <c r="D43" s="6" t="s">
        <v>35</v>
      </c>
      <c r="E43" s="7">
        <v>69803</v>
      </c>
      <c r="F43" s="8">
        <v>55.214173000000002</v>
      </c>
      <c r="G43" s="9">
        <v>1.2896095999999999E-2</v>
      </c>
      <c r="H43" s="156"/>
    </row>
    <row r="44" spans="1:8" x14ac:dyDescent="0.2">
      <c r="A44" s="5">
        <v>38</v>
      </c>
      <c r="B44" s="6" t="s">
        <v>79</v>
      </c>
      <c r="C44" s="6" t="s">
        <v>80</v>
      </c>
      <c r="D44" s="6" t="s">
        <v>63</v>
      </c>
      <c r="E44" s="7">
        <v>23660</v>
      </c>
      <c r="F44" s="8">
        <v>55.210610000000003</v>
      </c>
      <c r="G44" s="9">
        <v>1.2895264E-2</v>
      </c>
      <c r="H44" s="156"/>
    </row>
    <row r="45" spans="1:8" x14ac:dyDescent="0.2">
      <c r="A45" s="5">
        <v>39</v>
      </c>
      <c r="B45" s="6" t="s">
        <v>55</v>
      </c>
      <c r="C45" s="6" t="s">
        <v>56</v>
      </c>
      <c r="D45" s="6" t="s">
        <v>35</v>
      </c>
      <c r="E45" s="7">
        <v>6929</v>
      </c>
      <c r="F45" s="8">
        <v>53.180075000000002</v>
      </c>
      <c r="G45" s="9">
        <v>1.2421002E-2</v>
      </c>
      <c r="H45" s="156"/>
    </row>
    <row r="46" spans="1:8" x14ac:dyDescent="0.2">
      <c r="A46" s="5">
        <v>40</v>
      </c>
      <c r="B46" s="6" t="s">
        <v>224</v>
      </c>
      <c r="C46" s="6" t="s">
        <v>225</v>
      </c>
      <c r="D46" s="6" t="s">
        <v>40</v>
      </c>
      <c r="E46" s="7">
        <v>6312</v>
      </c>
      <c r="F46" s="8">
        <v>51.452267999999997</v>
      </c>
      <c r="G46" s="9">
        <v>1.2017447000000001E-2</v>
      </c>
      <c r="H46" s="156"/>
    </row>
    <row r="47" spans="1:8" x14ac:dyDescent="0.2">
      <c r="A47" s="5">
        <v>41</v>
      </c>
      <c r="B47" s="6" t="s">
        <v>226</v>
      </c>
      <c r="C47" s="6" t="s">
        <v>227</v>
      </c>
      <c r="D47" s="6" t="s">
        <v>166</v>
      </c>
      <c r="E47" s="7">
        <v>9505</v>
      </c>
      <c r="F47" s="8">
        <v>51.445812500000002</v>
      </c>
      <c r="G47" s="9">
        <v>1.2015939E-2</v>
      </c>
      <c r="H47" s="156"/>
    </row>
    <row r="48" spans="1:8" ht="25.5" x14ac:dyDescent="0.2">
      <c r="A48" s="5">
        <v>42</v>
      </c>
      <c r="B48" s="6" t="s">
        <v>214</v>
      </c>
      <c r="C48" s="6" t="s">
        <v>215</v>
      </c>
      <c r="D48" s="6" t="s">
        <v>63</v>
      </c>
      <c r="E48" s="7">
        <v>2285</v>
      </c>
      <c r="F48" s="8">
        <v>50.937220000000003</v>
      </c>
      <c r="G48" s="9">
        <v>1.189715E-2</v>
      </c>
      <c r="H48" s="156"/>
    </row>
    <row r="49" spans="1:8" x14ac:dyDescent="0.2">
      <c r="A49" s="5">
        <v>43</v>
      </c>
      <c r="B49" s="6" t="s">
        <v>264</v>
      </c>
      <c r="C49" s="6" t="s">
        <v>265</v>
      </c>
      <c r="D49" s="6" t="s">
        <v>975</v>
      </c>
      <c r="E49" s="7">
        <v>10181</v>
      </c>
      <c r="F49" s="8">
        <v>50.864275999999997</v>
      </c>
      <c r="G49" s="9">
        <v>1.1880112999999999E-2</v>
      </c>
      <c r="H49" s="156"/>
    </row>
    <row r="50" spans="1:8" x14ac:dyDescent="0.2">
      <c r="A50" s="5">
        <v>44</v>
      </c>
      <c r="B50" s="6" t="s">
        <v>240</v>
      </c>
      <c r="C50" s="6" t="s">
        <v>241</v>
      </c>
      <c r="D50" s="6" t="s">
        <v>191</v>
      </c>
      <c r="E50" s="7">
        <v>13354</v>
      </c>
      <c r="F50" s="8">
        <v>49.476570000000002</v>
      </c>
      <c r="G50" s="9">
        <v>1.1555993000000001E-2</v>
      </c>
      <c r="H50" s="156"/>
    </row>
    <row r="51" spans="1:8" x14ac:dyDescent="0.2">
      <c r="A51" s="5">
        <v>45</v>
      </c>
      <c r="B51" s="6" t="s">
        <v>288</v>
      </c>
      <c r="C51" s="6" t="s">
        <v>289</v>
      </c>
      <c r="D51" s="6" t="s">
        <v>28</v>
      </c>
      <c r="E51" s="7">
        <v>4326</v>
      </c>
      <c r="F51" s="8">
        <v>47.865026999999998</v>
      </c>
      <c r="G51" s="9">
        <v>1.1179593E-2</v>
      </c>
      <c r="H51" s="156"/>
    </row>
    <row r="52" spans="1:8" x14ac:dyDescent="0.2">
      <c r="A52" s="5">
        <v>46</v>
      </c>
      <c r="B52" s="6" t="s">
        <v>234</v>
      </c>
      <c r="C52" s="6" t="s">
        <v>235</v>
      </c>
      <c r="D52" s="6" t="s">
        <v>73</v>
      </c>
      <c r="E52" s="7">
        <v>11006</v>
      </c>
      <c r="F52" s="8">
        <v>46.935087000000003</v>
      </c>
      <c r="G52" s="9">
        <v>1.0962392E-2</v>
      </c>
      <c r="H52" s="156"/>
    </row>
    <row r="53" spans="1:8" x14ac:dyDescent="0.2">
      <c r="A53" s="5">
        <v>47</v>
      </c>
      <c r="B53" s="6" t="s">
        <v>464</v>
      </c>
      <c r="C53" s="6" t="s">
        <v>465</v>
      </c>
      <c r="D53" s="6" t="s">
        <v>974</v>
      </c>
      <c r="E53" s="7">
        <v>62102</v>
      </c>
      <c r="F53" s="8">
        <v>46.328091999999998</v>
      </c>
      <c r="G53" s="9">
        <v>1.0820619E-2</v>
      </c>
      <c r="H53" s="156"/>
    </row>
    <row r="54" spans="1:8" x14ac:dyDescent="0.2">
      <c r="A54" s="5">
        <v>48</v>
      </c>
      <c r="B54" s="6" t="s">
        <v>266</v>
      </c>
      <c r="C54" s="6" t="s">
        <v>267</v>
      </c>
      <c r="D54" s="6" t="s">
        <v>191</v>
      </c>
      <c r="E54" s="7">
        <v>7112</v>
      </c>
      <c r="F54" s="8">
        <v>45.651927999999998</v>
      </c>
      <c r="G54" s="9">
        <v>1.0662691E-2</v>
      </c>
      <c r="H54" s="156"/>
    </row>
    <row r="55" spans="1:8" x14ac:dyDescent="0.2">
      <c r="A55" s="5">
        <v>49</v>
      </c>
      <c r="B55" s="6" t="s">
        <v>275</v>
      </c>
      <c r="C55" s="6" t="s">
        <v>276</v>
      </c>
      <c r="D55" s="6" t="s">
        <v>975</v>
      </c>
      <c r="E55" s="7">
        <v>32152</v>
      </c>
      <c r="F55" s="8">
        <v>44.482292000000001</v>
      </c>
      <c r="G55" s="9">
        <v>1.0389505E-2</v>
      </c>
      <c r="H55" s="156"/>
    </row>
    <row r="56" spans="1:8" x14ac:dyDescent="0.2">
      <c r="A56" s="5">
        <v>50</v>
      </c>
      <c r="B56" s="6" t="s">
        <v>270</v>
      </c>
      <c r="C56" s="6" t="s">
        <v>271</v>
      </c>
      <c r="D56" s="6" t="s">
        <v>22</v>
      </c>
      <c r="E56" s="7">
        <v>42227</v>
      </c>
      <c r="F56" s="8">
        <v>43.704945000000002</v>
      </c>
      <c r="G56" s="9">
        <v>1.0207944E-2</v>
      </c>
      <c r="H56" s="156"/>
    </row>
    <row r="57" spans="1:8" x14ac:dyDescent="0.2">
      <c r="A57" s="5">
        <v>51</v>
      </c>
      <c r="B57" s="6" t="s">
        <v>249</v>
      </c>
      <c r="C57" s="6" t="s">
        <v>250</v>
      </c>
      <c r="D57" s="6" t="s">
        <v>73</v>
      </c>
      <c r="E57" s="7">
        <v>12063</v>
      </c>
      <c r="F57" s="8">
        <v>43.625839499999998</v>
      </c>
      <c r="G57" s="9">
        <v>1.0189467000000001E-2</v>
      </c>
      <c r="H57" s="156"/>
    </row>
    <row r="58" spans="1:8" x14ac:dyDescent="0.2">
      <c r="A58" s="5">
        <v>52</v>
      </c>
      <c r="B58" s="6" t="s">
        <v>259</v>
      </c>
      <c r="C58" s="6" t="s">
        <v>260</v>
      </c>
      <c r="D58" s="6" t="s">
        <v>261</v>
      </c>
      <c r="E58" s="7">
        <v>5411</v>
      </c>
      <c r="F58" s="8">
        <v>42.901113500000001</v>
      </c>
      <c r="G58" s="9">
        <v>1.0020197E-2</v>
      </c>
      <c r="H58" s="156"/>
    </row>
    <row r="59" spans="1:8" x14ac:dyDescent="0.2">
      <c r="A59" s="5">
        <v>53</v>
      </c>
      <c r="B59" s="6" t="s">
        <v>272</v>
      </c>
      <c r="C59" s="6" t="s">
        <v>273</v>
      </c>
      <c r="D59" s="6" t="s">
        <v>274</v>
      </c>
      <c r="E59" s="7">
        <v>16931</v>
      </c>
      <c r="F59" s="8">
        <v>42.733843999999998</v>
      </c>
      <c r="G59" s="9">
        <v>9.981129E-3</v>
      </c>
      <c r="H59" s="156"/>
    </row>
    <row r="60" spans="1:8" x14ac:dyDescent="0.2">
      <c r="A60" s="5">
        <v>54</v>
      </c>
      <c r="B60" s="6" t="s">
        <v>247</v>
      </c>
      <c r="C60" s="6" t="s">
        <v>248</v>
      </c>
      <c r="D60" s="6" t="s">
        <v>166</v>
      </c>
      <c r="E60" s="7">
        <v>8146</v>
      </c>
      <c r="F60" s="8">
        <v>42.648383000000003</v>
      </c>
      <c r="G60" s="9">
        <v>9.9611679999999994E-3</v>
      </c>
      <c r="H60" s="156"/>
    </row>
    <row r="61" spans="1:8" x14ac:dyDescent="0.2">
      <c r="A61" s="5">
        <v>55</v>
      </c>
      <c r="B61" s="6" t="s">
        <v>257</v>
      </c>
      <c r="C61" s="6" t="s">
        <v>258</v>
      </c>
      <c r="D61" s="6" t="s">
        <v>977</v>
      </c>
      <c r="E61" s="7">
        <v>44136</v>
      </c>
      <c r="F61" s="8">
        <v>40.538916</v>
      </c>
      <c r="G61" s="9">
        <v>9.4684699999999997E-3</v>
      </c>
      <c r="H61" s="156"/>
    </row>
    <row r="62" spans="1:8" x14ac:dyDescent="0.2">
      <c r="A62" s="5">
        <v>56</v>
      </c>
      <c r="B62" s="6" t="s">
        <v>253</v>
      </c>
      <c r="C62" s="6" t="s">
        <v>254</v>
      </c>
      <c r="D62" s="6" t="s">
        <v>975</v>
      </c>
      <c r="E62" s="7">
        <v>10158</v>
      </c>
      <c r="F62" s="8">
        <v>40.02252</v>
      </c>
      <c r="G62" s="9">
        <v>9.3478580000000006E-3</v>
      </c>
      <c r="H62" s="156"/>
    </row>
    <row r="63" spans="1:8" x14ac:dyDescent="0.2">
      <c r="A63" s="5">
        <v>57</v>
      </c>
      <c r="B63" s="6" t="s">
        <v>262</v>
      </c>
      <c r="C63" s="6" t="s">
        <v>263</v>
      </c>
      <c r="D63" s="6" t="s">
        <v>975</v>
      </c>
      <c r="E63" s="7">
        <v>14921</v>
      </c>
      <c r="F63" s="8">
        <v>37.309960500000003</v>
      </c>
      <c r="G63" s="9">
        <v>8.714299E-3</v>
      </c>
      <c r="H63" s="156"/>
    </row>
    <row r="64" spans="1:8" x14ac:dyDescent="0.2">
      <c r="A64" s="5">
        <v>58</v>
      </c>
      <c r="B64" s="6" t="s">
        <v>277</v>
      </c>
      <c r="C64" s="6" t="s">
        <v>278</v>
      </c>
      <c r="D64" s="6" t="s">
        <v>63</v>
      </c>
      <c r="E64" s="7">
        <v>18903</v>
      </c>
      <c r="F64" s="8">
        <v>35.093419500000003</v>
      </c>
      <c r="G64" s="9">
        <v>8.1965930000000003E-3</v>
      </c>
      <c r="H64" s="156"/>
    </row>
    <row r="65" spans="1:8" ht="25.5" x14ac:dyDescent="0.2">
      <c r="A65" s="5">
        <v>59</v>
      </c>
      <c r="B65" s="6" t="s">
        <v>251</v>
      </c>
      <c r="C65" s="6" t="s">
        <v>252</v>
      </c>
      <c r="D65" s="6" t="s">
        <v>155</v>
      </c>
      <c r="E65" s="7">
        <v>8202</v>
      </c>
      <c r="F65" s="8">
        <v>30.937944000000002</v>
      </c>
      <c r="G65" s="9">
        <v>7.2260199999999997E-3</v>
      </c>
      <c r="H65" s="156"/>
    </row>
    <row r="66" spans="1:8" x14ac:dyDescent="0.2">
      <c r="A66" s="5">
        <v>60</v>
      </c>
      <c r="B66" s="6" t="s">
        <v>59</v>
      </c>
      <c r="C66" s="6" t="s">
        <v>60</v>
      </c>
      <c r="D66" s="6" t="s">
        <v>40</v>
      </c>
      <c r="E66" s="7">
        <v>15702</v>
      </c>
      <c r="F66" s="8">
        <v>30.461880000000001</v>
      </c>
      <c r="G66" s="9">
        <v>7.1148280000000001E-3</v>
      </c>
      <c r="H66" s="156"/>
    </row>
    <row r="67" spans="1:8" x14ac:dyDescent="0.2">
      <c r="A67" s="5">
        <v>61</v>
      </c>
      <c r="B67" s="6" t="s">
        <v>242</v>
      </c>
      <c r="C67" s="6" t="s">
        <v>243</v>
      </c>
      <c r="D67" s="6" t="s">
        <v>196</v>
      </c>
      <c r="E67" s="7">
        <v>1825</v>
      </c>
      <c r="F67" s="8">
        <v>30.389900000000001</v>
      </c>
      <c r="G67" s="9">
        <v>7.0980160000000004E-3</v>
      </c>
      <c r="H67" s="156"/>
    </row>
    <row r="68" spans="1:8" x14ac:dyDescent="0.2">
      <c r="A68" s="5">
        <v>62</v>
      </c>
      <c r="B68" s="6" t="s">
        <v>281</v>
      </c>
      <c r="C68" s="6" t="s">
        <v>282</v>
      </c>
      <c r="D68" s="6" t="s">
        <v>155</v>
      </c>
      <c r="E68" s="7">
        <v>1792</v>
      </c>
      <c r="F68" s="8">
        <v>28.051967999999999</v>
      </c>
      <c r="G68" s="9">
        <v>6.5519569999999997E-3</v>
      </c>
      <c r="H68" s="156"/>
    </row>
    <row r="69" spans="1:8" x14ac:dyDescent="0.2">
      <c r="A69" s="5">
        <v>63</v>
      </c>
      <c r="B69" s="6" t="s">
        <v>279</v>
      </c>
      <c r="C69" s="6" t="s">
        <v>280</v>
      </c>
      <c r="D69" s="6" t="s">
        <v>974</v>
      </c>
      <c r="E69" s="7">
        <v>1636</v>
      </c>
      <c r="F69" s="8">
        <v>24.892558000000001</v>
      </c>
      <c r="G69" s="9">
        <v>5.8140290000000001E-3</v>
      </c>
      <c r="H69" s="156"/>
    </row>
    <row r="70" spans="1:8" x14ac:dyDescent="0.2">
      <c r="A70" s="5">
        <v>64</v>
      </c>
      <c r="B70" s="6" t="s">
        <v>283</v>
      </c>
      <c r="C70" s="6" t="s">
        <v>284</v>
      </c>
      <c r="D70" s="6" t="s">
        <v>169</v>
      </c>
      <c r="E70" s="7">
        <v>3970</v>
      </c>
      <c r="F70" s="8">
        <v>24.155465</v>
      </c>
      <c r="G70" s="9">
        <v>5.6418700000000002E-3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0">
        <v>4182.8313564999999</v>
      </c>
      <c r="G71" s="11">
        <v>0.97696284099999997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106</v>
      </c>
      <c r="D73" s="3" t="s">
        <v>9</v>
      </c>
      <c r="E73" s="3" t="s">
        <v>9</v>
      </c>
      <c r="F73" s="3" t="s">
        <v>9</v>
      </c>
      <c r="G73" s="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105</v>
      </c>
      <c r="D74" s="3" t="s">
        <v>9</v>
      </c>
      <c r="E74" s="3" t="s">
        <v>9</v>
      </c>
      <c r="F74" s="14">
        <v>0</v>
      </c>
      <c r="G74" s="15">
        <v>0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107</v>
      </c>
      <c r="D76" s="3" t="s">
        <v>9</v>
      </c>
      <c r="E76" s="3" t="s">
        <v>9</v>
      </c>
      <c r="F76" s="3" t="s">
        <v>9</v>
      </c>
      <c r="G76" s="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105</v>
      </c>
      <c r="D77" s="3" t="s">
        <v>9</v>
      </c>
      <c r="E77" s="3" t="s">
        <v>9</v>
      </c>
      <c r="F77" s="14">
        <v>0</v>
      </c>
      <c r="G77" s="15">
        <v>0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111</v>
      </c>
      <c r="D79" s="3" t="s">
        <v>9</v>
      </c>
      <c r="E79" s="3" t="s">
        <v>9</v>
      </c>
      <c r="F79" s="3" t="s">
        <v>9</v>
      </c>
      <c r="G79" s="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105</v>
      </c>
      <c r="D80" s="3" t="s">
        <v>9</v>
      </c>
      <c r="E80" s="3" t="s">
        <v>9</v>
      </c>
      <c r="F80" s="14">
        <v>0</v>
      </c>
      <c r="G80" s="15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112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113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105</v>
      </c>
      <c r="D86" s="3" t="s">
        <v>9</v>
      </c>
      <c r="E86" s="3" t="s">
        <v>9</v>
      </c>
      <c r="F86" s="14">
        <v>0</v>
      </c>
      <c r="G86" s="15">
        <v>0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114</v>
      </c>
      <c r="D88" s="3" t="s">
        <v>9</v>
      </c>
      <c r="E88" s="3" t="s">
        <v>9</v>
      </c>
      <c r="F88" s="10">
        <v>4182.8313564999999</v>
      </c>
      <c r="G88" s="11">
        <v>0.97696284099999997</v>
      </c>
      <c r="H88" s="156"/>
    </row>
    <row r="89" spans="1:8" x14ac:dyDescent="0.2">
      <c r="A89" s="3" t="s">
        <v>9</v>
      </c>
      <c r="B89" s="3" t="s">
        <v>9</v>
      </c>
      <c r="C89" s="12" t="s">
        <v>9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115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11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105</v>
      </c>
      <c r="D92" s="3" t="s">
        <v>9</v>
      </c>
      <c r="E92" s="3" t="s">
        <v>9</v>
      </c>
      <c r="F92" s="14">
        <v>0</v>
      </c>
      <c r="G92" s="15">
        <v>0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116</v>
      </c>
      <c r="D94" s="3" t="s">
        <v>9</v>
      </c>
      <c r="E94" s="3" t="s">
        <v>9</v>
      </c>
      <c r="F94" s="3" t="s">
        <v>9</v>
      </c>
      <c r="G94" s="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105</v>
      </c>
      <c r="D95" s="3" t="s">
        <v>9</v>
      </c>
      <c r="E95" s="3" t="s">
        <v>9</v>
      </c>
      <c r="F95" s="14">
        <v>0</v>
      </c>
      <c r="G95" s="15">
        <v>0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117</v>
      </c>
      <c r="D97" s="3" t="s">
        <v>9</v>
      </c>
      <c r="E97" s="3" t="s">
        <v>9</v>
      </c>
      <c r="F97" s="3" t="s">
        <v>9</v>
      </c>
      <c r="G97" s="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105</v>
      </c>
      <c r="D98" s="3" t="s">
        <v>9</v>
      </c>
      <c r="E98" s="3" t="s">
        <v>9</v>
      </c>
      <c r="F98" s="14">
        <v>0</v>
      </c>
      <c r="G98" s="15">
        <v>0</v>
      </c>
      <c r="H98" s="156"/>
    </row>
    <row r="99" spans="1:8" x14ac:dyDescent="0.2">
      <c r="A99" s="3" t="s">
        <v>9</v>
      </c>
      <c r="B99" s="3" t="s">
        <v>9</v>
      </c>
      <c r="C99" s="12" t="s">
        <v>9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118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4">
        <v>0</v>
      </c>
      <c r="G101" s="15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119</v>
      </c>
      <c r="D103" s="3" t="s">
        <v>9</v>
      </c>
      <c r="E103" s="3" t="s">
        <v>9</v>
      </c>
      <c r="F103" s="10">
        <v>0</v>
      </c>
      <c r="G103" s="11">
        <v>0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120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121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4">
        <v>0</v>
      </c>
      <c r="G107" s="15">
        <v>0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122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105</v>
      </c>
      <c r="D110" s="3" t="s">
        <v>9</v>
      </c>
      <c r="E110" s="3" t="s">
        <v>9</v>
      </c>
      <c r="F110" s="14">
        <v>0</v>
      </c>
      <c r="G110" s="15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123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105</v>
      </c>
      <c r="D113" s="3" t="s">
        <v>9</v>
      </c>
      <c r="E113" s="3" t="s">
        <v>9</v>
      </c>
      <c r="F113" s="14">
        <v>0</v>
      </c>
      <c r="G113" s="15">
        <v>0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124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5">
        <v>1</v>
      </c>
      <c r="B116" s="6"/>
      <c r="C116" s="6" t="s">
        <v>125</v>
      </c>
      <c r="D116" s="6"/>
      <c r="E116" s="16" t="s">
        <v>9</v>
      </c>
      <c r="F116" s="8">
        <v>66.850963500000006</v>
      </c>
      <c r="G116" s="9">
        <v>1.5614042999999999E-2</v>
      </c>
      <c r="H116" s="8">
        <v>3.3326163573085874</v>
      </c>
    </row>
    <row r="117" spans="1:8" x14ac:dyDescent="0.2">
      <c r="A117" s="5">
        <v>2</v>
      </c>
      <c r="B117" s="6"/>
      <c r="C117" s="6" t="s">
        <v>126</v>
      </c>
      <c r="D117" s="6"/>
      <c r="E117" s="16" t="s">
        <v>9</v>
      </c>
      <c r="F117" s="8">
        <v>47.748169699999998</v>
      </c>
      <c r="G117" s="9">
        <v>1.1152298999999999E-2</v>
      </c>
      <c r="H117" s="8">
        <v>3.2337849550915885</v>
      </c>
    </row>
    <row r="118" spans="1:8" x14ac:dyDescent="0.2">
      <c r="A118" s="3" t="s">
        <v>9</v>
      </c>
      <c r="B118" s="3" t="s">
        <v>9</v>
      </c>
      <c r="C118" s="4" t="s">
        <v>105</v>
      </c>
      <c r="D118" s="3" t="s">
        <v>9</v>
      </c>
      <c r="E118" s="3" t="s">
        <v>9</v>
      </c>
      <c r="F118" s="10">
        <v>114.5991332</v>
      </c>
      <c r="G118" s="11">
        <v>2.6766341999999999E-2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127</v>
      </c>
      <c r="D120" s="3" t="s">
        <v>9</v>
      </c>
      <c r="E120" s="3" t="s">
        <v>9</v>
      </c>
      <c r="F120" s="10">
        <v>114.5991332</v>
      </c>
      <c r="G120" s="11">
        <v>2.6766341999999999E-2</v>
      </c>
      <c r="H120" s="156"/>
    </row>
    <row r="121" spans="1:8" x14ac:dyDescent="0.2">
      <c r="A121" s="3" t="s">
        <v>9</v>
      </c>
      <c r="B121" s="3" t="s">
        <v>9</v>
      </c>
      <c r="C121" s="13" t="s">
        <v>9</v>
      </c>
      <c r="D121" s="3" t="s">
        <v>9</v>
      </c>
      <c r="E121" s="3" t="s">
        <v>9</v>
      </c>
      <c r="F121" s="3" t="s">
        <v>9</v>
      </c>
      <c r="G121" s="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128</v>
      </c>
      <c r="D122" s="3" t="s">
        <v>9</v>
      </c>
      <c r="E122" s="3" t="s">
        <v>9</v>
      </c>
      <c r="F122" s="3" t="s">
        <v>9</v>
      </c>
      <c r="G122" s="3" t="s">
        <v>9</v>
      </c>
      <c r="H122" s="156"/>
    </row>
    <row r="123" spans="1:8" x14ac:dyDescent="0.2">
      <c r="A123" s="3" t="s">
        <v>9</v>
      </c>
      <c r="B123" s="3" t="s">
        <v>9</v>
      </c>
      <c r="C123" s="4" t="s">
        <v>129</v>
      </c>
      <c r="D123" s="3" t="s">
        <v>9</v>
      </c>
      <c r="E123" s="3" t="s">
        <v>9</v>
      </c>
      <c r="F123" s="3" t="s">
        <v>9</v>
      </c>
      <c r="G123" s="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105</v>
      </c>
      <c r="D124" s="3" t="s">
        <v>9</v>
      </c>
      <c r="E124" s="3" t="s">
        <v>9</v>
      </c>
      <c r="F124" s="14">
        <v>0</v>
      </c>
      <c r="G124" s="15">
        <v>0</v>
      </c>
      <c r="H124" s="156"/>
    </row>
    <row r="125" spans="1:8" x14ac:dyDescent="0.2">
      <c r="A125" s="3" t="s">
        <v>9</v>
      </c>
      <c r="B125" s="3" t="s">
        <v>9</v>
      </c>
      <c r="C125" s="12" t="s">
        <v>9</v>
      </c>
      <c r="D125" s="3" t="s">
        <v>9</v>
      </c>
      <c r="E125" s="3" t="s">
        <v>9</v>
      </c>
      <c r="F125" s="13" t="s">
        <v>9</v>
      </c>
      <c r="G125" s="1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130</v>
      </c>
      <c r="D126" s="3" t="s">
        <v>9</v>
      </c>
      <c r="E126" s="3" t="s">
        <v>9</v>
      </c>
      <c r="F126" s="3" t="s">
        <v>9</v>
      </c>
      <c r="G126" s="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131</v>
      </c>
      <c r="D127" s="3" t="s">
        <v>9</v>
      </c>
      <c r="E127" s="3" t="s">
        <v>9</v>
      </c>
      <c r="F127" s="3" t="s">
        <v>9</v>
      </c>
      <c r="G127" s="3" t="s">
        <v>9</v>
      </c>
      <c r="H127" s="156"/>
    </row>
    <row r="128" spans="1:8" x14ac:dyDescent="0.2">
      <c r="A128" s="3" t="s">
        <v>9</v>
      </c>
      <c r="B128" s="3" t="s">
        <v>9</v>
      </c>
      <c r="C128" s="4" t="s">
        <v>105</v>
      </c>
      <c r="D128" s="3" t="s">
        <v>9</v>
      </c>
      <c r="E128" s="3" t="s">
        <v>9</v>
      </c>
      <c r="F128" s="14">
        <v>0</v>
      </c>
      <c r="G128" s="15">
        <v>0</v>
      </c>
      <c r="H128" s="156"/>
    </row>
    <row r="129" spans="1:8" x14ac:dyDescent="0.2">
      <c r="A129" s="3" t="s">
        <v>9</v>
      </c>
      <c r="B129" s="3" t="s">
        <v>9</v>
      </c>
      <c r="C129" s="12" t="s">
        <v>9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3" t="s">
        <v>9</v>
      </c>
      <c r="C130" s="12" t="s">
        <v>9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132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105</v>
      </c>
      <c r="D132" s="3" t="s">
        <v>9</v>
      </c>
      <c r="E132" s="3" t="s">
        <v>9</v>
      </c>
      <c r="F132" s="14">
        <v>0</v>
      </c>
      <c r="G132" s="15">
        <v>0</v>
      </c>
      <c r="H132" s="156"/>
    </row>
    <row r="133" spans="1:8" x14ac:dyDescent="0.2">
      <c r="A133" s="3" t="s">
        <v>9</v>
      </c>
      <c r="B133" s="3" t="s">
        <v>9</v>
      </c>
      <c r="C133" s="12" t="s">
        <v>9</v>
      </c>
      <c r="D133" s="3" t="s">
        <v>9</v>
      </c>
      <c r="E133" s="3" t="s">
        <v>9</v>
      </c>
      <c r="F133" s="13" t="s">
        <v>9</v>
      </c>
      <c r="G133" s="13" t="s">
        <v>9</v>
      </c>
      <c r="H133" s="156"/>
    </row>
    <row r="134" spans="1:8" x14ac:dyDescent="0.2">
      <c r="A134" s="3" t="s">
        <v>9</v>
      </c>
      <c r="B134" s="6" t="s">
        <v>9</v>
      </c>
      <c r="C134" s="6" t="s">
        <v>9</v>
      </c>
      <c r="D134" s="4" t="s">
        <v>9</v>
      </c>
      <c r="E134" s="3" t="s">
        <v>9</v>
      </c>
      <c r="F134" s="6" t="s">
        <v>9</v>
      </c>
      <c r="G134" s="16" t="s">
        <v>9</v>
      </c>
      <c r="H134" s="156"/>
    </row>
    <row r="135" spans="1:8" x14ac:dyDescent="0.2">
      <c r="A135" s="16" t="s">
        <v>9</v>
      </c>
      <c r="B135" s="6" t="s">
        <v>9</v>
      </c>
      <c r="C135" s="6" t="s">
        <v>133</v>
      </c>
      <c r="D135" s="6" t="s">
        <v>9</v>
      </c>
      <c r="E135" s="16" t="s">
        <v>9</v>
      </c>
      <c r="F135" s="8">
        <v>-15.96634772</v>
      </c>
      <c r="G135" s="9">
        <v>-3.729179E-3</v>
      </c>
      <c r="H135" s="156"/>
    </row>
    <row r="136" spans="1:8" x14ac:dyDescent="0.2">
      <c r="A136" s="12" t="s">
        <v>9</v>
      </c>
      <c r="B136" s="12" t="s">
        <v>9</v>
      </c>
      <c r="C136" s="4" t="s">
        <v>134</v>
      </c>
      <c r="D136" s="17" t="s">
        <v>9</v>
      </c>
      <c r="E136" s="17" t="s">
        <v>9</v>
      </c>
      <c r="F136" s="10">
        <v>4281.46414198</v>
      </c>
      <c r="G136" s="11">
        <v>1.0000000040000001</v>
      </c>
      <c r="H136" s="156"/>
    </row>
    <row r="137" spans="1:8" ht="14.1" customHeight="1" x14ac:dyDescent="0.2">
      <c r="A137" s="18" t="s">
        <v>9</v>
      </c>
      <c r="B137" s="18" t="s">
        <v>9</v>
      </c>
      <c r="C137" s="18" t="s">
        <v>9</v>
      </c>
      <c r="D137" s="19" t="s">
        <v>9</v>
      </c>
      <c r="E137" s="19" t="s">
        <v>9</v>
      </c>
      <c r="F137" s="19" t="s">
        <v>9</v>
      </c>
      <c r="G137" s="19" t="s">
        <v>9</v>
      </c>
    </row>
    <row r="138" spans="1:8" ht="14.1" customHeight="1" x14ac:dyDescent="0.2">
      <c r="A138" s="20" t="s">
        <v>9</v>
      </c>
      <c r="B138" s="200" t="s">
        <v>9</v>
      </c>
      <c r="C138" s="200"/>
      <c r="D138" s="200"/>
      <c r="E138" s="200"/>
      <c r="F138" s="200"/>
      <c r="G138" s="22" t="s">
        <v>9</v>
      </c>
    </row>
    <row r="139" spans="1:8" ht="14.1" customHeight="1" x14ac:dyDescent="0.2">
      <c r="A139" s="20" t="s">
        <v>9</v>
      </c>
      <c r="B139" s="200" t="s">
        <v>9</v>
      </c>
      <c r="C139" s="200"/>
      <c r="D139" s="200"/>
      <c r="E139" s="200"/>
      <c r="F139" s="200"/>
      <c r="G139" s="22" t="s">
        <v>9</v>
      </c>
    </row>
    <row r="140" spans="1:8" ht="14.1" customHeight="1" x14ac:dyDescent="0.2">
      <c r="A140" s="20" t="s">
        <v>9</v>
      </c>
      <c r="B140" s="20" t="s">
        <v>9</v>
      </c>
      <c r="C140" s="20" t="s">
        <v>9</v>
      </c>
      <c r="D140" s="22" t="s">
        <v>9</v>
      </c>
      <c r="E140" s="22" t="s">
        <v>9</v>
      </c>
      <c r="F140" s="22" t="s">
        <v>9</v>
      </c>
      <c r="G140" s="22" t="s">
        <v>9</v>
      </c>
    </row>
    <row r="141" spans="1:8" ht="14.1" customHeight="1" x14ac:dyDescent="0.2">
      <c r="A141" s="20" t="s">
        <v>9</v>
      </c>
      <c r="B141" s="198" t="s">
        <v>136</v>
      </c>
      <c r="C141" s="199"/>
      <c r="D141" s="13" t="s">
        <v>9</v>
      </c>
      <c r="E141" s="23" t="s">
        <v>9</v>
      </c>
      <c r="F141" s="22" t="s">
        <v>9</v>
      </c>
      <c r="G141" s="22" t="s">
        <v>9</v>
      </c>
    </row>
    <row r="142" spans="1:8" ht="29.1" customHeight="1" x14ac:dyDescent="0.2">
      <c r="A142" s="20" t="s">
        <v>9</v>
      </c>
      <c r="B142" s="205" t="s">
        <v>137</v>
      </c>
      <c r="C142" s="206"/>
      <c r="D142" s="4" t="s">
        <v>138</v>
      </c>
      <c r="E142" s="23" t="s">
        <v>9</v>
      </c>
      <c r="F142" s="22" t="s">
        <v>9</v>
      </c>
      <c r="G142" s="22" t="s">
        <v>9</v>
      </c>
    </row>
    <row r="143" spans="1:8" ht="17.100000000000001" customHeight="1" x14ac:dyDescent="0.2">
      <c r="A143" s="20" t="s">
        <v>9</v>
      </c>
      <c r="B143" s="205" t="s">
        <v>139</v>
      </c>
      <c r="C143" s="206"/>
      <c r="D143" s="4" t="s">
        <v>138</v>
      </c>
      <c r="E143" s="23" t="s">
        <v>9</v>
      </c>
      <c r="F143" s="22" t="s">
        <v>9</v>
      </c>
      <c r="G143" s="22" t="s">
        <v>9</v>
      </c>
    </row>
    <row r="144" spans="1:8" ht="17.100000000000001" customHeight="1" x14ac:dyDescent="0.2">
      <c r="A144" s="20" t="s">
        <v>9</v>
      </c>
      <c r="B144" s="205" t="s">
        <v>140</v>
      </c>
      <c r="C144" s="206"/>
      <c r="D144" s="13" t="s">
        <v>9</v>
      </c>
      <c r="E144" s="23" t="s">
        <v>9</v>
      </c>
      <c r="F144" s="22" t="s">
        <v>9</v>
      </c>
      <c r="G144" s="22" t="s">
        <v>9</v>
      </c>
    </row>
    <row r="145" spans="1:7" ht="24" customHeight="1" x14ac:dyDescent="0.2">
      <c r="A145" s="24" t="s">
        <v>9</v>
      </c>
      <c r="B145" s="25" t="s">
        <v>9</v>
      </c>
      <c r="C145" s="25" t="s">
        <v>141</v>
      </c>
      <c r="D145" s="25" t="s">
        <v>142</v>
      </c>
      <c r="E145" s="24" t="s">
        <v>9</v>
      </c>
      <c r="F145" s="24" t="s">
        <v>9</v>
      </c>
      <c r="G145" s="24" t="s">
        <v>9</v>
      </c>
    </row>
    <row r="146" spans="1:7" ht="18" customHeight="1" x14ac:dyDescent="0.2">
      <c r="A146" s="24" t="s">
        <v>9</v>
      </c>
      <c r="B146" s="25" t="s">
        <v>143</v>
      </c>
      <c r="C146" s="25" t="s">
        <v>144</v>
      </c>
      <c r="D146" s="25" t="s">
        <v>145</v>
      </c>
      <c r="E146" s="24" t="s">
        <v>9</v>
      </c>
      <c r="F146" s="24" t="s">
        <v>9</v>
      </c>
      <c r="G146" s="24" t="s">
        <v>9</v>
      </c>
    </row>
    <row r="147" spans="1:7" ht="17.100000000000001" customHeight="1" x14ac:dyDescent="0.2">
      <c r="A147" s="24" t="s">
        <v>9</v>
      </c>
      <c r="B147" s="6" t="s">
        <v>146</v>
      </c>
      <c r="C147" s="26">
        <v>11.618</v>
      </c>
      <c r="D147" s="26">
        <v>12.8188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839</v>
      </c>
      <c r="C148" s="26">
        <v>11.618</v>
      </c>
      <c r="D148" s="26">
        <v>12.8188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147</v>
      </c>
      <c r="C149" s="26">
        <v>11.191000000000001</v>
      </c>
      <c r="D149" s="26">
        <v>12.3459</v>
      </c>
      <c r="E149" s="24" t="s">
        <v>9</v>
      </c>
      <c r="F149" s="21" t="s">
        <v>9</v>
      </c>
      <c r="G149" s="27" t="s">
        <v>9</v>
      </c>
    </row>
    <row r="150" spans="1:7" ht="17.100000000000001" customHeight="1" x14ac:dyDescent="0.2">
      <c r="A150" s="24" t="s">
        <v>9</v>
      </c>
      <c r="B150" s="6" t="s">
        <v>840</v>
      </c>
      <c r="C150" s="26">
        <v>11.191000000000001</v>
      </c>
      <c r="D150" s="26">
        <v>12.345800000000001</v>
      </c>
      <c r="E150" s="24" t="s">
        <v>9</v>
      </c>
      <c r="F150" s="21" t="s">
        <v>9</v>
      </c>
      <c r="G150" s="27" t="s">
        <v>9</v>
      </c>
    </row>
    <row r="151" spans="1:7" ht="14.1" customHeight="1" x14ac:dyDescent="0.2">
      <c r="A151" s="24" t="s">
        <v>9</v>
      </c>
      <c r="B151" s="24" t="s">
        <v>9</v>
      </c>
      <c r="C151" s="24" t="s">
        <v>9</v>
      </c>
      <c r="D151" s="24" t="s">
        <v>9</v>
      </c>
      <c r="E151" s="24" t="s">
        <v>9</v>
      </c>
      <c r="F151" s="24" t="s">
        <v>9</v>
      </c>
      <c r="G151" s="24" t="s">
        <v>9</v>
      </c>
    </row>
    <row r="152" spans="1:7" ht="17.100000000000001" customHeight="1" x14ac:dyDescent="0.2">
      <c r="A152" s="24" t="s">
        <v>9</v>
      </c>
      <c r="B152" s="205" t="s">
        <v>1013</v>
      </c>
      <c r="C152" s="206"/>
      <c r="D152" s="4" t="s">
        <v>138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30"/>
      <c r="C153" s="30"/>
      <c r="D153" s="28" t="s">
        <v>9</v>
      </c>
      <c r="E153" s="24" t="s">
        <v>9</v>
      </c>
      <c r="F153" s="24" t="s">
        <v>9</v>
      </c>
      <c r="G153" s="24" t="s">
        <v>9</v>
      </c>
    </row>
    <row r="154" spans="1:7" s="197" customFormat="1" x14ac:dyDescent="0.2">
      <c r="B154" s="208" t="s">
        <v>841</v>
      </c>
      <c r="C154" s="208"/>
      <c r="D154" s="208"/>
      <c r="E154" s="208"/>
      <c r="F154" s="208"/>
    </row>
    <row r="155" spans="1:7" ht="14.1" customHeight="1" x14ac:dyDescent="0.2">
      <c r="A155" s="24" t="s">
        <v>9</v>
      </c>
      <c r="B155" s="21" t="s">
        <v>9</v>
      </c>
      <c r="C155" s="21" t="s">
        <v>9</v>
      </c>
      <c r="D155" s="24" t="s">
        <v>9</v>
      </c>
      <c r="E155" s="24" t="s">
        <v>9</v>
      </c>
      <c r="F155" s="24" t="s">
        <v>9</v>
      </c>
      <c r="G155" s="24" t="s">
        <v>9</v>
      </c>
    </row>
    <row r="156" spans="1:7" ht="29.1" customHeight="1" x14ac:dyDescent="0.2">
      <c r="A156" s="24" t="s">
        <v>9</v>
      </c>
      <c r="B156" s="205" t="s">
        <v>148</v>
      </c>
      <c r="C156" s="206"/>
      <c r="D156" s="4" t="s">
        <v>138</v>
      </c>
      <c r="E156" s="24" t="s">
        <v>9</v>
      </c>
      <c r="F156" s="24" t="s">
        <v>9</v>
      </c>
      <c r="G156" s="24" t="s">
        <v>9</v>
      </c>
    </row>
    <row r="157" spans="1:7" ht="29.1" customHeight="1" x14ac:dyDescent="0.2">
      <c r="A157" s="24" t="s">
        <v>9</v>
      </c>
      <c r="B157" s="205" t="s">
        <v>149</v>
      </c>
      <c r="C157" s="206"/>
      <c r="D157" s="4" t="s">
        <v>138</v>
      </c>
      <c r="E157" s="24" t="s">
        <v>9</v>
      </c>
      <c r="F157" s="24" t="s">
        <v>9</v>
      </c>
      <c r="G157" s="24" t="s">
        <v>9</v>
      </c>
    </row>
    <row r="158" spans="1:7" ht="17.100000000000001" customHeight="1" x14ac:dyDescent="0.2">
      <c r="A158" s="24" t="s">
        <v>9</v>
      </c>
      <c r="B158" s="205" t="s">
        <v>150</v>
      </c>
      <c r="C158" s="206"/>
      <c r="D158" s="29">
        <v>0.45041054893740146</v>
      </c>
      <c r="E158" s="24" t="s">
        <v>9</v>
      </c>
      <c r="F158" s="21" t="s">
        <v>9</v>
      </c>
      <c r="G158" s="27" t="s">
        <v>9</v>
      </c>
    </row>
    <row r="159" spans="1:7" ht="17.100000000000001" customHeight="1" x14ac:dyDescent="0.2">
      <c r="A159" s="24" t="s">
        <v>9</v>
      </c>
      <c r="B159" s="205" t="s">
        <v>151</v>
      </c>
      <c r="C159" s="206"/>
      <c r="D159" s="4" t="s">
        <v>138</v>
      </c>
      <c r="E159" s="24" t="s">
        <v>9</v>
      </c>
      <c r="F159" s="24" t="s">
        <v>9</v>
      </c>
      <c r="G159" s="24" t="s">
        <v>9</v>
      </c>
    </row>
  </sheetData>
  <mergeCells count="15"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  <mergeCell ref="B141:C141"/>
    <mergeCell ref="B138:F138"/>
    <mergeCell ref="B139:F13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3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508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301</v>
      </c>
      <c r="C7" s="6" t="s">
        <v>302</v>
      </c>
      <c r="D7" s="6" t="s">
        <v>172</v>
      </c>
      <c r="E7" s="7">
        <v>1807</v>
      </c>
      <c r="F7" s="8">
        <v>65.410689500000004</v>
      </c>
      <c r="G7" s="9">
        <v>1.2407325E-2</v>
      </c>
      <c r="H7" s="156"/>
    </row>
    <row r="8" spans="1:8" x14ac:dyDescent="0.2">
      <c r="A8" s="5">
        <v>2</v>
      </c>
      <c r="B8" s="6" t="s">
        <v>297</v>
      </c>
      <c r="C8" s="6" t="s">
        <v>298</v>
      </c>
      <c r="D8" s="6" t="s">
        <v>971</v>
      </c>
      <c r="E8" s="7">
        <v>6150</v>
      </c>
      <c r="F8" s="8">
        <v>65.214600000000004</v>
      </c>
      <c r="G8" s="9">
        <v>1.237013E-2</v>
      </c>
      <c r="H8" s="156"/>
    </row>
    <row r="9" spans="1:8" x14ac:dyDescent="0.2">
      <c r="A9" s="5">
        <v>3</v>
      </c>
      <c r="B9" s="6" t="s">
        <v>18</v>
      </c>
      <c r="C9" s="6" t="s">
        <v>19</v>
      </c>
      <c r="D9" s="6" t="s">
        <v>972</v>
      </c>
      <c r="E9" s="7">
        <v>5549</v>
      </c>
      <c r="F9" s="8">
        <v>56.918867499999998</v>
      </c>
      <c r="G9" s="9">
        <v>1.0796567E-2</v>
      </c>
      <c r="H9" s="156"/>
    </row>
    <row r="10" spans="1:8" x14ac:dyDescent="0.2">
      <c r="A10" s="5">
        <v>4</v>
      </c>
      <c r="B10" s="6" t="s">
        <v>315</v>
      </c>
      <c r="C10" s="6" t="s">
        <v>316</v>
      </c>
      <c r="D10" s="6" t="s">
        <v>975</v>
      </c>
      <c r="E10" s="7">
        <v>1782</v>
      </c>
      <c r="F10" s="8">
        <v>54.889164000000001</v>
      </c>
      <c r="G10" s="9">
        <v>1.0411566000000001E-2</v>
      </c>
      <c r="H10" s="156"/>
    </row>
    <row r="11" spans="1:8" x14ac:dyDescent="0.2">
      <c r="A11" s="5">
        <v>5</v>
      </c>
      <c r="B11" s="6" t="s">
        <v>321</v>
      </c>
      <c r="C11" s="6" t="s">
        <v>322</v>
      </c>
      <c r="D11" s="6" t="s">
        <v>63</v>
      </c>
      <c r="E11" s="7">
        <v>12167</v>
      </c>
      <c r="F11" s="8">
        <v>52.877782000000003</v>
      </c>
      <c r="G11" s="9">
        <v>1.003004E-2</v>
      </c>
      <c r="H11" s="156"/>
    </row>
    <row r="12" spans="1:8" x14ac:dyDescent="0.2">
      <c r="A12" s="5">
        <v>6</v>
      </c>
      <c r="B12" s="6" t="s">
        <v>378</v>
      </c>
      <c r="C12" s="6" t="s">
        <v>379</v>
      </c>
      <c r="D12" s="6" t="s">
        <v>73</v>
      </c>
      <c r="E12" s="7">
        <v>6553</v>
      </c>
      <c r="F12" s="8">
        <v>49.435831999999998</v>
      </c>
      <c r="G12" s="9">
        <v>9.3771589999999995E-3</v>
      </c>
      <c r="H12" s="156"/>
    </row>
    <row r="13" spans="1:8" x14ac:dyDescent="0.2">
      <c r="A13" s="5">
        <v>7</v>
      </c>
      <c r="B13" s="6" t="s">
        <v>299</v>
      </c>
      <c r="C13" s="6" t="s">
        <v>300</v>
      </c>
      <c r="D13" s="6" t="s">
        <v>169</v>
      </c>
      <c r="E13" s="7">
        <v>1818</v>
      </c>
      <c r="F13" s="8">
        <v>47.277090000000001</v>
      </c>
      <c r="G13" s="9">
        <v>8.9676819999999994E-3</v>
      </c>
      <c r="H13" s="156"/>
    </row>
    <row r="14" spans="1:8" ht="25.5" x14ac:dyDescent="0.2">
      <c r="A14" s="5">
        <v>8</v>
      </c>
      <c r="B14" s="6" t="s">
        <v>303</v>
      </c>
      <c r="C14" s="6" t="s">
        <v>304</v>
      </c>
      <c r="D14" s="6" t="s">
        <v>166</v>
      </c>
      <c r="E14" s="7">
        <v>7784</v>
      </c>
      <c r="F14" s="8">
        <v>39.95138</v>
      </c>
      <c r="G14" s="9">
        <v>7.5781160000000002E-3</v>
      </c>
      <c r="H14" s="156"/>
    </row>
    <row r="15" spans="1:8" x14ac:dyDescent="0.2">
      <c r="A15" s="5">
        <v>9</v>
      </c>
      <c r="B15" s="6" t="s">
        <v>350</v>
      </c>
      <c r="C15" s="6" t="s">
        <v>351</v>
      </c>
      <c r="D15" s="6" t="s">
        <v>974</v>
      </c>
      <c r="E15" s="7">
        <v>6169</v>
      </c>
      <c r="F15" s="8">
        <v>39.540205499999999</v>
      </c>
      <c r="G15" s="9">
        <v>7.500123E-3</v>
      </c>
      <c r="H15" s="156"/>
    </row>
    <row r="16" spans="1:8" x14ac:dyDescent="0.2">
      <c r="A16" s="5">
        <v>10</v>
      </c>
      <c r="B16" s="6" t="s">
        <v>343</v>
      </c>
      <c r="C16" s="6" t="s">
        <v>344</v>
      </c>
      <c r="D16" s="6" t="s">
        <v>345</v>
      </c>
      <c r="E16" s="7">
        <v>4518</v>
      </c>
      <c r="F16" s="8">
        <v>38.396222999999999</v>
      </c>
      <c r="G16" s="9">
        <v>7.2831279999999998E-3</v>
      </c>
      <c r="H16" s="156"/>
    </row>
    <row r="17" spans="1:8" x14ac:dyDescent="0.2">
      <c r="A17" s="5">
        <v>11</v>
      </c>
      <c r="B17" s="6" t="s">
        <v>386</v>
      </c>
      <c r="C17" s="6" t="s">
        <v>387</v>
      </c>
      <c r="D17" s="6" t="s">
        <v>971</v>
      </c>
      <c r="E17" s="7">
        <v>307</v>
      </c>
      <c r="F17" s="8">
        <v>37.174783499999997</v>
      </c>
      <c r="G17" s="9">
        <v>7.0514410000000003E-3</v>
      </c>
      <c r="H17" s="156"/>
    </row>
    <row r="18" spans="1:8" x14ac:dyDescent="0.2">
      <c r="A18" s="5">
        <v>12</v>
      </c>
      <c r="B18" s="6" t="s">
        <v>348</v>
      </c>
      <c r="C18" s="6" t="s">
        <v>349</v>
      </c>
      <c r="D18" s="6" t="s">
        <v>28</v>
      </c>
      <c r="E18" s="7">
        <v>4797</v>
      </c>
      <c r="F18" s="8">
        <v>36.548343000000003</v>
      </c>
      <c r="G18" s="9">
        <v>6.932616E-3</v>
      </c>
      <c r="H18" s="156"/>
    </row>
    <row r="19" spans="1:8" x14ac:dyDescent="0.2">
      <c r="A19" s="5">
        <v>13</v>
      </c>
      <c r="B19" s="6" t="s">
        <v>319</v>
      </c>
      <c r="C19" s="6" t="s">
        <v>320</v>
      </c>
      <c r="D19" s="6" t="s">
        <v>73</v>
      </c>
      <c r="E19" s="7">
        <v>4978</v>
      </c>
      <c r="F19" s="8">
        <v>36.319488</v>
      </c>
      <c r="G19" s="9">
        <v>6.8892060000000001E-3</v>
      </c>
      <c r="H19" s="156"/>
    </row>
    <row r="20" spans="1:8" x14ac:dyDescent="0.2">
      <c r="A20" s="5">
        <v>14</v>
      </c>
      <c r="B20" s="6" t="s">
        <v>337</v>
      </c>
      <c r="C20" s="6" t="s">
        <v>338</v>
      </c>
      <c r="D20" s="6" t="s">
        <v>166</v>
      </c>
      <c r="E20" s="7">
        <v>7672</v>
      </c>
      <c r="F20" s="8">
        <v>36.058399999999999</v>
      </c>
      <c r="G20" s="9">
        <v>6.8396819999999997E-3</v>
      </c>
      <c r="H20" s="156"/>
    </row>
    <row r="21" spans="1:8" x14ac:dyDescent="0.2">
      <c r="A21" s="5">
        <v>15</v>
      </c>
      <c r="B21" s="6" t="s">
        <v>364</v>
      </c>
      <c r="C21" s="6" t="s">
        <v>365</v>
      </c>
      <c r="D21" s="6" t="s">
        <v>63</v>
      </c>
      <c r="E21" s="7">
        <v>1592</v>
      </c>
      <c r="F21" s="8">
        <v>35.58916</v>
      </c>
      <c r="G21" s="9">
        <v>6.7506750000000003E-3</v>
      </c>
      <c r="H21" s="156"/>
    </row>
    <row r="22" spans="1:8" x14ac:dyDescent="0.2">
      <c r="A22" s="5">
        <v>16</v>
      </c>
      <c r="B22" s="6" t="s">
        <v>103</v>
      </c>
      <c r="C22" s="6" t="s">
        <v>104</v>
      </c>
      <c r="D22" s="6" t="s">
        <v>78</v>
      </c>
      <c r="E22" s="7">
        <v>6153</v>
      </c>
      <c r="F22" s="8">
        <v>34.318357499999998</v>
      </c>
      <c r="G22" s="9">
        <v>6.5096240000000003E-3</v>
      </c>
      <c r="H22" s="156"/>
    </row>
    <row r="23" spans="1:8" x14ac:dyDescent="0.2">
      <c r="A23" s="5">
        <v>17</v>
      </c>
      <c r="B23" s="6" t="s">
        <v>354</v>
      </c>
      <c r="C23" s="6" t="s">
        <v>355</v>
      </c>
      <c r="D23" s="6" t="s">
        <v>236</v>
      </c>
      <c r="E23" s="7">
        <v>3737</v>
      </c>
      <c r="F23" s="8">
        <v>33.666632999999997</v>
      </c>
      <c r="G23" s="9">
        <v>6.3860030000000003E-3</v>
      </c>
      <c r="H23" s="156"/>
    </row>
    <row r="24" spans="1:8" x14ac:dyDescent="0.2">
      <c r="A24" s="5">
        <v>18</v>
      </c>
      <c r="B24" s="6" t="s">
        <v>317</v>
      </c>
      <c r="C24" s="6" t="s">
        <v>318</v>
      </c>
      <c r="D24" s="6" t="s">
        <v>22</v>
      </c>
      <c r="E24" s="7">
        <v>38454</v>
      </c>
      <c r="F24" s="8">
        <v>33.493434000000001</v>
      </c>
      <c r="G24" s="9">
        <v>6.3531500000000001E-3</v>
      </c>
      <c r="H24" s="156"/>
    </row>
    <row r="25" spans="1:8" x14ac:dyDescent="0.2">
      <c r="A25" s="5">
        <v>19</v>
      </c>
      <c r="B25" s="6" t="s">
        <v>90</v>
      </c>
      <c r="C25" s="6" t="s">
        <v>91</v>
      </c>
      <c r="D25" s="6" t="s">
        <v>92</v>
      </c>
      <c r="E25" s="7">
        <v>26769</v>
      </c>
      <c r="F25" s="8">
        <v>32.818793999999997</v>
      </c>
      <c r="G25" s="9">
        <v>6.2251820000000001E-3</v>
      </c>
      <c r="H25" s="156"/>
    </row>
    <row r="26" spans="1:8" x14ac:dyDescent="0.2">
      <c r="A26" s="5">
        <v>20</v>
      </c>
      <c r="B26" s="6" t="s">
        <v>208</v>
      </c>
      <c r="C26" s="6" t="s">
        <v>209</v>
      </c>
      <c r="D26" s="6" t="s">
        <v>976</v>
      </c>
      <c r="E26" s="7">
        <v>3948</v>
      </c>
      <c r="F26" s="8">
        <v>32.292665999999997</v>
      </c>
      <c r="G26" s="9">
        <v>6.1253840000000002E-3</v>
      </c>
      <c r="H26" s="156"/>
    </row>
    <row r="27" spans="1:8" x14ac:dyDescent="0.2">
      <c r="A27" s="5">
        <v>21</v>
      </c>
      <c r="B27" s="6" t="s">
        <v>313</v>
      </c>
      <c r="C27" s="6" t="s">
        <v>314</v>
      </c>
      <c r="D27" s="6" t="s">
        <v>73</v>
      </c>
      <c r="E27" s="7">
        <v>5744</v>
      </c>
      <c r="F27" s="8">
        <v>32.186503999999999</v>
      </c>
      <c r="G27" s="9">
        <v>6.1052470000000003E-3</v>
      </c>
      <c r="H27" s="156"/>
    </row>
    <row r="28" spans="1:8" x14ac:dyDescent="0.2">
      <c r="A28" s="5">
        <v>22</v>
      </c>
      <c r="B28" s="6" t="s">
        <v>509</v>
      </c>
      <c r="C28" s="6" t="s">
        <v>510</v>
      </c>
      <c r="D28" s="6" t="s">
        <v>35</v>
      </c>
      <c r="E28" s="7">
        <v>1487</v>
      </c>
      <c r="F28" s="8">
        <v>30.053013499999999</v>
      </c>
      <c r="G28" s="9">
        <v>5.700559E-3</v>
      </c>
      <c r="H28" s="156"/>
    </row>
    <row r="29" spans="1:8" x14ac:dyDescent="0.2">
      <c r="A29" s="5">
        <v>23</v>
      </c>
      <c r="B29" s="6" t="s">
        <v>346</v>
      </c>
      <c r="C29" s="6" t="s">
        <v>347</v>
      </c>
      <c r="D29" s="6" t="s">
        <v>22</v>
      </c>
      <c r="E29" s="7">
        <v>32440</v>
      </c>
      <c r="F29" s="8">
        <v>27.865960000000001</v>
      </c>
      <c r="G29" s="9">
        <v>5.2857110000000002E-3</v>
      </c>
      <c r="H29" s="156"/>
    </row>
    <row r="30" spans="1:8" x14ac:dyDescent="0.2">
      <c r="A30" s="5">
        <v>24</v>
      </c>
      <c r="B30" s="6" t="s">
        <v>511</v>
      </c>
      <c r="C30" s="6" t="s">
        <v>512</v>
      </c>
      <c r="D30" s="6" t="s">
        <v>169</v>
      </c>
      <c r="E30" s="7">
        <v>667</v>
      </c>
      <c r="F30" s="8">
        <v>27.155570999999998</v>
      </c>
      <c r="G30" s="9">
        <v>5.1509620000000002E-3</v>
      </c>
      <c r="H30" s="156"/>
    </row>
    <row r="31" spans="1:8" x14ac:dyDescent="0.2">
      <c r="A31" s="5">
        <v>25</v>
      </c>
      <c r="B31" s="6" t="s">
        <v>384</v>
      </c>
      <c r="C31" s="6" t="s">
        <v>385</v>
      </c>
      <c r="D31" s="6" t="s">
        <v>169</v>
      </c>
      <c r="E31" s="7">
        <v>1250</v>
      </c>
      <c r="F31" s="8">
        <v>26.677499999999998</v>
      </c>
      <c r="G31" s="9">
        <v>5.0602800000000003E-3</v>
      </c>
      <c r="H31" s="156"/>
    </row>
    <row r="32" spans="1:8" x14ac:dyDescent="0.2">
      <c r="A32" s="5">
        <v>26</v>
      </c>
      <c r="B32" s="6" t="s">
        <v>352</v>
      </c>
      <c r="C32" s="6" t="s">
        <v>353</v>
      </c>
      <c r="D32" s="6" t="s">
        <v>22</v>
      </c>
      <c r="E32" s="7">
        <v>15949</v>
      </c>
      <c r="F32" s="8">
        <v>26.571034000000001</v>
      </c>
      <c r="G32" s="9">
        <v>5.0400849999999997E-3</v>
      </c>
      <c r="H32" s="156"/>
    </row>
    <row r="33" spans="1:8" x14ac:dyDescent="0.2">
      <c r="A33" s="5">
        <v>27</v>
      </c>
      <c r="B33" s="6" t="s">
        <v>513</v>
      </c>
      <c r="C33" s="6" t="s">
        <v>514</v>
      </c>
      <c r="D33" s="6" t="s">
        <v>63</v>
      </c>
      <c r="E33" s="7">
        <v>9710</v>
      </c>
      <c r="F33" s="8">
        <v>25.746065000000002</v>
      </c>
      <c r="G33" s="9">
        <v>4.8836019999999999E-3</v>
      </c>
      <c r="H33" s="156"/>
    </row>
    <row r="34" spans="1:8" x14ac:dyDescent="0.2">
      <c r="A34" s="5">
        <v>28</v>
      </c>
      <c r="B34" s="6" t="s">
        <v>515</v>
      </c>
      <c r="C34" s="6" t="s">
        <v>516</v>
      </c>
      <c r="D34" s="6" t="s">
        <v>73</v>
      </c>
      <c r="E34" s="7">
        <v>99</v>
      </c>
      <c r="F34" s="8">
        <v>24.088234499999999</v>
      </c>
      <c r="G34" s="9">
        <v>4.5691389999999998E-3</v>
      </c>
      <c r="H34" s="156"/>
    </row>
    <row r="35" spans="1:8" x14ac:dyDescent="0.2">
      <c r="A35" s="5">
        <v>29</v>
      </c>
      <c r="B35" s="6" t="s">
        <v>500</v>
      </c>
      <c r="C35" s="6" t="s">
        <v>395</v>
      </c>
      <c r="D35" s="6" t="s">
        <v>345</v>
      </c>
      <c r="E35" s="7">
        <v>10617</v>
      </c>
      <c r="F35" s="8">
        <v>22.906177499999998</v>
      </c>
      <c r="G35" s="9">
        <v>4.3449229999999997E-3</v>
      </c>
      <c r="H35" s="156"/>
    </row>
    <row r="36" spans="1:8" x14ac:dyDescent="0.2">
      <c r="A36" s="5">
        <v>30</v>
      </c>
      <c r="B36" s="6" t="s">
        <v>311</v>
      </c>
      <c r="C36" s="6" t="s">
        <v>312</v>
      </c>
      <c r="D36" s="6" t="s">
        <v>261</v>
      </c>
      <c r="E36" s="7">
        <v>746</v>
      </c>
      <c r="F36" s="8">
        <v>21.711583999999998</v>
      </c>
      <c r="G36" s="9">
        <v>4.1183280000000001E-3</v>
      </c>
      <c r="H36" s="156"/>
    </row>
    <row r="37" spans="1:8" x14ac:dyDescent="0.2">
      <c r="A37" s="5">
        <v>31</v>
      </c>
      <c r="B37" s="6" t="s">
        <v>74</v>
      </c>
      <c r="C37" s="6" t="s">
        <v>75</v>
      </c>
      <c r="D37" s="6" t="s">
        <v>28</v>
      </c>
      <c r="E37" s="7">
        <v>2378</v>
      </c>
      <c r="F37" s="8">
        <v>21.39011</v>
      </c>
      <c r="G37" s="9">
        <v>4.0573500000000004E-3</v>
      </c>
      <c r="H37" s="156"/>
    </row>
    <row r="38" spans="1:8" x14ac:dyDescent="0.2">
      <c r="A38" s="5">
        <v>32</v>
      </c>
      <c r="B38" s="6" t="s">
        <v>517</v>
      </c>
      <c r="C38" s="6" t="s">
        <v>518</v>
      </c>
      <c r="D38" s="6" t="s">
        <v>166</v>
      </c>
      <c r="E38" s="7">
        <v>22569</v>
      </c>
      <c r="F38" s="8">
        <v>20.966601000000001</v>
      </c>
      <c r="G38" s="9">
        <v>3.9770170000000002E-3</v>
      </c>
      <c r="H38" s="156"/>
    </row>
    <row r="39" spans="1:8" x14ac:dyDescent="0.2">
      <c r="A39" s="5">
        <v>33</v>
      </c>
      <c r="B39" s="6" t="s">
        <v>242</v>
      </c>
      <c r="C39" s="6" t="s">
        <v>243</v>
      </c>
      <c r="D39" s="6" t="s">
        <v>196</v>
      </c>
      <c r="E39" s="7">
        <v>1213</v>
      </c>
      <c r="F39" s="8">
        <v>20.198875999999998</v>
      </c>
      <c r="G39" s="9">
        <v>3.8313930000000002E-3</v>
      </c>
      <c r="H39" s="156"/>
    </row>
    <row r="40" spans="1:8" x14ac:dyDescent="0.2">
      <c r="A40" s="5">
        <v>34</v>
      </c>
      <c r="B40" s="6" t="s">
        <v>420</v>
      </c>
      <c r="C40" s="6" t="s">
        <v>421</v>
      </c>
      <c r="D40" s="6" t="s">
        <v>971</v>
      </c>
      <c r="E40" s="7">
        <v>1279</v>
      </c>
      <c r="F40" s="8">
        <v>20.041930000000001</v>
      </c>
      <c r="G40" s="9">
        <v>3.8016220000000002E-3</v>
      </c>
      <c r="H40" s="156"/>
    </row>
    <row r="41" spans="1:8" x14ac:dyDescent="0.2">
      <c r="A41" s="5">
        <v>35</v>
      </c>
      <c r="B41" s="6" t="s">
        <v>325</v>
      </c>
      <c r="C41" s="6" t="s">
        <v>326</v>
      </c>
      <c r="D41" s="6" t="s">
        <v>978</v>
      </c>
      <c r="E41" s="7">
        <v>10291</v>
      </c>
      <c r="F41" s="8">
        <v>18.317979999999999</v>
      </c>
      <c r="G41" s="9">
        <v>3.4746180000000001E-3</v>
      </c>
      <c r="H41" s="156"/>
    </row>
    <row r="42" spans="1:8" x14ac:dyDescent="0.2">
      <c r="A42" s="5">
        <v>36</v>
      </c>
      <c r="B42" s="6" t="s">
        <v>480</v>
      </c>
      <c r="C42" s="6" t="s">
        <v>481</v>
      </c>
      <c r="D42" s="6" t="s">
        <v>17</v>
      </c>
      <c r="E42" s="7">
        <v>11918</v>
      </c>
      <c r="F42" s="8">
        <v>17.054658</v>
      </c>
      <c r="G42" s="9">
        <v>3.234986E-3</v>
      </c>
      <c r="H42" s="156"/>
    </row>
    <row r="43" spans="1:8" x14ac:dyDescent="0.2">
      <c r="A43" s="5">
        <v>37</v>
      </c>
      <c r="B43" s="6" t="s">
        <v>12</v>
      </c>
      <c r="C43" s="6" t="s">
        <v>13</v>
      </c>
      <c r="D43" s="6" t="s">
        <v>14</v>
      </c>
      <c r="E43" s="7">
        <v>1088</v>
      </c>
      <c r="F43" s="8">
        <v>16.325983999999998</v>
      </c>
      <c r="G43" s="9">
        <v>3.0967690000000001E-3</v>
      </c>
      <c r="H43" s="156"/>
    </row>
    <row r="44" spans="1:8" x14ac:dyDescent="0.2">
      <c r="A44" s="5">
        <v>38</v>
      </c>
      <c r="B44" s="6" t="s">
        <v>519</v>
      </c>
      <c r="C44" s="6" t="s">
        <v>520</v>
      </c>
      <c r="D44" s="6" t="s">
        <v>166</v>
      </c>
      <c r="E44" s="7">
        <v>18287</v>
      </c>
      <c r="F44" s="8">
        <v>16.183994999999999</v>
      </c>
      <c r="G44" s="9">
        <v>3.0698359999999998E-3</v>
      </c>
      <c r="H44" s="156"/>
    </row>
    <row r="45" spans="1:8" x14ac:dyDescent="0.2">
      <c r="A45" s="5">
        <v>39</v>
      </c>
      <c r="B45" s="6" t="s">
        <v>521</v>
      </c>
      <c r="C45" s="6" t="s">
        <v>522</v>
      </c>
      <c r="D45" s="6" t="s">
        <v>191</v>
      </c>
      <c r="E45" s="7">
        <v>689</v>
      </c>
      <c r="F45" s="8">
        <v>15.428088000000001</v>
      </c>
      <c r="G45" s="9">
        <v>2.9264529999999999E-3</v>
      </c>
      <c r="H45" s="156"/>
    </row>
    <row r="46" spans="1:8" x14ac:dyDescent="0.2">
      <c r="A46" s="5">
        <v>40</v>
      </c>
      <c r="B46" s="6" t="s">
        <v>327</v>
      </c>
      <c r="C46" s="6" t="s">
        <v>328</v>
      </c>
      <c r="D46" s="6" t="s">
        <v>196</v>
      </c>
      <c r="E46" s="7">
        <v>741</v>
      </c>
      <c r="F46" s="8">
        <v>15.015624000000001</v>
      </c>
      <c r="G46" s="9">
        <v>2.8482149999999999E-3</v>
      </c>
      <c r="H46" s="156"/>
    </row>
    <row r="47" spans="1:8" x14ac:dyDescent="0.2">
      <c r="A47" s="5">
        <v>41</v>
      </c>
      <c r="B47" s="6" t="s">
        <v>380</v>
      </c>
      <c r="C47" s="6" t="s">
        <v>381</v>
      </c>
      <c r="D47" s="6" t="s">
        <v>191</v>
      </c>
      <c r="E47" s="7">
        <v>1816</v>
      </c>
      <c r="F47" s="8">
        <v>13.530108</v>
      </c>
      <c r="G47" s="9">
        <v>2.5664379999999999E-3</v>
      </c>
      <c r="H47" s="156"/>
    </row>
    <row r="48" spans="1:8" x14ac:dyDescent="0.2">
      <c r="A48" s="3" t="s">
        <v>9</v>
      </c>
      <c r="B48" s="3" t="s">
        <v>9</v>
      </c>
      <c r="C48" s="4" t="s">
        <v>105</v>
      </c>
      <c r="D48" s="3" t="s">
        <v>9</v>
      </c>
      <c r="E48" s="3" t="s">
        <v>9</v>
      </c>
      <c r="F48" s="10">
        <v>1317.6074900000001</v>
      </c>
      <c r="G48" s="11">
        <v>0.249928332</v>
      </c>
      <c r="H48" s="156"/>
    </row>
    <row r="49" spans="1:8" x14ac:dyDescent="0.2">
      <c r="A49" s="3" t="s">
        <v>9</v>
      </c>
      <c r="B49" s="3" t="s">
        <v>9</v>
      </c>
      <c r="C49" s="12" t="s">
        <v>9</v>
      </c>
      <c r="D49" s="3" t="s">
        <v>9</v>
      </c>
      <c r="E49" s="3" t="s">
        <v>9</v>
      </c>
      <c r="F49" s="13" t="s">
        <v>9</v>
      </c>
      <c r="G49" s="1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106</v>
      </c>
      <c r="D50" s="3" t="s">
        <v>9</v>
      </c>
      <c r="E50" s="3" t="s">
        <v>9</v>
      </c>
      <c r="F50" s="3" t="s">
        <v>9</v>
      </c>
      <c r="G50" s="3" t="s">
        <v>9</v>
      </c>
      <c r="H50" s="156"/>
    </row>
    <row r="51" spans="1:8" x14ac:dyDescent="0.2">
      <c r="A51" s="3" t="s">
        <v>9</v>
      </c>
      <c r="B51" s="3" t="s">
        <v>9</v>
      </c>
      <c r="C51" s="4" t="s">
        <v>105</v>
      </c>
      <c r="D51" s="3" t="s">
        <v>9</v>
      </c>
      <c r="E51" s="3" t="s">
        <v>9</v>
      </c>
      <c r="F51" s="14">
        <v>0</v>
      </c>
      <c r="G51" s="15">
        <v>0</v>
      </c>
      <c r="H51" s="156"/>
    </row>
    <row r="52" spans="1:8" x14ac:dyDescent="0.2">
      <c r="A52" s="3" t="s">
        <v>9</v>
      </c>
      <c r="B52" s="3" t="s">
        <v>9</v>
      </c>
      <c r="C52" s="12" t="s">
        <v>9</v>
      </c>
      <c r="D52" s="3" t="s">
        <v>9</v>
      </c>
      <c r="E52" s="3" t="s">
        <v>9</v>
      </c>
      <c r="F52" s="13" t="s">
        <v>9</v>
      </c>
      <c r="G52" s="1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107</v>
      </c>
      <c r="D53" s="3" t="s">
        <v>9</v>
      </c>
      <c r="E53" s="3" t="s">
        <v>9</v>
      </c>
      <c r="F53" s="3" t="s">
        <v>9</v>
      </c>
      <c r="G53" s="3" t="s">
        <v>9</v>
      </c>
      <c r="H53" s="156"/>
    </row>
    <row r="54" spans="1:8" x14ac:dyDescent="0.2">
      <c r="A54" s="3" t="s">
        <v>9</v>
      </c>
      <c r="B54" s="3" t="s">
        <v>9</v>
      </c>
      <c r="C54" s="4" t="s">
        <v>105</v>
      </c>
      <c r="D54" s="3" t="s">
        <v>9</v>
      </c>
      <c r="E54" s="3" t="s">
        <v>9</v>
      </c>
      <c r="F54" s="14">
        <v>0</v>
      </c>
      <c r="G54" s="15">
        <v>0</v>
      </c>
      <c r="H54" s="156"/>
    </row>
    <row r="55" spans="1:8" x14ac:dyDescent="0.2">
      <c r="A55" s="3" t="s">
        <v>9</v>
      </c>
      <c r="B55" s="3" t="s">
        <v>9</v>
      </c>
      <c r="C55" s="12" t="s">
        <v>9</v>
      </c>
      <c r="D55" s="3" t="s">
        <v>9</v>
      </c>
      <c r="E55" s="3" t="s">
        <v>9</v>
      </c>
      <c r="F55" s="13" t="s">
        <v>9</v>
      </c>
      <c r="G55" s="1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111</v>
      </c>
      <c r="D56" s="3" t="s">
        <v>9</v>
      </c>
      <c r="E56" s="3" t="s">
        <v>9</v>
      </c>
      <c r="F56" s="3" t="s">
        <v>9</v>
      </c>
      <c r="G56" s="3" t="s">
        <v>9</v>
      </c>
      <c r="H56" s="156"/>
    </row>
    <row r="57" spans="1:8" x14ac:dyDescent="0.2">
      <c r="A57" s="3" t="s">
        <v>9</v>
      </c>
      <c r="B57" s="3" t="s">
        <v>9</v>
      </c>
      <c r="C57" s="4" t="s">
        <v>105</v>
      </c>
      <c r="D57" s="3" t="s">
        <v>9</v>
      </c>
      <c r="E57" s="3" t="s">
        <v>9</v>
      </c>
      <c r="F57" s="14">
        <v>0</v>
      </c>
      <c r="G57" s="15">
        <v>0</v>
      </c>
      <c r="H57" s="156"/>
    </row>
    <row r="58" spans="1:8" x14ac:dyDescent="0.2">
      <c r="A58" s="3" t="s">
        <v>9</v>
      </c>
      <c r="B58" s="3" t="s">
        <v>9</v>
      </c>
      <c r="C58" s="12" t="s">
        <v>9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112</v>
      </c>
      <c r="D59" s="3" t="s">
        <v>9</v>
      </c>
      <c r="E59" s="3" t="s">
        <v>9</v>
      </c>
      <c r="F59" s="13" t="s">
        <v>9</v>
      </c>
      <c r="G59" s="1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0</v>
      </c>
      <c r="G60" s="15">
        <v>0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113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105</v>
      </c>
      <c r="D63" s="3" t="s">
        <v>9</v>
      </c>
      <c r="E63" s="3" t="s">
        <v>9</v>
      </c>
      <c r="F63" s="14">
        <v>0</v>
      </c>
      <c r="G63" s="15">
        <v>0</v>
      </c>
      <c r="H63" s="156"/>
    </row>
    <row r="64" spans="1:8" x14ac:dyDescent="0.2">
      <c r="A64" s="3" t="s">
        <v>9</v>
      </c>
      <c r="B64" s="3" t="s">
        <v>9</v>
      </c>
      <c r="C64" s="12" t="s">
        <v>9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114</v>
      </c>
      <c r="D65" s="3" t="s">
        <v>9</v>
      </c>
      <c r="E65" s="3" t="s">
        <v>9</v>
      </c>
      <c r="F65" s="10">
        <v>1317.6074900000001</v>
      </c>
      <c r="G65" s="11">
        <v>0.249928332</v>
      </c>
      <c r="H65" s="156"/>
    </row>
    <row r="66" spans="1:8" x14ac:dyDescent="0.2">
      <c r="A66" s="3" t="s">
        <v>9</v>
      </c>
      <c r="B66" s="3" t="s">
        <v>9</v>
      </c>
      <c r="C66" s="12" t="s">
        <v>9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115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116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117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118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119</v>
      </c>
      <c r="D80" s="3" t="s">
        <v>9</v>
      </c>
      <c r="E80" s="3" t="s">
        <v>9</v>
      </c>
      <c r="F80" s="10">
        <v>0</v>
      </c>
      <c r="G80" s="11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120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121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122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123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124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5">
        <v>1</v>
      </c>
      <c r="B93" s="6"/>
      <c r="C93" s="6" t="s">
        <v>125</v>
      </c>
      <c r="D93" s="6"/>
      <c r="E93" s="16" t="s">
        <v>9</v>
      </c>
      <c r="F93" s="8">
        <v>2270.7587113</v>
      </c>
      <c r="G93" s="9">
        <v>0.43072534899999998</v>
      </c>
      <c r="H93" s="8">
        <v>3.3326163573085874</v>
      </c>
    </row>
    <row r="94" spans="1:8" x14ac:dyDescent="0.2">
      <c r="A94" s="5">
        <v>2</v>
      </c>
      <c r="B94" s="6"/>
      <c r="C94" s="6" t="s">
        <v>126</v>
      </c>
      <c r="D94" s="6"/>
      <c r="E94" s="16" t="s">
        <v>9</v>
      </c>
      <c r="F94" s="8">
        <v>1621.8868064000001</v>
      </c>
      <c r="G94" s="9">
        <v>0.30764508600000001</v>
      </c>
      <c r="H94" s="8">
        <v>3.2337849550915885</v>
      </c>
    </row>
    <row r="95" spans="1:8" x14ac:dyDescent="0.2">
      <c r="A95" s="3" t="s">
        <v>9</v>
      </c>
      <c r="B95" s="3" t="s">
        <v>9</v>
      </c>
      <c r="C95" s="4" t="s">
        <v>105</v>
      </c>
      <c r="D95" s="3" t="s">
        <v>9</v>
      </c>
      <c r="E95" s="3" t="s">
        <v>9</v>
      </c>
      <c r="F95" s="10">
        <v>3892.6455176999998</v>
      </c>
      <c r="G95" s="11">
        <v>0.73837043499999999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127</v>
      </c>
      <c r="D97" s="3" t="s">
        <v>9</v>
      </c>
      <c r="E97" s="3" t="s">
        <v>9</v>
      </c>
      <c r="F97" s="10">
        <v>3892.6455176999998</v>
      </c>
      <c r="G97" s="11">
        <v>0.73837043499999999</v>
      </c>
      <c r="H97" s="156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128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129</v>
      </c>
      <c r="D100" s="3" t="s">
        <v>9</v>
      </c>
      <c r="E100" s="3" t="s">
        <v>9</v>
      </c>
      <c r="F100" s="3" t="s">
        <v>9</v>
      </c>
      <c r="G100" s="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4">
        <v>0</v>
      </c>
      <c r="G101" s="15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130</v>
      </c>
      <c r="D103" s="3" t="s">
        <v>9</v>
      </c>
      <c r="E103" s="3" t="s">
        <v>9</v>
      </c>
      <c r="F103" s="3" t="s">
        <v>9</v>
      </c>
      <c r="G103" s="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131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132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105</v>
      </c>
      <c r="D109" s="3" t="s">
        <v>9</v>
      </c>
      <c r="E109" s="3" t="s">
        <v>9</v>
      </c>
      <c r="F109" s="14">
        <v>0</v>
      </c>
      <c r="G109" s="15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6" t="s">
        <v>9</v>
      </c>
      <c r="C111" s="6" t="s">
        <v>9</v>
      </c>
      <c r="D111" s="4" t="s">
        <v>9</v>
      </c>
      <c r="E111" s="3" t="s">
        <v>9</v>
      </c>
      <c r="F111" s="6" t="s">
        <v>9</v>
      </c>
      <c r="G111" s="16" t="s">
        <v>9</v>
      </c>
      <c r="H111" s="156"/>
    </row>
    <row r="112" spans="1:8" x14ac:dyDescent="0.2">
      <c r="A112" s="16" t="s">
        <v>9</v>
      </c>
      <c r="B112" s="6" t="s">
        <v>9</v>
      </c>
      <c r="C112" s="6" t="s">
        <v>133</v>
      </c>
      <c r="D112" s="6" t="s">
        <v>9</v>
      </c>
      <c r="E112" s="16" t="s">
        <v>9</v>
      </c>
      <c r="F112" s="8">
        <v>61.688192090000001</v>
      </c>
      <c r="G112" s="9">
        <v>1.1701229E-2</v>
      </c>
      <c r="H112" s="156"/>
    </row>
    <row r="113" spans="1:8" x14ac:dyDescent="0.2">
      <c r="A113" s="12" t="s">
        <v>9</v>
      </c>
      <c r="B113" s="12" t="s">
        <v>9</v>
      </c>
      <c r="C113" s="4" t="s">
        <v>134</v>
      </c>
      <c r="D113" s="17" t="s">
        <v>9</v>
      </c>
      <c r="E113" s="17" t="s">
        <v>9</v>
      </c>
      <c r="F113" s="10">
        <v>5271.9411997899997</v>
      </c>
      <c r="G113" s="11">
        <v>0.999999996</v>
      </c>
      <c r="H113" s="156"/>
    </row>
    <row r="114" spans="1:8" ht="14.1" customHeight="1" x14ac:dyDescent="0.2">
      <c r="A114" s="18" t="s">
        <v>9</v>
      </c>
      <c r="B114" s="18" t="s">
        <v>9</v>
      </c>
      <c r="C114" s="18" t="s">
        <v>9</v>
      </c>
      <c r="D114" s="19" t="s">
        <v>9</v>
      </c>
      <c r="E114" s="19" t="s">
        <v>9</v>
      </c>
      <c r="F114" s="19" t="s">
        <v>9</v>
      </c>
      <c r="G114" s="19" t="s">
        <v>9</v>
      </c>
    </row>
    <row r="115" spans="1:8" ht="14.1" customHeight="1" x14ac:dyDescent="0.2">
      <c r="A115" s="20" t="s">
        <v>9</v>
      </c>
      <c r="B115" s="200" t="s">
        <v>9</v>
      </c>
      <c r="C115" s="200"/>
      <c r="D115" s="200"/>
      <c r="E115" s="200"/>
      <c r="F115" s="200"/>
      <c r="G115" s="22" t="s">
        <v>9</v>
      </c>
    </row>
    <row r="116" spans="1:8" ht="14.1" customHeight="1" x14ac:dyDescent="0.2">
      <c r="A116" s="20" t="s">
        <v>9</v>
      </c>
      <c r="B116" s="200" t="s">
        <v>9</v>
      </c>
      <c r="C116" s="200"/>
      <c r="D116" s="200"/>
      <c r="E116" s="200"/>
      <c r="F116" s="200"/>
      <c r="G116" s="22" t="s">
        <v>9</v>
      </c>
    </row>
    <row r="117" spans="1:8" ht="14.1" customHeight="1" x14ac:dyDescent="0.2">
      <c r="A117" s="20" t="s">
        <v>9</v>
      </c>
      <c r="B117" s="20" t="s">
        <v>9</v>
      </c>
      <c r="C117" s="20" t="s">
        <v>9</v>
      </c>
      <c r="D117" s="22" t="s">
        <v>9</v>
      </c>
      <c r="E117" s="22" t="s">
        <v>9</v>
      </c>
      <c r="F117" s="22" t="s">
        <v>9</v>
      </c>
      <c r="G117" s="22" t="s">
        <v>9</v>
      </c>
    </row>
    <row r="118" spans="1:8" ht="14.1" customHeight="1" x14ac:dyDescent="0.2">
      <c r="A118" s="20" t="s">
        <v>9</v>
      </c>
      <c r="B118" s="198" t="s">
        <v>136</v>
      </c>
      <c r="C118" s="199"/>
      <c r="D118" s="13" t="s">
        <v>9</v>
      </c>
      <c r="E118" s="23" t="s">
        <v>9</v>
      </c>
      <c r="F118" s="22" t="s">
        <v>9</v>
      </c>
      <c r="G118" s="22" t="s">
        <v>9</v>
      </c>
    </row>
    <row r="119" spans="1:8" ht="29.1" customHeight="1" x14ac:dyDescent="0.2">
      <c r="A119" s="20" t="s">
        <v>9</v>
      </c>
      <c r="B119" s="205" t="s">
        <v>137</v>
      </c>
      <c r="C119" s="206"/>
      <c r="D119" s="4" t="s">
        <v>138</v>
      </c>
      <c r="E119" s="23" t="s">
        <v>9</v>
      </c>
      <c r="F119" s="22" t="s">
        <v>9</v>
      </c>
      <c r="G119" s="22" t="s">
        <v>9</v>
      </c>
    </row>
    <row r="120" spans="1:8" ht="17.100000000000001" customHeight="1" x14ac:dyDescent="0.2">
      <c r="A120" s="20" t="s">
        <v>9</v>
      </c>
      <c r="B120" s="205" t="s">
        <v>139</v>
      </c>
      <c r="C120" s="206"/>
      <c r="D120" s="4" t="s">
        <v>138</v>
      </c>
      <c r="E120" s="23" t="s">
        <v>9</v>
      </c>
      <c r="F120" s="22" t="s">
        <v>9</v>
      </c>
      <c r="G120" s="22" t="s">
        <v>9</v>
      </c>
    </row>
    <row r="121" spans="1:8" ht="17.100000000000001" customHeight="1" x14ac:dyDescent="0.2">
      <c r="A121" s="20" t="s">
        <v>9</v>
      </c>
      <c r="B121" s="205" t="s">
        <v>140</v>
      </c>
      <c r="C121" s="206"/>
      <c r="D121" s="13" t="s">
        <v>9</v>
      </c>
      <c r="E121" s="23" t="s">
        <v>9</v>
      </c>
      <c r="F121" s="22" t="s">
        <v>9</v>
      </c>
      <c r="G121" s="22" t="s">
        <v>9</v>
      </c>
    </row>
    <row r="122" spans="1:8" ht="24" customHeight="1" x14ac:dyDescent="0.2">
      <c r="A122" s="24" t="s">
        <v>9</v>
      </c>
      <c r="B122" s="25" t="s">
        <v>9</v>
      </c>
      <c r="C122" s="25" t="s">
        <v>141</v>
      </c>
      <c r="D122" s="25" t="s">
        <v>142</v>
      </c>
      <c r="E122" s="24" t="s">
        <v>9</v>
      </c>
      <c r="F122" s="24" t="s">
        <v>9</v>
      </c>
      <c r="G122" s="24" t="s">
        <v>9</v>
      </c>
    </row>
    <row r="123" spans="1:8" ht="18" customHeight="1" x14ac:dyDescent="0.2">
      <c r="A123" s="24" t="s">
        <v>9</v>
      </c>
      <c r="B123" s="25" t="s">
        <v>143</v>
      </c>
      <c r="C123" s="25" t="s">
        <v>144</v>
      </c>
      <c r="D123" s="25" t="s">
        <v>145</v>
      </c>
      <c r="E123" s="24" t="s">
        <v>9</v>
      </c>
      <c r="F123" s="24" t="s">
        <v>9</v>
      </c>
      <c r="G123" s="24" t="s">
        <v>9</v>
      </c>
    </row>
    <row r="124" spans="1:8" ht="17.100000000000001" customHeight="1" x14ac:dyDescent="0.2">
      <c r="A124" s="24" t="s">
        <v>9</v>
      </c>
      <c r="B124" s="6" t="s">
        <v>146</v>
      </c>
      <c r="C124" s="26">
        <v>13.8452</v>
      </c>
      <c r="D124" s="26">
        <v>14.4217</v>
      </c>
      <c r="E124" s="24" t="s">
        <v>9</v>
      </c>
      <c r="F124" s="21" t="s">
        <v>9</v>
      </c>
      <c r="G124" s="27" t="s">
        <v>9</v>
      </c>
    </row>
    <row r="125" spans="1:8" ht="17.100000000000001" customHeight="1" x14ac:dyDescent="0.2">
      <c r="A125" s="24" t="s">
        <v>9</v>
      </c>
      <c r="B125" s="6" t="s">
        <v>839</v>
      </c>
      <c r="C125" s="26">
        <v>13.8452</v>
      </c>
      <c r="D125" s="26">
        <v>14.4217</v>
      </c>
      <c r="E125" s="24" t="s">
        <v>9</v>
      </c>
      <c r="F125" s="21" t="s">
        <v>9</v>
      </c>
      <c r="G125" s="27" t="s">
        <v>9</v>
      </c>
    </row>
    <row r="126" spans="1:8" ht="17.100000000000001" customHeight="1" x14ac:dyDescent="0.2">
      <c r="A126" s="24" t="s">
        <v>9</v>
      </c>
      <c r="B126" s="6" t="s">
        <v>147</v>
      </c>
      <c r="C126" s="26">
        <v>13.466900000000001</v>
      </c>
      <c r="D126" s="26">
        <v>14.0215</v>
      </c>
      <c r="E126" s="24" t="s">
        <v>9</v>
      </c>
      <c r="F126" s="21" t="s">
        <v>9</v>
      </c>
      <c r="G126" s="27" t="s">
        <v>9</v>
      </c>
    </row>
    <row r="127" spans="1:8" ht="17.100000000000001" customHeight="1" x14ac:dyDescent="0.2">
      <c r="A127" s="24" t="s">
        <v>9</v>
      </c>
      <c r="B127" s="6" t="s">
        <v>840</v>
      </c>
      <c r="C127" s="26">
        <v>13.466900000000001</v>
      </c>
      <c r="D127" s="26">
        <v>14.0215</v>
      </c>
      <c r="E127" s="24" t="s">
        <v>9</v>
      </c>
      <c r="F127" s="21" t="s">
        <v>9</v>
      </c>
      <c r="G127" s="27" t="s">
        <v>9</v>
      </c>
    </row>
    <row r="128" spans="1:8" ht="14.1" customHeight="1" x14ac:dyDescent="0.2">
      <c r="A128" s="24" t="s">
        <v>9</v>
      </c>
      <c r="B128" s="24" t="s">
        <v>9</v>
      </c>
      <c r="C128" s="24" t="s">
        <v>9</v>
      </c>
      <c r="D128" s="24" t="s">
        <v>9</v>
      </c>
      <c r="E128" s="24" t="s">
        <v>9</v>
      </c>
      <c r="F128" s="24" t="s">
        <v>9</v>
      </c>
      <c r="G128" s="24" t="s">
        <v>9</v>
      </c>
    </row>
    <row r="129" spans="1:7" ht="17.100000000000001" customHeight="1" x14ac:dyDescent="0.2">
      <c r="A129" s="24" t="s">
        <v>9</v>
      </c>
      <c r="B129" s="205" t="s">
        <v>1013</v>
      </c>
      <c r="C129" s="206"/>
      <c r="D129" s="4" t="s">
        <v>138</v>
      </c>
      <c r="E129" s="24" t="s">
        <v>9</v>
      </c>
      <c r="F129" s="24" t="s">
        <v>9</v>
      </c>
      <c r="G129" s="24" t="s">
        <v>9</v>
      </c>
    </row>
    <row r="130" spans="1:7" ht="18" customHeight="1" x14ac:dyDescent="0.2">
      <c r="A130" s="24" t="s">
        <v>9</v>
      </c>
      <c r="B130" s="30"/>
      <c r="C130" s="30"/>
      <c r="D130" s="28" t="s">
        <v>9</v>
      </c>
      <c r="E130" s="24" t="s">
        <v>9</v>
      </c>
      <c r="F130" s="24" t="s">
        <v>9</v>
      </c>
      <c r="G130" s="24" t="s">
        <v>9</v>
      </c>
    </row>
    <row r="131" spans="1:7" s="197" customFormat="1" x14ac:dyDescent="0.2">
      <c r="B131" s="208" t="s">
        <v>841</v>
      </c>
      <c r="C131" s="208"/>
      <c r="D131" s="208"/>
      <c r="E131" s="208"/>
      <c r="F131" s="208"/>
    </row>
    <row r="132" spans="1:7" ht="14.1" customHeight="1" x14ac:dyDescent="0.2">
      <c r="A132" s="24" t="s">
        <v>9</v>
      </c>
      <c r="B132" s="21" t="s">
        <v>9</v>
      </c>
      <c r="C132" s="21" t="s">
        <v>9</v>
      </c>
      <c r="D132" s="24" t="s">
        <v>9</v>
      </c>
      <c r="E132" s="24" t="s">
        <v>9</v>
      </c>
      <c r="F132" s="24" t="s">
        <v>9</v>
      </c>
      <c r="G132" s="24" t="s">
        <v>9</v>
      </c>
    </row>
    <row r="133" spans="1:7" ht="29.1" customHeight="1" x14ac:dyDescent="0.2">
      <c r="A133" s="24" t="s">
        <v>9</v>
      </c>
      <c r="B133" s="205" t="s">
        <v>148</v>
      </c>
      <c r="C133" s="206"/>
      <c r="D133" s="4" t="s">
        <v>138</v>
      </c>
      <c r="E133" s="24" t="s">
        <v>9</v>
      </c>
      <c r="F133" s="24" t="s">
        <v>9</v>
      </c>
      <c r="G133" s="24" t="s">
        <v>9</v>
      </c>
    </row>
    <row r="134" spans="1:7" ht="29.1" customHeight="1" x14ac:dyDescent="0.2">
      <c r="A134" s="24" t="s">
        <v>9</v>
      </c>
      <c r="B134" s="205" t="s">
        <v>149</v>
      </c>
      <c r="C134" s="206"/>
      <c r="D134" s="4" t="s">
        <v>138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205" t="s">
        <v>150</v>
      </c>
      <c r="C135" s="206"/>
      <c r="D135" s="29">
        <v>0.25383245537295235</v>
      </c>
      <c r="E135" s="24" t="s">
        <v>9</v>
      </c>
      <c r="F135" s="21" t="s">
        <v>9</v>
      </c>
      <c r="G135" s="27" t="s">
        <v>9</v>
      </c>
    </row>
    <row r="136" spans="1:7" ht="17.100000000000001" customHeight="1" x14ac:dyDescent="0.2">
      <c r="A136" s="24" t="s">
        <v>9</v>
      </c>
      <c r="B136" s="205" t="s">
        <v>151</v>
      </c>
      <c r="C136" s="206"/>
      <c r="D136" s="4" t="s">
        <v>138</v>
      </c>
      <c r="E136" s="24" t="s">
        <v>9</v>
      </c>
      <c r="F136" s="24" t="s">
        <v>9</v>
      </c>
      <c r="G136" s="24" t="s">
        <v>9</v>
      </c>
    </row>
  </sheetData>
  <mergeCells count="15">
    <mergeCell ref="B135:C135"/>
    <mergeCell ref="B136:C136"/>
    <mergeCell ref="B119:C119"/>
    <mergeCell ref="B120:C120"/>
    <mergeCell ref="B121:C121"/>
    <mergeCell ref="B129:C129"/>
    <mergeCell ref="B133:C133"/>
    <mergeCell ref="B134:C134"/>
    <mergeCell ref="B131:F131"/>
    <mergeCell ref="B118:C118"/>
    <mergeCell ref="B115:F115"/>
    <mergeCell ref="B116:F11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163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  <col min="10" max="10" width="9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523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192</v>
      </c>
      <c r="C7" s="6" t="s">
        <v>193</v>
      </c>
      <c r="D7" s="6" t="s">
        <v>196</v>
      </c>
      <c r="E7" s="7">
        <v>715605</v>
      </c>
      <c r="F7" s="8">
        <v>4928.0138324999998</v>
      </c>
      <c r="G7" s="9">
        <v>3.3737256E-2</v>
      </c>
      <c r="H7" s="156"/>
    </row>
    <row r="8" spans="1:8" x14ac:dyDescent="0.2">
      <c r="A8" s="5">
        <v>2</v>
      </c>
      <c r="B8" s="6" t="s">
        <v>179</v>
      </c>
      <c r="C8" s="6" t="s">
        <v>180</v>
      </c>
      <c r="D8" s="6" t="s">
        <v>169</v>
      </c>
      <c r="E8" s="7">
        <v>164621</v>
      </c>
      <c r="F8" s="8">
        <v>4837.9642585000001</v>
      </c>
      <c r="G8" s="9">
        <v>3.3120775999999998E-2</v>
      </c>
      <c r="H8" s="156"/>
    </row>
    <row r="9" spans="1:8" x14ac:dyDescent="0.2">
      <c r="A9" s="5">
        <v>3</v>
      </c>
      <c r="B9" s="6" t="s">
        <v>153</v>
      </c>
      <c r="C9" s="6" t="s">
        <v>154</v>
      </c>
      <c r="D9" s="6" t="s">
        <v>155</v>
      </c>
      <c r="E9" s="7">
        <v>125305</v>
      </c>
      <c r="F9" s="8">
        <v>4697.9977124999996</v>
      </c>
      <c r="G9" s="9">
        <v>3.2162561999999999E-2</v>
      </c>
      <c r="H9" s="156"/>
    </row>
    <row r="10" spans="1:8" x14ac:dyDescent="0.2">
      <c r="A10" s="5">
        <v>4</v>
      </c>
      <c r="B10" s="6" t="s">
        <v>48</v>
      </c>
      <c r="C10" s="6" t="s">
        <v>49</v>
      </c>
      <c r="D10" s="6" t="s">
        <v>28</v>
      </c>
      <c r="E10" s="7">
        <v>462714</v>
      </c>
      <c r="F10" s="8">
        <v>4681.5088949999999</v>
      </c>
      <c r="G10" s="9">
        <v>3.2049679999999997E-2</v>
      </c>
      <c r="H10" s="156"/>
    </row>
    <row r="11" spans="1:8" x14ac:dyDescent="0.2">
      <c r="A11" s="5">
        <v>5</v>
      </c>
      <c r="B11" s="6" t="s">
        <v>279</v>
      </c>
      <c r="C11" s="6" t="s">
        <v>280</v>
      </c>
      <c r="D11" s="6" t="s">
        <v>974</v>
      </c>
      <c r="E11" s="7">
        <v>286930</v>
      </c>
      <c r="F11" s="8">
        <v>4365.7834149999999</v>
      </c>
      <c r="G11" s="9">
        <v>2.9888218000000001E-2</v>
      </c>
      <c r="H11" s="156"/>
    </row>
    <row r="12" spans="1:8" x14ac:dyDescent="0.2">
      <c r="A12" s="5">
        <v>6</v>
      </c>
      <c r="B12" s="6" t="s">
        <v>524</v>
      </c>
      <c r="C12" s="6" t="s">
        <v>525</v>
      </c>
      <c r="D12" s="6" t="s">
        <v>196</v>
      </c>
      <c r="E12" s="7">
        <v>603873</v>
      </c>
      <c r="F12" s="8">
        <v>4233.4516665000001</v>
      </c>
      <c r="G12" s="9">
        <v>2.8982272999999999E-2</v>
      </c>
      <c r="H12" s="156"/>
    </row>
    <row r="13" spans="1:8" x14ac:dyDescent="0.2">
      <c r="A13" s="5">
        <v>7</v>
      </c>
      <c r="B13" s="6" t="s">
        <v>210</v>
      </c>
      <c r="C13" s="6" t="s">
        <v>211</v>
      </c>
      <c r="D13" s="6" t="s">
        <v>169</v>
      </c>
      <c r="E13" s="7">
        <v>475853</v>
      </c>
      <c r="F13" s="8">
        <v>4090.4323880000002</v>
      </c>
      <c r="G13" s="9">
        <v>2.8003160999999999E-2</v>
      </c>
      <c r="H13" s="156"/>
    </row>
    <row r="14" spans="1:8" x14ac:dyDescent="0.2">
      <c r="A14" s="5">
        <v>8</v>
      </c>
      <c r="B14" s="6" t="s">
        <v>247</v>
      </c>
      <c r="C14" s="6" t="s">
        <v>248</v>
      </c>
      <c r="D14" s="6" t="s">
        <v>166</v>
      </c>
      <c r="E14" s="7">
        <v>707375</v>
      </c>
      <c r="F14" s="8">
        <v>3703.4618125000002</v>
      </c>
      <c r="G14" s="9">
        <v>2.5353955000000001E-2</v>
      </c>
      <c r="H14" s="156"/>
    </row>
    <row r="15" spans="1:8" x14ac:dyDescent="0.2">
      <c r="A15" s="5">
        <v>9</v>
      </c>
      <c r="B15" s="6" t="s">
        <v>358</v>
      </c>
      <c r="C15" s="6" t="s">
        <v>359</v>
      </c>
      <c r="D15" s="6" t="s">
        <v>63</v>
      </c>
      <c r="E15" s="7">
        <v>78556</v>
      </c>
      <c r="F15" s="8">
        <v>3473.0000380000001</v>
      </c>
      <c r="G15" s="9">
        <v>2.3776209999999999E-2</v>
      </c>
      <c r="H15" s="156"/>
    </row>
    <row r="16" spans="1:8" x14ac:dyDescent="0.2">
      <c r="A16" s="5">
        <v>10</v>
      </c>
      <c r="B16" s="6" t="s">
        <v>526</v>
      </c>
      <c r="C16" s="6" t="s">
        <v>527</v>
      </c>
      <c r="D16" s="6" t="s">
        <v>22</v>
      </c>
      <c r="E16" s="7">
        <v>975142</v>
      </c>
      <c r="F16" s="8">
        <v>3385.205453</v>
      </c>
      <c r="G16" s="9">
        <v>2.3175167E-2</v>
      </c>
      <c r="H16" s="156"/>
    </row>
    <row r="17" spans="1:8" x14ac:dyDescent="0.2">
      <c r="A17" s="5">
        <v>11</v>
      </c>
      <c r="B17" s="6" t="s">
        <v>173</v>
      </c>
      <c r="C17" s="6" t="s">
        <v>174</v>
      </c>
      <c r="D17" s="6" t="s">
        <v>63</v>
      </c>
      <c r="E17" s="7">
        <v>836461</v>
      </c>
      <c r="F17" s="8">
        <v>3383.9029755000001</v>
      </c>
      <c r="G17" s="9">
        <v>2.3166249999999999E-2</v>
      </c>
      <c r="H17" s="156"/>
    </row>
    <row r="18" spans="1:8" x14ac:dyDescent="0.2">
      <c r="A18" s="5">
        <v>12</v>
      </c>
      <c r="B18" s="6" t="s">
        <v>352</v>
      </c>
      <c r="C18" s="6" t="s">
        <v>353</v>
      </c>
      <c r="D18" s="6" t="s">
        <v>22</v>
      </c>
      <c r="E18" s="7">
        <v>2017239</v>
      </c>
      <c r="F18" s="8">
        <v>3360.720174</v>
      </c>
      <c r="G18" s="9">
        <v>2.300754E-2</v>
      </c>
      <c r="H18" s="156"/>
    </row>
    <row r="19" spans="1:8" x14ac:dyDescent="0.2">
      <c r="A19" s="5">
        <v>13</v>
      </c>
      <c r="B19" s="6" t="s">
        <v>242</v>
      </c>
      <c r="C19" s="6" t="s">
        <v>243</v>
      </c>
      <c r="D19" s="6" t="s">
        <v>196</v>
      </c>
      <c r="E19" s="7">
        <v>200691</v>
      </c>
      <c r="F19" s="8">
        <v>3341.906532</v>
      </c>
      <c r="G19" s="9">
        <v>2.2878742000000001E-2</v>
      </c>
      <c r="H19" s="156"/>
    </row>
    <row r="20" spans="1:8" x14ac:dyDescent="0.2">
      <c r="A20" s="5">
        <v>14</v>
      </c>
      <c r="B20" s="6" t="s">
        <v>264</v>
      </c>
      <c r="C20" s="6" t="s">
        <v>265</v>
      </c>
      <c r="D20" s="6" t="s">
        <v>975</v>
      </c>
      <c r="E20" s="7">
        <v>668744</v>
      </c>
      <c r="F20" s="8">
        <v>3341.045024</v>
      </c>
      <c r="G20" s="9">
        <v>2.2872844E-2</v>
      </c>
      <c r="H20" s="156"/>
    </row>
    <row r="21" spans="1:8" x14ac:dyDescent="0.2">
      <c r="A21" s="5">
        <v>15</v>
      </c>
      <c r="B21" s="6" t="s">
        <v>167</v>
      </c>
      <c r="C21" s="6" t="s">
        <v>168</v>
      </c>
      <c r="D21" s="6" t="s">
        <v>169</v>
      </c>
      <c r="E21" s="7">
        <v>1261063</v>
      </c>
      <c r="F21" s="8">
        <v>3274.980611</v>
      </c>
      <c r="G21" s="9">
        <v>2.2420565999999999E-2</v>
      </c>
      <c r="H21" s="156"/>
    </row>
    <row r="22" spans="1:8" x14ac:dyDescent="0.2">
      <c r="A22" s="5">
        <v>16</v>
      </c>
      <c r="B22" s="6" t="s">
        <v>160</v>
      </c>
      <c r="C22" s="6" t="s">
        <v>161</v>
      </c>
      <c r="D22" s="6" t="s">
        <v>28</v>
      </c>
      <c r="E22" s="7">
        <v>475879</v>
      </c>
      <c r="F22" s="8">
        <v>3212.18325</v>
      </c>
      <c r="G22" s="9">
        <v>2.1990653999999998E-2</v>
      </c>
      <c r="H22" s="156"/>
    </row>
    <row r="23" spans="1:8" x14ac:dyDescent="0.2">
      <c r="A23" s="5">
        <v>17</v>
      </c>
      <c r="B23" s="6" t="s">
        <v>237</v>
      </c>
      <c r="C23" s="6" t="s">
        <v>238</v>
      </c>
      <c r="D23" s="6" t="s">
        <v>239</v>
      </c>
      <c r="E23" s="7">
        <v>1708401</v>
      </c>
      <c r="F23" s="8">
        <v>3179.334261</v>
      </c>
      <c r="G23" s="9">
        <v>2.176577E-2</v>
      </c>
      <c r="H23" s="156"/>
    </row>
    <row r="24" spans="1:8" x14ac:dyDescent="0.2">
      <c r="A24" s="5">
        <v>18</v>
      </c>
      <c r="B24" s="6" t="s">
        <v>460</v>
      </c>
      <c r="C24" s="6" t="s">
        <v>461</v>
      </c>
      <c r="D24" s="6" t="s">
        <v>28</v>
      </c>
      <c r="E24" s="7">
        <v>505032</v>
      </c>
      <c r="F24" s="8">
        <v>3061.7565</v>
      </c>
      <c r="G24" s="9">
        <v>2.0960830999999999E-2</v>
      </c>
      <c r="H24" s="156"/>
    </row>
    <row r="25" spans="1:8" x14ac:dyDescent="0.2">
      <c r="A25" s="5">
        <v>19</v>
      </c>
      <c r="B25" s="6" t="s">
        <v>439</v>
      </c>
      <c r="C25" s="6" t="s">
        <v>440</v>
      </c>
      <c r="D25" s="6" t="s">
        <v>166</v>
      </c>
      <c r="E25" s="7">
        <v>462125</v>
      </c>
      <c r="F25" s="8">
        <v>3060.19175</v>
      </c>
      <c r="G25" s="9">
        <v>2.0950118E-2</v>
      </c>
      <c r="H25" s="156"/>
    </row>
    <row r="26" spans="1:8" x14ac:dyDescent="0.2">
      <c r="A26" s="5">
        <v>20</v>
      </c>
      <c r="B26" s="6" t="s">
        <v>189</v>
      </c>
      <c r="C26" s="6" t="s">
        <v>190</v>
      </c>
      <c r="D26" s="6" t="s">
        <v>191</v>
      </c>
      <c r="E26" s="7">
        <v>261830</v>
      </c>
      <c r="F26" s="8">
        <v>3059.7453799999998</v>
      </c>
      <c r="G26" s="9">
        <v>2.0947062999999998E-2</v>
      </c>
      <c r="H26" s="156"/>
    </row>
    <row r="27" spans="1:8" x14ac:dyDescent="0.2">
      <c r="A27" s="5">
        <v>21</v>
      </c>
      <c r="B27" s="6" t="s">
        <v>528</v>
      </c>
      <c r="C27" s="6" t="s">
        <v>529</v>
      </c>
      <c r="D27" s="6" t="s">
        <v>63</v>
      </c>
      <c r="E27" s="7">
        <v>360538</v>
      </c>
      <c r="F27" s="8">
        <v>2547.7417770000002</v>
      </c>
      <c r="G27" s="9">
        <v>1.7441878000000001E-2</v>
      </c>
      <c r="H27" s="156"/>
    </row>
    <row r="28" spans="1:8" x14ac:dyDescent="0.2">
      <c r="A28" s="5">
        <v>22</v>
      </c>
      <c r="B28" s="6" t="s">
        <v>208</v>
      </c>
      <c r="C28" s="6" t="s">
        <v>209</v>
      </c>
      <c r="D28" s="6" t="s">
        <v>976</v>
      </c>
      <c r="E28" s="7">
        <v>275421</v>
      </c>
      <c r="F28" s="8">
        <v>2252.8060694999999</v>
      </c>
      <c r="G28" s="9">
        <v>1.5422744E-2</v>
      </c>
      <c r="H28" s="156"/>
    </row>
    <row r="29" spans="1:8" x14ac:dyDescent="0.2">
      <c r="A29" s="5">
        <v>23</v>
      </c>
      <c r="B29" s="6" t="s">
        <v>59</v>
      </c>
      <c r="C29" s="6" t="s">
        <v>60</v>
      </c>
      <c r="D29" s="6" t="s">
        <v>40</v>
      </c>
      <c r="E29" s="7">
        <v>1129503</v>
      </c>
      <c r="F29" s="8">
        <v>2191.2358199999999</v>
      </c>
      <c r="G29" s="9">
        <v>1.5001232999999999E-2</v>
      </c>
      <c r="H29" s="156"/>
    </row>
    <row r="30" spans="1:8" x14ac:dyDescent="0.2">
      <c r="A30" s="5">
        <v>24</v>
      </c>
      <c r="B30" s="6" t="s">
        <v>162</v>
      </c>
      <c r="C30" s="6" t="s">
        <v>163</v>
      </c>
      <c r="D30" s="6" t="s">
        <v>169</v>
      </c>
      <c r="E30" s="7">
        <v>215778</v>
      </c>
      <c r="F30" s="8">
        <v>2166.626898</v>
      </c>
      <c r="G30" s="9">
        <v>1.483276E-2</v>
      </c>
      <c r="H30" s="156"/>
    </row>
    <row r="31" spans="1:8" x14ac:dyDescent="0.2">
      <c r="A31" s="5">
        <v>25</v>
      </c>
      <c r="B31" s="6" t="s">
        <v>530</v>
      </c>
      <c r="C31" s="6" t="s">
        <v>531</v>
      </c>
      <c r="D31" s="6" t="s">
        <v>236</v>
      </c>
      <c r="E31" s="7">
        <v>704216</v>
      </c>
      <c r="F31" s="8">
        <v>2159.126256</v>
      </c>
      <c r="G31" s="9">
        <v>1.4781411E-2</v>
      </c>
      <c r="H31" s="156"/>
    </row>
    <row r="32" spans="1:8" x14ac:dyDescent="0.2">
      <c r="A32" s="5">
        <v>26</v>
      </c>
      <c r="B32" s="6" t="s">
        <v>61</v>
      </c>
      <c r="C32" s="6" t="s">
        <v>62</v>
      </c>
      <c r="D32" s="6" t="s">
        <v>63</v>
      </c>
      <c r="E32" s="7">
        <v>73290</v>
      </c>
      <c r="F32" s="8">
        <v>2144.6119800000001</v>
      </c>
      <c r="G32" s="9">
        <v>1.4682046000000001E-2</v>
      </c>
      <c r="H32" s="156"/>
    </row>
    <row r="33" spans="1:8" x14ac:dyDescent="0.2">
      <c r="A33" s="5">
        <v>27</v>
      </c>
      <c r="B33" s="6" t="s">
        <v>38</v>
      </c>
      <c r="C33" s="6" t="s">
        <v>39</v>
      </c>
      <c r="D33" s="6" t="s">
        <v>40</v>
      </c>
      <c r="E33" s="7">
        <v>765372</v>
      </c>
      <c r="F33" s="8">
        <v>2140.745484</v>
      </c>
      <c r="G33" s="9">
        <v>1.4655576E-2</v>
      </c>
      <c r="H33" s="156"/>
    </row>
    <row r="34" spans="1:8" x14ac:dyDescent="0.2">
      <c r="A34" s="5">
        <v>28</v>
      </c>
      <c r="B34" s="6" t="s">
        <v>532</v>
      </c>
      <c r="C34" s="6" t="s">
        <v>533</v>
      </c>
      <c r="D34" s="6" t="s">
        <v>196</v>
      </c>
      <c r="E34" s="7">
        <v>38508</v>
      </c>
      <c r="F34" s="8">
        <v>2137.0784760000001</v>
      </c>
      <c r="G34" s="9">
        <v>1.4630471000000001E-2</v>
      </c>
      <c r="H34" s="156"/>
    </row>
    <row r="35" spans="1:8" ht="25.5" x14ac:dyDescent="0.2">
      <c r="A35" s="5">
        <v>29</v>
      </c>
      <c r="B35" s="6" t="s">
        <v>214</v>
      </c>
      <c r="C35" s="6" t="s">
        <v>215</v>
      </c>
      <c r="D35" s="6" t="s">
        <v>63</v>
      </c>
      <c r="E35" s="7">
        <v>93402</v>
      </c>
      <c r="F35" s="8">
        <v>2082.1173840000001</v>
      </c>
      <c r="G35" s="9">
        <v>1.4254207E-2</v>
      </c>
      <c r="H35" s="156"/>
    </row>
    <row r="36" spans="1:8" x14ac:dyDescent="0.2">
      <c r="A36" s="5">
        <v>30</v>
      </c>
      <c r="B36" s="6" t="s">
        <v>31</v>
      </c>
      <c r="C36" s="6" t="s">
        <v>32</v>
      </c>
      <c r="D36" s="6" t="s">
        <v>972</v>
      </c>
      <c r="E36" s="7">
        <v>72630</v>
      </c>
      <c r="F36" s="8">
        <v>2071.0444499999999</v>
      </c>
      <c r="G36" s="9">
        <v>1.4178401E-2</v>
      </c>
      <c r="H36" s="156"/>
    </row>
    <row r="37" spans="1:8" x14ac:dyDescent="0.2">
      <c r="A37" s="5">
        <v>31</v>
      </c>
      <c r="B37" s="6" t="s">
        <v>534</v>
      </c>
      <c r="C37" s="6" t="s">
        <v>535</v>
      </c>
      <c r="D37" s="6" t="s">
        <v>73</v>
      </c>
      <c r="E37" s="7">
        <v>581987</v>
      </c>
      <c r="F37" s="8">
        <v>2070.127759</v>
      </c>
      <c r="G37" s="9">
        <v>1.4172126E-2</v>
      </c>
      <c r="H37" s="156"/>
    </row>
    <row r="38" spans="1:8" x14ac:dyDescent="0.2">
      <c r="A38" s="5">
        <v>32</v>
      </c>
      <c r="B38" s="6" t="s">
        <v>536</v>
      </c>
      <c r="C38" s="6" t="s">
        <v>537</v>
      </c>
      <c r="D38" s="6" t="s">
        <v>43</v>
      </c>
      <c r="E38" s="7">
        <v>436019</v>
      </c>
      <c r="F38" s="8">
        <v>1974.294032</v>
      </c>
      <c r="G38" s="9">
        <v>1.3516046E-2</v>
      </c>
      <c r="H38" s="156"/>
    </row>
    <row r="39" spans="1:8" x14ac:dyDescent="0.2">
      <c r="A39" s="5">
        <v>33</v>
      </c>
      <c r="B39" s="6" t="s">
        <v>234</v>
      </c>
      <c r="C39" s="6" t="s">
        <v>235</v>
      </c>
      <c r="D39" s="6" t="s">
        <v>73</v>
      </c>
      <c r="E39" s="7">
        <v>457450</v>
      </c>
      <c r="F39" s="8">
        <v>1950.795525</v>
      </c>
      <c r="G39" s="9">
        <v>1.3355175E-2</v>
      </c>
      <c r="H39" s="156"/>
    </row>
    <row r="40" spans="1:8" x14ac:dyDescent="0.2">
      <c r="A40" s="5">
        <v>34</v>
      </c>
      <c r="B40" s="6" t="s">
        <v>194</v>
      </c>
      <c r="C40" s="6" t="s">
        <v>195</v>
      </c>
      <c r="D40" s="6" t="s">
        <v>196</v>
      </c>
      <c r="E40" s="7">
        <v>446349</v>
      </c>
      <c r="F40" s="8">
        <v>1842.0823230000001</v>
      </c>
      <c r="G40" s="9">
        <v>1.2610923E-2</v>
      </c>
      <c r="H40" s="156"/>
    </row>
    <row r="41" spans="1:8" x14ac:dyDescent="0.2">
      <c r="A41" s="5">
        <v>35</v>
      </c>
      <c r="B41" s="6" t="s">
        <v>496</v>
      </c>
      <c r="C41" s="6" t="s">
        <v>497</v>
      </c>
      <c r="D41" s="6" t="s">
        <v>972</v>
      </c>
      <c r="E41" s="7">
        <v>150473</v>
      </c>
      <c r="F41" s="8">
        <v>1825.0117805</v>
      </c>
      <c r="G41" s="9">
        <v>1.2494058000000001E-2</v>
      </c>
      <c r="H41" s="156"/>
    </row>
    <row r="42" spans="1:8" x14ac:dyDescent="0.2">
      <c r="A42" s="5">
        <v>36</v>
      </c>
      <c r="B42" s="6" t="s">
        <v>206</v>
      </c>
      <c r="C42" s="6" t="s">
        <v>207</v>
      </c>
      <c r="D42" s="6" t="s">
        <v>73</v>
      </c>
      <c r="E42" s="7">
        <v>421039</v>
      </c>
      <c r="F42" s="8">
        <v>1816.9938044999999</v>
      </c>
      <c r="G42" s="9">
        <v>1.2439166999999999E-2</v>
      </c>
      <c r="H42" s="156"/>
    </row>
    <row r="43" spans="1:8" x14ac:dyDescent="0.2">
      <c r="A43" s="5">
        <v>37</v>
      </c>
      <c r="B43" s="6" t="s">
        <v>212</v>
      </c>
      <c r="C43" s="6" t="s">
        <v>213</v>
      </c>
      <c r="D43" s="6" t="s">
        <v>28</v>
      </c>
      <c r="E43" s="7">
        <v>123319</v>
      </c>
      <c r="F43" s="8">
        <v>1811.9877265</v>
      </c>
      <c r="G43" s="9">
        <v>1.2404895000000001E-2</v>
      </c>
      <c r="H43" s="156"/>
    </row>
    <row r="44" spans="1:8" x14ac:dyDescent="0.2">
      <c r="A44" s="5">
        <v>38</v>
      </c>
      <c r="B44" s="6" t="s">
        <v>538</v>
      </c>
      <c r="C44" s="6" t="s">
        <v>539</v>
      </c>
      <c r="D44" s="6" t="s">
        <v>345</v>
      </c>
      <c r="E44" s="7">
        <v>188191</v>
      </c>
      <c r="F44" s="8">
        <v>1808.4214145000001</v>
      </c>
      <c r="G44" s="9">
        <v>1.2380479999999999E-2</v>
      </c>
      <c r="H44" s="156"/>
    </row>
    <row r="45" spans="1:8" x14ac:dyDescent="0.2">
      <c r="A45" s="5">
        <v>39</v>
      </c>
      <c r="B45" s="6" t="s">
        <v>540</v>
      </c>
      <c r="C45" s="6" t="s">
        <v>541</v>
      </c>
      <c r="D45" s="6" t="s">
        <v>169</v>
      </c>
      <c r="E45" s="7">
        <v>445496</v>
      </c>
      <c r="F45" s="8">
        <v>1780.202016</v>
      </c>
      <c r="G45" s="9">
        <v>1.218729E-2</v>
      </c>
      <c r="H45" s="156"/>
    </row>
    <row r="46" spans="1:8" x14ac:dyDescent="0.2">
      <c r="A46" s="5">
        <v>40</v>
      </c>
      <c r="B46" s="6" t="s">
        <v>197</v>
      </c>
      <c r="C46" s="6" t="s">
        <v>198</v>
      </c>
      <c r="D46" s="6" t="s">
        <v>169</v>
      </c>
      <c r="E46" s="7">
        <v>40544</v>
      </c>
      <c r="F46" s="8">
        <v>1744.7502239999999</v>
      </c>
      <c r="G46" s="9">
        <v>1.1944586E-2</v>
      </c>
      <c r="H46" s="156"/>
    </row>
    <row r="47" spans="1:8" x14ac:dyDescent="0.2">
      <c r="A47" s="5">
        <v>41</v>
      </c>
      <c r="B47" s="6" t="s">
        <v>542</v>
      </c>
      <c r="C47" s="6" t="s">
        <v>543</v>
      </c>
      <c r="D47" s="6" t="s">
        <v>155</v>
      </c>
      <c r="E47" s="7">
        <v>197214</v>
      </c>
      <c r="F47" s="8">
        <v>1678.784175</v>
      </c>
      <c r="G47" s="9">
        <v>1.1492982000000001E-2</v>
      </c>
      <c r="H47" s="156"/>
    </row>
    <row r="48" spans="1:8" x14ac:dyDescent="0.2">
      <c r="A48" s="5">
        <v>42</v>
      </c>
      <c r="B48" s="6" t="s">
        <v>544</v>
      </c>
      <c r="C48" s="6" t="s">
        <v>545</v>
      </c>
      <c r="D48" s="6" t="s">
        <v>63</v>
      </c>
      <c r="E48" s="7">
        <v>167736</v>
      </c>
      <c r="F48" s="8">
        <v>1643.728932</v>
      </c>
      <c r="G48" s="9">
        <v>1.1252992999999999E-2</v>
      </c>
      <c r="H48" s="156"/>
    </row>
    <row r="49" spans="1:8" x14ac:dyDescent="0.2">
      <c r="A49" s="5">
        <v>43</v>
      </c>
      <c r="B49" s="6" t="s">
        <v>452</v>
      </c>
      <c r="C49" s="6" t="s">
        <v>453</v>
      </c>
      <c r="D49" s="6" t="s">
        <v>166</v>
      </c>
      <c r="E49" s="7">
        <v>411542</v>
      </c>
      <c r="F49" s="8">
        <v>1449.450924</v>
      </c>
      <c r="G49" s="9">
        <v>9.9229629999999999E-3</v>
      </c>
      <c r="H49" s="156"/>
    </row>
    <row r="50" spans="1:8" x14ac:dyDescent="0.2">
      <c r="A50" s="5">
        <v>44</v>
      </c>
      <c r="B50" s="6" t="s">
        <v>283</v>
      </c>
      <c r="C50" s="6" t="s">
        <v>284</v>
      </c>
      <c r="D50" s="6" t="s">
        <v>169</v>
      </c>
      <c r="E50" s="7">
        <v>225184</v>
      </c>
      <c r="F50" s="8">
        <v>1370.1320479999999</v>
      </c>
      <c r="G50" s="9">
        <v>9.3799439999999994E-3</v>
      </c>
      <c r="H50" s="156"/>
    </row>
    <row r="51" spans="1:8" x14ac:dyDescent="0.2">
      <c r="A51" s="5">
        <v>45</v>
      </c>
      <c r="B51" s="6" t="s">
        <v>546</v>
      </c>
      <c r="C51" s="6" t="s">
        <v>547</v>
      </c>
      <c r="D51" s="6" t="s">
        <v>155</v>
      </c>
      <c r="E51" s="7">
        <v>180198</v>
      </c>
      <c r="F51" s="8">
        <v>1369.5047999999999</v>
      </c>
      <c r="G51" s="9">
        <v>9.3756499999999993E-3</v>
      </c>
      <c r="H51" s="156"/>
    </row>
    <row r="52" spans="1:8" x14ac:dyDescent="0.2">
      <c r="A52" s="5">
        <v>46</v>
      </c>
      <c r="B52" s="6" t="s">
        <v>548</v>
      </c>
      <c r="C52" s="6" t="s">
        <v>549</v>
      </c>
      <c r="D52" s="6" t="s">
        <v>975</v>
      </c>
      <c r="E52" s="7">
        <v>3249123</v>
      </c>
      <c r="F52" s="8">
        <v>1363.0070985</v>
      </c>
      <c r="G52" s="9">
        <v>9.3311669999999996E-3</v>
      </c>
      <c r="H52" s="156"/>
    </row>
    <row r="53" spans="1:8" x14ac:dyDescent="0.2">
      <c r="A53" s="5">
        <v>47</v>
      </c>
      <c r="B53" s="6" t="s">
        <v>550</v>
      </c>
      <c r="C53" s="6" t="s">
        <v>551</v>
      </c>
      <c r="D53" s="6" t="s">
        <v>196</v>
      </c>
      <c r="E53" s="7">
        <v>281051</v>
      </c>
      <c r="F53" s="8">
        <v>1348.9042744999999</v>
      </c>
      <c r="G53" s="9">
        <v>9.2346189999999995E-3</v>
      </c>
      <c r="H53" s="156"/>
    </row>
    <row r="54" spans="1:8" x14ac:dyDescent="0.2">
      <c r="A54" s="5">
        <v>48</v>
      </c>
      <c r="B54" s="6" t="s">
        <v>552</v>
      </c>
      <c r="C54" s="6" t="s">
        <v>553</v>
      </c>
      <c r="D54" s="6" t="s">
        <v>54</v>
      </c>
      <c r="E54" s="7">
        <v>81672</v>
      </c>
      <c r="F54" s="8">
        <v>1330.6818960000001</v>
      </c>
      <c r="G54" s="9">
        <v>9.1098680000000001E-3</v>
      </c>
      <c r="H54" s="156"/>
    </row>
    <row r="55" spans="1:8" x14ac:dyDescent="0.2">
      <c r="A55" s="5">
        <v>49</v>
      </c>
      <c r="B55" s="6" t="s">
        <v>272</v>
      </c>
      <c r="C55" s="6" t="s">
        <v>273</v>
      </c>
      <c r="D55" s="6" t="s">
        <v>274</v>
      </c>
      <c r="E55" s="7">
        <v>520000</v>
      </c>
      <c r="F55" s="8">
        <v>1312.48</v>
      </c>
      <c r="G55" s="9">
        <v>8.9852579999999994E-3</v>
      </c>
      <c r="H55" s="156"/>
    </row>
    <row r="56" spans="1:8" x14ac:dyDescent="0.2">
      <c r="A56" s="5">
        <v>50</v>
      </c>
      <c r="B56" s="6" t="s">
        <v>554</v>
      </c>
      <c r="C56" s="6" t="s">
        <v>555</v>
      </c>
      <c r="D56" s="6" t="s">
        <v>172</v>
      </c>
      <c r="E56" s="7">
        <v>94501</v>
      </c>
      <c r="F56" s="8">
        <v>1288.8991390000001</v>
      </c>
      <c r="G56" s="9">
        <v>8.8238229999999997E-3</v>
      </c>
      <c r="H56" s="156"/>
    </row>
    <row r="57" spans="1:8" x14ac:dyDescent="0.2">
      <c r="A57" s="5">
        <v>51</v>
      </c>
      <c r="B57" s="6" t="s">
        <v>321</v>
      </c>
      <c r="C57" s="6" t="s">
        <v>322</v>
      </c>
      <c r="D57" s="6" t="s">
        <v>63</v>
      </c>
      <c r="E57" s="7">
        <v>263199</v>
      </c>
      <c r="F57" s="8">
        <v>1143.862854</v>
      </c>
      <c r="G57" s="9">
        <v>7.8309020000000007E-3</v>
      </c>
      <c r="H57" s="156"/>
    </row>
    <row r="58" spans="1:8" x14ac:dyDescent="0.2">
      <c r="A58" s="5">
        <v>52</v>
      </c>
      <c r="B58" s="6" t="s">
        <v>255</v>
      </c>
      <c r="C58" s="6" t="s">
        <v>256</v>
      </c>
      <c r="D58" s="6" t="s">
        <v>63</v>
      </c>
      <c r="E58" s="7">
        <v>169950</v>
      </c>
      <c r="F58" s="8">
        <v>1118.8658250000001</v>
      </c>
      <c r="G58" s="9">
        <v>7.6597719999999996E-3</v>
      </c>
      <c r="H58" s="156"/>
    </row>
    <row r="59" spans="1:8" x14ac:dyDescent="0.2">
      <c r="A59" s="5">
        <v>53</v>
      </c>
      <c r="B59" s="6" t="s">
        <v>556</v>
      </c>
      <c r="C59" s="6" t="s">
        <v>557</v>
      </c>
      <c r="D59" s="6" t="s">
        <v>28</v>
      </c>
      <c r="E59" s="7">
        <v>341788</v>
      </c>
      <c r="F59" s="8">
        <v>1092.354448</v>
      </c>
      <c r="G59" s="9">
        <v>7.4782750000000004E-3</v>
      </c>
      <c r="H59" s="156"/>
    </row>
    <row r="60" spans="1:8" x14ac:dyDescent="0.2">
      <c r="A60" s="5">
        <v>54</v>
      </c>
      <c r="B60" s="6" t="s">
        <v>558</v>
      </c>
      <c r="C60" s="6" t="s">
        <v>559</v>
      </c>
      <c r="D60" s="6" t="s">
        <v>63</v>
      </c>
      <c r="E60" s="7">
        <v>133117</v>
      </c>
      <c r="F60" s="8">
        <v>817.80428949999998</v>
      </c>
      <c r="G60" s="9">
        <v>5.5986999999999999E-3</v>
      </c>
      <c r="H60" s="156"/>
    </row>
    <row r="61" spans="1:8" x14ac:dyDescent="0.2">
      <c r="A61" s="5">
        <v>55</v>
      </c>
      <c r="B61" s="6" t="s">
        <v>560</v>
      </c>
      <c r="C61" s="6" t="s">
        <v>561</v>
      </c>
      <c r="D61" s="6" t="s">
        <v>974</v>
      </c>
      <c r="E61" s="7">
        <v>28000</v>
      </c>
      <c r="F61" s="8">
        <v>781.87199999999996</v>
      </c>
      <c r="G61" s="9">
        <v>5.352707E-3</v>
      </c>
      <c r="H61" s="156"/>
    </row>
    <row r="62" spans="1:8" x14ac:dyDescent="0.2">
      <c r="A62" s="5">
        <v>56</v>
      </c>
      <c r="B62" s="6" t="s">
        <v>562</v>
      </c>
      <c r="C62" s="6" t="s">
        <v>563</v>
      </c>
      <c r="D62" s="6" t="s">
        <v>22</v>
      </c>
      <c r="E62" s="7">
        <v>533649</v>
      </c>
      <c r="F62" s="8">
        <v>772.19010300000002</v>
      </c>
      <c r="G62" s="9">
        <v>5.286425E-3</v>
      </c>
      <c r="H62" s="156"/>
    </row>
    <row r="63" spans="1:8" x14ac:dyDescent="0.2">
      <c r="A63" s="5">
        <v>57</v>
      </c>
      <c r="B63" s="6" t="s">
        <v>222</v>
      </c>
      <c r="C63" s="6" t="s">
        <v>223</v>
      </c>
      <c r="D63" s="6" t="s">
        <v>972</v>
      </c>
      <c r="E63" s="7">
        <v>400000</v>
      </c>
      <c r="F63" s="8">
        <v>767.8</v>
      </c>
      <c r="G63" s="9">
        <v>5.2563699999999998E-3</v>
      </c>
      <c r="H63" s="156"/>
    </row>
    <row r="64" spans="1:8" x14ac:dyDescent="0.2">
      <c r="A64" s="5">
        <v>58</v>
      </c>
      <c r="B64" s="6" t="s">
        <v>175</v>
      </c>
      <c r="C64" s="6" t="s">
        <v>176</v>
      </c>
      <c r="D64" s="6" t="s">
        <v>974</v>
      </c>
      <c r="E64" s="7">
        <v>61000</v>
      </c>
      <c r="F64" s="8">
        <v>523.44100000000003</v>
      </c>
      <c r="G64" s="9">
        <v>3.583485E-3</v>
      </c>
      <c r="H64" s="156"/>
    </row>
    <row r="65" spans="1:8" x14ac:dyDescent="0.2">
      <c r="A65" s="5">
        <v>59</v>
      </c>
      <c r="B65" s="6" t="s">
        <v>564</v>
      </c>
      <c r="C65" s="6" t="s">
        <v>565</v>
      </c>
      <c r="D65" s="6" t="s">
        <v>973</v>
      </c>
      <c r="E65" s="7">
        <v>27261</v>
      </c>
      <c r="F65" s="8">
        <v>412.9905195</v>
      </c>
      <c r="G65" s="9">
        <v>2.8273389999999999E-3</v>
      </c>
      <c r="H65" s="156"/>
    </row>
    <row r="66" spans="1:8" x14ac:dyDescent="0.2">
      <c r="A66" s="5">
        <v>60</v>
      </c>
      <c r="B66" s="6" t="s">
        <v>44</v>
      </c>
      <c r="C66" s="6" t="s">
        <v>45</v>
      </c>
      <c r="D66" s="6" t="s">
        <v>978</v>
      </c>
      <c r="E66" s="7">
        <v>215613</v>
      </c>
      <c r="F66" s="8">
        <v>361.36738800000001</v>
      </c>
      <c r="G66" s="9">
        <v>2.4739269999999999E-3</v>
      </c>
      <c r="H66" s="156"/>
    </row>
    <row r="67" spans="1:8" x14ac:dyDescent="0.2">
      <c r="A67" s="5">
        <v>61</v>
      </c>
      <c r="B67" s="6" t="s">
        <v>281</v>
      </c>
      <c r="C67" s="6" t="s">
        <v>282</v>
      </c>
      <c r="D67" s="6" t="s">
        <v>155</v>
      </c>
      <c r="E67" s="7">
        <v>8583</v>
      </c>
      <c r="F67" s="8">
        <v>134.358282</v>
      </c>
      <c r="G67" s="9">
        <v>9.19819E-4</v>
      </c>
      <c r="H67" s="156"/>
    </row>
    <row r="68" spans="1:8" x14ac:dyDescent="0.2">
      <c r="A68" s="3" t="s">
        <v>9</v>
      </c>
      <c r="B68" s="3" t="s">
        <v>9</v>
      </c>
      <c r="C68" s="4" t="s">
        <v>105</v>
      </c>
      <c r="D68" s="3" t="s">
        <v>9</v>
      </c>
      <c r="E68" s="3" t="s">
        <v>9</v>
      </c>
      <c r="F68" s="10">
        <v>137272.86712449999</v>
      </c>
      <c r="G68" s="11">
        <v>0.93977209699999997</v>
      </c>
      <c r="H68" s="156"/>
    </row>
    <row r="69" spans="1:8" x14ac:dyDescent="0.2">
      <c r="A69" s="3" t="s">
        <v>9</v>
      </c>
      <c r="B69" s="3" t="s">
        <v>9</v>
      </c>
      <c r="C69" s="12" t="s">
        <v>9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106</v>
      </c>
      <c r="D70" s="3" t="s">
        <v>9</v>
      </c>
      <c r="E70" s="3" t="s">
        <v>9</v>
      </c>
      <c r="F70" s="3" t="s">
        <v>9</v>
      </c>
      <c r="G70" s="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4">
        <v>0</v>
      </c>
      <c r="G71" s="15">
        <v>0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107</v>
      </c>
      <c r="D73" s="3" t="s">
        <v>9</v>
      </c>
      <c r="E73" s="3" t="s">
        <v>9</v>
      </c>
      <c r="F73" s="3" t="s">
        <v>9</v>
      </c>
      <c r="G73" s="3" t="s">
        <v>9</v>
      </c>
      <c r="H73" s="156"/>
    </row>
    <row r="74" spans="1:8" x14ac:dyDescent="0.2">
      <c r="A74" s="5">
        <v>1</v>
      </c>
      <c r="B74" s="6" t="s">
        <v>108</v>
      </c>
      <c r="C74" s="6" t="s">
        <v>998</v>
      </c>
      <c r="D74" s="6" t="s">
        <v>109</v>
      </c>
      <c r="E74" s="7">
        <v>375961</v>
      </c>
      <c r="F74" s="8">
        <v>7.5190000000000003E-6</v>
      </c>
      <c r="G74" s="16" t="s">
        <v>110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0">
        <v>7.5190000000000003E-6</v>
      </c>
      <c r="G75" s="11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111</v>
      </c>
      <c r="D77" s="3" t="s">
        <v>9</v>
      </c>
      <c r="E77" s="3" t="s">
        <v>9</v>
      </c>
      <c r="F77" s="3" t="s">
        <v>9</v>
      </c>
      <c r="G77" s="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112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113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114</v>
      </c>
      <c r="D86" s="3" t="s">
        <v>9</v>
      </c>
      <c r="E86" s="3" t="s">
        <v>9</v>
      </c>
      <c r="F86" s="10">
        <v>137272.86713201899</v>
      </c>
      <c r="G86" s="11">
        <v>0.93977209699999997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115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116</v>
      </c>
      <c r="D92" s="3" t="s">
        <v>9</v>
      </c>
      <c r="E92" s="3" t="s">
        <v>9</v>
      </c>
      <c r="F92" s="3" t="s">
        <v>9</v>
      </c>
      <c r="G92" s="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117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118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119</v>
      </c>
      <c r="D101" s="3" t="s">
        <v>9</v>
      </c>
      <c r="E101" s="3" t="s">
        <v>9</v>
      </c>
      <c r="F101" s="10">
        <v>0</v>
      </c>
      <c r="G101" s="11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120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121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122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123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105</v>
      </c>
      <c r="D111" s="3" t="s">
        <v>9</v>
      </c>
      <c r="E111" s="3" t="s">
        <v>9</v>
      </c>
      <c r="F111" s="14">
        <v>0</v>
      </c>
      <c r="G111" s="15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124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5">
        <v>1</v>
      </c>
      <c r="B114" s="6"/>
      <c r="C114" s="6" t="s">
        <v>125</v>
      </c>
      <c r="D114" s="6"/>
      <c r="E114" s="16" t="s">
        <v>9</v>
      </c>
      <c r="F114" s="8">
        <v>5034.6974699000002</v>
      </c>
      <c r="G114" s="9">
        <v>3.4467614000000001E-2</v>
      </c>
      <c r="H114" s="8">
        <v>3.3326163573085874</v>
      </c>
    </row>
    <row r="115" spans="1:8" x14ac:dyDescent="0.2">
      <c r="A115" s="5">
        <v>2</v>
      </c>
      <c r="B115" s="6"/>
      <c r="C115" s="6" t="s">
        <v>126</v>
      </c>
      <c r="D115" s="6"/>
      <c r="E115" s="16" t="s">
        <v>9</v>
      </c>
      <c r="F115" s="8">
        <v>3596.0270045000002</v>
      </c>
      <c r="G115" s="9">
        <v>2.4618455000000001E-2</v>
      </c>
      <c r="H115" s="8">
        <v>3.2337849550915885</v>
      </c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0">
        <v>8630.7244744</v>
      </c>
      <c r="G116" s="11">
        <v>5.9086068999999998E-2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127</v>
      </c>
      <c r="D118" s="3" t="s">
        <v>9</v>
      </c>
      <c r="E118" s="3" t="s">
        <v>9</v>
      </c>
      <c r="F118" s="10">
        <v>8630.7244744</v>
      </c>
      <c r="G118" s="11">
        <v>5.9086068999999998E-2</v>
      </c>
      <c r="H118" s="156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128</v>
      </c>
      <c r="D120" s="3" t="s">
        <v>9</v>
      </c>
      <c r="E120" s="3" t="s">
        <v>9</v>
      </c>
      <c r="F120" s="3" t="s">
        <v>9</v>
      </c>
      <c r="G120" s="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129</v>
      </c>
      <c r="D121" s="3" t="s">
        <v>9</v>
      </c>
      <c r="E121" s="3" t="s">
        <v>9</v>
      </c>
      <c r="F121" s="3" t="s">
        <v>9</v>
      </c>
      <c r="G121" s="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105</v>
      </c>
      <c r="D122" s="3" t="s">
        <v>9</v>
      </c>
      <c r="E122" s="3" t="s">
        <v>9</v>
      </c>
      <c r="F122" s="14">
        <v>0</v>
      </c>
      <c r="G122" s="15">
        <v>0</v>
      </c>
      <c r="H122" s="156"/>
    </row>
    <row r="123" spans="1:8" x14ac:dyDescent="0.2">
      <c r="A123" s="3" t="s">
        <v>9</v>
      </c>
      <c r="B123" s="3" t="s">
        <v>9</v>
      </c>
      <c r="C123" s="12" t="s">
        <v>9</v>
      </c>
      <c r="D123" s="3" t="s">
        <v>9</v>
      </c>
      <c r="E123" s="3" t="s">
        <v>9</v>
      </c>
      <c r="F123" s="13" t="s">
        <v>9</v>
      </c>
      <c r="G123" s="1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130</v>
      </c>
      <c r="D124" s="3" t="s">
        <v>9</v>
      </c>
      <c r="E124" s="3" t="s">
        <v>9</v>
      </c>
      <c r="F124" s="3" t="s">
        <v>9</v>
      </c>
      <c r="G124" s="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131</v>
      </c>
      <c r="D125" s="3" t="s">
        <v>9</v>
      </c>
      <c r="E125" s="3" t="s">
        <v>9</v>
      </c>
      <c r="F125" s="3" t="s">
        <v>9</v>
      </c>
      <c r="G125" s="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105</v>
      </c>
      <c r="D126" s="3" t="s">
        <v>9</v>
      </c>
      <c r="E126" s="3" t="s">
        <v>9</v>
      </c>
      <c r="F126" s="14">
        <v>0</v>
      </c>
      <c r="G126" s="15">
        <v>0</v>
      </c>
      <c r="H126" s="156"/>
    </row>
    <row r="127" spans="1:8" x14ac:dyDescent="0.2">
      <c r="A127" s="3" t="s">
        <v>9</v>
      </c>
      <c r="B127" s="3" t="s">
        <v>9</v>
      </c>
      <c r="C127" s="12" t="s">
        <v>9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12" t="s">
        <v>9</v>
      </c>
      <c r="D128" s="3" t="s">
        <v>9</v>
      </c>
      <c r="E128" s="3" t="s">
        <v>9</v>
      </c>
      <c r="F128" s="13" t="s">
        <v>9</v>
      </c>
      <c r="G128" s="1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132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105</v>
      </c>
      <c r="D130" s="3" t="s">
        <v>9</v>
      </c>
      <c r="E130" s="3" t="s">
        <v>9</v>
      </c>
      <c r="F130" s="14">
        <v>0</v>
      </c>
      <c r="G130" s="15">
        <v>0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6" t="s">
        <v>9</v>
      </c>
      <c r="C132" s="6" t="s">
        <v>9</v>
      </c>
      <c r="D132" s="4" t="s">
        <v>9</v>
      </c>
      <c r="E132" s="3" t="s">
        <v>9</v>
      </c>
      <c r="F132" s="6" t="s">
        <v>9</v>
      </c>
      <c r="G132" s="16" t="s">
        <v>9</v>
      </c>
      <c r="H132" s="156"/>
    </row>
    <row r="133" spans="1:8" x14ac:dyDescent="0.2">
      <c r="A133" s="16" t="s">
        <v>9</v>
      </c>
      <c r="B133" s="6" t="s">
        <v>9</v>
      </c>
      <c r="C133" s="6" t="s">
        <v>133</v>
      </c>
      <c r="D133" s="6" t="s">
        <v>9</v>
      </c>
      <c r="E133" s="16" t="s">
        <v>9</v>
      </c>
      <c r="F133" s="8">
        <v>166.7880941</v>
      </c>
      <c r="G133" s="9">
        <v>1.141834E-3</v>
      </c>
      <c r="H133" s="156"/>
    </row>
    <row r="134" spans="1:8" x14ac:dyDescent="0.2">
      <c r="A134" s="12" t="s">
        <v>9</v>
      </c>
      <c r="B134" s="12" t="s">
        <v>9</v>
      </c>
      <c r="C134" s="4" t="s">
        <v>134</v>
      </c>
      <c r="D134" s="17" t="s">
        <v>9</v>
      </c>
      <c r="E134" s="17" t="s">
        <v>9</v>
      </c>
      <c r="F134" s="10">
        <v>146070.37969299997</v>
      </c>
      <c r="G134" s="11">
        <v>1</v>
      </c>
      <c r="H134" s="156"/>
    </row>
    <row r="135" spans="1:8" ht="14.1" customHeight="1" x14ac:dyDescent="0.2">
      <c r="A135" s="18" t="s">
        <v>9</v>
      </c>
      <c r="B135" s="18" t="s">
        <v>9</v>
      </c>
      <c r="C135" s="18" t="s">
        <v>9</v>
      </c>
      <c r="D135" s="19" t="s">
        <v>9</v>
      </c>
      <c r="E135" s="19" t="s">
        <v>9</v>
      </c>
      <c r="F135" s="19" t="s">
        <v>9</v>
      </c>
      <c r="G135" s="19" t="s">
        <v>9</v>
      </c>
    </row>
    <row r="136" spans="1:8" ht="14.1" customHeight="1" x14ac:dyDescent="0.2">
      <c r="A136" s="20" t="s">
        <v>9</v>
      </c>
      <c r="B136" s="200" t="s">
        <v>9</v>
      </c>
      <c r="C136" s="200"/>
      <c r="D136" s="200"/>
      <c r="E136" s="200"/>
      <c r="F136" s="200"/>
      <c r="G136" s="22" t="s">
        <v>9</v>
      </c>
    </row>
    <row r="137" spans="1:8" ht="17.100000000000001" customHeight="1" x14ac:dyDescent="0.2">
      <c r="A137" s="20" t="s">
        <v>9</v>
      </c>
      <c r="B137" s="200" t="s">
        <v>135</v>
      </c>
      <c r="C137" s="200"/>
      <c r="D137" s="200"/>
      <c r="E137" s="200"/>
      <c r="F137" s="200"/>
      <c r="G137" s="22" t="s">
        <v>9</v>
      </c>
    </row>
    <row r="138" spans="1:8" ht="14.1" customHeight="1" x14ac:dyDescent="0.2">
      <c r="A138" s="20" t="s">
        <v>9</v>
      </c>
      <c r="B138" s="20" t="s">
        <v>9</v>
      </c>
      <c r="C138" s="20" t="s">
        <v>9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pans="1:8" ht="14.1" customHeight="1" x14ac:dyDescent="0.2">
      <c r="A139" s="20" t="s">
        <v>9</v>
      </c>
      <c r="B139" s="198" t="s">
        <v>136</v>
      </c>
      <c r="C139" s="199"/>
      <c r="D139" s="13" t="s">
        <v>9</v>
      </c>
      <c r="E139" s="23" t="s">
        <v>9</v>
      </c>
      <c r="F139" s="22" t="s">
        <v>9</v>
      </c>
      <c r="G139" s="22" t="s">
        <v>9</v>
      </c>
    </row>
    <row r="140" spans="1:8" ht="29.1" customHeight="1" x14ac:dyDescent="0.2">
      <c r="A140" s="20" t="s">
        <v>9</v>
      </c>
      <c r="B140" s="205" t="s">
        <v>137</v>
      </c>
      <c r="C140" s="206"/>
      <c r="D140" s="4" t="s">
        <v>138</v>
      </c>
      <c r="E140" s="23" t="s">
        <v>9</v>
      </c>
      <c r="F140" s="22" t="s">
        <v>9</v>
      </c>
      <c r="G140" s="22" t="s">
        <v>9</v>
      </c>
    </row>
    <row r="141" spans="1:8" s="175" customFormat="1" ht="15" x14ac:dyDescent="0.2">
      <c r="A141" s="185" t="s">
        <v>9</v>
      </c>
      <c r="B141" s="212" t="s">
        <v>999</v>
      </c>
      <c r="C141" s="213"/>
      <c r="D141" s="184" t="s">
        <v>1000</v>
      </c>
      <c r="E141" s="186" t="s">
        <v>9</v>
      </c>
      <c r="F141" s="187" t="s">
        <v>9</v>
      </c>
      <c r="G141" s="188" t="s">
        <v>9</v>
      </c>
      <c r="H141" s="189"/>
    </row>
    <row r="142" spans="1:8" ht="17.100000000000001" customHeight="1" x14ac:dyDescent="0.2">
      <c r="A142" s="20" t="s">
        <v>9</v>
      </c>
      <c r="B142" s="205" t="s">
        <v>140</v>
      </c>
      <c r="C142" s="206"/>
      <c r="D142" s="13" t="s">
        <v>9</v>
      </c>
      <c r="E142" s="23" t="s">
        <v>9</v>
      </c>
      <c r="F142" s="22" t="s">
        <v>9</v>
      </c>
      <c r="G142" s="22" t="s">
        <v>9</v>
      </c>
    </row>
    <row r="143" spans="1:8" ht="24" customHeight="1" x14ac:dyDescent="0.2">
      <c r="A143" s="24" t="s">
        <v>9</v>
      </c>
      <c r="B143" s="25" t="s">
        <v>9</v>
      </c>
      <c r="C143" s="25" t="s">
        <v>141</v>
      </c>
      <c r="D143" s="25" t="s">
        <v>142</v>
      </c>
      <c r="E143" s="24" t="s">
        <v>9</v>
      </c>
      <c r="F143" s="24" t="s">
        <v>9</v>
      </c>
      <c r="G143" s="24" t="s">
        <v>9</v>
      </c>
    </row>
    <row r="144" spans="1:8" ht="18" customHeight="1" x14ac:dyDescent="0.2">
      <c r="A144" s="24" t="s">
        <v>9</v>
      </c>
      <c r="B144" s="25" t="s">
        <v>143</v>
      </c>
      <c r="C144" s="25" t="s">
        <v>144</v>
      </c>
      <c r="D144" s="25" t="s">
        <v>145</v>
      </c>
      <c r="E144" s="24" t="s">
        <v>9</v>
      </c>
      <c r="F144" s="24" t="s">
        <v>9</v>
      </c>
      <c r="G144" s="24" t="s">
        <v>9</v>
      </c>
    </row>
    <row r="145" spans="1:8" ht="17.100000000000001" customHeight="1" x14ac:dyDescent="0.2">
      <c r="A145" s="24" t="s">
        <v>9</v>
      </c>
      <c r="B145" s="6" t="s">
        <v>146</v>
      </c>
      <c r="C145" s="26">
        <v>128.1011</v>
      </c>
      <c r="D145" s="26">
        <v>136.35239999999999</v>
      </c>
      <c r="E145" s="24" t="s">
        <v>9</v>
      </c>
      <c r="F145" s="21" t="s">
        <v>9</v>
      </c>
      <c r="G145" s="27" t="s">
        <v>9</v>
      </c>
    </row>
    <row r="146" spans="1:8" ht="17.100000000000001" customHeight="1" x14ac:dyDescent="0.2">
      <c r="A146" s="24" t="s">
        <v>9</v>
      </c>
      <c r="B146" s="6" t="s">
        <v>839</v>
      </c>
      <c r="C146" s="26">
        <v>25.851900000000001</v>
      </c>
      <c r="D146" s="26">
        <v>23.895800000000001</v>
      </c>
      <c r="E146" s="24" t="s">
        <v>9</v>
      </c>
      <c r="F146" s="21" t="s">
        <v>9</v>
      </c>
      <c r="G146" s="27" t="s">
        <v>9</v>
      </c>
    </row>
    <row r="147" spans="1:8" ht="29.1" customHeight="1" x14ac:dyDescent="0.2">
      <c r="A147" s="24" t="s">
        <v>9</v>
      </c>
      <c r="B147" s="6" t="s">
        <v>396</v>
      </c>
      <c r="C147" s="26">
        <v>130.7595</v>
      </c>
      <c r="D147" s="26">
        <v>139.1823</v>
      </c>
      <c r="E147" s="24" t="s">
        <v>9</v>
      </c>
      <c r="F147" s="21" t="s">
        <v>9</v>
      </c>
      <c r="G147" s="27" t="s">
        <v>9</v>
      </c>
    </row>
    <row r="148" spans="1:8" ht="29.1" customHeight="1" x14ac:dyDescent="0.2">
      <c r="A148" s="24" t="s">
        <v>9</v>
      </c>
      <c r="B148" s="6" t="s">
        <v>1014</v>
      </c>
      <c r="C148" s="26">
        <v>26.7363</v>
      </c>
      <c r="D148" s="26">
        <v>24.837199999999999</v>
      </c>
      <c r="E148" s="24" t="s">
        <v>9</v>
      </c>
      <c r="F148" s="21" t="s">
        <v>9</v>
      </c>
      <c r="G148" s="27" t="s">
        <v>9</v>
      </c>
    </row>
    <row r="149" spans="1:8" ht="17.100000000000001" customHeight="1" x14ac:dyDescent="0.2">
      <c r="A149" s="24" t="s">
        <v>9</v>
      </c>
      <c r="B149" s="6" t="s">
        <v>147</v>
      </c>
      <c r="C149" s="26">
        <v>121.1751</v>
      </c>
      <c r="D149" s="26">
        <v>128.8741</v>
      </c>
      <c r="E149" s="24" t="s">
        <v>9</v>
      </c>
      <c r="F149" s="21" t="s">
        <v>9</v>
      </c>
      <c r="G149" s="27" t="s">
        <v>9</v>
      </c>
    </row>
    <row r="150" spans="1:8" ht="17.100000000000001" customHeight="1" x14ac:dyDescent="0.2">
      <c r="A150" s="24" t="s">
        <v>9</v>
      </c>
      <c r="B150" s="6" t="s">
        <v>840</v>
      </c>
      <c r="C150" s="26">
        <v>24.072099999999999</v>
      </c>
      <c r="D150" s="26">
        <v>21.9816</v>
      </c>
      <c r="E150" s="24" t="s">
        <v>9</v>
      </c>
      <c r="F150" s="21" t="s">
        <v>9</v>
      </c>
      <c r="G150" s="27" t="s">
        <v>9</v>
      </c>
    </row>
    <row r="151" spans="1:8" ht="14.1" customHeight="1" x14ac:dyDescent="0.2">
      <c r="A151" s="24" t="s">
        <v>9</v>
      </c>
      <c r="B151" s="24" t="s">
        <v>9</v>
      </c>
      <c r="C151" s="24" t="s">
        <v>9</v>
      </c>
      <c r="D151" s="24" t="s">
        <v>9</v>
      </c>
      <c r="E151" s="24" t="s">
        <v>9</v>
      </c>
      <c r="F151" s="24" t="s">
        <v>9</v>
      </c>
      <c r="G151" s="24" t="s">
        <v>9</v>
      </c>
    </row>
    <row r="152" spans="1:8" ht="29.1" customHeight="1" x14ac:dyDescent="0.2">
      <c r="A152" s="167" t="s">
        <v>9</v>
      </c>
      <c r="B152" s="207" t="s">
        <v>986</v>
      </c>
      <c r="C152" s="207"/>
      <c r="D152" s="160"/>
      <c r="E152" s="167" t="s">
        <v>9</v>
      </c>
      <c r="F152" s="167" t="s">
        <v>9</v>
      </c>
      <c r="G152" s="167" t="s">
        <v>9</v>
      </c>
    </row>
    <row r="153" spans="1:8" s="166" customFormat="1" ht="15" x14ac:dyDescent="0.2">
      <c r="A153" s="148" t="s">
        <v>9</v>
      </c>
      <c r="B153" s="161" t="s">
        <v>143</v>
      </c>
      <c r="C153" s="161" t="s">
        <v>878</v>
      </c>
      <c r="D153" s="161" t="s">
        <v>879</v>
      </c>
      <c r="E153" s="148" t="s">
        <v>9</v>
      </c>
      <c r="F153" s="148" t="s">
        <v>9</v>
      </c>
      <c r="G153" s="148" t="s">
        <v>9</v>
      </c>
      <c r="H153" s="165"/>
    </row>
    <row r="154" spans="1:8" ht="17.100000000000001" customHeight="1" x14ac:dyDescent="0.2">
      <c r="A154" s="24" t="s">
        <v>9</v>
      </c>
      <c r="B154" s="162" t="s">
        <v>839</v>
      </c>
      <c r="C154" s="163">
        <v>3.5</v>
      </c>
      <c r="D154" s="163">
        <v>0</v>
      </c>
      <c r="E154" s="24" t="s">
        <v>9</v>
      </c>
      <c r="F154" s="21" t="s">
        <v>9</v>
      </c>
      <c r="G154" s="27" t="s">
        <v>9</v>
      </c>
    </row>
    <row r="155" spans="1:8" ht="29.1" customHeight="1" x14ac:dyDescent="0.2">
      <c r="A155" s="24" t="s">
        <v>9</v>
      </c>
      <c r="B155" s="162" t="s">
        <v>1014</v>
      </c>
      <c r="C155" s="163">
        <v>3.5</v>
      </c>
      <c r="D155" s="163">
        <v>0</v>
      </c>
      <c r="E155" s="24" t="s">
        <v>9</v>
      </c>
      <c r="F155" s="21" t="s">
        <v>9</v>
      </c>
      <c r="G155" s="27" t="s">
        <v>9</v>
      </c>
    </row>
    <row r="156" spans="1:8" ht="17.100000000000001" customHeight="1" x14ac:dyDescent="0.2">
      <c r="A156" s="24" t="s">
        <v>9</v>
      </c>
      <c r="B156" s="162" t="s">
        <v>840</v>
      </c>
      <c r="C156" s="163">
        <v>3.5</v>
      </c>
      <c r="D156" s="163">
        <v>3.5</v>
      </c>
      <c r="E156" s="24" t="s">
        <v>9</v>
      </c>
      <c r="F156" s="21" t="s">
        <v>9</v>
      </c>
      <c r="G156" s="27" t="s">
        <v>9</v>
      </c>
    </row>
    <row r="157" spans="1:8" ht="14.1" customHeight="1" x14ac:dyDescent="0.2">
      <c r="A157" s="24" t="s">
        <v>9</v>
      </c>
      <c r="B157" s="21" t="s">
        <v>9</v>
      </c>
      <c r="C157" s="21" t="s">
        <v>9</v>
      </c>
      <c r="D157" s="24" t="s">
        <v>9</v>
      </c>
      <c r="E157" s="24" t="s">
        <v>9</v>
      </c>
      <c r="F157" s="24" t="s">
        <v>9</v>
      </c>
      <c r="G157" s="24" t="s">
        <v>9</v>
      </c>
    </row>
    <row r="158" spans="1:8" s="197" customFormat="1" x14ac:dyDescent="0.2">
      <c r="B158" s="208" t="s">
        <v>841</v>
      </c>
      <c r="C158" s="208"/>
      <c r="D158" s="208"/>
      <c r="E158" s="208"/>
      <c r="F158" s="208"/>
    </row>
    <row r="159" spans="1:8" ht="14.1" customHeight="1" x14ac:dyDescent="0.2">
      <c r="A159" s="24"/>
      <c r="B159" s="182"/>
      <c r="C159" s="182"/>
      <c r="D159" s="24"/>
      <c r="E159" s="24"/>
      <c r="F159" s="24"/>
      <c r="G159" s="24"/>
    </row>
    <row r="160" spans="1:8" ht="29.1" customHeight="1" x14ac:dyDescent="0.2">
      <c r="A160" s="24" t="s">
        <v>9</v>
      </c>
      <c r="B160" s="205" t="s">
        <v>148</v>
      </c>
      <c r="C160" s="206"/>
      <c r="D160" s="4" t="s">
        <v>138</v>
      </c>
      <c r="E160" s="24" t="s">
        <v>9</v>
      </c>
      <c r="F160" s="24" t="s">
        <v>9</v>
      </c>
      <c r="G160" s="24" t="s">
        <v>9</v>
      </c>
    </row>
    <row r="161" spans="1:7" ht="29.1" customHeight="1" x14ac:dyDescent="0.2">
      <c r="A161" s="24" t="s">
        <v>9</v>
      </c>
      <c r="B161" s="205" t="s">
        <v>149</v>
      </c>
      <c r="C161" s="206"/>
      <c r="D161" s="4" t="s">
        <v>138</v>
      </c>
      <c r="E161" s="24" t="s">
        <v>9</v>
      </c>
      <c r="F161" s="24" t="s">
        <v>9</v>
      </c>
      <c r="G161" s="24" t="s">
        <v>9</v>
      </c>
    </row>
    <row r="162" spans="1:7" ht="17.100000000000001" customHeight="1" x14ac:dyDescent="0.2">
      <c r="A162" s="24" t="s">
        <v>9</v>
      </c>
      <c r="B162" s="205" t="s">
        <v>150</v>
      </c>
      <c r="C162" s="206"/>
      <c r="D162" s="29">
        <v>0.67381802746654862</v>
      </c>
      <c r="E162" s="24" t="s">
        <v>9</v>
      </c>
      <c r="F162" s="21" t="s">
        <v>9</v>
      </c>
      <c r="G162" s="27" t="s">
        <v>9</v>
      </c>
    </row>
    <row r="163" spans="1:7" ht="17.100000000000001" customHeight="1" x14ac:dyDescent="0.2">
      <c r="A163" s="24" t="s">
        <v>9</v>
      </c>
      <c r="B163" s="205" t="s">
        <v>151</v>
      </c>
      <c r="C163" s="206"/>
      <c r="D163" s="4" t="s">
        <v>138</v>
      </c>
      <c r="E163" s="24" t="s">
        <v>9</v>
      </c>
      <c r="F163" s="24" t="s">
        <v>9</v>
      </c>
      <c r="G163" s="24" t="s">
        <v>9</v>
      </c>
    </row>
  </sheetData>
  <mergeCells count="15">
    <mergeCell ref="B162:C162"/>
    <mergeCell ref="B163:C163"/>
    <mergeCell ref="B140:C140"/>
    <mergeCell ref="B141:C141"/>
    <mergeCell ref="B142:C142"/>
    <mergeCell ref="B152:C152"/>
    <mergeCell ref="B160:C160"/>
    <mergeCell ref="B161:C161"/>
    <mergeCell ref="B158:F158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133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  <col min="9" max="9" width="9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566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406</v>
      </c>
      <c r="C7" s="6" t="s">
        <v>407</v>
      </c>
      <c r="D7" s="6" t="s">
        <v>73</v>
      </c>
      <c r="E7" s="7">
        <v>340000</v>
      </c>
      <c r="F7" s="8">
        <v>8402.42</v>
      </c>
      <c r="G7" s="9">
        <v>6.3843503999999995E-2</v>
      </c>
      <c r="H7" s="156"/>
    </row>
    <row r="8" spans="1:8" x14ac:dyDescent="0.2">
      <c r="A8" s="5">
        <v>2</v>
      </c>
      <c r="B8" s="6" t="s">
        <v>567</v>
      </c>
      <c r="C8" s="6" t="s">
        <v>568</v>
      </c>
      <c r="D8" s="6" t="s">
        <v>73</v>
      </c>
      <c r="E8" s="7">
        <v>260000</v>
      </c>
      <c r="F8" s="8">
        <v>7781.02</v>
      </c>
      <c r="G8" s="9">
        <v>5.9121964999999999E-2</v>
      </c>
      <c r="H8" s="156"/>
    </row>
    <row r="9" spans="1:8" x14ac:dyDescent="0.2">
      <c r="A9" s="5">
        <v>3</v>
      </c>
      <c r="B9" s="6" t="s">
        <v>319</v>
      </c>
      <c r="C9" s="6" t="s">
        <v>320</v>
      </c>
      <c r="D9" s="6" t="s">
        <v>73</v>
      </c>
      <c r="E9" s="7">
        <v>1020000</v>
      </c>
      <c r="F9" s="8">
        <v>7441.92</v>
      </c>
      <c r="G9" s="9">
        <v>5.6545405999999999E-2</v>
      </c>
      <c r="H9" s="156"/>
    </row>
    <row r="10" spans="1:8" x14ac:dyDescent="0.2">
      <c r="A10" s="5">
        <v>4</v>
      </c>
      <c r="B10" s="6" t="s">
        <v>50</v>
      </c>
      <c r="C10" s="6" t="s">
        <v>51</v>
      </c>
      <c r="D10" s="6" t="s">
        <v>22</v>
      </c>
      <c r="E10" s="7">
        <v>470000</v>
      </c>
      <c r="F10" s="8">
        <v>7040.13</v>
      </c>
      <c r="G10" s="9">
        <v>5.3492513999999998E-2</v>
      </c>
      <c r="H10" s="156"/>
    </row>
    <row r="11" spans="1:8" x14ac:dyDescent="0.2">
      <c r="A11" s="5">
        <v>5</v>
      </c>
      <c r="B11" s="6" t="s">
        <v>378</v>
      </c>
      <c r="C11" s="6" t="s">
        <v>379</v>
      </c>
      <c r="D11" s="6" t="s">
        <v>73</v>
      </c>
      <c r="E11" s="7">
        <v>900000</v>
      </c>
      <c r="F11" s="8">
        <v>6789.6</v>
      </c>
      <c r="G11" s="9">
        <v>5.1588929999999998E-2</v>
      </c>
      <c r="H11" s="156"/>
    </row>
    <row r="12" spans="1:8" x14ac:dyDescent="0.2">
      <c r="A12" s="5">
        <v>6</v>
      </c>
      <c r="B12" s="6" t="s">
        <v>20</v>
      </c>
      <c r="C12" s="6" t="s">
        <v>21</v>
      </c>
      <c r="D12" s="6" t="s">
        <v>22</v>
      </c>
      <c r="E12" s="7">
        <v>1050000</v>
      </c>
      <c r="F12" s="8">
        <v>6624.45</v>
      </c>
      <c r="G12" s="9">
        <v>5.0334082000000002E-2</v>
      </c>
      <c r="H12" s="156"/>
    </row>
    <row r="13" spans="1:8" x14ac:dyDescent="0.2">
      <c r="A13" s="5">
        <v>7</v>
      </c>
      <c r="B13" s="6" t="s">
        <v>321</v>
      </c>
      <c r="C13" s="6" t="s">
        <v>322</v>
      </c>
      <c r="D13" s="6" t="s">
        <v>63</v>
      </c>
      <c r="E13" s="7">
        <v>1500000</v>
      </c>
      <c r="F13" s="8">
        <v>6519</v>
      </c>
      <c r="G13" s="9">
        <v>4.9532848999999997E-2</v>
      </c>
      <c r="H13" s="156"/>
    </row>
    <row r="14" spans="1:8" x14ac:dyDescent="0.2">
      <c r="A14" s="5">
        <v>8</v>
      </c>
      <c r="B14" s="6" t="s">
        <v>18</v>
      </c>
      <c r="C14" s="6" t="s">
        <v>19</v>
      </c>
      <c r="D14" s="6" t="s">
        <v>972</v>
      </c>
      <c r="E14" s="7">
        <v>620000</v>
      </c>
      <c r="F14" s="8">
        <v>6359.65</v>
      </c>
      <c r="G14" s="9">
        <v>4.8322071000000001E-2</v>
      </c>
      <c r="H14" s="156"/>
    </row>
    <row r="15" spans="1:8" x14ac:dyDescent="0.2">
      <c r="A15" s="5">
        <v>9</v>
      </c>
      <c r="B15" s="6" t="s">
        <v>416</v>
      </c>
      <c r="C15" s="6" t="s">
        <v>417</v>
      </c>
      <c r="D15" s="6" t="s">
        <v>92</v>
      </c>
      <c r="E15" s="7">
        <v>725000</v>
      </c>
      <c r="F15" s="8">
        <v>5638.3249999999998</v>
      </c>
      <c r="G15" s="9">
        <v>4.2841280000000002E-2</v>
      </c>
      <c r="H15" s="156"/>
    </row>
    <row r="16" spans="1:8" x14ac:dyDescent="0.2">
      <c r="A16" s="5">
        <v>10</v>
      </c>
      <c r="B16" s="6" t="s">
        <v>309</v>
      </c>
      <c r="C16" s="6" t="s">
        <v>310</v>
      </c>
      <c r="D16" s="6" t="s">
        <v>63</v>
      </c>
      <c r="E16" s="7">
        <v>510000</v>
      </c>
      <c r="F16" s="8">
        <v>5214.4949999999999</v>
      </c>
      <c r="G16" s="9">
        <v>3.9620923000000002E-2</v>
      </c>
      <c r="H16" s="156"/>
    </row>
    <row r="17" spans="1:8" x14ac:dyDescent="0.2">
      <c r="A17" s="5">
        <v>11</v>
      </c>
      <c r="B17" s="6" t="s">
        <v>354</v>
      </c>
      <c r="C17" s="6" t="s">
        <v>355</v>
      </c>
      <c r="D17" s="6" t="s">
        <v>236</v>
      </c>
      <c r="E17" s="7">
        <v>480000</v>
      </c>
      <c r="F17" s="8">
        <v>4324.32</v>
      </c>
      <c r="G17" s="9">
        <v>3.2857169999999998E-2</v>
      </c>
      <c r="H17" s="156"/>
    </row>
    <row r="18" spans="1:8" x14ac:dyDescent="0.2">
      <c r="A18" s="5">
        <v>12</v>
      </c>
      <c r="B18" s="6" t="s">
        <v>404</v>
      </c>
      <c r="C18" s="6" t="s">
        <v>405</v>
      </c>
      <c r="D18" s="6" t="s">
        <v>971</v>
      </c>
      <c r="E18" s="7">
        <v>425000</v>
      </c>
      <c r="F18" s="8">
        <v>4284.6374999999998</v>
      </c>
      <c r="G18" s="9">
        <v>3.2555652999999997E-2</v>
      </c>
      <c r="H18" s="156"/>
    </row>
    <row r="19" spans="1:8" x14ac:dyDescent="0.2">
      <c r="A19" s="5">
        <v>13</v>
      </c>
      <c r="B19" s="6" t="s">
        <v>569</v>
      </c>
      <c r="C19" s="6" t="s">
        <v>570</v>
      </c>
      <c r="D19" s="6" t="s">
        <v>63</v>
      </c>
      <c r="E19" s="7">
        <v>41000</v>
      </c>
      <c r="F19" s="8">
        <v>3843.299</v>
      </c>
      <c r="G19" s="9">
        <v>2.9202262999999999E-2</v>
      </c>
      <c r="H19" s="156"/>
    </row>
    <row r="20" spans="1:8" x14ac:dyDescent="0.2">
      <c r="A20" s="5">
        <v>14</v>
      </c>
      <c r="B20" s="6" t="s">
        <v>422</v>
      </c>
      <c r="C20" s="6" t="s">
        <v>423</v>
      </c>
      <c r="D20" s="6" t="s">
        <v>73</v>
      </c>
      <c r="E20" s="7">
        <v>1700000</v>
      </c>
      <c r="F20" s="8">
        <v>3445.9</v>
      </c>
      <c r="G20" s="9">
        <v>2.6182733999999999E-2</v>
      </c>
      <c r="H20" s="156"/>
    </row>
    <row r="21" spans="1:8" x14ac:dyDescent="0.2">
      <c r="A21" s="5">
        <v>15</v>
      </c>
      <c r="B21" s="6" t="s">
        <v>323</v>
      </c>
      <c r="C21" s="6" t="s">
        <v>324</v>
      </c>
      <c r="D21" s="6" t="s">
        <v>239</v>
      </c>
      <c r="E21" s="7">
        <v>10500</v>
      </c>
      <c r="F21" s="8">
        <v>3099.81</v>
      </c>
      <c r="G21" s="9">
        <v>2.3553063999999999E-2</v>
      </c>
      <c r="H21" s="156"/>
    </row>
    <row r="22" spans="1:8" x14ac:dyDescent="0.2">
      <c r="A22" s="5">
        <v>16</v>
      </c>
      <c r="B22" s="6" t="s">
        <v>491</v>
      </c>
      <c r="C22" s="6" t="s">
        <v>492</v>
      </c>
      <c r="D22" s="6" t="s">
        <v>92</v>
      </c>
      <c r="E22" s="7">
        <v>40000</v>
      </c>
      <c r="F22" s="8">
        <v>3006.36</v>
      </c>
      <c r="G22" s="9">
        <v>2.2843009000000001E-2</v>
      </c>
      <c r="H22" s="156"/>
    </row>
    <row r="23" spans="1:8" x14ac:dyDescent="0.2">
      <c r="A23" s="5">
        <v>17</v>
      </c>
      <c r="B23" s="6" t="s">
        <v>488</v>
      </c>
      <c r="C23" s="6" t="s">
        <v>489</v>
      </c>
      <c r="D23" s="6" t="s">
        <v>73</v>
      </c>
      <c r="E23" s="7">
        <v>22500</v>
      </c>
      <c r="F23" s="8">
        <v>2994.0974999999999</v>
      </c>
      <c r="G23" s="9">
        <v>2.2749835999999999E-2</v>
      </c>
      <c r="H23" s="156"/>
    </row>
    <row r="24" spans="1:8" x14ac:dyDescent="0.2">
      <c r="A24" s="5">
        <v>18</v>
      </c>
      <c r="B24" s="6" t="s">
        <v>500</v>
      </c>
      <c r="C24" s="6" t="s">
        <v>395</v>
      </c>
      <c r="D24" s="6" t="s">
        <v>345</v>
      </c>
      <c r="E24" s="7">
        <v>1300000</v>
      </c>
      <c r="F24" s="8">
        <v>2804.75</v>
      </c>
      <c r="G24" s="9">
        <v>2.1311130000000001E-2</v>
      </c>
      <c r="H24" s="156"/>
    </row>
    <row r="25" spans="1:8" x14ac:dyDescent="0.2">
      <c r="A25" s="5">
        <v>19</v>
      </c>
      <c r="B25" s="6" t="s">
        <v>206</v>
      </c>
      <c r="C25" s="6" t="s">
        <v>207</v>
      </c>
      <c r="D25" s="6" t="s">
        <v>73</v>
      </c>
      <c r="E25" s="7">
        <v>635000</v>
      </c>
      <c r="F25" s="8">
        <v>2740.3425000000002</v>
      </c>
      <c r="G25" s="9">
        <v>2.0821747000000002E-2</v>
      </c>
      <c r="H25" s="156"/>
    </row>
    <row r="26" spans="1:8" x14ac:dyDescent="0.2">
      <c r="A26" s="5">
        <v>20</v>
      </c>
      <c r="B26" s="6" t="s">
        <v>571</v>
      </c>
      <c r="C26" s="6" t="s">
        <v>572</v>
      </c>
      <c r="D26" s="6" t="s">
        <v>166</v>
      </c>
      <c r="E26" s="7">
        <v>44000</v>
      </c>
      <c r="F26" s="8">
        <v>2646.9740000000002</v>
      </c>
      <c r="G26" s="9">
        <v>2.0112312E-2</v>
      </c>
      <c r="H26" s="156"/>
    </row>
    <row r="27" spans="1:8" x14ac:dyDescent="0.2">
      <c r="A27" s="5">
        <v>21</v>
      </c>
      <c r="B27" s="6" t="s">
        <v>364</v>
      </c>
      <c r="C27" s="6" t="s">
        <v>365</v>
      </c>
      <c r="D27" s="6" t="s">
        <v>63</v>
      </c>
      <c r="E27" s="7">
        <v>110000</v>
      </c>
      <c r="F27" s="8">
        <v>2459.0500000000002</v>
      </c>
      <c r="G27" s="9">
        <v>1.8684422999999999E-2</v>
      </c>
      <c r="H27" s="156"/>
    </row>
    <row r="28" spans="1:8" x14ac:dyDescent="0.2">
      <c r="A28" s="5">
        <v>22</v>
      </c>
      <c r="B28" s="6" t="s">
        <v>573</v>
      </c>
      <c r="C28" s="6" t="s">
        <v>574</v>
      </c>
      <c r="D28" s="6" t="s">
        <v>63</v>
      </c>
      <c r="E28" s="7">
        <v>190035</v>
      </c>
      <c r="F28" s="8">
        <v>2322.7978050000002</v>
      </c>
      <c r="G28" s="9">
        <v>1.7649148E-2</v>
      </c>
      <c r="H28" s="156"/>
    </row>
    <row r="29" spans="1:8" x14ac:dyDescent="0.2">
      <c r="A29" s="5">
        <v>23</v>
      </c>
      <c r="B29" s="6" t="s">
        <v>482</v>
      </c>
      <c r="C29" s="6" t="s">
        <v>483</v>
      </c>
      <c r="D29" s="6" t="s">
        <v>73</v>
      </c>
      <c r="E29" s="7">
        <v>340000</v>
      </c>
      <c r="F29" s="8">
        <v>2249.61</v>
      </c>
      <c r="G29" s="9">
        <v>1.7093049999999999E-2</v>
      </c>
      <c r="H29" s="156"/>
    </row>
    <row r="30" spans="1:8" x14ac:dyDescent="0.2">
      <c r="A30" s="5">
        <v>24</v>
      </c>
      <c r="B30" s="6" t="s">
        <v>222</v>
      </c>
      <c r="C30" s="6" t="s">
        <v>223</v>
      </c>
      <c r="D30" s="6" t="s">
        <v>972</v>
      </c>
      <c r="E30" s="7">
        <v>1150000</v>
      </c>
      <c r="F30" s="8">
        <v>2207.4250000000002</v>
      </c>
      <c r="G30" s="9">
        <v>1.6772519E-2</v>
      </c>
      <c r="H30" s="156"/>
    </row>
    <row r="31" spans="1:8" x14ac:dyDescent="0.2">
      <c r="A31" s="5">
        <v>25</v>
      </c>
      <c r="B31" s="6" t="s">
        <v>366</v>
      </c>
      <c r="C31" s="6" t="s">
        <v>367</v>
      </c>
      <c r="D31" s="6" t="s">
        <v>63</v>
      </c>
      <c r="E31" s="7">
        <v>2593370</v>
      </c>
      <c r="F31" s="8">
        <v>2029.3120249999999</v>
      </c>
      <c r="G31" s="9">
        <v>1.5419176E-2</v>
      </c>
      <c r="H31" s="156"/>
    </row>
    <row r="32" spans="1:8" x14ac:dyDescent="0.2">
      <c r="A32" s="5">
        <v>26</v>
      </c>
      <c r="B32" s="6" t="s">
        <v>575</v>
      </c>
      <c r="C32" s="6" t="s">
        <v>576</v>
      </c>
      <c r="D32" s="6" t="s">
        <v>73</v>
      </c>
      <c r="E32" s="7">
        <v>11300</v>
      </c>
      <c r="F32" s="8">
        <v>1992.529</v>
      </c>
      <c r="G32" s="9">
        <v>1.5139690000000001E-2</v>
      </c>
      <c r="H32" s="156"/>
    </row>
    <row r="33" spans="1:8" x14ac:dyDescent="0.2">
      <c r="A33" s="5">
        <v>27</v>
      </c>
      <c r="B33" s="6" t="s">
        <v>501</v>
      </c>
      <c r="C33" s="6" t="s">
        <v>502</v>
      </c>
      <c r="D33" s="6" t="s">
        <v>63</v>
      </c>
      <c r="E33" s="7">
        <v>112000</v>
      </c>
      <c r="F33" s="8">
        <v>1940.4</v>
      </c>
      <c r="G33" s="9">
        <v>1.4743602E-2</v>
      </c>
      <c r="H33" s="156"/>
    </row>
    <row r="34" spans="1:8" x14ac:dyDescent="0.2">
      <c r="A34" s="5">
        <v>28</v>
      </c>
      <c r="B34" s="6" t="s">
        <v>264</v>
      </c>
      <c r="C34" s="6" t="s">
        <v>265</v>
      </c>
      <c r="D34" s="6" t="s">
        <v>975</v>
      </c>
      <c r="E34" s="7">
        <v>375000</v>
      </c>
      <c r="F34" s="8">
        <v>1873.5</v>
      </c>
      <c r="G34" s="9">
        <v>1.4235279999999999E-2</v>
      </c>
      <c r="H34" s="156"/>
    </row>
    <row r="35" spans="1:8" x14ac:dyDescent="0.2">
      <c r="A35" s="5">
        <v>29</v>
      </c>
      <c r="B35" s="6" t="s">
        <v>513</v>
      </c>
      <c r="C35" s="6" t="s">
        <v>514</v>
      </c>
      <c r="D35" s="6" t="s">
        <v>63</v>
      </c>
      <c r="E35" s="7">
        <v>700000</v>
      </c>
      <c r="F35" s="8">
        <v>1856.05</v>
      </c>
      <c r="G35" s="9">
        <v>1.4102691000000001E-2</v>
      </c>
      <c r="H35" s="156"/>
    </row>
    <row r="36" spans="1:8" x14ac:dyDescent="0.2">
      <c r="A36" s="5">
        <v>30</v>
      </c>
      <c r="B36" s="6" t="s">
        <v>224</v>
      </c>
      <c r="C36" s="6" t="s">
        <v>225</v>
      </c>
      <c r="D36" s="6" t="s">
        <v>40</v>
      </c>
      <c r="E36" s="7">
        <v>220000</v>
      </c>
      <c r="F36" s="8">
        <v>1793.33</v>
      </c>
      <c r="G36" s="9">
        <v>1.362613E-2</v>
      </c>
      <c r="H36" s="156"/>
    </row>
    <row r="37" spans="1:8" x14ac:dyDescent="0.2">
      <c r="A37" s="5">
        <v>31</v>
      </c>
      <c r="B37" s="6" t="s">
        <v>462</v>
      </c>
      <c r="C37" s="6" t="s">
        <v>463</v>
      </c>
      <c r="D37" s="6" t="s">
        <v>166</v>
      </c>
      <c r="E37" s="7">
        <v>212500</v>
      </c>
      <c r="F37" s="8">
        <v>1593.75</v>
      </c>
      <c r="G37" s="9">
        <v>1.2109676E-2</v>
      </c>
      <c r="H37" s="156"/>
    </row>
    <row r="38" spans="1:8" x14ac:dyDescent="0.2">
      <c r="A38" s="5">
        <v>32</v>
      </c>
      <c r="B38" s="6" t="s">
        <v>577</v>
      </c>
      <c r="C38" s="6" t="s">
        <v>578</v>
      </c>
      <c r="D38" s="6" t="s">
        <v>63</v>
      </c>
      <c r="E38" s="7">
        <v>89000</v>
      </c>
      <c r="F38" s="8">
        <v>1421.1075000000001</v>
      </c>
      <c r="G38" s="9">
        <v>1.0797899E-2</v>
      </c>
      <c r="H38" s="156"/>
    </row>
    <row r="39" spans="1:8" x14ac:dyDescent="0.2">
      <c r="A39" s="5">
        <v>33</v>
      </c>
      <c r="B39" s="6" t="s">
        <v>548</v>
      </c>
      <c r="C39" s="6" t="s">
        <v>549</v>
      </c>
      <c r="D39" s="6" t="s">
        <v>975</v>
      </c>
      <c r="E39" s="7">
        <v>3300000</v>
      </c>
      <c r="F39" s="8">
        <v>1384.35</v>
      </c>
      <c r="G39" s="9">
        <v>1.0518606999999999E-2</v>
      </c>
      <c r="H39" s="156"/>
    </row>
    <row r="40" spans="1:8" x14ac:dyDescent="0.2">
      <c r="A40" s="5">
        <v>34</v>
      </c>
      <c r="B40" s="6" t="s">
        <v>259</v>
      </c>
      <c r="C40" s="6" t="s">
        <v>260</v>
      </c>
      <c r="D40" s="6" t="s">
        <v>261</v>
      </c>
      <c r="E40" s="7">
        <v>174246</v>
      </c>
      <c r="F40" s="8">
        <v>1381.509411</v>
      </c>
      <c r="G40" s="9">
        <v>1.0497024000000001E-2</v>
      </c>
      <c r="H40" s="156"/>
    </row>
    <row r="41" spans="1:8" x14ac:dyDescent="0.2">
      <c r="A41" s="5">
        <v>35</v>
      </c>
      <c r="B41" s="6" t="s">
        <v>237</v>
      </c>
      <c r="C41" s="6" t="s">
        <v>238</v>
      </c>
      <c r="D41" s="6" t="s">
        <v>239</v>
      </c>
      <c r="E41" s="7">
        <v>700000</v>
      </c>
      <c r="F41" s="8">
        <v>1302.7</v>
      </c>
      <c r="G41" s="9">
        <v>9.898212E-3</v>
      </c>
      <c r="H41" s="156"/>
    </row>
    <row r="42" spans="1:8" x14ac:dyDescent="0.2">
      <c r="A42" s="5">
        <v>36</v>
      </c>
      <c r="B42" s="6" t="s">
        <v>420</v>
      </c>
      <c r="C42" s="6" t="s">
        <v>421</v>
      </c>
      <c r="D42" s="6" t="s">
        <v>971</v>
      </c>
      <c r="E42" s="7">
        <v>83000</v>
      </c>
      <c r="F42" s="8">
        <v>1300.6099999999999</v>
      </c>
      <c r="G42" s="9">
        <v>9.8823309999999994E-3</v>
      </c>
      <c r="H42" s="156"/>
    </row>
    <row r="43" spans="1:8" x14ac:dyDescent="0.2">
      <c r="A43" s="5">
        <v>37</v>
      </c>
      <c r="B43" s="6" t="s">
        <v>579</v>
      </c>
      <c r="C43" s="6" t="s">
        <v>580</v>
      </c>
      <c r="D43" s="6" t="s">
        <v>92</v>
      </c>
      <c r="E43" s="7">
        <v>12500</v>
      </c>
      <c r="F43" s="8">
        <v>516.73125000000005</v>
      </c>
      <c r="G43" s="9">
        <v>3.9262419999999999E-3</v>
      </c>
      <c r="H43" s="156"/>
    </row>
    <row r="44" spans="1:8" x14ac:dyDescent="0.2">
      <c r="A44" s="5">
        <v>38</v>
      </c>
      <c r="B44" s="6" t="s">
        <v>388</v>
      </c>
      <c r="C44" s="6" t="s">
        <v>389</v>
      </c>
      <c r="D44" s="6" t="s">
        <v>166</v>
      </c>
      <c r="E44" s="7">
        <v>100000</v>
      </c>
      <c r="F44" s="8">
        <v>157.1</v>
      </c>
      <c r="G44" s="9">
        <v>1.1936819999999999E-3</v>
      </c>
      <c r="H44" s="156"/>
    </row>
    <row r="45" spans="1:8" x14ac:dyDescent="0.2">
      <c r="A45" s="3" t="s">
        <v>9</v>
      </c>
      <c r="B45" s="3" t="s">
        <v>9</v>
      </c>
      <c r="C45" s="4" t="s">
        <v>105</v>
      </c>
      <c r="D45" s="3" t="s">
        <v>9</v>
      </c>
      <c r="E45" s="3" t="s">
        <v>9</v>
      </c>
      <c r="F45" s="10">
        <v>130783.36249100001</v>
      </c>
      <c r="G45" s="11">
        <v>0.99372182399999998</v>
      </c>
      <c r="H45" s="156"/>
    </row>
    <row r="46" spans="1:8" x14ac:dyDescent="0.2">
      <c r="A46" s="3" t="s">
        <v>9</v>
      </c>
      <c r="B46" s="3" t="s">
        <v>9</v>
      </c>
      <c r="C46" s="12" t="s">
        <v>9</v>
      </c>
      <c r="D46" s="3" t="s">
        <v>9</v>
      </c>
      <c r="E46" s="3" t="s">
        <v>9</v>
      </c>
      <c r="F46" s="13" t="s">
        <v>9</v>
      </c>
      <c r="G46" s="13" t="s">
        <v>9</v>
      </c>
      <c r="H46" s="156"/>
    </row>
    <row r="47" spans="1:8" x14ac:dyDescent="0.2">
      <c r="A47" s="3" t="s">
        <v>9</v>
      </c>
      <c r="B47" s="3" t="s">
        <v>9</v>
      </c>
      <c r="C47" s="4" t="s">
        <v>106</v>
      </c>
      <c r="D47" s="3" t="s">
        <v>9</v>
      </c>
      <c r="E47" s="3" t="s">
        <v>9</v>
      </c>
      <c r="F47" s="3" t="s">
        <v>9</v>
      </c>
      <c r="G47" s="3" t="s">
        <v>9</v>
      </c>
      <c r="H47" s="156"/>
    </row>
    <row r="48" spans="1:8" x14ac:dyDescent="0.2">
      <c r="A48" s="3" t="s">
        <v>9</v>
      </c>
      <c r="B48" s="3" t="s">
        <v>9</v>
      </c>
      <c r="C48" s="4" t="s">
        <v>105</v>
      </c>
      <c r="D48" s="3" t="s">
        <v>9</v>
      </c>
      <c r="E48" s="3" t="s">
        <v>9</v>
      </c>
      <c r="F48" s="14">
        <v>0</v>
      </c>
      <c r="G48" s="15">
        <v>0</v>
      </c>
      <c r="H48" s="156"/>
    </row>
    <row r="49" spans="1:8" x14ac:dyDescent="0.2">
      <c r="A49" s="3" t="s">
        <v>9</v>
      </c>
      <c r="B49" s="3" t="s">
        <v>9</v>
      </c>
      <c r="C49" s="12" t="s">
        <v>9</v>
      </c>
      <c r="D49" s="3" t="s">
        <v>9</v>
      </c>
      <c r="E49" s="3" t="s">
        <v>9</v>
      </c>
      <c r="F49" s="13" t="s">
        <v>9</v>
      </c>
      <c r="G49" s="1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107</v>
      </c>
      <c r="D50" s="3" t="s">
        <v>9</v>
      </c>
      <c r="E50" s="3" t="s">
        <v>9</v>
      </c>
      <c r="F50" s="3" t="s">
        <v>9</v>
      </c>
      <c r="G50" s="3" t="s">
        <v>9</v>
      </c>
      <c r="H50" s="156"/>
    </row>
    <row r="51" spans="1:8" x14ac:dyDescent="0.2">
      <c r="A51" s="3" t="s">
        <v>9</v>
      </c>
      <c r="B51" s="3" t="s">
        <v>9</v>
      </c>
      <c r="C51" s="4" t="s">
        <v>105</v>
      </c>
      <c r="D51" s="3" t="s">
        <v>9</v>
      </c>
      <c r="E51" s="3" t="s">
        <v>9</v>
      </c>
      <c r="F51" s="14">
        <v>0</v>
      </c>
      <c r="G51" s="15">
        <v>0</v>
      </c>
      <c r="H51" s="156"/>
    </row>
    <row r="52" spans="1:8" x14ac:dyDescent="0.2">
      <c r="A52" s="3" t="s">
        <v>9</v>
      </c>
      <c r="B52" s="3" t="s">
        <v>9</v>
      </c>
      <c r="C52" s="12" t="s">
        <v>9</v>
      </c>
      <c r="D52" s="3" t="s">
        <v>9</v>
      </c>
      <c r="E52" s="3" t="s">
        <v>9</v>
      </c>
      <c r="F52" s="13" t="s">
        <v>9</v>
      </c>
      <c r="G52" s="1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111</v>
      </c>
      <c r="D53" s="3" t="s">
        <v>9</v>
      </c>
      <c r="E53" s="3" t="s">
        <v>9</v>
      </c>
      <c r="F53" s="3" t="s">
        <v>9</v>
      </c>
      <c r="G53" s="3" t="s">
        <v>9</v>
      </c>
      <c r="H53" s="156"/>
    </row>
    <row r="54" spans="1:8" x14ac:dyDescent="0.2">
      <c r="A54" s="3" t="s">
        <v>9</v>
      </c>
      <c r="B54" s="3" t="s">
        <v>9</v>
      </c>
      <c r="C54" s="4" t="s">
        <v>105</v>
      </c>
      <c r="D54" s="3" t="s">
        <v>9</v>
      </c>
      <c r="E54" s="3" t="s">
        <v>9</v>
      </c>
      <c r="F54" s="14">
        <v>0</v>
      </c>
      <c r="G54" s="15">
        <v>0</v>
      </c>
      <c r="H54" s="156"/>
    </row>
    <row r="55" spans="1:8" x14ac:dyDescent="0.2">
      <c r="A55" s="3" t="s">
        <v>9</v>
      </c>
      <c r="B55" s="3" t="s">
        <v>9</v>
      </c>
      <c r="C55" s="12" t="s">
        <v>9</v>
      </c>
      <c r="D55" s="3" t="s">
        <v>9</v>
      </c>
      <c r="E55" s="3" t="s">
        <v>9</v>
      </c>
      <c r="F55" s="13" t="s">
        <v>9</v>
      </c>
      <c r="G55" s="1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112</v>
      </c>
      <c r="D56" s="3" t="s">
        <v>9</v>
      </c>
      <c r="E56" s="3" t="s">
        <v>9</v>
      </c>
      <c r="F56" s="13" t="s">
        <v>9</v>
      </c>
      <c r="G56" s="13" t="s">
        <v>9</v>
      </c>
      <c r="H56" s="156"/>
    </row>
    <row r="57" spans="1:8" x14ac:dyDescent="0.2">
      <c r="A57" s="3" t="s">
        <v>9</v>
      </c>
      <c r="B57" s="3" t="s">
        <v>9</v>
      </c>
      <c r="C57" s="4" t="s">
        <v>105</v>
      </c>
      <c r="D57" s="3" t="s">
        <v>9</v>
      </c>
      <c r="E57" s="3" t="s">
        <v>9</v>
      </c>
      <c r="F57" s="14">
        <v>0</v>
      </c>
      <c r="G57" s="15">
        <v>0</v>
      </c>
      <c r="H57" s="156"/>
    </row>
    <row r="58" spans="1:8" x14ac:dyDescent="0.2">
      <c r="A58" s="3" t="s">
        <v>9</v>
      </c>
      <c r="B58" s="3" t="s">
        <v>9</v>
      </c>
      <c r="C58" s="12" t="s">
        <v>9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113</v>
      </c>
      <c r="D59" s="3" t="s">
        <v>9</v>
      </c>
      <c r="E59" s="3" t="s">
        <v>9</v>
      </c>
      <c r="F59" s="13" t="s">
        <v>9</v>
      </c>
      <c r="G59" s="1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0</v>
      </c>
      <c r="G60" s="15">
        <v>0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114</v>
      </c>
      <c r="D62" s="3" t="s">
        <v>9</v>
      </c>
      <c r="E62" s="3" t="s">
        <v>9</v>
      </c>
      <c r="F62" s="10">
        <v>130783.36249100001</v>
      </c>
      <c r="G62" s="11">
        <v>0.99372182399999998</v>
      </c>
      <c r="H62" s="156"/>
    </row>
    <row r="63" spans="1:8" x14ac:dyDescent="0.2">
      <c r="A63" s="3" t="s">
        <v>9</v>
      </c>
      <c r="B63" s="3" t="s">
        <v>9</v>
      </c>
      <c r="C63" s="12" t="s">
        <v>9</v>
      </c>
      <c r="D63" s="3" t="s">
        <v>9</v>
      </c>
      <c r="E63" s="3" t="s">
        <v>9</v>
      </c>
      <c r="F63" s="13" t="s">
        <v>9</v>
      </c>
      <c r="G63" s="1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115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105</v>
      </c>
      <c r="D66" s="3" t="s">
        <v>9</v>
      </c>
      <c r="E66" s="3" t="s">
        <v>9</v>
      </c>
      <c r="F66" s="14">
        <v>0</v>
      </c>
      <c r="G66" s="15">
        <v>0</v>
      </c>
      <c r="H66" s="156"/>
    </row>
    <row r="67" spans="1:8" x14ac:dyDescent="0.2">
      <c r="A67" s="3" t="s">
        <v>9</v>
      </c>
      <c r="B67" s="3" t="s">
        <v>9</v>
      </c>
      <c r="C67" s="12" t="s">
        <v>9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116</v>
      </c>
      <c r="D68" s="3" t="s">
        <v>9</v>
      </c>
      <c r="E68" s="3" t="s">
        <v>9</v>
      </c>
      <c r="F68" s="3" t="s">
        <v>9</v>
      </c>
      <c r="G68" s="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117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118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119</v>
      </c>
      <c r="D77" s="3" t="s">
        <v>9</v>
      </c>
      <c r="E77" s="3" t="s">
        <v>9</v>
      </c>
      <c r="F77" s="10">
        <v>0</v>
      </c>
      <c r="G77" s="11">
        <v>0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120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121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122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123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124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5">
        <v>1</v>
      </c>
      <c r="B90" s="6"/>
      <c r="C90" s="6" t="s">
        <v>125</v>
      </c>
      <c r="D90" s="6"/>
      <c r="E90" s="16" t="s">
        <v>9</v>
      </c>
      <c r="F90" s="8">
        <v>503.50542619999999</v>
      </c>
      <c r="G90" s="9">
        <v>3.8257489999999998E-3</v>
      </c>
      <c r="H90" s="8">
        <v>3.3326163573085874</v>
      </c>
    </row>
    <row r="91" spans="1:8" x14ac:dyDescent="0.2">
      <c r="A91" s="5">
        <v>2</v>
      </c>
      <c r="B91" s="6"/>
      <c r="C91" s="6" t="s">
        <v>126</v>
      </c>
      <c r="D91" s="6"/>
      <c r="E91" s="16" t="s">
        <v>9</v>
      </c>
      <c r="F91" s="8">
        <v>359.62823809999998</v>
      </c>
      <c r="G91" s="9">
        <v>2.7325370000000002E-3</v>
      </c>
      <c r="H91" s="8">
        <v>3.2337849550915885</v>
      </c>
    </row>
    <row r="92" spans="1:8" x14ac:dyDescent="0.2">
      <c r="A92" s="3" t="s">
        <v>9</v>
      </c>
      <c r="B92" s="3" t="s">
        <v>9</v>
      </c>
      <c r="C92" s="4" t="s">
        <v>105</v>
      </c>
      <c r="D92" s="3" t="s">
        <v>9</v>
      </c>
      <c r="E92" s="3" t="s">
        <v>9</v>
      </c>
      <c r="F92" s="10">
        <v>863.13366429999996</v>
      </c>
      <c r="G92" s="11">
        <v>6.558286E-3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127</v>
      </c>
      <c r="D94" s="3" t="s">
        <v>9</v>
      </c>
      <c r="E94" s="3" t="s">
        <v>9</v>
      </c>
      <c r="F94" s="10">
        <v>863.13366429999996</v>
      </c>
      <c r="G94" s="11">
        <v>6.558286E-3</v>
      </c>
      <c r="H94" s="156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128</v>
      </c>
      <c r="D96" s="3" t="s">
        <v>9</v>
      </c>
      <c r="E96" s="3" t="s">
        <v>9</v>
      </c>
      <c r="F96" s="3" t="s">
        <v>9</v>
      </c>
      <c r="G96" s="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129</v>
      </c>
      <c r="D97" s="3" t="s">
        <v>9</v>
      </c>
      <c r="E97" s="3" t="s">
        <v>9</v>
      </c>
      <c r="F97" s="3" t="s">
        <v>9</v>
      </c>
      <c r="G97" s="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105</v>
      </c>
      <c r="D98" s="3" t="s">
        <v>9</v>
      </c>
      <c r="E98" s="3" t="s">
        <v>9</v>
      </c>
      <c r="F98" s="14">
        <v>0</v>
      </c>
      <c r="G98" s="15">
        <v>0</v>
      </c>
      <c r="H98" s="156"/>
    </row>
    <row r="99" spans="1:8" x14ac:dyDescent="0.2">
      <c r="A99" s="3" t="s">
        <v>9</v>
      </c>
      <c r="B99" s="3" t="s">
        <v>9</v>
      </c>
      <c r="C99" s="12" t="s">
        <v>9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130</v>
      </c>
      <c r="D100" s="3" t="s">
        <v>9</v>
      </c>
      <c r="E100" s="3" t="s">
        <v>9</v>
      </c>
      <c r="F100" s="3" t="s">
        <v>9</v>
      </c>
      <c r="G100" s="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131</v>
      </c>
      <c r="D101" s="3" t="s">
        <v>9</v>
      </c>
      <c r="E101" s="3" t="s">
        <v>9</v>
      </c>
      <c r="F101" s="3" t="s">
        <v>9</v>
      </c>
      <c r="G101" s="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4">
        <v>0</v>
      </c>
      <c r="G102" s="15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132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105</v>
      </c>
      <c r="D106" s="3" t="s">
        <v>9</v>
      </c>
      <c r="E106" s="3" t="s">
        <v>9</v>
      </c>
      <c r="F106" s="14">
        <v>0</v>
      </c>
      <c r="G106" s="15">
        <v>0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6" t="s">
        <v>9</v>
      </c>
      <c r="C108" s="6" t="s">
        <v>9</v>
      </c>
      <c r="D108" s="4" t="s">
        <v>9</v>
      </c>
      <c r="E108" s="3" t="s">
        <v>9</v>
      </c>
      <c r="F108" s="6" t="s">
        <v>9</v>
      </c>
      <c r="G108" s="16" t="s">
        <v>9</v>
      </c>
      <c r="H108" s="156"/>
    </row>
    <row r="109" spans="1:8" x14ac:dyDescent="0.2">
      <c r="A109" s="16" t="s">
        <v>9</v>
      </c>
      <c r="B109" s="6" t="s">
        <v>9</v>
      </c>
      <c r="C109" s="6" t="s">
        <v>133</v>
      </c>
      <c r="D109" s="6" t="s">
        <v>9</v>
      </c>
      <c r="E109" s="16" t="s">
        <v>9</v>
      </c>
      <c r="F109" s="8">
        <v>-36.865096299999998</v>
      </c>
      <c r="G109" s="9">
        <v>-2.8010900000000001E-4</v>
      </c>
      <c r="H109" s="156"/>
    </row>
    <row r="110" spans="1:8" x14ac:dyDescent="0.2">
      <c r="A110" s="12" t="s">
        <v>9</v>
      </c>
      <c r="B110" s="12" t="s">
        <v>9</v>
      </c>
      <c r="C110" s="4" t="s">
        <v>134</v>
      </c>
      <c r="D110" s="17" t="s">
        <v>9</v>
      </c>
      <c r="E110" s="17" t="s">
        <v>9</v>
      </c>
      <c r="F110" s="10">
        <v>131609.63105900001</v>
      </c>
      <c r="G110" s="11">
        <v>1.0000000010000001</v>
      </c>
      <c r="H110" s="156"/>
    </row>
    <row r="111" spans="1:8" ht="14.1" customHeight="1" x14ac:dyDescent="0.2">
      <c r="A111" s="18" t="s">
        <v>9</v>
      </c>
      <c r="B111" s="18" t="s">
        <v>9</v>
      </c>
      <c r="C111" s="18" t="s">
        <v>9</v>
      </c>
      <c r="D111" s="19" t="s">
        <v>9</v>
      </c>
      <c r="E111" s="19" t="s">
        <v>9</v>
      </c>
      <c r="F111" s="19" t="s">
        <v>9</v>
      </c>
      <c r="G111" s="19" t="s">
        <v>9</v>
      </c>
    </row>
    <row r="112" spans="1:8" ht="14.1" customHeight="1" x14ac:dyDescent="0.2">
      <c r="A112" s="20" t="s">
        <v>9</v>
      </c>
      <c r="B112" s="200" t="s">
        <v>9</v>
      </c>
      <c r="C112" s="200"/>
      <c r="D112" s="200"/>
      <c r="E112" s="200"/>
      <c r="F112" s="200"/>
      <c r="G112" s="22" t="s">
        <v>9</v>
      </c>
    </row>
    <row r="113" spans="1:7" ht="14.1" customHeight="1" x14ac:dyDescent="0.2">
      <c r="A113" s="20" t="s">
        <v>9</v>
      </c>
      <c r="B113" s="200" t="s">
        <v>9</v>
      </c>
      <c r="C113" s="200"/>
      <c r="D113" s="200"/>
      <c r="E113" s="200"/>
      <c r="F113" s="200"/>
      <c r="G113" s="22" t="s">
        <v>9</v>
      </c>
    </row>
    <row r="114" spans="1:7" ht="14.1" customHeight="1" x14ac:dyDescent="0.2">
      <c r="A114" s="20" t="s">
        <v>9</v>
      </c>
      <c r="B114" s="20" t="s">
        <v>9</v>
      </c>
      <c r="C114" s="20" t="s">
        <v>9</v>
      </c>
      <c r="D114" s="22" t="s">
        <v>9</v>
      </c>
      <c r="E114" s="22" t="s">
        <v>9</v>
      </c>
      <c r="F114" s="22" t="s">
        <v>9</v>
      </c>
      <c r="G114" s="22" t="s">
        <v>9</v>
      </c>
    </row>
    <row r="115" spans="1:7" ht="14.1" customHeight="1" x14ac:dyDescent="0.2">
      <c r="A115" s="20" t="s">
        <v>9</v>
      </c>
      <c r="B115" s="198" t="s">
        <v>136</v>
      </c>
      <c r="C115" s="199"/>
      <c r="D115" s="13" t="s">
        <v>9</v>
      </c>
      <c r="E115" s="23" t="s">
        <v>9</v>
      </c>
      <c r="F115" s="22" t="s">
        <v>9</v>
      </c>
      <c r="G115" s="22" t="s">
        <v>9</v>
      </c>
    </row>
    <row r="116" spans="1:7" ht="29.1" customHeight="1" x14ac:dyDescent="0.2">
      <c r="A116" s="20" t="s">
        <v>9</v>
      </c>
      <c r="B116" s="205" t="s">
        <v>137</v>
      </c>
      <c r="C116" s="206"/>
      <c r="D116" s="4" t="s">
        <v>138</v>
      </c>
      <c r="E116" s="23" t="s">
        <v>9</v>
      </c>
      <c r="F116" s="22" t="s">
        <v>9</v>
      </c>
      <c r="G116" s="22" t="s">
        <v>9</v>
      </c>
    </row>
    <row r="117" spans="1:7" ht="17.100000000000001" customHeight="1" x14ac:dyDescent="0.2">
      <c r="A117" s="20" t="s">
        <v>9</v>
      </c>
      <c r="B117" s="205" t="s">
        <v>139</v>
      </c>
      <c r="C117" s="206"/>
      <c r="D117" s="4" t="s">
        <v>138</v>
      </c>
      <c r="E117" s="23" t="s">
        <v>9</v>
      </c>
      <c r="F117" s="22" t="s">
        <v>9</v>
      </c>
      <c r="G117" s="22" t="s">
        <v>9</v>
      </c>
    </row>
    <row r="118" spans="1:7" ht="17.100000000000001" customHeight="1" x14ac:dyDescent="0.2">
      <c r="A118" s="20" t="s">
        <v>9</v>
      </c>
      <c r="B118" s="205" t="s">
        <v>140</v>
      </c>
      <c r="C118" s="206"/>
      <c r="D118" s="13" t="s">
        <v>9</v>
      </c>
      <c r="E118" s="23" t="s">
        <v>9</v>
      </c>
      <c r="F118" s="22" t="s">
        <v>9</v>
      </c>
      <c r="G118" s="22" t="s">
        <v>9</v>
      </c>
    </row>
    <row r="119" spans="1:7" ht="24" customHeight="1" x14ac:dyDescent="0.2">
      <c r="A119" s="24" t="s">
        <v>9</v>
      </c>
      <c r="B119" s="25" t="s">
        <v>9</v>
      </c>
      <c r="C119" s="25" t="s">
        <v>141</v>
      </c>
      <c r="D119" s="25" t="s">
        <v>142</v>
      </c>
      <c r="E119" s="24" t="s">
        <v>9</v>
      </c>
      <c r="F119" s="24" t="s">
        <v>9</v>
      </c>
      <c r="G119" s="24" t="s">
        <v>9</v>
      </c>
    </row>
    <row r="120" spans="1:7" ht="18" customHeight="1" x14ac:dyDescent="0.2">
      <c r="A120" s="24" t="s">
        <v>9</v>
      </c>
      <c r="B120" s="25" t="s">
        <v>143</v>
      </c>
      <c r="C120" s="25" t="s">
        <v>144</v>
      </c>
      <c r="D120" s="25" t="s">
        <v>145</v>
      </c>
      <c r="E120" s="24" t="s">
        <v>9</v>
      </c>
      <c r="F120" s="24" t="s">
        <v>9</v>
      </c>
      <c r="G120" s="24" t="s">
        <v>9</v>
      </c>
    </row>
    <row r="121" spans="1:7" ht="17.100000000000001" customHeight="1" x14ac:dyDescent="0.2">
      <c r="A121" s="24" t="s">
        <v>9</v>
      </c>
      <c r="B121" s="6" t="s">
        <v>146</v>
      </c>
      <c r="C121" s="26">
        <v>54.343400000000003</v>
      </c>
      <c r="D121" s="26">
        <v>56.633099999999999</v>
      </c>
      <c r="E121" s="24" t="s">
        <v>9</v>
      </c>
      <c r="F121" s="21" t="s">
        <v>9</v>
      </c>
      <c r="G121" s="27" t="s">
        <v>9</v>
      </c>
    </row>
    <row r="122" spans="1:7" ht="17.100000000000001" customHeight="1" x14ac:dyDescent="0.2">
      <c r="A122" s="24" t="s">
        <v>9</v>
      </c>
      <c r="B122" s="6" t="s">
        <v>839</v>
      </c>
      <c r="C122" s="26">
        <v>20.930900000000001</v>
      </c>
      <c r="D122" s="26">
        <v>21.812799999999999</v>
      </c>
      <c r="E122" s="24" t="s">
        <v>9</v>
      </c>
      <c r="F122" s="21" t="s">
        <v>9</v>
      </c>
      <c r="G122" s="27" t="s">
        <v>9</v>
      </c>
    </row>
    <row r="123" spans="1:7" ht="17.100000000000001" customHeight="1" x14ac:dyDescent="0.2">
      <c r="A123" s="24" t="s">
        <v>9</v>
      </c>
      <c r="B123" s="6" t="s">
        <v>147</v>
      </c>
      <c r="C123" s="26">
        <v>51.428600000000003</v>
      </c>
      <c r="D123" s="26">
        <v>53.561500000000002</v>
      </c>
      <c r="E123" s="24" t="s">
        <v>9</v>
      </c>
      <c r="F123" s="21" t="s">
        <v>9</v>
      </c>
      <c r="G123" s="27" t="s">
        <v>9</v>
      </c>
    </row>
    <row r="124" spans="1:7" ht="17.100000000000001" customHeight="1" x14ac:dyDescent="0.2">
      <c r="A124" s="24" t="s">
        <v>9</v>
      </c>
      <c r="B124" s="6" t="s">
        <v>840</v>
      </c>
      <c r="C124" s="26">
        <v>19.4819</v>
      </c>
      <c r="D124" s="26">
        <v>20.289899999999999</v>
      </c>
      <c r="E124" s="24" t="s">
        <v>9</v>
      </c>
      <c r="F124" s="21" t="s">
        <v>9</v>
      </c>
      <c r="G124" s="27" t="s">
        <v>9</v>
      </c>
    </row>
    <row r="125" spans="1:7" ht="14.1" customHeight="1" x14ac:dyDescent="0.2">
      <c r="A125" s="24" t="s">
        <v>9</v>
      </c>
      <c r="B125" s="24" t="s">
        <v>9</v>
      </c>
      <c r="C125" s="24" t="s">
        <v>9</v>
      </c>
      <c r="D125" s="24" t="s">
        <v>9</v>
      </c>
      <c r="E125" s="24" t="s">
        <v>9</v>
      </c>
      <c r="F125" s="24" t="s">
        <v>9</v>
      </c>
      <c r="G125" s="24" t="s">
        <v>9</v>
      </c>
    </row>
    <row r="126" spans="1:7" ht="17.100000000000001" customHeight="1" x14ac:dyDescent="0.2">
      <c r="A126" s="24" t="s">
        <v>9</v>
      </c>
      <c r="B126" s="205" t="s">
        <v>1013</v>
      </c>
      <c r="C126" s="206"/>
      <c r="D126" s="4" t="s">
        <v>138</v>
      </c>
      <c r="E126" s="24" t="s">
        <v>9</v>
      </c>
      <c r="F126" s="24" t="s">
        <v>9</v>
      </c>
      <c r="G126" s="24" t="s">
        <v>9</v>
      </c>
    </row>
    <row r="127" spans="1:7" ht="18" customHeight="1" x14ac:dyDescent="0.2">
      <c r="A127" s="24" t="s">
        <v>9</v>
      </c>
      <c r="B127" s="30"/>
      <c r="C127" s="30"/>
      <c r="D127" s="28" t="s">
        <v>9</v>
      </c>
      <c r="E127" s="24" t="s">
        <v>9</v>
      </c>
      <c r="F127" s="24" t="s">
        <v>9</v>
      </c>
      <c r="G127" s="24" t="s">
        <v>9</v>
      </c>
    </row>
    <row r="128" spans="1:7" s="197" customFormat="1" x14ac:dyDescent="0.2">
      <c r="B128" s="208" t="s">
        <v>841</v>
      </c>
      <c r="C128" s="208"/>
      <c r="D128" s="208"/>
      <c r="E128" s="208"/>
      <c r="F128" s="208"/>
    </row>
    <row r="129" spans="1:7" ht="14.1" customHeight="1" x14ac:dyDescent="0.2">
      <c r="A129" s="24" t="s">
        <v>9</v>
      </c>
      <c r="B129" s="21" t="s">
        <v>9</v>
      </c>
      <c r="C129" s="21" t="s">
        <v>9</v>
      </c>
      <c r="D129" s="24" t="s">
        <v>9</v>
      </c>
      <c r="E129" s="24" t="s">
        <v>9</v>
      </c>
      <c r="F129" s="24" t="s">
        <v>9</v>
      </c>
      <c r="G129" s="24" t="s">
        <v>9</v>
      </c>
    </row>
    <row r="130" spans="1:7" ht="29.1" customHeight="1" x14ac:dyDescent="0.2">
      <c r="A130" s="24" t="s">
        <v>9</v>
      </c>
      <c r="B130" s="205" t="s">
        <v>148</v>
      </c>
      <c r="C130" s="206"/>
      <c r="D130" s="4" t="s">
        <v>138</v>
      </c>
      <c r="E130" s="24" t="s">
        <v>9</v>
      </c>
      <c r="F130" s="24" t="s">
        <v>9</v>
      </c>
      <c r="G130" s="24" t="s">
        <v>9</v>
      </c>
    </row>
    <row r="131" spans="1:7" ht="29.1" customHeight="1" x14ac:dyDescent="0.2">
      <c r="A131" s="24" t="s">
        <v>9</v>
      </c>
      <c r="B131" s="205" t="s">
        <v>149</v>
      </c>
      <c r="C131" s="206"/>
      <c r="D131" s="4" t="s">
        <v>138</v>
      </c>
      <c r="E131" s="24" t="s">
        <v>9</v>
      </c>
      <c r="F131" s="24" t="s">
        <v>9</v>
      </c>
      <c r="G131" s="24" t="s">
        <v>9</v>
      </c>
    </row>
    <row r="132" spans="1:7" ht="17.100000000000001" customHeight="1" x14ac:dyDescent="0.2">
      <c r="A132" s="24" t="s">
        <v>9</v>
      </c>
      <c r="B132" s="205" t="s">
        <v>150</v>
      </c>
      <c r="C132" s="206"/>
      <c r="D132" s="29">
        <v>0.15718866967950215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205" t="s">
        <v>151</v>
      </c>
      <c r="C133" s="206"/>
      <c r="D133" s="4" t="s">
        <v>138</v>
      </c>
      <c r="E133" s="24" t="s">
        <v>9</v>
      </c>
      <c r="F133" s="24" t="s">
        <v>9</v>
      </c>
      <c r="G133" s="24" t="s">
        <v>9</v>
      </c>
    </row>
  </sheetData>
  <mergeCells count="15">
    <mergeCell ref="B132:C132"/>
    <mergeCell ref="B133:C133"/>
    <mergeCell ref="B116:C116"/>
    <mergeCell ref="B117:C117"/>
    <mergeCell ref="B118:C118"/>
    <mergeCell ref="B126:C126"/>
    <mergeCell ref="B130:C130"/>
    <mergeCell ref="B131:C131"/>
    <mergeCell ref="B128:F128"/>
    <mergeCell ref="B115:C115"/>
    <mergeCell ref="B112:F112"/>
    <mergeCell ref="B113:F11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145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17.5703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581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2018224</v>
      </c>
      <c r="F7" s="8">
        <v>12732.975216000001</v>
      </c>
      <c r="G7" s="9">
        <v>8.2954414000000004E-2</v>
      </c>
      <c r="H7" s="156"/>
    </row>
    <row r="8" spans="1:8" x14ac:dyDescent="0.2">
      <c r="A8" s="5">
        <v>2</v>
      </c>
      <c r="B8" s="6" t="s">
        <v>50</v>
      </c>
      <c r="C8" s="6" t="s">
        <v>51</v>
      </c>
      <c r="D8" s="6" t="s">
        <v>22</v>
      </c>
      <c r="E8" s="7">
        <v>810399</v>
      </c>
      <c r="F8" s="8">
        <v>12138.966621</v>
      </c>
      <c r="G8" s="9">
        <v>7.9084491000000007E-2</v>
      </c>
      <c r="H8" s="156"/>
    </row>
    <row r="9" spans="1:8" x14ac:dyDescent="0.2">
      <c r="A9" s="5">
        <v>3</v>
      </c>
      <c r="B9" s="6" t="s">
        <v>299</v>
      </c>
      <c r="C9" s="6" t="s">
        <v>300</v>
      </c>
      <c r="D9" s="6" t="s">
        <v>169</v>
      </c>
      <c r="E9" s="7">
        <v>291050</v>
      </c>
      <c r="F9" s="8">
        <v>7568.7552500000002</v>
      </c>
      <c r="G9" s="9">
        <v>4.9309894E-2</v>
      </c>
      <c r="H9" s="156"/>
    </row>
    <row r="10" spans="1:8" x14ac:dyDescent="0.2">
      <c r="A10" s="5">
        <v>4</v>
      </c>
      <c r="B10" s="6" t="s">
        <v>400</v>
      </c>
      <c r="C10" s="6" t="s">
        <v>401</v>
      </c>
      <c r="D10" s="6" t="s">
        <v>166</v>
      </c>
      <c r="E10" s="7">
        <v>238846</v>
      </c>
      <c r="F10" s="8">
        <v>5912.0356149999998</v>
      </c>
      <c r="G10" s="9">
        <v>3.8516485000000003E-2</v>
      </c>
      <c r="H10" s="156"/>
    </row>
    <row r="11" spans="1:8" x14ac:dyDescent="0.2">
      <c r="A11" s="5">
        <v>5</v>
      </c>
      <c r="B11" s="6" t="s">
        <v>356</v>
      </c>
      <c r="C11" s="6" t="s">
        <v>357</v>
      </c>
      <c r="D11" s="6" t="s">
        <v>22</v>
      </c>
      <c r="E11" s="7">
        <v>643154</v>
      </c>
      <c r="F11" s="8">
        <v>4812.7213819999997</v>
      </c>
      <c r="G11" s="9">
        <v>3.1354531999999997E-2</v>
      </c>
      <c r="H11" s="156"/>
    </row>
    <row r="12" spans="1:8" x14ac:dyDescent="0.2">
      <c r="A12" s="5">
        <v>6</v>
      </c>
      <c r="B12" s="6" t="s">
        <v>23</v>
      </c>
      <c r="C12" s="6" t="s">
        <v>24</v>
      </c>
      <c r="D12" s="6" t="s">
        <v>25</v>
      </c>
      <c r="E12" s="7">
        <v>841540</v>
      </c>
      <c r="F12" s="8">
        <v>4423.55501</v>
      </c>
      <c r="G12" s="9">
        <v>2.8819141E-2</v>
      </c>
      <c r="H12" s="156"/>
    </row>
    <row r="13" spans="1:8" x14ac:dyDescent="0.2">
      <c r="A13" s="5">
        <v>7</v>
      </c>
      <c r="B13" s="6" t="s">
        <v>208</v>
      </c>
      <c r="C13" s="6" t="s">
        <v>209</v>
      </c>
      <c r="D13" s="6" t="s">
        <v>976</v>
      </c>
      <c r="E13" s="7">
        <v>536245</v>
      </c>
      <c r="F13" s="8">
        <v>4386.2159775</v>
      </c>
      <c r="G13" s="9">
        <v>2.8575880000000001E-2</v>
      </c>
      <c r="H13" s="156"/>
    </row>
    <row r="14" spans="1:8" x14ac:dyDescent="0.2">
      <c r="A14" s="5">
        <v>8</v>
      </c>
      <c r="B14" s="6" t="s">
        <v>103</v>
      </c>
      <c r="C14" s="6" t="s">
        <v>104</v>
      </c>
      <c r="D14" s="6" t="s">
        <v>78</v>
      </c>
      <c r="E14" s="7">
        <v>772621</v>
      </c>
      <c r="F14" s="8">
        <v>4309.2936275000002</v>
      </c>
      <c r="G14" s="9">
        <v>2.8074736999999999E-2</v>
      </c>
      <c r="H14" s="156"/>
    </row>
    <row r="15" spans="1:8" x14ac:dyDescent="0.2">
      <c r="A15" s="5">
        <v>9</v>
      </c>
      <c r="B15" s="6" t="s">
        <v>339</v>
      </c>
      <c r="C15" s="6" t="s">
        <v>340</v>
      </c>
      <c r="D15" s="6" t="s">
        <v>68</v>
      </c>
      <c r="E15" s="7">
        <v>595291</v>
      </c>
      <c r="F15" s="8">
        <v>4157.2146984999999</v>
      </c>
      <c r="G15" s="9">
        <v>2.7083953000000001E-2</v>
      </c>
      <c r="H15" s="156"/>
    </row>
    <row r="16" spans="1:8" x14ac:dyDescent="0.2">
      <c r="A16" s="5">
        <v>10</v>
      </c>
      <c r="B16" s="6" t="s">
        <v>264</v>
      </c>
      <c r="C16" s="6" t="s">
        <v>265</v>
      </c>
      <c r="D16" s="6" t="s">
        <v>975</v>
      </c>
      <c r="E16" s="7">
        <v>813298</v>
      </c>
      <c r="F16" s="8">
        <v>4063.2368080000001</v>
      </c>
      <c r="G16" s="9">
        <v>2.6471694E-2</v>
      </c>
      <c r="H16" s="156"/>
    </row>
    <row r="17" spans="1:8" x14ac:dyDescent="0.2">
      <c r="A17" s="5">
        <v>11</v>
      </c>
      <c r="B17" s="6" t="s">
        <v>301</v>
      </c>
      <c r="C17" s="6" t="s">
        <v>302</v>
      </c>
      <c r="D17" s="6" t="s">
        <v>172</v>
      </c>
      <c r="E17" s="7">
        <v>104347</v>
      </c>
      <c r="F17" s="8">
        <v>3777.2048795000001</v>
      </c>
      <c r="G17" s="9">
        <v>2.4608217000000002E-2</v>
      </c>
      <c r="H17" s="156"/>
    </row>
    <row r="18" spans="1:8" x14ac:dyDescent="0.2">
      <c r="A18" s="5">
        <v>12</v>
      </c>
      <c r="B18" s="6" t="s">
        <v>197</v>
      </c>
      <c r="C18" s="6" t="s">
        <v>198</v>
      </c>
      <c r="D18" s="6" t="s">
        <v>169</v>
      </c>
      <c r="E18" s="7">
        <v>82881</v>
      </c>
      <c r="F18" s="8">
        <v>3566.6595134999998</v>
      </c>
      <c r="G18" s="9">
        <v>2.3236528999999999E-2</v>
      </c>
      <c r="H18" s="156"/>
    </row>
    <row r="19" spans="1:8" x14ac:dyDescent="0.2">
      <c r="A19" s="5">
        <v>13</v>
      </c>
      <c r="B19" s="6" t="s">
        <v>162</v>
      </c>
      <c r="C19" s="6" t="s">
        <v>163</v>
      </c>
      <c r="D19" s="6" t="s">
        <v>169</v>
      </c>
      <c r="E19" s="7">
        <v>338859</v>
      </c>
      <c r="F19" s="8">
        <v>3402.4832190000002</v>
      </c>
      <c r="G19" s="9">
        <v>2.2166932E-2</v>
      </c>
      <c r="H19" s="156"/>
    </row>
    <row r="20" spans="1:8" x14ac:dyDescent="0.2">
      <c r="A20" s="5">
        <v>14</v>
      </c>
      <c r="B20" s="6" t="s">
        <v>175</v>
      </c>
      <c r="C20" s="6" t="s">
        <v>176</v>
      </c>
      <c r="D20" s="6" t="s">
        <v>974</v>
      </c>
      <c r="E20" s="7">
        <v>387493</v>
      </c>
      <c r="F20" s="8">
        <v>3325.0774329999999</v>
      </c>
      <c r="G20" s="9">
        <v>2.1662639000000001E-2</v>
      </c>
      <c r="H20" s="156"/>
    </row>
    <row r="21" spans="1:8" x14ac:dyDescent="0.2">
      <c r="A21" s="5">
        <v>15</v>
      </c>
      <c r="B21" s="6" t="s">
        <v>15</v>
      </c>
      <c r="C21" s="6" t="s">
        <v>16</v>
      </c>
      <c r="D21" s="6" t="s">
        <v>17</v>
      </c>
      <c r="E21" s="7">
        <v>145586</v>
      </c>
      <c r="F21" s="8">
        <v>3072.8109089999998</v>
      </c>
      <c r="G21" s="9">
        <v>2.0019141000000001E-2</v>
      </c>
      <c r="H21" s="156"/>
    </row>
    <row r="22" spans="1:8" x14ac:dyDescent="0.2">
      <c r="A22" s="5">
        <v>16</v>
      </c>
      <c r="B22" s="6" t="s">
        <v>226</v>
      </c>
      <c r="C22" s="6" t="s">
        <v>227</v>
      </c>
      <c r="D22" s="6" t="s">
        <v>166</v>
      </c>
      <c r="E22" s="7">
        <v>566694</v>
      </c>
      <c r="F22" s="8">
        <v>3067.2312750000001</v>
      </c>
      <c r="G22" s="9">
        <v>1.998279E-2</v>
      </c>
      <c r="H22" s="156"/>
    </row>
    <row r="23" spans="1:8" x14ac:dyDescent="0.2">
      <c r="A23" s="5">
        <v>17</v>
      </c>
      <c r="B23" s="6" t="s">
        <v>170</v>
      </c>
      <c r="C23" s="6" t="s">
        <v>171</v>
      </c>
      <c r="D23" s="6" t="s">
        <v>172</v>
      </c>
      <c r="E23" s="7">
        <v>232449</v>
      </c>
      <c r="F23" s="8">
        <v>3051.3580229999998</v>
      </c>
      <c r="G23" s="9">
        <v>1.9879377E-2</v>
      </c>
      <c r="H23" s="156"/>
    </row>
    <row r="24" spans="1:8" x14ac:dyDescent="0.2">
      <c r="A24" s="5">
        <v>18</v>
      </c>
      <c r="B24" s="6" t="s">
        <v>386</v>
      </c>
      <c r="C24" s="6" t="s">
        <v>387</v>
      </c>
      <c r="D24" s="6" t="s">
        <v>971</v>
      </c>
      <c r="E24" s="7">
        <v>25000</v>
      </c>
      <c r="F24" s="8">
        <v>3027.2624999999998</v>
      </c>
      <c r="G24" s="9">
        <v>1.9722396999999999E-2</v>
      </c>
      <c r="H24" s="156"/>
    </row>
    <row r="25" spans="1:8" x14ac:dyDescent="0.2">
      <c r="A25" s="5">
        <v>19</v>
      </c>
      <c r="B25" s="6" t="s">
        <v>167</v>
      </c>
      <c r="C25" s="6" t="s">
        <v>168</v>
      </c>
      <c r="D25" s="6" t="s">
        <v>169</v>
      </c>
      <c r="E25" s="7">
        <v>1161536</v>
      </c>
      <c r="F25" s="8">
        <v>3016.508992</v>
      </c>
      <c r="G25" s="9">
        <v>1.9652337999999998E-2</v>
      </c>
      <c r="H25" s="156"/>
    </row>
    <row r="26" spans="1:8" x14ac:dyDescent="0.2">
      <c r="A26" s="5">
        <v>20</v>
      </c>
      <c r="B26" s="6" t="s">
        <v>582</v>
      </c>
      <c r="C26" s="6" t="s">
        <v>583</v>
      </c>
      <c r="D26" s="6" t="s">
        <v>975</v>
      </c>
      <c r="E26" s="7">
        <v>1833250</v>
      </c>
      <c r="F26" s="8">
        <v>2913.950875</v>
      </c>
      <c r="G26" s="9">
        <v>1.8984179E-2</v>
      </c>
      <c r="H26" s="156"/>
    </row>
    <row r="27" spans="1:8" x14ac:dyDescent="0.2">
      <c r="A27" s="5">
        <v>21</v>
      </c>
      <c r="B27" s="6" t="s">
        <v>224</v>
      </c>
      <c r="C27" s="6" t="s">
        <v>225</v>
      </c>
      <c r="D27" s="6" t="s">
        <v>40</v>
      </c>
      <c r="E27" s="7">
        <v>341244</v>
      </c>
      <c r="F27" s="8">
        <v>2781.6504660000001</v>
      </c>
      <c r="G27" s="9">
        <v>1.8122251999999998E-2</v>
      </c>
      <c r="H27" s="156"/>
    </row>
    <row r="28" spans="1:8" ht="25.5" x14ac:dyDescent="0.2">
      <c r="A28" s="5">
        <v>22</v>
      </c>
      <c r="B28" s="6" t="s">
        <v>376</v>
      </c>
      <c r="C28" s="6" t="s">
        <v>377</v>
      </c>
      <c r="D28" s="6" t="s">
        <v>68</v>
      </c>
      <c r="E28" s="7">
        <v>135000</v>
      </c>
      <c r="F28" s="8">
        <v>2745.6975000000002</v>
      </c>
      <c r="G28" s="9">
        <v>1.7888021E-2</v>
      </c>
      <c r="H28" s="156"/>
    </row>
    <row r="29" spans="1:8" x14ac:dyDescent="0.2">
      <c r="A29" s="5">
        <v>23</v>
      </c>
      <c r="B29" s="6" t="s">
        <v>584</v>
      </c>
      <c r="C29" s="6" t="s">
        <v>585</v>
      </c>
      <c r="D29" s="6" t="s">
        <v>172</v>
      </c>
      <c r="E29" s="7">
        <v>79522</v>
      </c>
      <c r="F29" s="8">
        <v>2255.0451149999999</v>
      </c>
      <c r="G29" s="9">
        <v>1.4691456E-2</v>
      </c>
      <c r="H29" s="156"/>
    </row>
    <row r="30" spans="1:8" x14ac:dyDescent="0.2">
      <c r="A30" s="5">
        <v>24</v>
      </c>
      <c r="B30" s="6" t="s">
        <v>323</v>
      </c>
      <c r="C30" s="6" t="s">
        <v>324</v>
      </c>
      <c r="D30" s="6" t="s">
        <v>239</v>
      </c>
      <c r="E30" s="7">
        <v>7154</v>
      </c>
      <c r="F30" s="8">
        <v>2112.0038800000002</v>
      </c>
      <c r="G30" s="9">
        <v>1.3759553000000001E-2</v>
      </c>
      <c r="H30" s="156"/>
    </row>
    <row r="31" spans="1:8" x14ac:dyDescent="0.2">
      <c r="A31" s="5">
        <v>25</v>
      </c>
      <c r="B31" s="6" t="s">
        <v>586</v>
      </c>
      <c r="C31" s="6" t="s">
        <v>587</v>
      </c>
      <c r="D31" s="6" t="s">
        <v>345</v>
      </c>
      <c r="E31" s="7">
        <v>29389</v>
      </c>
      <c r="F31" s="8">
        <v>2054.9229635000002</v>
      </c>
      <c r="G31" s="9">
        <v>1.3387675E-2</v>
      </c>
      <c r="H31" s="156"/>
    </row>
    <row r="32" spans="1:8" x14ac:dyDescent="0.2">
      <c r="A32" s="5">
        <v>26</v>
      </c>
      <c r="B32" s="6" t="s">
        <v>588</v>
      </c>
      <c r="C32" s="6" t="s">
        <v>589</v>
      </c>
      <c r="D32" s="6" t="s">
        <v>971</v>
      </c>
      <c r="E32" s="7">
        <v>287576</v>
      </c>
      <c r="F32" s="8">
        <v>1973.634088</v>
      </c>
      <c r="G32" s="9">
        <v>1.2858084000000001E-2</v>
      </c>
      <c r="H32" s="156"/>
    </row>
    <row r="33" spans="1:8" x14ac:dyDescent="0.2">
      <c r="A33" s="5">
        <v>27</v>
      </c>
      <c r="B33" s="6" t="s">
        <v>590</v>
      </c>
      <c r="C33" s="6" t="s">
        <v>591</v>
      </c>
      <c r="D33" s="6" t="s">
        <v>169</v>
      </c>
      <c r="E33" s="7">
        <v>45000</v>
      </c>
      <c r="F33" s="8">
        <v>1936.9349999999999</v>
      </c>
      <c r="G33" s="9">
        <v>1.2618992000000001E-2</v>
      </c>
      <c r="H33" s="156"/>
    </row>
    <row r="34" spans="1:8" x14ac:dyDescent="0.2">
      <c r="A34" s="5">
        <v>28</v>
      </c>
      <c r="B34" s="6" t="s">
        <v>343</v>
      </c>
      <c r="C34" s="6" t="s">
        <v>344</v>
      </c>
      <c r="D34" s="6" t="s">
        <v>345</v>
      </c>
      <c r="E34" s="7">
        <v>222388</v>
      </c>
      <c r="F34" s="8">
        <v>1889.964418</v>
      </c>
      <c r="G34" s="9">
        <v>1.2312982E-2</v>
      </c>
      <c r="H34" s="156"/>
    </row>
    <row r="35" spans="1:8" x14ac:dyDescent="0.2">
      <c r="A35" s="5">
        <v>29</v>
      </c>
      <c r="B35" s="6" t="s">
        <v>454</v>
      </c>
      <c r="C35" s="6" t="s">
        <v>455</v>
      </c>
      <c r="D35" s="6" t="s">
        <v>68</v>
      </c>
      <c r="E35" s="7">
        <v>450000</v>
      </c>
      <c r="F35" s="8">
        <v>1872.9</v>
      </c>
      <c r="G35" s="9">
        <v>1.2201808E-2</v>
      </c>
      <c r="H35" s="156"/>
    </row>
    <row r="36" spans="1:8" x14ac:dyDescent="0.2">
      <c r="A36" s="5">
        <v>30</v>
      </c>
      <c r="B36" s="6" t="s">
        <v>279</v>
      </c>
      <c r="C36" s="6" t="s">
        <v>280</v>
      </c>
      <c r="D36" s="6" t="s">
        <v>974</v>
      </c>
      <c r="E36" s="7">
        <v>118153</v>
      </c>
      <c r="F36" s="8">
        <v>1797.7569715</v>
      </c>
      <c r="G36" s="9">
        <v>1.1712257E-2</v>
      </c>
      <c r="H36" s="156"/>
    </row>
    <row r="37" spans="1:8" x14ac:dyDescent="0.2">
      <c r="A37" s="5">
        <v>31</v>
      </c>
      <c r="B37" s="6" t="s">
        <v>420</v>
      </c>
      <c r="C37" s="6" t="s">
        <v>421</v>
      </c>
      <c r="D37" s="6" t="s">
        <v>971</v>
      </c>
      <c r="E37" s="7">
        <v>106121</v>
      </c>
      <c r="F37" s="8">
        <v>1662.91607</v>
      </c>
      <c r="G37" s="9">
        <v>1.0833778000000001E-2</v>
      </c>
      <c r="H37" s="156"/>
    </row>
    <row r="38" spans="1:8" x14ac:dyDescent="0.2">
      <c r="A38" s="5">
        <v>32</v>
      </c>
      <c r="B38" s="6" t="s">
        <v>66</v>
      </c>
      <c r="C38" s="6" t="s">
        <v>67</v>
      </c>
      <c r="D38" s="6" t="s">
        <v>68</v>
      </c>
      <c r="E38" s="7">
        <v>298141</v>
      </c>
      <c r="F38" s="8">
        <v>1645.5892495000001</v>
      </c>
      <c r="G38" s="9">
        <v>1.0720894999999999E-2</v>
      </c>
      <c r="H38" s="156"/>
    </row>
    <row r="39" spans="1:8" x14ac:dyDescent="0.2">
      <c r="A39" s="5">
        <v>33</v>
      </c>
      <c r="B39" s="6" t="s">
        <v>244</v>
      </c>
      <c r="C39" s="6" t="s">
        <v>245</v>
      </c>
      <c r="D39" s="6" t="s">
        <v>246</v>
      </c>
      <c r="E39" s="7">
        <v>380798</v>
      </c>
      <c r="F39" s="8">
        <v>1637.4313999999999</v>
      </c>
      <c r="G39" s="9">
        <v>1.0667747E-2</v>
      </c>
      <c r="H39" s="156"/>
    </row>
    <row r="40" spans="1:8" x14ac:dyDescent="0.2">
      <c r="A40" s="5">
        <v>34</v>
      </c>
      <c r="B40" s="6" t="s">
        <v>571</v>
      </c>
      <c r="C40" s="6" t="s">
        <v>572</v>
      </c>
      <c r="D40" s="6" t="s">
        <v>166</v>
      </c>
      <c r="E40" s="7">
        <v>26663</v>
      </c>
      <c r="F40" s="8">
        <v>1604.0060854999999</v>
      </c>
      <c r="G40" s="9">
        <v>1.0449984000000001E-2</v>
      </c>
      <c r="H40" s="156"/>
    </row>
    <row r="41" spans="1:8" x14ac:dyDescent="0.2">
      <c r="A41" s="5">
        <v>35</v>
      </c>
      <c r="B41" s="6" t="s">
        <v>253</v>
      </c>
      <c r="C41" s="6" t="s">
        <v>254</v>
      </c>
      <c r="D41" s="6" t="s">
        <v>975</v>
      </c>
      <c r="E41" s="7">
        <v>380696</v>
      </c>
      <c r="F41" s="8">
        <v>1499.9422400000001</v>
      </c>
      <c r="G41" s="9">
        <v>9.7720150000000002E-3</v>
      </c>
      <c r="H41" s="156"/>
    </row>
    <row r="42" spans="1:8" x14ac:dyDescent="0.2">
      <c r="A42" s="5">
        <v>36</v>
      </c>
      <c r="B42" s="6" t="s">
        <v>185</v>
      </c>
      <c r="C42" s="6" t="s">
        <v>186</v>
      </c>
      <c r="D42" s="6" t="s">
        <v>172</v>
      </c>
      <c r="E42" s="7">
        <v>652856</v>
      </c>
      <c r="F42" s="8">
        <v>1462.39744</v>
      </c>
      <c r="G42" s="9">
        <v>9.5274139999999997E-3</v>
      </c>
      <c r="H42" s="156"/>
    </row>
    <row r="43" spans="1:8" x14ac:dyDescent="0.2">
      <c r="A43" s="5">
        <v>37</v>
      </c>
      <c r="B43" s="6" t="s">
        <v>501</v>
      </c>
      <c r="C43" s="6" t="s">
        <v>502</v>
      </c>
      <c r="D43" s="6" t="s">
        <v>63</v>
      </c>
      <c r="E43" s="7">
        <v>84225</v>
      </c>
      <c r="F43" s="8">
        <v>1459.1981249999999</v>
      </c>
      <c r="G43" s="9">
        <v>9.5065700000000006E-3</v>
      </c>
      <c r="H43" s="156"/>
    </row>
    <row r="44" spans="1:8" x14ac:dyDescent="0.2">
      <c r="A44" s="5">
        <v>38</v>
      </c>
      <c r="B44" s="6" t="s">
        <v>548</v>
      </c>
      <c r="C44" s="6" t="s">
        <v>549</v>
      </c>
      <c r="D44" s="6" t="s">
        <v>975</v>
      </c>
      <c r="E44" s="7">
        <v>3456014</v>
      </c>
      <c r="F44" s="8">
        <v>1449.797873</v>
      </c>
      <c r="G44" s="9">
        <v>9.4453279999999994E-3</v>
      </c>
      <c r="H44" s="156"/>
    </row>
    <row r="45" spans="1:8" x14ac:dyDescent="0.2">
      <c r="A45" s="5">
        <v>39</v>
      </c>
      <c r="B45" s="6" t="s">
        <v>592</v>
      </c>
      <c r="C45" s="6" t="s">
        <v>593</v>
      </c>
      <c r="D45" s="6" t="s">
        <v>974</v>
      </c>
      <c r="E45" s="7">
        <v>168338</v>
      </c>
      <c r="F45" s="8">
        <v>1437.017337</v>
      </c>
      <c r="G45" s="9">
        <v>9.3620639999999998E-3</v>
      </c>
      <c r="H45" s="156"/>
    </row>
    <row r="46" spans="1:8" x14ac:dyDescent="0.2">
      <c r="A46" s="5">
        <v>40</v>
      </c>
      <c r="B46" s="6" t="s">
        <v>187</v>
      </c>
      <c r="C46" s="6" t="s">
        <v>188</v>
      </c>
      <c r="D46" s="6" t="s">
        <v>973</v>
      </c>
      <c r="E46" s="7">
        <v>404089</v>
      </c>
      <c r="F46" s="8">
        <v>1247.4227430000001</v>
      </c>
      <c r="G46" s="9">
        <v>8.1268690000000001E-3</v>
      </c>
      <c r="H46" s="156"/>
    </row>
    <row r="47" spans="1:8" x14ac:dyDescent="0.2">
      <c r="A47" s="5">
        <v>41</v>
      </c>
      <c r="B47" s="6" t="s">
        <v>426</v>
      </c>
      <c r="C47" s="6" t="s">
        <v>427</v>
      </c>
      <c r="D47" s="6" t="s">
        <v>22</v>
      </c>
      <c r="E47" s="7">
        <v>70315</v>
      </c>
      <c r="F47" s="8">
        <v>1199.4684275</v>
      </c>
      <c r="G47" s="9">
        <v>7.8144500000000006E-3</v>
      </c>
      <c r="H47" s="156"/>
    </row>
    <row r="48" spans="1:8" x14ac:dyDescent="0.2">
      <c r="A48" s="5">
        <v>42</v>
      </c>
      <c r="B48" s="6" t="s">
        <v>404</v>
      </c>
      <c r="C48" s="6" t="s">
        <v>405</v>
      </c>
      <c r="D48" s="6" t="s">
        <v>971</v>
      </c>
      <c r="E48" s="7">
        <v>113046</v>
      </c>
      <c r="F48" s="8">
        <v>1139.6732489999999</v>
      </c>
      <c r="G48" s="9">
        <v>7.4248889999999996E-3</v>
      </c>
      <c r="H48" s="156"/>
    </row>
    <row r="49" spans="1:8" x14ac:dyDescent="0.2">
      <c r="A49" s="5">
        <v>43</v>
      </c>
      <c r="B49" s="6" t="s">
        <v>560</v>
      </c>
      <c r="C49" s="6" t="s">
        <v>561</v>
      </c>
      <c r="D49" s="6" t="s">
        <v>974</v>
      </c>
      <c r="E49" s="7">
        <v>40656</v>
      </c>
      <c r="F49" s="8">
        <v>1135.2781440000001</v>
      </c>
      <c r="G49" s="9">
        <v>7.396255E-3</v>
      </c>
      <c r="H49" s="156"/>
    </row>
    <row r="50" spans="1:8" x14ac:dyDescent="0.2">
      <c r="A50" s="5">
        <v>44</v>
      </c>
      <c r="B50" s="6" t="s">
        <v>594</v>
      </c>
      <c r="C50" s="6" t="s">
        <v>595</v>
      </c>
      <c r="D50" s="6" t="s">
        <v>345</v>
      </c>
      <c r="E50" s="7">
        <v>22186</v>
      </c>
      <c r="F50" s="8">
        <v>1090.608295</v>
      </c>
      <c r="G50" s="9">
        <v>7.1052340000000002E-3</v>
      </c>
      <c r="H50" s="156"/>
    </row>
    <row r="51" spans="1:8" x14ac:dyDescent="0.2">
      <c r="A51" s="5">
        <v>45</v>
      </c>
      <c r="B51" s="6" t="s">
        <v>294</v>
      </c>
      <c r="C51" s="6" t="s">
        <v>295</v>
      </c>
      <c r="D51" s="6" t="s">
        <v>975</v>
      </c>
      <c r="E51" s="7">
        <v>2402077</v>
      </c>
      <c r="F51" s="8">
        <v>913.99029849999999</v>
      </c>
      <c r="G51" s="9">
        <v>5.9545809999999996E-3</v>
      </c>
      <c r="H51" s="156"/>
    </row>
    <row r="52" spans="1:8" x14ac:dyDescent="0.2">
      <c r="A52" s="5">
        <v>46</v>
      </c>
      <c r="B52" s="6" t="s">
        <v>596</v>
      </c>
      <c r="C52" s="6" t="s">
        <v>597</v>
      </c>
      <c r="D52" s="6" t="s">
        <v>345</v>
      </c>
      <c r="E52" s="7">
        <v>22461</v>
      </c>
      <c r="F52" s="8">
        <v>751.11830099999997</v>
      </c>
      <c r="G52" s="9">
        <v>4.8934809999999999E-3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0">
        <v>139481.8835045</v>
      </c>
      <c r="G53" s="11">
        <v>0.90871439399999998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106</v>
      </c>
      <c r="D55" s="3" t="s">
        <v>9</v>
      </c>
      <c r="E55" s="3" t="s">
        <v>9</v>
      </c>
      <c r="F55" s="3" t="s">
        <v>9</v>
      </c>
      <c r="G55" s="3" t="s">
        <v>9</v>
      </c>
      <c r="H55" s="156"/>
    </row>
    <row r="56" spans="1:8" x14ac:dyDescent="0.2">
      <c r="A56" s="5">
        <v>1</v>
      </c>
      <c r="B56" s="6" t="s">
        <v>598</v>
      </c>
      <c r="C56" s="6" t="s">
        <v>989</v>
      </c>
      <c r="D56" s="6"/>
      <c r="E56" s="7">
        <v>32872</v>
      </c>
      <c r="F56" s="8">
        <v>761.02689857999997</v>
      </c>
      <c r="G56" s="9">
        <v>4.9580350000000004E-3</v>
      </c>
      <c r="H56" s="156"/>
    </row>
    <row r="57" spans="1:8" x14ac:dyDescent="0.2">
      <c r="A57" s="3" t="s">
        <v>9</v>
      </c>
      <c r="B57" s="3" t="s">
        <v>9</v>
      </c>
      <c r="C57" s="4" t="s">
        <v>105</v>
      </c>
      <c r="D57" s="3" t="s">
        <v>9</v>
      </c>
      <c r="E57" s="3" t="s">
        <v>9</v>
      </c>
      <c r="F57" s="10">
        <v>761.02689857999997</v>
      </c>
      <c r="G57" s="11">
        <v>4.9580350000000004E-3</v>
      </c>
      <c r="H57" s="156"/>
    </row>
    <row r="58" spans="1:8" x14ac:dyDescent="0.2">
      <c r="A58" s="3" t="s">
        <v>9</v>
      </c>
      <c r="B58" s="3" t="s">
        <v>9</v>
      </c>
      <c r="C58" s="12" t="s">
        <v>9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107</v>
      </c>
      <c r="D59" s="3" t="s">
        <v>9</v>
      </c>
      <c r="E59" s="3" t="s">
        <v>9</v>
      </c>
      <c r="F59" s="3" t="s">
        <v>9</v>
      </c>
      <c r="G59" s="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0</v>
      </c>
      <c r="G60" s="15">
        <v>0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111</v>
      </c>
      <c r="D62" s="3" t="s">
        <v>9</v>
      </c>
      <c r="E62" s="3" t="s">
        <v>9</v>
      </c>
      <c r="F62" s="3" t="s">
        <v>9</v>
      </c>
      <c r="G62" s="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105</v>
      </c>
      <c r="D63" s="3" t="s">
        <v>9</v>
      </c>
      <c r="E63" s="3" t="s">
        <v>9</v>
      </c>
      <c r="F63" s="14">
        <v>0</v>
      </c>
      <c r="G63" s="15">
        <v>0</v>
      </c>
      <c r="H63" s="156"/>
    </row>
    <row r="64" spans="1:8" x14ac:dyDescent="0.2">
      <c r="A64" s="3" t="s">
        <v>9</v>
      </c>
      <c r="B64" s="3" t="s">
        <v>9</v>
      </c>
      <c r="C64" s="12" t="s">
        <v>9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112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105</v>
      </c>
      <c r="D66" s="3" t="s">
        <v>9</v>
      </c>
      <c r="E66" s="3" t="s">
        <v>9</v>
      </c>
      <c r="F66" s="14">
        <v>0</v>
      </c>
      <c r="G66" s="15">
        <v>0</v>
      </c>
      <c r="H66" s="156"/>
    </row>
    <row r="67" spans="1:8" x14ac:dyDescent="0.2">
      <c r="A67" s="3" t="s">
        <v>9</v>
      </c>
      <c r="B67" s="3" t="s">
        <v>9</v>
      </c>
      <c r="C67" s="12" t="s">
        <v>9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113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114</v>
      </c>
      <c r="D71" s="3" t="s">
        <v>9</v>
      </c>
      <c r="E71" s="3" t="s">
        <v>9</v>
      </c>
      <c r="F71" s="10">
        <v>140242.91040307999</v>
      </c>
      <c r="G71" s="11">
        <v>0.91367242900000001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115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116</v>
      </c>
      <c r="D77" s="3" t="s">
        <v>9</v>
      </c>
      <c r="E77" s="3" t="s">
        <v>9</v>
      </c>
      <c r="F77" s="3" t="s">
        <v>9</v>
      </c>
      <c r="G77" s="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117</v>
      </c>
      <c r="D80" s="3" t="s">
        <v>9</v>
      </c>
      <c r="E80" s="3" t="s">
        <v>9</v>
      </c>
      <c r="F80" s="3" t="s">
        <v>9</v>
      </c>
      <c r="G80" s="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118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119</v>
      </c>
      <c r="D86" s="3" t="s">
        <v>9</v>
      </c>
      <c r="E86" s="3" t="s">
        <v>9</v>
      </c>
      <c r="F86" s="10">
        <v>0</v>
      </c>
      <c r="G86" s="11">
        <v>0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120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121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122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123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124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5">
        <v>1</v>
      </c>
      <c r="B99" s="6"/>
      <c r="C99" s="6" t="s">
        <v>125</v>
      </c>
      <c r="D99" s="6"/>
      <c r="E99" s="16" t="s">
        <v>9</v>
      </c>
      <c r="F99" s="8">
        <v>10995.073915200001</v>
      </c>
      <c r="G99" s="9">
        <v>7.1632111999999998E-2</v>
      </c>
      <c r="H99" s="8">
        <v>3.3326163573085874</v>
      </c>
    </row>
    <row r="100" spans="1:8" x14ac:dyDescent="0.2">
      <c r="A100" s="5">
        <v>2</v>
      </c>
      <c r="B100" s="6"/>
      <c r="C100" s="6" t="s">
        <v>126</v>
      </c>
      <c r="D100" s="6"/>
      <c r="E100" s="16" t="s">
        <v>9</v>
      </c>
      <c r="F100" s="8">
        <v>7853.2193318</v>
      </c>
      <c r="G100" s="9">
        <v>5.1163157000000001E-2</v>
      </c>
      <c r="H100" s="8">
        <v>3.2337849550915885</v>
      </c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0">
        <v>18848.293247000001</v>
      </c>
      <c r="G101" s="11">
        <v>0.122795269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127</v>
      </c>
      <c r="D103" s="3" t="s">
        <v>9</v>
      </c>
      <c r="E103" s="3" t="s">
        <v>9</v>
      </c>
      <c r="F103" s="10">
        <v>18848.293247000001</v>
      </c>
      <c r="G103" s="11">
        <v>0.122795269</v>
      </c>
      <c r="H103" s="156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128</v>
      </c>
      <c r="D105" s="3" t="s">
        <v>9</v>
      </c>
      <c r="E105" s="3" t="s">
        <v>9</v>
      </c>
      <c r="F105" s="3" t="s">
        <v>9</v>
      </c>
      <c r="G105" s="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129</v>
      </c>
      <c r="D106" s="3" t="s">
        <v>9</v>
      </c>
      <c r="E106" s="3" t="s">
        <v>9</v>
      </c>
      <c r="F106" s="3" t="s">
        <v>9</v>
      </c>
      <c r="G106" s="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4">
        <v>0</v>
      </c>
      <c r="G107" s="15">
        <v>0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130</v>
      </c>
      <c r="D109" s="3" t="s">
        <v>9</v>
      </c>
      <c r="E109" s="3" t="s">
        <v>9</v>
      </c>
      <c r="F109" s="3" t="s">
        <v>9</v>
      </c>
      <c r="G109" s="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131</v>
      </c>
      <c r="D110" s="3" t="s">
        <v>9</v>
      </c>
      <c r="E110" s="3" t="s">
        <v>9</v>
      </c>
      <c r="F110" s="3" t="s">
        <v>9</v>
      </c>
      <c r="G110" s="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105</v>
      </c>
      <c r="D111" s="3" t="s">
        <v>9</v>
      </c>
      <c r="E111" s="3" t="s">
        <v>9</v>
      </c>
      <c r="F111" s="14">
        <v>0</v>
      </c>
      <c r="G111" s="15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4" t="s">
        <v>132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105</v>
      </c>
      <c r="D115" s="3" t="s">
        <v>9</v>
      </c>
      <c r="E115" s="3" t="s">
        <v>9</v>
      </c>
      <c r="F115" s="14">
        <v>0</v>
      </c>
      <c r="G115" s="15">
        <v>0</v>
      </c>
      <c r="H115" s="156"/>
    </row>
    <row r="116" spans="1:8" x14ac:dyDescent="0.2">
      <c r="A116" s="3" t="s">
        <v>9</v>
      </c>
      <c r="B116" s="3" t="s">
        <v>9</v>
      </c>
      <c r="C116" s="12" t="s">
        <v>9</v>
      </c>
      <c r="D116" s="3" t="s">
        <v>9</v>
      </c>
      <c r="E116" s="3" t="s">
        <v>9</v>
      </c>
      <c r="F116" s="13" t="s">
        <v>9</v>
      </c>
      <c r="G116" s="13" t="s">
        <v>9</v>
      </c>
      <c r="H116" s="156"/>
    </row>
    <row r="117" spans="1:8" x14ac:dyDescent="0.2">
      <c r="A117" s="3" t="s">
        <v>9</v>
      </c>
      <c r="B117" s="6" t="s">
        <v>9</v>
      </c>
      <c r="C117" s="6" t="s">
        <v>9</v>
      </c>
      <c r="D117" s="4" t="s">
        <v>9</v>
      </c>
      <c r="E117" s="3" t="s">
        <v>9</v>
      </c>
      <c r="F117" s="6" t="s">
        <v>9</v>
      </c>
      <c r="G117" s="16" t="s">
        <v>9</v>
      </c>
      <c r="H117" s="156"/>
    </row>
    <row r="118" spans="1:8" x14ac:dyDescent="0.2">
      <c r="A118" s="16" t="s">
        <v>9</v>
      </c>
      <c r="B118" s="6" t="s">
        <v>9</v>
      </c>
      <c r="C118" s="6" t="s">
        <v>133</v>
      </c>
      <c r="D118" s="6" t="s">
        <v>9</v>
      </c>
      <c r="E118" s="16" t="s">
        <v>9</v>
      </c>
      <c r="F118" s="8">
        <v>-5597.5601565799998</v>
      </c>
      <c r="G118" s="9">
        <v>-3.6467699999999999E-2</v>
      </c>
      <c r="H118" s="156"/>
    </row>
    <row r="119" spans="1:8" x14ac:dyDescent="0.2">
      <c r="A119" s="12" t="s">
        <v>9</v>
      </c>
      <c r="B119" s="12" t="s">
        <v>9</v>
      </c>
      <c r="C119" s="4" t="s">
        <v>134</v>
      </c>
      <c r="D119" s="17" t="s">
        <v>9</v>
      </c>
      <c r="E119" s="17" t="s">
        <v>9</v>
      </c>
      <c r="F119" s="10">
        <v>153493.64349349999</v>
      </c>
      <c r="G119" s="11">
        <v>0.99999999800000006</v>
      </c>
      <c r="H119" s="156"/>
    </row>
    <row r="120" spans="1:8" ht="14.1" customHeight="1" x14ac:dyDescent="0.2">
      <c r="A120" s="18" t="s">
        <v>9</v>
      </c>
      <c r="B120" s="18" t="s">
        <v>9</v>
      </c>
      <c r="C120" s="18" t="s">
        <v>9</v>
      </c>
      <c r="D120" s="19" t="s">
        <v>9</v>
      </c>
      <c r="E120" s="19" t="s">
        <v>9</v>
      </c>
      <c r="F120" s="19" t="s">
        <v>9</v>
      </c>
      <c r="G120" s="19" t="s">
        <v>9</v>
      </c>
    </row>
    <row r="121" spans="1:8" ht="14.1" customHeight="1" x14ac:dyDescent="0.2">
      <c r="A121" s="20" t="s">
        <v>9</v>
      </c>
      <c r="B121" s="200" t="s">
        <v>9</v>
      </c>
      <c r="C121" s="200"/>
      <c r="D121" s="200"/>
      <c r="E121" s="200"/>
      <c r="F121" s="200"/>
      <c r="G121" s="22" t="s">
        <v>9</v>
      </c>
    </row>
    <row r="122" spans="1:8" ht="14.1" customHeight="1" x14ac:dyDescent="0.2">
      <c r="A122" s="20" t="s">
        <v>9</v>
      </c>
      <c r="B122" s="200" t="s">
        <v>9</v>
      </c>
      <c r="C122" s="200"/>
      <c r="D122" s="200"/>
      <c r="E122" s="200"/>
      <c r="F122" s="200"/>
      <c r="G122" s="22" t="s">
        <v>9</v>
      </c>
    </row>
    <row r="123" spans="1:8" ht="14.1" customHeight="1" x14ac:dyDescent="0.2">
      <c r="A123" s="20" t="s">
        <v>9</v>
      </c>
      <c r="B123" s="20" t="s">
        <v>9</v>
      </c>
      <c r="C123" s="20" t="s">
        <v>9</v>
      </c>
      <c r="D123" s="22" t="s">
        <v>9</v>
      </c>
      <c r="E123" s="22" t="s">
        <v>9</v>
      </c>
      <c r="F123" s="22" t="s">
        <v>9</v>
      </c>
      <c r="G123" s="22" t="s">
        <v>9</v>
      </c>
    </row>
    <row r="124" spans="1:8" ht="14.1" customHeight="1" x14ac:dyDescent="0.2">
      <c r="A124" s="20" t="s">
        <v>9</v>
      </c>
      <c r="B124" s="198" t="s">
        <v>136</v>
      </c>
      <c r="C124" s="199"/>
      <c r="D124" s="13" t="s">
        <v>9</v>
      </c>
      <c r="E124" s="23" t="s">
        <v>9</v>
      </c>
      <c r="F124" s="22" t="s">
        <v>9</v>
      </c>
      <c r="G124" s="22" t="s">
        <v>9</v>
      </c>
    </row>
    <row r="125" spans="1:8" ht="29.1" customHeight="1" x14ac:dyDescent="0.2">
      <c r="A125" s="20" t="s">
        <v>9</v>
      </c>
      <c r="B125" s="205" t="s">
        <v>137</v>
      </c>
      <c r="C125" s="206"/>
      <c r="D125" s="4" t="s">
        <v>138</v>
      </c>
      <c r="E125" s="23" t="s">
        <v>9</v>
      </c>
      <c r="F125" s="22" t="s">
        <v>9</v>
      </c>
      <c r="G125" s="22" t="s">
        <v>9</v>
      </c>
    </row>
    <row r="126" spans="1:8" ht="17.100000000000001" customHeight="1" x14ac:dyDescent="0.2">
      <c r="A126" s="20" t="s">
        <v>9</v>
      </c>
      <c r="B126" s="205" t="s">
        <v>139</v>
      </c>
      <c r="C126" s="206"/>
      <c r="D126" s="4" t="s">
        <v>138</v>
      </c>
      <c r="E126" s="23" t="s">
        <v>9</v>
      </c>
      <c r="F126" s="22" t="s">
        <v>9</v>
      </c>
      <c r="G126" s="22" t="s">
        <v>9</v>
      </c>
    </row>
    <row r="127" spans="1:8" ht="17.100000000000001" customHeight="1" x14ac:dyDescent="0.2">
      <c r="A127" s="20" t="s">
        <v>9</v>
      </c>
      <c r="B127" s="205" t="s">
        <v>140</v>
      </c>
      <c r="C127" s="206"/>
      <c r="D127" s="13" t="s">
        <v>9</v>
      </c>
      <c r="E127" s="23" t="s">
        <v>9</v>
      </c>
      <c r="F127" s="22" t="s">
        <v>9</v>
      </c>
      <c r="G127" s="22" t="s">
        <v>9</v>
      </c>
    </row>
    <row r="128" spans="1:8" ht="24" customHeight="1" x14ac:dyDescent="0.2">
      <c r="A128" s="24" t="s">
        <v>9</v>
      </c>
      <c r="B128" s="25" t="s">
        <v>9</v>
      </c>
      <c r="C128" s="25" t="s">
        <v>141</v>
      </c>
      <c r="D128" s="25" t="s">
        <v>142</v>
      </c>
      <c r="E128" s="24" t="s">
        <v>9</v>
      </c>
      <c r="F128" s="24" t="s">
        <v>9</v>
      </c>
      <c r="G128" s="24" t="s">
        <v>9</v>
      </c>
    </row>
    <row r="129" spans="1:8" ht="18" customHeight="1" x14ac:dyDescent="0.2">
      <c r="A129" s="24" t="s">
        <v>9</v>
      </c>
      <c r="B129" s="25" t="s">
        <v>143</v>
      </c>
      <c r="C129" s="25" t="s">
        <v>144</v>
      </c>
      <c r="D129" s="25" t="s">
        <v>145</v>
      </c>
      <c r="E129" s="24" t="s">
        <v>9</v>
      </c>
      <c r="F129" s="24" t="s">
        <v>9</v>
      </c>
      <c r="G129" s="24" t="s">
        <v>9</v>
      </c>
    </row>
    <row r="130" spans="1:8" ht="17.100000000000001" customHeight="1" x14ac:dyDescent="0.2">
      <c r="A130" s="24" t="s">
        <v>9</v>
      </c>
      <c r="B130" s="6" t="s">
        <v>146</v>
      </c>
      <c r="C130" s="26">
        <v>17.765999999999998</v>
      </c>
      <c r="D130" s="26">
        <v>18.168800000000001</v>
      </c>
      <c r="E130" s="24" t="s">
        <v>9</v>
      </c>
      <c r="F130" s="21" t="s">
        <v>9</v>
      </c>
      <c r="G130" s="27" t="s">
        <v>9</v>
      </c>
    </row>
    <row r="131" spans="1:8" ht="17.100000000000001" customHeight="1" x14ac:dyDescent="0.2">
      <c r="A131" s="24" t="s">
        <v>9</v>
      </c>
      <c r="B131" s="6" t="s">
        <v>839</v>
      </c>
      <c r="C131" s="26">
        <v>16.263500000000001</v>
      </c>
      <c r="D131" s="26">
        <v>16.632200000000001</v>
      </c>
      <c r="E131" s="24" t="s">
        <v>9</v>
      </c>
      <c r="F131" s="21" t="s">
        <v>9</v>
      </c>
      <c r="G131" s="27" t="s">
        <v>9</v>
      </c>
    </row>
    <row r="132" spans="1:8" ht="17.100000000000001" customHeight="1" x14ac:dyDescent="0.2">
      <c r="A132" s="24" t="s">
        <v>9</v>
      </c>
      <c r="B132" s="6" t="s">
        <v>147</v>
      </c>
      <c r="C132" s="26">
        <v>17.290400000000002</v>
      </c>
      <c r="D132" s="26">
        <v>17.663599999999999</v>
      </c>
      <c r="E132" s="24" t="s">
        <v>9</v>
      </c>
      <c r="F132" s="21" t="s">
        <v>9</v>
      </c>
      <c r="G132" s="27" t="s">
        <v>9</v>
      </c>
    </row>
    <row r="133" spans="1:8" ht="17.100000000000001" customHeight="1" x14ac:dyDescent="0.2">
      <c r="A133" s="24" t="s">
        <v>9</v>
      </c>
      <c r="B133" s="6" t="s">
        <v>840</v>
      </c>
      <c r="C133" s="26">
        <v>15.814399999999999</v>
      </c>
      <c r="D133" s="26">
        <v>16.155899999999999</v>
      </c>
      <c r="E133" s="24" t="s">
        <v>9</v>
      </c>
      <c r="F133" s="21" t="s">
        <v>9</v>
      </c>
      <c r="G133" s="27" t="s">
        <v>9</v>
      </c>
    </row>
    <row r="134" spans="1:8" ht="14.1" customHeight="1" x14ac:dyDescent="0.2">
      <c r="A134" s="24" t="s">
        <v>9</v>
      </c>
      <c r="B134" s="24" t="s">
        <v>9</v>
      </c>
      <c r="C134" s="24" t="s">
        <v>9</v>
      </c>
      <c r="D134" s="24" t="s">
        <v>9</v>
      </c>
      <c r="E134" s="24" t="s">
        <v>9</v>
      </c>
      <c r="F134" s="24" t="s">
        <v>9</v>
      </c>
      <c r="G134" s="24" t="s">
        <v>9</v>
      </c>
    </row>
    <row r="135" spans="1:8" ht="29.1" customHeight="1" x14ac:dyDescent="0.2">
      <c r="A135" s="167" t="s">
        <v>9</v>
      </c>
      <c r="B135" s="207" t="s">
        <v>986</v>
      </c>
      <c r="C135" s="207"/>
      <c r="D135" s="160"/>
      <c r="E135" s="167" t="s">
        <v>9</v>
      </c>
      <c r="F135" s="167" t="s">
        <v>9</v>
      </c>
      <c r="G135" s="167" t="s">
        <v>9</v>
      </c>
    </row>
    <row r="136" spans="1:8" s="166" customFormat="1" ht="15" x14ac:dyDescent="0.2">
      <c r="A136" s="148" t="s">
        <v>9</v>
      </c>
      <c r="B136" s="161" t="s">
        <v>143</v>
      </c>
      <c r="C136" s="161" t="s">
        <v>878</v>
      </c>
      <c r="D136" s="161" t="s">
        <v>879</v>
      </c>
      <c r="E136" s="148" t="s">
        <v>9</v>
      </c>
      <c r="F136" s="148" t="s">
        <v>9</v>
      </c>
      <c r="G136" s="148" t="s">
        <v>9</v>
      </c>
      <c r="H136" s="165"/>
    </row>
    <row r="137" spans="1:8" ht="17.100000000000001" customHeight="1" x14ac:dyDescent="0.2">
      <c r="A137" s="24" t="s">
        <v>9</v>
      </c>
      <c r="B137" s="162" t="s">
        <v>839</v>
      </c>
      <c r="C137" s="163">
        <v>1.151</v>
      </c>
      <c r="D137" s="163">
        <v>1.151</v>
      </c>
      <c r="E137" s="24" t="s">
        <v>9</v>
      </c>
      <c r="F137" s="31" t="s">
        <v>9</v>
      </c>
      <c r="G137" s="27" t="s">
        <v>9</v>
      </c>
    </row>
    <row r="138" spans="1:8" ht="29.1" customHeight="1" x14ac:dyDescent="0.2">
      <c r="A138" s="24" t="s">
        <v>9</v>
      </c>
      <c r="B138" s="162" t="s">
        <v>840</v>
      </c>
      <c r="C138" s="163">
        <v>1.119</v>
      </c>
      <c r="D138" s="163">
        <v>1.119</v>
      </c>
      <c r="E138" s="24" t="s">
        <v>9</v>
      </c>
      <c r="F138" s="31" t="s">
        <v>9</v>
      </c>
      <c r="G138" s="27" t="s">
        <v>9</v>
      </c>
    </row>
    <row r="139" spans="1:8" ht="14.1" customHeight="1" x14ac:dyDescent="0.2">
      <c r="A139" s="24" t="s">
        <v>9</v>
      </c>
      <c r="B139" s="21" t="s">
        <v>9</v>
      </c>
      <c r="C139" s="21" t="s">
        <v>9</v>
      </c>
      <c r="D139" s="24" t="s">
        <v>9</v>
      </c>
      <c r="E139" s="24" t="s">
        <v>9</v>
      </c>
      <c r="F139" s="24" t="s">
        <v>9</v>
      </c>
      <c r="G139" s="24" t="s">
        <v>9</v>
      </c>
    </row>
    <row r="140" spans="1:8" s="197" customFormat="1" x14ac:dyDescent="0.2">
      <c r="B140" s="208" t="s">
        <v>841</v>
      </c>
      <c r="C140" s="208"/>
      <c r="D140" s="208"/>
      <c r="E140" s="208"/>
      <c r="F140" s="208"/>
    </row>
    <row r="141" spans="1:8" ht="14.1" customHeight="1" x14ac:dyDescent="0.2">
      <c r="A141" s="24"/>
      <c r="B141" s="182"/>
      <c r="C141" s="182"/>
      <c r="D141" s="24"/>
      <c r="E141" s="24"/>
      <c r="F141" s="24"/>
      <c r="G141" s="24"/>
    </row>
    <row r="142" spans="1:8" ht="29.1" customHeight="1" x14ac:dyDescent="0.2">
      <c r="A142" s="24" t="s">
        <v>9</v>
      </c>
      <c r="B142" s="205" t="s">
        <v>148</v>
      </c>
      <c r="C142" s="206"/>
      <c r="D142" s="4" t="s">
        <v>138</v>
      </c>
      <c r="E142" s="24" t="s">
        <v>9</v>
      </c>
      <c r="F142" s="24" t="s">
        <v>9</v>
      </c>
      <c r="G142" s="24" t="s">
        <v>9</v>
      </c>
    </row>
    <row r="143" spans="1:8" ht="29.1" customHeight="1" x14ac:dyDescent="0.2">
      <c r="A143" s="24" t="s">
        <v>9</v>
      </c>
      <c r="B143" s="205" t="s">
        <v>149</v>
      </c>
      <c r="C143" s="206"/>
      <c r="D143" s="169" t="s">
        <v>1017</v>
      </c>
      <c r="E143" s="24" t="s">
        <v>9</v>
      </c>
      <c r="F143" s="24" t="s">
        <v>9</v>
      </c>
      <c r="G143" s="24" t="s">
        <v>9</v>
      </c>
    </row>
    <row r="144" spans="1:8" ht="17.100000000000001" customHeight="1" x14ac:dyDescent="0.2">
      <c r="A144" s="24" t="s">
        <v>9</v>
      </c>
      <c r="B144" s="205" t="s">
        <v>150</v>
      </c>
      <c r="C144" s="206"/>
      <c r="D144" s="29">
        <v>0.37998144064573564</v>
      </c>
      <c r="E144" s="24" t="s">
        <v>9</v>
      </c>
      <c r="F144" s="21" t="s">
        <v>9</v>
      </c>
      <c r="G144" s="27" t="s">
        <v>9</v>
      </c>
    </row>
    <row r="145" spans="1:7" ht="17.100000000000001" customHeight="1" x14ac:dyDescent="0.2">
      <c r="A145" s="24" t="s">
        <v>9</v>
      </c>
      <c r="B145" s="205" t="s">
        <v>151</v>
      </c>
      <c r="C145" s="206"/>
      <c r="D145" s="4" t="s">
        <v>138</v>
      </c>
      <c r="E145" s="24" t="s">
        <v>9</v>
      </c>
      <c r="F145" s="24" t="s">
        <v>9</v>
      </c>
      <c r="G145" s="24" t="s">
        <v>9</v>
      </c>
    </row>
  </sheetData>
  <mergeCells count="15">
    <mergeCell ref="B144:C144"/>
    <mergeCell ref="B145:C145"/>
    <mergeCell ref="B125:C125"/>
    <mergeCell ref="B126:C126"/>
    <mergeCell ref="B127:C127"/>
    <mergeCell ref="B135:C135"/>
    <mergeCell ref="B142:C142"/>
    <mergeCell ref="B143:C143"/>
    <mergeCell ref="B140:F140"/>
    <mergeCell ref="B124:C124"/>
    <mergeCell ref="B121:F121"/>
    <mergeCell ref="B122:F12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199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599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414</v>
      </c>
      <c r="C7" s="6" t="s">
        <v>415</v>
      </c>
      <c r="D7" s="6" t="s">
        <v>54</v>
      </c>
      <c r="E7" s="7">
        <v>4035</v>
      </c>
      <c r="F7" s="8">
        <v>47.072310000000002</v>
      </c>
      <c r="G7" s="9">
        <v>1.376371E-2</v>
      </c>
      <c r="H7" s="156"/>
    </row>
    <row r="8" spans="1:8" x14ac:dyDescent="0.2">
      <c r="A8" s="5">
        <v>2</v>
      </c>
      <c r="B8" s="6" t="s">
        <v>600</v>
      </c>
      <c r="C8" s="6" t="s">
        <v>601</v>
      </c>
      <c r="D8" s="6" t="s">
        <v>54</v>
      </c>
      <c r="E8" s="7">
        <v>6671</v>
      </c>
      <c r="F8" s="8">
        <v>45.622968999999998</v>
      </c>
      <c r="G8" s="9">
        <v>1.333993E-2</v>
      </c>
      <c r="H8" s="156"/>
    </row>
    <row r="9" spans="1:8" x14ac:dyDescent="0.2">
      <c r="A9" s="5">
        <v>3</v>
      </c>
      <c r="B9" s="6" t="s">
        <v>602</v>
      </c>
      <c r="C9" s="6" t="s">
        <v>603</v>
      </c>
      <c r="D9" s="6" t="s">
        <v>608</v>
      </c>
      <c r="E9" s="7">
        <v>2987</v>
      </c>
      <c r="F9" s="8">
        <v>45.030518499999999</v>
      </c>
      <c r="G9" s="9">
        <v>1.31667E-2</v>
      </c>
      <c r="H9" s="156"/>
    </row>
    <row r="10" spans="1:8" x14ac:dyDescent="0.2">
      <c r="A10" s="5">
        <v>4</v>
      </c>
      <c r="B10" s="6" t="s">
        <v>604</v>
      </c>
      <c r="C10" s="6" t="s">
        <v>605</v>
      </c>
      <c r="D10" s="6" t="s">
        <v>196</v>
      </c>
      <c r="E10" s="7">
        <v>6979</v>
      </c>
      <c r="F10" s="8">
        <v>45.028508000000002</v>
      </c>
      <c r="G10" s="9">
        <v>1.3166112000000001E-2</v>
      </c>
      <c r="H10" s="156"/>
    </row>
    <row r="11" spans="1:8" x14ac:dyDescent="0.2">
      <c r="A11" s="5">
        <v>5</v>
      </c>
      <c r="B11" s="6" t="s">
        <v>606</v>
      </c>
      <c r="C11" s="6" t="s">
        <v>607</v>
      </c>
      <c r="D11" s="6" t="s">
        <v>608</v>
      </c>
      <c r="E11" s="7">
        <v>23625</v>
      </c>
      <c r="F11" s="8">
        <v>43.493625000000002</v>
      </c>
      <c r="G11" s="9">
        <v>1.2717320000000001E-2</v>
      </c>
      <c r="H11" s="156"/>
    </row>
    <row r="12" spans="1:8" x14ac:dyDescent="0.2">
      <c r="A12" s="5">
        <v>6</v>
      </c>
      <c r="B12" s="6" t="s">
        <v>609</v>
      </c>
      <c r="C12" s="6" t="s">
        <v>610</v>
      </c>
      <c r="D12" s="6" t="s">
        <v>971</v>
      </c>
      <c r="E12" s="7">
        <v>6802</v>
      </c>
      <c r="F12" s="8">
        <v>41.675854000000001</v>
      </c>
      <c r="G12" s="9">
        <v>1.2185813E-2</v>
      </c>
      <c r="H12" s="156"/>
    </row>
    <row r="13" spans="1:8" x14ac:dyDescent="0.2">
      <c r="A13" s="5">
        <v>7</v>
      </c>
      <c r="B13" s="6" t="s">
        <v>410</v>
      </c>
      <c r="C13" s="6" t="s">
        <v>411</v>
      </c>
      <c r="D13" s="6" t="s">
        <v>169</v>
      </c>
      <c r="E13" s="7">
        <v>7330</v>
      </c>
      <c r="F13" s="8">
        <v>39.996144999999999</v>
      </c>
      <c r="G13" s="9">
        <v>1.1694674E-2</v>
      </c>
      <c r="H13" s="156"/>
    </row>
    <row r="14" spans="1:8" x14ac:dyDescent="0.2">
      <c r="A14" s="5">
        <v>8</v>
      </c>
      <c r="B14" s="6" t="s">
        <v>611</v>
      </c>
      <c r="C14" s="6" t="s">
        <v>612</v>
      </c>
      <c r="D14" s="6" t="s">
        <v>73</v>
      </c>
      <c r="E14" s="7">
        <v>7429</v>
      </c>
      <c r="F14" s="8">
        <v>39.433132000000001</v>
      </c>
      <c r="G14" s="9">
        <v>1.1530052000000001E-2</v>
      </c>
      <c r="H14" s="156"/>
    </row>
    <row r="15" spans="1:8" x14ac:dyDescent="0.2">
      <c r="A15" s="5">
        <v>9</v>
      </c>
      <c r="B15" s="6" t="s">
        <v>613</v>
      </c>
      <c r="C15" s="6" t="s">
        <v>614</v>
      </c>
      <c r="D15" s="6" t="s">
        <v>166</v>
      </c>
      <c r="E15" s="7">
        <v>1634</v>
      </c>
      <c r="F15" s="8">
        <v>39.187404999999998</v>
      </c>
      <c r="G15" s="9">
        <v>1.1458203E-2</v>
      </c>
      <c r="H15" s="156"/>
    </row>
    <row r="16" spans="1:8" x14ac:dyDescent="0.2">
      <c r="A16" s="5">
        <v>10</v>
      </c>
      <c r="B16" s="6" t="s">
        <v>386</v>
      </c>
      <c r="C16" s="6" t="s">
        <v>387</v>
      </c>
      <c r="D16" s="6" t="s">
        <v>971</v>
      </c>
      <c r="E16" s="7">
        <v>322</v>
      </c>
      <c r="F16" s="8">
        <v>38.991140999999999</v>
      </c>
      <c r="G16" s="9">
        <v>1.1400815999999999E-2</v>
      </c>
      <c r="H16" s="156"/>
    </row>
    <row r="17" spans="1:8" x14ac:dyDescent="0.2">
      <c r="A17" s="5">
        <v>11</v>
      </c>
      <c r="B17" s="6" t="s">
        <v>259</v>
      </c>
      <c r="C17" s="6" t="s">
        <v>260</v>
      </c>
      <c r="D17" s="6" t="s">
        <v>261</v>
      </c>
      <c r="E17" s="7">
        <v>4914</v>
      </c>
      <c r="F17" s="8">
        <v>38.960648999999997</v>
      </c>
      <c r="G17" s="9">
        <v>1.1391900999999999E-2</v>
      </c>
      <c r="H17" s="156"/>
    </row>
    <row r="18" spans="1:8" x14ac:dyDescent="0.2">
      <c r="A18" s="5">
        <v>12</v>
      </c>
      <c r="B18" s="6" t="s">
        <v>615</v>
      </c>
      <c r="C18" s="6" t="s">
        <v>616</v>
      </c>
      <c r="D18" s="6" t="s">
        <v>17</v>
      </c>
      <c r="E18" s="7">
        <v>12885</v>
      </c>
      <c r="F18" s="8">
        <v>37.778820000000003</v>
      </c>
      <c r="G18" s="9">
        <v>1.104634E-2</v>
      </c>
      <c r="H18" s="156"/>
    </row>
    <row r="19" spans="1:8" x14ac:dyDescent="0.2">
      <c r="A19" s="5">
        <v>13</v>
      </c>
      <c r="B19" s="6" t="s">
        <v>301</v>
      </c>
      <c r="C19" s="6" t="s">
        <v>302</v>
      </c>
      <c r="D19" s="6" t="s">
        <v>172</v>
      </c>
      <c r="E19" s="7">
        <v>1043</v>
      </c>
      <c r="F19" s="8">
        <v>37.755035499999998</v>
      </c>
      <c r="G19" s="9">
        <v>1.1039385000000001E-2</v>
      </c>
      <c r="H19" s="156"/>
    </row>
    <row r="20" spans="1:8" x14ac:dyDescent="0.2">
      <c r="A20" s="5">
        <v>14</v>
      </c>
      <c r="B20" s="6" t="s">
        <v>418</v>
      </c>
      <c r="C20" s="6" t="s">
        <v>419</v>
      </c>
      <c r="D20" s="6" t="s">
        <v>196</v>
      </c>
      <c r="E20" s="7">
        <v>850</v>
      </c>
      <c r="F20" s="8">
        <v>37.470125000000003</v>
      </c>
      <c r="G20" s="9">
        <v>1.0956079000000001E-2</v>
      </c>
      <c r="H20" s="156"/>
    </row>
    <row r="21" spans="1:8" x14ac:dyDescent="0.2">
      <c r="A21" s="5">
        <v>15</v>
      </c>
      <c r="B21" s="6" t="s">
        <v>617</v>
      </c>
      <c r="C21" s="6" t="s">
        <v>618</v>
      </c>
      <c r="D21" s="6" t="s">
        <v>73</v>
      </c>
      <c r="E21" s="7">
        <v>4302</v>
      </c>
      <c r="F21" s="8">
        <v>37.438155000000002</v>
      </c>
      <c r="G21" s="9">
        <v>1.0946730999999999E-2</v>
      </c>
      <c r="H21" s="156"/>
    </row>
    <row r="22" spans="1:8" x14ac:dyDescent="0.2">
      <c r="A22" s="5">
        <v>16</v>
      </c>
      <c r="B22" s="6" t="s">
        <v>619</v>
      </c>
      <c r="C22" s="6" t="s">
        <v>620</v>
      </c>
      <c r="D22" s="6" t="s">
        <v>43</v>
      </c>
      <c r="E22" s="7">
        <v>3485</v>
      </c>
      <c r="F22" s="8">
        <v>36.921832500000001</v>
      </c>
      <c r="G22" s="9">
        <v>1.0795760999999999E-2</v>
      </c>
      <c r="H22" s="156"/>
    </row>
    <row r="23" spans="1:8" x14ac:dyDescent="0.2">
      <c r="A23" s="5">
        <v>17</v>
      </c>
      <c r="B23" s="6" t="s">
        <v>621</v>
      </c>
      <c r="C23" s="6" t="s">
        <v>622</v>
      </c>
      <c r="D23" s="6" t="s">
        <v>166</v>
      </c>
      <c r="E23" s="7">
        <v>2471</v>
      </c>
      <c r="F23" s="8">
        <v>36.611571499999997</v>
      </c>
      <c r="G23" s="9">
        <v>1.0705042E-2</v>
      </c>
      <c r="H23" s="156"/>
    </row>
    <row r="24" spans="1:8" x14ac:dyDescent="0.2">
      <c r="A24" s="5">
        <v>18</v>
      </c>
      <c r="B24" s="6" t="s">
        <v>567</v>
      </c>
      <c r="C24" s="6" t="s">
        <v>568</v>
      </c>
      <c r="D24" s="6" t="s">
        <v>73</v>
      </c>
      <c r="E24" s="7">
        <v>1218</v>
      </c>
      <c r="F24" s="8">
        <v>36.451085999999997</v>
      </c>
      <c r="G24" s="9">
        <v>1.0658117E-2</v>
      </c>
      <c r="H24" s="156"/>
    </row>
    <row r="25" spans="1:8" x14ac:dyDescent="0.2">
      <c r="A25" s="5">
        <v>19</v>
      </c>
      <c r="B25" s="6" t="s">
        <v>441</v>
      </c>
      <c r="C25" s="6" t="s">
        <v>442</v>
      </c>
      <c r="D25" s="6" t="s">
        <v>196</v>
      </c>
      <c r="E25" s="7">
        <v>669</v>
      </c>
      <c r="F25" s="8">
        <v>36.280204500000004</v>
      </c>
      <c r="G25" s="9">
        <v>1.0608151999999999E-2</v>
      </c>
      <c r="H25" s="156"/>
    </row>
    <row r="26" spans="1:8" x14ac:dyDescent="0.2">
      <c r="A26" s="5">
        <v>20</v>
      </c>
      <c r="B26" s="6" t="s">
        <v>445</v>
      </c>
      <c r="C26" s="6" t="s">
        <v>446</v>
      </c>
      <c r="D26" s="6" t="s">
        <v>191</v>
      </c>
      <c r="E26" s="7">
        <v>14974</v>
      </c>
      <c r="F26" s="8">
        <v>36.252054000000001</v>
      </c>
      <c r="G26" s="9">
        <v>1.0599921E-2</v>
      </c>
      <c r="H26" s="156"/>
    </row>
    <row r="27" spans="1:8" x14ac:dyDescent="0.2">
      <c r="A27" s="5">
        <v>21</v>
      </c>
      <c r="B27" s="6" t="s">
        <v>437</v>
      </c>
      <c r="C27" s="6" t="s">
        <v>438</v>
      </c>
      <c r="D27" s="6" t="s">
        <v>196</v>
      </c>
      <c r="E27" s="7">
        <v>3715</v>
      </c>
      <c r="F27" s="8">
        <v>36.106085</v>
      </c>
      <c r="G27" s="9">
        <v>1.0557240000000001E-2</v>
      </c>
      <c r="H27" s="156"/>
    </row>
    <row r="28" spans="1:8" x14ac:dyDescent="0.2">
      <c r="A28" s="5">
        <v>22</v>
      </c>
      <c r="B28" s="6" t="s">
        <v>378</v>
      </c>
      <c r="C28" s="6" t="s">
        <v>379</v>
      </c>
      <c r="D28" s="6" t="s">
        <v>73</v>
      </c>
      <c r="E28" s="7">
        <v>4763</v>
      </c>
      <c r="F28" s="8">
        <v>35.932071999999998</v>
      </c>
      <c r="G28" s="9">
        <v>1.0506359999999999E-2</v>
      </c>
      <c r="H28" s="156"/>
    </row>
    <row r="29" spans="1:8" x14ac:dyDescent="0.2">
      <c r="A29" s="5">
        <v>23</v>
      </c>
      <c r="B29" s="6" t="s">
        <v>623</v>
      </c>
      <c r="C29" s="6" t="s">
        <v>624</v>
      </c>
      <c r="D29" s="6" t="s">
        <v>155</v>
      </c>
      <c r="E29" s="7">
        <v>1663</v>
      </c>
      <c r="F29" s="8">
        <v>35.8201885</v>
      </c>
      <c r="G29" s="9">
        <v>1.0473645E-2</v>
      </c>
      <c r="H29" s="156"/>
    </row>
    <row r="30" spans="1:8" x14ac:dyDescent="0.2">
      <c r="A30" s="5">
        <v>24</v>
      </c>
      <c r="B30" s="6" t="s">
        <v>482</v>
      </c>
      <c r="C30" s="6" t="s">
        <v>483</v>
      </c>
      <c r="D30" s="6" t="s">
        <v>73</v>
      </c>
      <c r="E30" s="7">
        <v>5369</v>
      </c>
      <c r="F30" s="8">
        <v>35.523988500000002</v>
      </c>
      <c r="G30" s="9">
        <v>1.0387037999999999E-2</v>
      </c>
      <c r="H30" s="156"/>
    </row>
    <row r="31" spans="1:8" x14ac:dyDescent="0.2">
      <c r="A31" s="5">
        <v>25</v>
      </c>
      <c r="B31" s="6" t="s">
        <v>625</v>
      </c>
      <c r="C31" s="6" t="s">
        <v>626</v>
      </c>
      <c r="D31" s="6" t="s">
        <v>196</v>
      </c>
      <c r="E31" s="7">
        <v>1105</v>
      </c>
      <c r="F31" s="8">
        <v>35.3528175</v>
      </c>
      <c r="G31" s="9">
        <v>1.0336989E-2</v>
      </c>
      <c r="H31" s="156"/>
    </row>
    <row r="32" spans="1:8" x14ac:dyDescent="0.2">
      <c r="A32" s="5">
        <v>26</v>
      </c>
      <c r="B32" s="6" t="s">
        <v>596</v>
      </c>
      <c r="C32" s="6" t="s">
        <v>597</v>
      </c>
      <c r="D32" s="6" t="s">
        <v>345</v>
      </c>
      <c r="E32" s="7">
        <v>1047</v>
      </c>
      <c r="F32" s="8">
        <v>35.012726999999998</v>
      </c>
      <c r="G32" s="9">
        <v>1.0237548000000001E-2</v>
      </c>
      <c r="H32" s="156"/>
    </row>
    <row r="33" spans="1:8" x14ac:dyDescent="0.2">
      <c r="A33" s="5">
        <v>27</v>
      </c>
      <c r="B33" s="6" t="s">
        <v>627</v>
      </c>
      <c r="C33" s="6" t="s">
        <v>628</v>
      </c>
      <c r="D33" s="6" t="s">
        <v>73</v>
      </c>
      <c r="E33" s="7">
        <v>2419</v>
      </c>
      <c r="F33" s="8">
        <v>34.985996999999998</v>
      </c>
      <c r="G33" s="9">
        <v>1.0229732E-2</v>
      </c>
      <c r="H33" s="156"/>
    </row>
    <row r="34" spans="1:8" x14ac:dyDescent="0.2">
      <c r="A34" s="5">
        <v>28</v>
      </c>
      <c r="B34" s="6" t="s">
        <v>629</v>
      </c>
      <c r="C34" s="6" t="s">
        <v>630</v>
      </c>
      <c r="D34" s="6" t="s">
        <v>22</v>
      </c>
      <c r="E34" s="7">
        <v>82616</v>
      </c>
      <c r="F34" s="8">
        <v>34.946567999999999</v>
      </c>
      <c r="G34" s="9">
        <v>1.0218203E-2</v>
      </c>
      <c r="H34" s="156"/>
    </row>
    <row r="35" spans="1:8" x14ac:dyDescent="0.2">
      <c r="A35" s="5">
        <v>29</v>
      </c>
      <c r="B35" s="6" t="s">
        <v>501</v>
      </c>
      <c r="C35" s="6" t="s">
        <v>502</v>
      </c>
      <c r="D35" s="6" t="s">
        <v>63</v>
      </c>
      <c r="E35" s="7">
        <v>2017</v>
      </c>
      <c r="F35" s="8">
        <v>34.944524999999999</v>
      </c>
      <c r="G35" s="9">
        <v>1.0217606000000001E-2</v>
      </c>
      <c r="H35" s="156"/>
    </row>
    <row r="36" spans="1:8" x14ac:dyDescent="0.2">
      <c r="A36" s="5">
        <v>30</v>
      </c>
      <c r="B36" s="6" t="s">
        <v>631</v>
      </c>
      <c r="C36" s="6" t="s">
        <v>632</v>
      </c>
      <c r="D36" s="6" t="s">
        <v>17</v>
      </c>
      <c r="E36" s="7">
        <v>32316</v>
      </c>
      <c r="F36" s="8">
        <v>34.868963999999998</v>
      </c>
      <c r="G36" s="9">
        <v>1.0195512E-2</v>
      </c>
      <c r="H36" s="156"/>
    </row>
    <row r="37" spans="1:8" x14ac:dyDescent="0.2">
      <c r="A37" s="5">
        <v>31</v>
      </c>
      <c r="B37" s="6" t="s">
        <v>633</v>
      </c>
      <c r="C37" s="6" t="s">
        <v>634</v>
      </c>
      <c r="D37" s="6" t="s">
        <v>196</v>
      </c>
      <c r="E37" s="7">
        <v>1196</v>
      </c>
      <c r="F37" s="8">
        <v>34.703136000000001</v>
      </c>
      <c r="G37" s="9">
        <v>1.0147025E-2</v>
      </c>
      <c r="H37" s="156"/>
    </row>
    <row r="38" spans="1:8" x14ac:dyDescent="0.2">
      <c r="A38" s="5">
        <v>32</v>
      </c>
      <c r="B38" s="6" t="s">
        <v>430</v>
      </c>
      <c r="C38" s="6" t="s">
        <v>431</v>
      </c>
      <c r="D38" s="6" t="s">
        <v>432</v>
      </c>
      <c r="E38" s="7">
        <v>9323</v>
      </c>
      <c r="F38" s="8">
        <v>34.686221500000002</v>
      </c>
      <c r="G38" s="9">
        <v>1.0142079E-2</v>
      </c>
      <c r="H38" s="156"/>
    </row>
    <row r="39" spans="1:8" x14ac:dyDescent="0.2">
      <c r="A39" s="5">
        <v>33</v>
      </c>
      <c r="B39" s="6" t="s">
        <v>498</v>
      </c>
      <c r="C39" s="6" t="s">
        <v>499</v>
      </c>
      <c r="D39" s="6" t="s">
        <v>92</v>
      </c>
      <c r="E39" s="7">
        <v>10209</v>
      </c>
      <c r="F39" s="8">
        <v>34.669764000000001</v>
      </c>
      <c r="G39" s="9">
        <v>1.0137267E-2</v>
      </c>
      <c r="H39" s="156"/>
    </row>
    <row r="40" spans="1:8" x14ac:dyDescent="0.2">
      <c r="A40" s="5">
        <v>34</v>
      </c>
      <c r="B40" s="6" t="s">
        <v>635</v>
      </c>
      <c r="C40" s="6" t="s">
        <v>636</v>
      </c>
      <c r="D40" s="6" t="s">
        <v>432</v>
      </c>
      <c r="E40" s="7">
        <v>13180</v>
      </c>
      <c r="F40" s="8">
        <v>34.643630000000002</v>
      </c>
      <c r="G40" s="9">
        <v>1.0129625999999999E-2</v>
      </c>
      <c r="H40" s="156"/>
    </row>
    <row r="41" spans="1:8" x14ac:dyDescent="0.2">
      <c r="A41" s="5">
        <v>35</v>
      </c>
      <c r="B41" s="6" t="s">
        <v>579</v>
      </c>
      <c r="C41" s="6" t="s">
        <v>580</v>
      </c>
      <c r="D41" s="6" t="s">
        <v>92</v>
      </c>
      <c r="E41" s="7">
        <v>838</v>
      </c>
      <c r="F41" s="8">
        <v>34.641663000000001</v>
      </c>
      <c r="G41" s="9">
        <v>1.0129050000000001E-2</v>
      </c>
      <c r="H41" s="156"/>
    </row>
    <row r="42" spans="1:8" x14ac:dyDescent="0.2">
      <c r="A42" s="5">
        <v>36</v>
      </c>
      <c r="B42" s="6" t="s">
        <v>402</v>
      </c>
      <c r="C42" s="6" t="s">
        <v>403</v>
      </c>
      <c r="D42" s="6" t="s">
        <v>22</v>
      </c>
      <c r="E42" s="7">
        <v>8263</v>
      </c>
      <c r="F42" s="8">
        <v>34.638496000000004</v>
      </c>
      <c r="G42" s="9">
        <v>1.0128124000000001E-2</v>
      </c>
      <c r="H42" s="156"/>
    </row>
    <row r="43" spans="1:8" x14ac:dyDescent="0.2">
      <c r="A43" s="5">
        <v>37</v>
      </c>
      <c r="B43" s="6" t="s">
        <v>398</v>
      </c>
      <c r="C43" s="6" t="s">
        <v>399</v>
      </c>
      <c r="D43" s="6" t="s">
        <v>169</v>
      </c>
      <c r="E43" s="7">
        <v>2191</v>
      </c>
      <c r="F43" s="8">
        <v>34.635328000000001</v>
      </c>
      <c r="G43" s="9">
        <v>1.0127198E-2</v>
      </c>
      <c r="H43" s="156"/>
    </row>
    <row r="44" spans="1:8" x14ac:dyDescent="0.2">
      <c r="A44" s="5">
        <v>38</v>
      </c>
      <c r="B44" s="6" t="s">
        <v>571</v>
      </c>
      <c r="C44" s="6" t="s">
        <v>572</v>
      </c>
      <c r="D44" s="6" t="s">
        <v>166</v>
      </c>
      <c r="E44" s="7">
        <v>573</v>
      </c>
      <c r="F44" s="8">
        <v>34.470820500000002</v>
      </c>
      <c r="G44" s="9">
        <v>1.0079097E-2</v>
      </c>
      <c r="H44" s="156"/>
    </row>
    <row r="45" spans="1:8" x14ac:dyDescent="0.2">
      <c r="A45" s="5">
        <v>39</v>
      </c>
      <c r="B45" s="6" t="s">
        <v>412</v>
      </c>
      <c r="C45" s="6" t="s">
        <v>413</v>
      </c>
      <c r="D45" s="6" t="s">
        <v>196</v>
      </c>
      <c r="E45" s="7">
        <v>5097</v>
      </c>
      <c r="F45" s="8">
        <v>34.4276865</v>
      </c>
      <c r="G45" s="9">
        <v>1.0066485E-2</v>
      </c>
      <c r="H45" s="156"/>
    </row>
    <row r="46" spans="1:8" x14ac:dyDescent="0.2">
      <c r="A46" s="5">
        <v>40</v>
      </c>
      <c r="B46" s="6" t="s">
        <v>76</v>
      </c>
      <c r="C46" s="6" t="s">
        <v>77</v>
      </c>
      <c r="D46" s="6" t="s">
        <v>78</v>
      </c>
      <c r="E46" s="7">
        <v>22963</v>
      </c>
      <c r="F46" s="8">
        <v>34.364129499999997</v>
      </c>
      <c r="G46" s="9">
        <v>1.0047901E-2</v>
      </c>
      <c r="H46" s="156"/>
    </row>
    <row r="47" spans="1:8" x14ac:dyDescent="0.2">
      <c r="A47" s="5">
        <v>41</v>
      </c>
      <c r="B47" s="6" t="s">
        <v>404</v>
      </c>
      <c r="C47" s="6" t="s">
        <v>405</v>
      </c>
      <c r="D47" s="6" t="s">
        <v>971</v>
      </c>
      <c r="E47" s="7">
        <v>3395</v>
      </c>
      <c r="F47" s="8">
        <v>34.226692499999999</v>
      </c>
      <c r="G47" s="9">
        <v>1.0007715E-2</v>
      </c>
      <c r="H47" s="156"/>
    </row>
    <row r="48" spans="1:8" x14ac:dyDescent="0.2">
      <c r="A48" s="5">
        <v>42</v>
      </c>
      <c r="B48" s="6" t="s">
        <v>637</v>
      </c>
      <c r="C48" s="6" t="s">
        <v>638</v>
      </c>
      <c r="D48" s="6" t="s">
        <v>972</v>
      </c>
      <c r="E48" s="7">
        <v>9974</v>
      </c>
      <c r="F48" s="8">
        <v>33.976430999999998</v>
      </c>
      <c r="G48" s="9">
        <v>9.9345400000000004E-3</v>
      </c>
      <c r="H48" s="156"/>
    </row>
    <row r="49" spans="1:8" x14ac:dyDescent="0.2">
      <c r="A49" s="5">
        <v>43</v>
      </c>
      <c r="B49" s="6" t="s">
        <v>639</v>
      </c>
      <c r="C49" s="6" t="s">
        <v>640</v>
      </c>
      <c r="D49" s="6" t="s">
        <v>196</v>
      </c>
      <c r="E49" s="7">
        <v>2952</v>
      </c>
      <c r="F49" s="8">
        <v>33.921432000000003</v>
      </c>
      <c r="G49" s="9">
        <v>9.9184579999999998E-3</v>
      </c>
      <c r="H49" s="156"/>
    </row>
    <row r="50" spans="1:8" x14ac:dyDescent="0.2">
      <c r="A50" s="5">
        <v>44</v>
      </c>
      <c r="B50" s="6" t="s">
        <v>83</v>
      </c>
      <c r="C50" s="6" t="s">
        <v>84</v>
      </c>
      <c r="D50" s="6" t="s">
        <v>85</v>
      </c>
      <c r="E50" s="7">
        <v>28767</v>
      </c>
      <c r="F50" s="8">
        <v>33.858758999999999</v>
      </c>
      <c r="G50" s="9">
        <v>9.9001330000000002E-3</v>
      </c>
      <c r="H50" s="156"/>
    </row>
    <row r="51" spans="1:8" x14ac:dyDescent="0.2">
      <c r="A51" s="5">
        <v>45</v>
      </c>
      <c r="B51" s="6" t="s">
        <v>641</v>
      </c>
      <c r="C51" s="6" t="s">
        <v>642</v>
      </c>
      <c r="D51" s="6" t="s">
        <v>196</v>
      </c>
      <c r="E51" s="7">
        <v>3493</v>
      </c>
      <c r="F51" s="8">
        <v>33.714435999999999</v>
      </c>
      <c r="G51" s="9">
        <v>9.8579340000000005E-3</v>
      </c>
      <c r="H51" s="156"/>
    </row>
    <row r="52" spans="1:8" x14ac:dyDescent="0.2">
      <c r="A52" s="5">
        <v>46</v>
      </c>
      <c r="B52" s="6" t="s">
        <v>643</v>
      </c>
      <c r="C52" s="6" t="s">
        <v>644</v>
      </c>
      <c r="D52" s="6" t="s">
        <v>608</v>
      </c>
      <c r="E52" s="7">
        <v>22875</v>
      </c>
      <c r="F52" s="8">
        <v>33.546187500000002</v>
      </c>
      <c r="G52" s="9">
        <v>9.8087390000000003E-3</v>
      </c>
      <c r="H52" s="156"/>
    </row>
    <row r="53" spans="1:8" x14ac:dyDescent="0.2">
      <c r="A53" s="5">
        <v>47</v>
      </c>
      <c r="B53" s="6" t="s">
        <v>645</v>
      </c>
      <c r="C53" s="6" t="s">
        <v>646</v>
      </c>
      <c r="D53" s="6" t="s">
        <v>169</v>
      </c>
      <c r="E53" s="7">
        <v>3031</v>
      </c>
      <c r="F53" s="8">
        <v>33.203089499999997</v>
      </c>
      <c r="G53" s="9">
        <v>9.7084189999999994E-3</v>
      </c>
      <c r="H53" s="156"/>
    </row>
    <row r="54" spans="1:8" x14ac:dyDescent="0.2">
      <c r="A54" s="5">
        <v>48</v>
      </c>
      <c r="B54" s="6" t="s">
        <v>647</v>
      </c>
      <c r="C54" s="6" t="s">
        <v>648</v>
      </c>
      <c r="D54" s="6" t="s">
        <v>43</v>
      </c>
      <c r="E54" s="7">
        <v>28391</v>
      </c>
      <c r="F54" s="8">
        <v>33.047123999999997</v>
      </c>
      <c r="G54" s="9">
        <v>9.6628149999999999E-3</v>
      </c>
      <c r="H54" s="156"/>
    </row>
    <row r="55" spans="1:8" x14ac:dyDescent="0.2">
      <c r="A55" s="5">
        <v>49</v>
      </c>
      <c r="B55" s="6" t="s">
        <v>420</v>
      </c>
      <c r="C55" s="6" t="s">
        <v>421</v>
      </c>
      <c r="D55" s="6" t="s">
        <v>971</v>
      </c>
      <c r="E55" s="7">
        <v>2107</v>
      </c>
      <c r="F55" s="8">
        <v>33.016689999999997</v>
      </c>
      <c r="G55" s="9">
        <v>9.6539160000000002E-3</v>
      </c>
      <c r="H55" s="156"/>
    </row>
    <row r="56" spans="1:8" x14ac:dyDescent="0.2">
      <c r="A56" s="5">
        <v>50</v>
      </c>
      <c r="B56" s="6" t="s">
        <v>509</v>
      </c>
      <c r="C56" s="6" t="s">
        <v>510</v>
      </c>
      <c r="D56" s="6" t="s">
        <v>35</v>
      </c>
      <c r="E56" s="7">
        <v>1627</v>
      </c>
      <c r="F56" s="8">
        <v>32.882483499999999</v>
      </c>
      <c r="G56" s="9">
        <v>9.6146749999999996E-3</v>
      </c>
      <c r="H56" s="156"/>
    </row>
    <row r="57" spans="1:8" x14ac:dyDescent="0.2">
      <c r="A57" s="5">
        <v>51</v>
      </c>
      <c r="B57" s="6" t="s">
        <v>57</v>
      </c>
      <c r="C57" s="6" t="s">
        <v>58</v>
      </c>
      <c r="D57" s="6" t="s">
        <v>17</v>
      </c>
      <c r="E57" s="7">
        <v>7006</v>
      </c>
      <c r="F57" s="8">
        <v>32.795085999999998</v>
      </c>
      <c r="G57" s="9">
        <v>9.5891210000000008E-3</v>
      </c>
      <c r="H57" s="156"/>
    </row>
    <row r="58" spans="1:8" x14ac:dyDescent="0.2">
      <c r="A58" s="5">
        <v>52</v>
      </c>
      <c r="B58" s="6" t="s">
        <v>594</v>
      </c>
      <c r="C58" s="6" t="s">
        <v>595</v>
      </c>
      <c r="D58" s="6" t="s">
        <v>345</v>
      </c>
      <c r="E58" s="7">
        <v>664</v>
      </c>
      <c r="F58" s="8">
        <v>32.64058</v>
      </c>
      <c r="G58" s="9">
        <v>9.5439440000000004E-3</v>
      </c>
      <c r="H58" s="156"/>
    </row>
    <row r="59" spans="1:8" x14ac:dyDescent="0.2">
      <c r="A59" s="5">
        <v>53</v>
      </c>
      <c r="B59" s="6" t="s">
        <v>649</v>
      </c>
      <c r="C59" s="6" t="s">
        <v>650</v>
      </c>
      <c r="D59" s="6" t="s">
        <v>196</v>
      </c>
      <c r="E59" s="7">
        <v>194</v>
      </c>
      <c r="F59" s="8">
        <v>32.609265999999998</v>
      </c>
      <c r="G59" s="9">
        <v>9.5347880000000006E-3</v>
      </c>
      <c r="H59" s="156"/>
    </row>
    <row r="60" spans="1:8" x14ac:dyDescent="0.2">
      <c r="A60" s="5">
        <v>54</v>
      </c>
      <c r="B60" s="6" t="s">
        <v>103</v>
      </c>
      <c r="C60" s="6" t="s">
        <v>104</v>
      </c>
      <c r="D60" s="6" t="s">
        <v>78</v>
      </c>
      <c r="E60" s="7">
        <v>5838</v>
      </c>
      <c r="F60" s="8">
        <v>32.561444999999999</v>
      </c>
      <c r="G60" s="9">
        <v>9.5208050000000002E-3</v>
      </c>
      <c r="H60" s="156"/>
    </row>
    <row r="61" spans="1:8" x14ac:dyDescent="0.2">
      <c r="A61" s="5">
        <v>55</v>
      </c>
      <c r="B61" s="6" t="s">
        <v>651</v>
      </c>
      <c r="C61" s="6" t="s">
        <v>652</v>
      </c>
      <c r="D61" s="6" t="s">
        <v>166</v>
      </c>
      <c r="E61" s="7">
        <v>898</v>
      </c>
      <c r="F61" s="8">
        <v>32.455964999999999</v>
      </c>
      <c r="G61" s="9">
        <v>9.4899630000000006E-3</v>
      </c>
      <c r="H61" s="156"/>
    </row>
    <row r="62" spans="1:8" x14ac:dyDescent="0.2">
      <c r="A62" s="5">
        <v>56</v>
      </c>
      <c r="B62" s="6" t="s">
        <v>406</v>
      </c>
      <c r="C62" s="6" t="s">
        <v>407</v>
      </c>
      <c r="D62" s="6" t="s">
        <v>73</v>
      </c>
      <c r="E62" s="7">
        <v>1311</v>
      </c>
      <c r="F62" s="8">
        <v>32.398743000000003</v>
      </c>
      <c r="G62" s="9">
        <v>9.4732319999999998E-3</v>
      </c>
      <c r="H62" s="156"/>
    </row>
    <row r="63" spans="1:8" x14ac:dyDescent="0.2">
      <c r="A63" s="5">
        <v>57</v>
      </c>
      <c r="B63" s="6" t="s">
        <v>20</v>
      </c>
      <c r="C63" s="6" t="s">
        <v>21</v>
      </c>
      <c r="D63" s="6" t="s">
        <v>22</v>
      </c>
      <c r="E63" s="7">
        <v>5133</v>
      </c>
      <c r="F63" s="8">
        <v>32.384096999999997</v>
      </c>
      <c r="G63" s="9">
        <v>9.4689490000000008E-3</v>
      </c>
      <c r="H63" s="156"/>
    </row>
    <row r="64" spans="1:8" x14ac:dyDescent="0.2">
      <c r="A64" s="5">
        <v>58</v>
      </c>
      <c r="B64" s="6" t="s">
        <v>491</v>
      </c>
      <c r="C64" s="6" t="s">
        <v>492</v>
      </c>
      <c r="D64" s="6" t="s">
        <v>92</v>
      </c>
      <c r="E64" s="7">
        <v>430</v>
      </c>
      <c r="F64" s="8">
        <v>32.318370000000002</v>
      </c>
      <c r="G64" s="9">
        <v>9.4497309999999994E-3</v>
      </c>
      <c r="H64" s="156"/>
    </row>
    <row r="65" spans="1:8" x14ac:dyDescent="0.2">
      <c r="A65" s="5">
        <v>59</v>
      </c>
      <c r="B65" s="6" t="s">
        <v>653</v>
      </c>
      <c r="C65" s="6" t="s">
        <v>654</v>
      </c>
      <c r="D65" s="6" t="s">
        <v>73</v>
      </c>
      <c r="E65" s="7">
        <v>1916</v>
      </c>
      <c r="F65" s="8">
        <v>32.299928000000001</v>
      </c>
      <c r="G65" s="9">
        <v>9.4443389999999995E-3</v>
      </c>
      <c r="H65" s="156"/>
    </row>
    <row r="66" spans="1:8" x14ac:dyDescent="0.2">
      <c r="A66" s="5">
        <v>60</v>
      </c>
      <c r="B66" s="6" t="s">
        <v>655</v>
      </c>
      <c r="C66" s="6" t="s">
        <v>656</v>
      </c>
      <c r="D66" s="6" t="s">
        <v>73</v>
      </c>
      <c r="E66" s="7">
        <v>5670</v>
      </c>
      <c r="F66" s="8">
        <v>32.248125000000002</v>
      </c>
      <c r="G66" s="9">
        <v>9.4291919999999994E-3</v>
      </c>
      <c r="H66" s="156"/>
    </row>
    <row r="67" spans="1:8" x14ac:dyDescent="0.2">
      <c r="A67" s="5">
        <v>61</v>
      </c>
      <c r="B67" s="6" t="s">
        <v>657</v>
      </c>
      <c r="C67" s="6" t="s">
        <v>658</v>
      </c>
      <c r="D67" s="6" t="s">
        <v>73</v>
      </c>
      <c r="E67" s="7">
        <v>3987</v>
      </c>
      <c r="F67" s="8">
        <v>32.099336999999998</v>
      </c>
      <c r="G67" s="9">
        <v>9.3856870000000002E-3</v>
      </c>
      <c r="H67" s="156"/>
    </row>
    <row r="68" spans="1:8" x14ac:dyDescent="0.2">
      <c r="A68" s="5">
        <v>62</v>
      </c>
      <c r="B68" s="6" t="s">
        <v>659</v>
      </c>
      <c r="C68" s="6" t="s">
        <v>660</v>
      </c>
      <c r="D68" s="6" t="s">
        <v>972</v>
      </c>
      <c r="E68" s="7">
        <v>2139</v>
      </c>
      <c r="F68" s="8">
        <v>32.058262499999998</v>
      </c>
      <c r="G68" s="9">
        <v>9.3736770000000004E-3</v>
      </c>
      <c r="H68" s="156"/>
    </row>
    <row r="69" spans="1:8" x14ac:dyDescent="0.2">
      <c r="A69" s="5">
        <v>63</v>
      </c>
      <c r="B69" s="6" t="s">
        <v>12</v>
      </c>
      <c r="C69" s="6" t="s">
        <v>13</v>
      </c>
      <c r="D69" s="6" t="s">
        <v>14</v>
      </c>
      <c r="E69" s="7">
        <v>2136</v>
      </c>
      <c r="F69" s="8">
        <v>32.051748000000003</v>
      </c>
      <c r="G69" s="9">
        <v>9.3717720000000004E-3</v>
      </c>
      <c r="H69" s="156"/>
    </row>
    <row r="70" spans="1:8" x14ac:dyDescent="0.2">
      <c r="A70" s="5">
        <v>64</v>
      </c>
      <c r="B70" s="6" t="s">
        <v>315</v>
      </c>
      <c r="C70" s="6" t="s">
        <v>316</v>
      </c>
      <c r="D70" s="6" t="s">
        <v>975</v>
      </c>
      <c r="E70" s="7">
        <v>1038</v>
      </c>
      <c r="F70" s="8">
        <v>31.972476</v>
      </c>
      <c r="G70" s="9">
        <v>9.3485930000000005E-3</v>
      </c>
      <c r="H70" s="156"/>
    </row>
    <row r="71" spans="1:8" x14ac:dyDescent="0.2">
      <c r="A71" s="5">
        <v>65</v>
      </c>
      <c r="B71" s="6" t="s">
        <v>408</v>
      </c>
      <c r="C71" s="6" t="s">
        <v>409</v>
      </c>
      <c r="D71" s="6" t="s">
        <v>169</v>
      </c>
      <c r="E71" s="7">
        <v>955</v>
      </c>
      <c r="F71" s="8">
        <v>31.951912499999999</v>
      </c>
      <c r="G71" s="9">
        <v>9.3425810000000008E-3</v>
      </c>
      <c r="H71" s="156"/>
    </row>
    <row r="72" spans="1:8" x14ac:dyDescent="0.2">
      <c r="A72" s="5">
        <v>66</v>
      </c>
      <c r="B72" s="6" t="s">
        <v>661</v>
      </c>
      <c r="C72" s="6" t="s">
        <v>662</v>
      </c>
      <c r="D72" s="6" t="s">
        <v>191</v>
      </c>
      <c r="E72" s="7">
        <v>212</v>
      </c>
      <c r="F72" s="8">
        <v>31.853318000000002</v>
      </c>
      <c r="G72" s="9">
        <v>9.3137519999999998E-3</v>
      </c>
      <c r="H72" s="156"/>
    </row>
    <row r="73" spans="1:8" x14ac:dyDescent="0.2">
      <c r="A73" s="5">
        <v>67</v>
      </c>
      <c r="B73" s="6" t="s">
        <v>663</v>
      </c>
      <c r="C73" s="6" t="s">
        <v>664</v>
      </c>
      <c r="D73" s="6" t="s">
        <v>972</v>
      </c>
      <c r="E73" s="7">
        <v>1579</v>
      </c>
      <c r="F73" s="8">
        <v>31.813692</v>
      </c>
      <c r="G73" s="9">
        <v>9.3021660000000006E-3</v>
      </c>
      <c r="H73" s="156"/>
    </row>
    <row r="74" spans="1:8" x14ac:dyDescent="0.2">
      <c r="A74" s="5">
        <v>68</v>
      </c>
      <c r="B74" s="6" t="s">
        <v>575</v>
      </c>
      <c r="C74" s="6" t="s">
        <v>576</v>
      </c>
      <c r="D74" s="6" t="s">
        <v>73</v>
      </c>
      <c r="E74" s="7">
        <v>180</v>
      </c>
      <c r="F74" s="8">
        <v>31.7394</v>
      </c>
      <c r="G74" s="9">
        <v>9.2804429999999993E-3</v>
      </c>
      <c r="H74" s="156"/>
    </row>
    <row r="75" spans="1:8" x14ac:dyDescent="0.2">
      <c r="A75" s="5">
        <v>69</v>
      </c>
      <c r="B75" s="6" t="s">
        <v>356</v>
      </c>
      <c r="C75" s="6" t="s">
        <v>357</v>
      </c>
      <c r="D75" s="6" t="s">
        <v>22</v>
      </c>
      <c r="E75" s="7">
        <v>4216</v>
      </c>
      <c r="F75" s="8">
        <v>31.548328000000001</v>
      </c>
      <c r="G75" s="9">
        <v>9.2245750000000005E-3</v>
      </c>
      <c r="H75" s="156"/>
    </row>
    <row r="76" spans="1:8" x14ac:dyDescent="0.2">
      <c r="A76" s="5">
        <v>70</v>
      </c>
      <c r="B76" s="6" t="s">
        <v>665</v>
      </c>
      <c r="C76" s="6" t="s">
        <v>666</v>
      </c>
      <c r="D76" s="6" t="s">
        <v>43</v>
      </c>
      <c r="E76" s="7">
        <v>13563</v>
      </c>
      <c r="F76" s="8">
        <v>31.520412</v>
      </c>
      <c r="G76" s="9">
        <v>9.2164120000000002E-3</v>
      </c>
      <c r="H76" s="156"/>
    </row>
    <row r="77" spans="1:8" x14ac:dyDescent="0.2">
      <c r="A77" s="5">
        <v>71</v>
      </c>
      <c r="B77" s="6" t="s">
        <v>667</v>
      </c>
      <c r="C77" s="6" t="s">
        <v>668</v>
      </c>
      <c r="D77" s="6" t="s">
        <v>22</v>
      </c>
      <c r="E77" s="7">
        <v>3068</v>
      </c>
      <c r="F77" s="8">
        <v>31.181618</v>
      </c>
      <c r="G77" s="9">
        <v>9.1173499999999998E-3</v>
      </c>
      <c r="H77" s="156"/>
    </row>
    <row r="78" spans="1:8" x14ac:dyDescent="0.2">
      <c r="A78" s="5">
        <v>72</v>
      </c>
      <c r="B78" s="6" t="s">
        <v>15</v>
      </c>
      <c r="C78" s="6" t="s">
        <v>16</v>
      </c>
      <c r="D78" s="6" t="s">
        <v>17</v>
      </c>
      <c r="E78" s="7">
        <v>1471</v>
      </c>
      <c r="F78" s="8">
        <v>31.0476615</v>
      </c>
      <c r="G78" s="9">
        <v>9.0781820000000006E-3</v>
      </c>
      <c r="H78" s="156"/>
    </row>
    <row r="79" spans="1:8" x14ac:dyDescent="0.2">
      <c r="A79" s="5">
        <v>73</v>
      </c>
      <c r="B79" s="6" t="s">
        <v>669</v>
      </c>
      <c r="C79" s="6" t="s">
        <v>670</v>
      </c>
      <c r="D79" s="6" t="s">
        <v>166</v>
      </c>
      <c r="E79" s="7">
        <v>3197</v>
      </c>
      <c r="F79" s="8">
        <v>31.023688</v>
      </c>
      <c r="G79" s="9">
        <v>9.0711730000000001E-3</v>
      </c>
      <c r="H79" s="156"/>
    </row>
    <row r="80" spans="1:8" x14ac:dyDescent="0.2">
      <c r="A80" s="5">
        <v>74</v>
      </c>
      <c r="B80" s="6" t="s">
        <v>511</v>
      </c>
      <c r="C80" s="6" t="s">
        <v>512</v>
      </c>
      <c r="D80" s="6" t="s">
        <v>169</v>
      </c>
      <c r="E80" s="7">
        <v>762</v>
      </c>
      <c r="F80" s="8">
        <v>31.023306000000002</v>
      </c>
      <c r="G80" s="9">
        <v>9.0710610000000001E-3</v>
      </c>
      <c r="H80" s="156"/>
    </row>
    <row r="81" spans="1:8" x14ac:dyDescent="0.2">
      <c r="A81" s="5">
        <v>75</v>
      </c>
      <c r="B81" s="6" t="s">
        <v>671</v>
      </c>
      <c r="C81" s="6" t="s">
        <v>672</v>
      </c>
      <c r="D81" s="6" t="s">
        <v>73</v>
      </c>
      <c r="E81" s="7">
        <v>849</v>
      </c>
      <c r="F81" s="8">
        <v>30.985528500000001</v>
      </c>
      <c r="G81" s="9">
        <v>9.0600149999999994E-3</v>
      </c>
      <c r="H81" s="156"/>
    </row>
    <row r="82" spans="1:8" x14ac:dyDescent="0.2">
      <c r="A82" s="5">
        <v>76</v>
      </c>
      <c r="B82" s="6" t="s">
        <v>488</v>
      </c>
      <c r="C82" s="6" t="s">
        <v>489</v>
      </c>
      <c r="D82" s="6" t="s">
        <v>73</v>
      </c>
      <c r="E82" s="7">
        <v>230</v>
      </c>
      <c r="F82" s="8">
        <v>30.60633</v>
      </c>
      <c r="G82" s="9">
        <v>8.9491390000000001E-3</v>
      </c>
      <c r="H82" s="156"/>
    </row>
    <row r="83" spans="1:8" x14ac:dyDescent="0.2">
      <c r="A83" s="5">
        <v>77</v>
      </c>
      <c r="B83" s="6" t="s">
        <v>673</v>
      </c>
      <c r="C83" s="6" t="s">
        <v>674</v>
      </c>
      <c r="D83" s="6" t="s">
        <v>974</v>
      </c>
      <c r="E83" s="7">
        <v>1042</v>
      </c>
      <c r="F83" s="8">
        <v>30.399829</v>
      </c>
      <c r="G83" s="9">
        <v>8.8887589999999995E-3</v>
      </c>
      <c r="H83" s="156"/>
    </row>
    <row r="84" spans="1:8" x14ac:dyDescent="0.2">
      <c r="A84" s="5">
        <v>78</v>
      </c>
      <c r="B84" s="6" t="s">
        <v>675</v>
      </c>
      <c r="C84" s="6" t="s">
        <v>676</v>
      </c>
      <c r="D84" s="6" t="s">
        <v>92</v>
      </c>
      <c r="E84" s="7">
        <v>1138</v>
      </c>
      <c r="F84" s="8">
        <v>30.397687000000001</v>
      </c>
      <c r="G84" s="9">
        <v>8.8881329999999995E-3</v>
      </c>
      <c r="H84" s="156"/>
    </row>
    <row r="85" spans="1:8" x14ac:dyDescent="0.2">
      <c r="A85" s="5">
        <v>79</v>
      </c>
      <c r="B85" s="6" t="s">
        <v>677</v>
      </c>
      <c r="C85" s="6" t="s">
        <v>678</v>
      </c>
      <c r="D85" s="6" t="s">
        <v>68</v>
      </c>
      <c r="E85" s="7">
        <v>1769</v>
      </c>
      <c r="F85" s="8">
        <v>30.3728455</v>
      </c>
      <c r="G85" s="9">
        <v>8.8808689999999996E-3</v>
      </c>
      <c r="H85" s="156"/>
    </row>
    <row r="86" spans="1:8" x14ac:dyDescent="0.2">
      <c r="A86" s="5">
        <v>80</v>
      </c>
      <c r="B86" s="6" t="s">
        <v>23</v>
      </c>
      <c r="C86" s="6" t="s">
        <v>24</v>
      </c>
      <c r="D86" s="6" t="s">
        <v>25</v>
      </c>
      <c r="E86" s="7">
        <v>5778</v>
      </c>
      <c r="F86" s="8">
        <v>30.372057000000002</v>
      </c>
      <c r="G86" s="9">
        <v>8.8806389999999992E-3</v>
      </c>
      <c r="H86" s="156"/>
    </row>
    <row r="87" spans="1:8" x14ac:dyDescent="0.2">
      <c r="A87" s="5">
        <v>81</v>
      </c>
      <c r="B87" s="6" t="s">
        <v>588</v>
      </c>
      <c r="C87" s="6" t="s">
        <v>589</v>
      </c>
      <c r="D87" s="6" t="s">
        <v>971</v>
      </c>
      <c r="E87" s="7">
        <v>4395</v>
      </c>
      <c r="F87" s="8">
        <v>30.162884999999999</v>
      </c>
      <c r="G87" s="9">
        <v>8.8194780000000004E-3</v>
      </c>
      <c r="H87" s="156"/>
    </row>
    <row r="88" spans="1:8" x14ac:dyDescent="0.2">
      <c r="A88" s="5">
        <v>82</v>
      </c>
      <c r="B88" s="6" t="s">
        <v>93</v>
      </c>
      <c r="C88" s="6" t="s">
        <v>94</v>
      </c>
      <c r="D88" s="6" t="s">
        <v>68</v>
      </c>
      <c r="E88" s="7">
        <v>4272</v>
      </c>
      <c r="F88" s="8">
        <v>30.062063999999999</v>
      </c>
      <c r="G88" s="9">
        <v>8.7899980000000003E-3</v>
      </c>
      <c r="H88" s="156"/>
    </row>
    <row r="89" spans="1:8" x14ac:dyDescent="0.2">
      <c r="A89" s="5">
        <v>83</v>
      </c>
      <c r="B89" s="6" t="s">
        <v>50</v>
      </c>
      <c r="C89" s="6" t="s">
        <v>51</v>
      </c>
      <c r="D89" s="6" t="s">
        <v>22</v>
      </c>
      <c r="E89" s="7">
        <v>2006</v>
      </c>
      <c r="F89" s="8">
        <v>30.047874</v>
      </c>
      <c r="G89" s="9">
        <v>8.7858490000000001E-3</v>
      </c>
      <c r="H89" s="156"/>
    </row>
    <row r="90" spans="1:8" x14ac:dyDescent="0.2">
      <c r="A90" s="5">
        <v>84</v>
      </c>
      <c r="B90" s="6" t="s">
        <v>368</v>
      </c>
      <c r="C90" s="6" t="s">
        <v>369</v>
      </c>
      <c r="D90" s="6" t="s">
        <v>169</v>
      </c>
      <c r="E90" s="7">
        <v>3053</v>
      </c>
      <c r="F90" s="8">
        <v>30.026254999999999</v>
      </c>
      <c r="G90" s="9">
        <v>8.779528E-3</v>
      </c>
      <c r="H90" s="156"/>
    </row>
    <row r="91" spans="1:8" x14ac:dyDescent="0.2">
      <c r="A91" s="5">
        <v>85</v>
      </c>
      <c r="B91" s="6" t="s">
        <v>88</v>
      </c>
      <c r="C91" s="6" t="s">
        <v>89</v>
      </c>
      <c r="D91" s="6" t="s">
        <v>78</v>
      </c>
      <c r="E91" s="7">
        <v>13264</v>
      </c>
      <c r="F91" s="8">
        <v>29.950112000000001</v>
      </c>
      <c r="G91" s="9">
        <v>8.7572640000000007E-3</v>
      </c>
      <c r="H91" s="156"/>
    </row>
    <row r="92" spans="1:8" x14ac:dyDescent="0.2">
      <c r="A92" s="5">
        <v>86</v>
      </c>
      <c r="B92" s="6" t="s">
        <v>679</v>
      </c>
      <c r="C92" s="6" t="s">
        <v>680</v>
      </c>
      <c r="D92" s="6" t="s">
        <v>196</v>
      </c>
      <c r="E92" s="7">
        <v>7376</v>
      </c>
      <c r="F92" s="8">
        <v>29.832232000000001</v>
      </c>
      <c r="G92" s="9">
        <v>8.7227969999999991E-3</v>
      </c>
      <c r="H92" s="156"/>
    </row>
    <row r="93" spans="1:8" x14ac:dyDescent="0.2">
      <c r="A93" s="5">
        <v>87</v>
      </c>
      <c r="B93" s="6" t="s">
        <v>36</v>
      </c>
      <c r="C93" s="6" t="s">
        <v>37</v>
      </c>
      <c r="D93" s="6" t="s">
        <v>972</v>
      </c>
      <c r="E93" s="7">
        <v>440</v>
      </c>
      <c r="F93" s="8">
        <v>29.814399999999999</v>
      </c>
      <c r="G93" s="9">
        <v>8.7175829999999992E-3</v>
      </c>
      <c r="H93" s="156"/>
    </row>
    <row r="94" spans="1:8" x14ac:dyDescent="0.2">
      <c r="A94" s="5">
        <v>88</v>
      </c>
      <c r="B94" s="6" t="s">
        <v>681</v>
      </c>
      <c r="C94" s="6" t="s">
        <v>682</v>
      </c>
      <c r="D94" s="6" t="s">
        <v>40</v>
      </c>
      <c r="E94" s="7">
        <v>10597</v>
      </c>
      <c r="F94" s="8">
        <v>29.788167000000001</v>
      </c>
      <c r="G94" s="9">
        <v>8.7099120000000002E-3</v>
      </c>
      <c r="H94" s="156"/>
    </row>
    <row r="95" spans="1:8" x14ac:dyDescent="0.2">
      <c r="A95" s="5">
        <v>89</v>
      </c>
      <c r="B95" s="6" t="s">
        <v>400</v>
      </c>
      <c r="C95" s="6" t="s">
        <v>401</v>
      </c>
      <c r="D95" s="6" t="s">
        <v>166</v>
      </c>
      <c r="E95" s="7">
        <v>1188</v>
      </c>
      <c r="F95" s="8">
        <v>29.40597</v>
      </c>
      <c r="G95" s="9">
        <v>8.5981600000000005E-3</v>
      </c>
      <c r="H95" s="156"/>
    </row>
    <row r="96" spans="1:8" x14ac:dyDescent="0.2">
      <c r="A96" s="5">
        <v>90</v>
      </c>
      <c r="B96" s="6" t="s">
        <v>683</v>
      </c>
      <c r="C96" s="6" t="s">
        <v>684</v>
      </c>
      <c r="D96" s="6" t="s">
        <v>972</v>
      </c>
      <c r="E96" s="7">
        <v>106</v>
      </c>
      <c r="F96" s="8">
        <v>29.154876000000002</v>
      </c>
      <c r="G96" s="9">
        <v>8.5247410000000006E-3</v>
      </c>
      <c r="H96" s="156"/>
    </row>
    <row r="97" spans="1:8" x14ac:dyDescent="0.2">
      <c r="A97" s="5">
        <v>91</v>
      </c>
      <c r="B97" s="6" t="s">
        <v>685</v>
      </c>
      <c r="C97" s="6" t="s">
        <v>686</v>
      </c>
      <c r="D97" s="6" t="s">
        <v>92</v>
      </c>
      <c r="E97" s="7">
        <v>996</v>
      </c>
      <c r="F97" s="8">
        <v>28.909896</v>
      </c>
      <c r="G97" s="9">
        <v>8.4531099999999998E-3</v>
      </c>
      <c r="H97" s="156"/>
    </row>
    <row r="98" spans="1:8" x14ac:dyDescent="0.2">
      <c r="A98" s="5">
        <v>92</v>
      </c>
      <c r="B98" s="6" t="s">
        <v>687</v>
      </c>
      <c r="C98" s="6" t="s">
        <v>688</v>
      </c>
      <c r="D98" s="6" t="s">
        <v>25</v>
      </c>
      <c r="E98" s="7">
        <v>12105</v>
      </c>
      <c r="F98" s="8">
        <v>28.888582499999998</v>
      </c>
      <c r="G98" s="9">
        <v>8.4468779999999997E-3</v>
      </c>
      <c r="H98" s="156"/>
    </row>
    <row r="99" spans="1:8" x14ac:dyDescent="0.2">
      <c r="A99" s="5">
        <v>93</v>
      </c>
      <c r="B99" s="6" t="s">
        <v>416</v>
      </c>
      <c r="C99" s="6" t="s">
        <v>417</v>
      </c>
      <c r="D99" s="6" t="s">
        <v>92</v>
      </c>
      <c r="E99" s="7">
        <v>3713</v>
      </c>
      <c r="F99" s="8">
        <v>28.876000999999999</v>
      </c>
      <c r="G99" s="9">
        <v>8.4431990000000002E-3</v>
      </c>
      <c r="H99" s="156"/>
    </row>
    <row r="100" spans="1:8" x14ac:dyDescent="0.2">
      <c r="A100" s="5">
        <v>94</v>
      </c>
      <c r="B100" s="6" t="s">
        <v>426</v>
      </c>
      <c r="C100" s="6" t="s">
        <v>427</v>
      </c>
      <c r="D100" s="6" t="s">
        <v>22</v>
      </c>
      <c r="E100" s="7">
        <v>1662</v>
      </c>
      <c r="F100" s="8">
        <v>28.351227000000002</v>
      </c>
      <c r="G100" s="9">
        <v>8.2897579999999995E-3</v>
      </c>
      <c r="H100" s="156"/>
    </row>
    <row r="101" spans="1:8" x14ac:dyDescent="0.2">
      <c r="A101" s="5">
        <v>95</v>
      </c>
      <c r="B101" s="6" t="s">
        <v>422</v>
      </c>
      <c r="C101" s="6" t="s">
        <v>423</v>
      </c>
      <c r="D101" s="6" t="s">
        <v>73</v>
      </c>
      <c r="E101" s="7">
        <v>13960</v>
      </c>
      <c r="F101" s="8">
        <v>28.29692</v>
      </c>
      <c r="G101" s="9">
        <v>8.2738789999999996E-3</v>
      </c>
      <c r="H101" s="156"/>
    </row>
    <row r="102" spans="1:8" x14ac:dyDescent="0.2">
      <c r="A102" s="5">
        <v>96</v>
      </c>
      <c r="B102" s="6" t="s">
        <v>341</v>
      </c>
      <c r="C102" s="6" t="s">
        <v>342</v>
      </c>
      <c r="D102" s="6" t="s">
        <v>191</v>
      </c>
      <c r="E102" s="7">
        <v>35</v>
      </c>
      <c r="F102" s="8">
        <v>28.027825</v>
      </c>
      <c r="G102" s="9">
        <v>8.1951969999999996E-3</v>
      </c>
      <c r="H102" s="156"/>
    </row>
    <row r="103" spans="1:8" x14ac:dyDescent="0.2">
      <c r="A103" s="5">
        <v>97</v>
      </c>
      <c r="B103" s="6" t="s">
        <v>689</v>
      </c>
      <c r="C103" s="6" t="s">
        <v>690</v>
      </c>
      <c r="D103" s="6" t="s">
        <v>22</v>
      </c>
      <c r="E103" s="7">
        <v>206538</v>
      </c>
      <c r="F103" s="8">
        <v>27.985899</v>
      </c>
      <c r="G103" s="9">
        <v>8.1829380000000007E-3</v>
      </c>
      <c r="H103" s="156"/>
    </row>
    <row r="104" spans="1:8" x14ac:dyDescent="0.2">
      <c r="A104" s="5">
        <v>98</v>
      </c>
      <c r="B104" s="6" t="s">
        <v>691</v>
      </c>
      <c r="C104" s="6" t="s">
        <v>692</v>
      </c>
      <c r="D104" s="6" t="s">
        <v>63</v>
      </c>
      <c r="E104" s="7">
        <v>2846</v>
      </c>
      <c r="F104" s="8">
        <v>27.896491999999999</v>
      </c>
      <c r="G104" s="9">
        <v>8.1567959999999991E-3</v>
      </c>
      <c r="H104" s="156"/>
    </row>
    <row r="105" spans="1:8" x14ac:dyDescent="0.2">
      <c r="A105" s="5">
        <v>99</v>
      </c>
      <c r="B105" s="6" t="s">
        <v>693</v>
      </c>
      <c r="C105" s="6" t="s">
        <v>694</v>
      </c>
      <c r="D105" s="6" t="s">
        <v>22</v>
      </c>
      <c r="E105" s="7">
        <v>8382</v>
      </c>
      <c r="F105" s="8">
        <v>27.681554999999999</v>
      </c>
      <c r="G105" s="9">
        <v>8.0939489999999996E-3</v>
      </c>
      <c r="H105" s="156"/>
    </row>
    <row r="106" spans="1:8" x14ac:dyDescent="0.2">
      <c r="A106" s="5">
        <v>100</v>
      </c>
      <c r="B106" s="6" t="s">
        <v>695</v>
      </c>
      <c r="C106" s="6" t="s">
        <v>696</v>
      </c>
      <c r="D106" s="6" t="s">
        <v>43</v>
      </c>
      <c r="E106" s="7">
        <v>2419</v>
      </c>
      <c r="F106" s="8">
        <v>27.211331000000001</v>
      </c>
      <c r="G106" s="9">
        <v>7.9564579999999996E-3</v>
      </c>
      <c r="H106" s="156"/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0">
        <v>3363.320878</v>
      </c>
      <c r="G107" s="11">
        <v>0.983418342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106</v>
      </c>
      <c r="D109" s="3" t="s">
        <v>9</v>
      </c>
      <c r="E109" s="3" t="s">
        <v>9</v>
      </c>
      <c r="F109" s="3" t="s">
        <v>9</v>
      </c>
      <c r="G109" s="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105</v>
      </c>
      <c r="D110" s="3" t="s">
        <v>9</v>
      </c>
      <c r="E110" s="3" t="s">
        <v>9</v>
      </c>
      <c r="F110" s="14">
        <v>0</v>
      </c>
      <c r="G110" s="15">
        <v>0</v>
      </c>
      <c r="H110" s="156"/>
    </row>
    <row r="111" spans="1:8" x14ac:dyDescent="0.2">
      <c r="A111" s="3" t="s">
        <v>9</v>
      </c>
      <c r="B111" s="3" t="s">
        <v>9</v>
      </c>
      <c r="C111" s="12" t="s">
        <v>9</v>
      </c>
      <c r="D111" s="3" t="s">
        <v>9</v>
      </c>
      <c r="E111" s="3" t="s">
        <v>9</v>
      </c>
      <c r="F111" s="13" t="s">
        <v>9</v>
      </c>
      <c r="G111" s="1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107</v>
      </c>
      <c r="D112" s="3" t="s">
        <v>9</v>
      </c>
      <c r="E112" s="3" t="s">
        <v>9</v>
      </c>
      <c r="F112" s="3" t="s">
        <v>9</v>
      </c>
      <c r="G112" s="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105</v>
      </c>
      <c r="D113" s="3" t="s">
        <v>9</v>
      </c>
      <c r="E113" s="3" t="s">
        <v>9</v>
      </c>
      <c r="F113" s="14">
        <v>0</v>
      </c>
      <c r="G113" s="15">
        <v>0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111</v>
      </c>
      <c r="D115" s="3" t="s">
        <v>9</v>
      </c>
      <c r="E115" s="3" t="s">
        <v>9</v>
      </c>
      <c r="F115" s="3" t="s">
        <v>9</v>
      </c>
      <c r="G115" s="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4">
        <v>0</v>
      </c>
      <c r="G116" s="15">
        <v>0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112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4" t="s">
        <v>105</v>
      </c>
      <c r="D119" s="3" t="s">
        <v>9</v>
      </c>
      <c r="E119" s="3" t="s">
        <v>9</v>
      </c>
      <c r="F119" s="14">
        <v>0</v>
      </c>
      <c r="G119" s="15">
        <v>0</v>
      </c>
      <c r="H119" s="156"/>
    </row>
    <row r="120" spans="1:8" x14ac:dyDescent="0.2">
      <c r="A120" s="3" t="s">
        <v>9</v>
      </c>
      <c r="B120" s="3" t="s">
        <v>9</v>
      </c>
      <c r="C120" s="12" t="s">
        <v>9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113</v>
      </c>
      <c r="D121" s="3" t="s">
        <v>9</v>
      </c>
      <c r="E121" s="3" t="s">
        <v>9</v>
      </c>
      <c r="F121" s="13" t="s">
        <v>9</v>
      </c>
      <c r="G121" s="1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105</v>
      </c>
      <c r="D122" s="3" t="s">
        <v>9</v>
      </c>
      <c r="E122" s="3" t="s">
        <v>9</v>
      </c>
      <c r="F122" s="14">
        <v>0</v>
      </c>
      <c r="G122" s="15">
        <v>0</v>
      </c>
      <c r="H122" s="156"/>
    </row>
    <row r="123" spans="1:8" x14ac:dyDescent="0.2">
      <c r="A123" s="3" t="s">
        <v>9</v>
      </c>
      <c r="B123" s="3" t="s">
        <v>9</v>
      </c>
      <c r="C123" s="12" t="s">
        <v>9</v>
      </c>
      <c r="D123" s="3" t="s">
        <v>9</v>
      </c>
      <c r="E123" s="3" t="s">
        <v>9</v>
      </c>
      <c r="F123" s="13" t="s">
        <v>9</v>
      </c>
      <c r="G123" s="1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114</v>
      </c>
      <c r="D124" s="3" t="s">
        <v>9</v>
      </c>
      <c r="E124" s="3" t="s">
        <v>9</v>
      </c>
      <c r="F124" s="10">
        <v>3363.320878</v>
      </c>
      <c r="G124" s="11">
        <v>0.983418342</v>
      </c>
      <c r="H124" s="156"/>
    </row>
    <row r="125" spans="1:8" x14ac:dyDescent="0.2">
      <c r="A125" s="3" t="s">
        <v>9</v>
      </c>
      <c r="B125" s="3" t="s">
        <v>9</v>
      </c>
      <c r="C125" s="12" t="s">
        <v>9</v>
      </c>
      <c r="D125" s="3" t="s">
        <v>9</v>
      </c>
      <c r="E125" s="3" t="s">
        <v>9</v>
      </c>
      <c r="F125" s="13" t="s">
        <v>9</v>
      </c>
      <c r="G125" s="1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115</v>
      </c>
      <c r="D126" s="3" t="s">
        <v>9</v>
      </c>
      <c r="E126" s="3" t="s">
        <v>9</v>
      </c>
      <c r="F126" s="13" t="s">
        <v>9</v>
      </c>
      <c r="G126" s="13" t="s">
        <v>9</v>
      </c>
      <c r="H126" s="156"/>
    </row>
    <row r="127" spans="1:8" x14ac:dyDescent="0.2">
      <c r="A127" s="3" t="s">
        <v>9</v>
      </c>
      <c r="B127" s="3" t="s">
        <v>9</v>
      </c>
      <c r="C127" s="4" t="s">
        <v>11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5">
        <v>1</v>
      </c>
      <c r="B128" s="6" t="s">
        <v>697</v>
      </c>
      <c r="C128" s="6" t="s">
        <v>698</v>
      </c>
      <c r="D128" s="6" t="s">
        <v>699</v>
      </c>
      <c r="E128" s="7">
        <v>828</v>
      </c>
      <c r="F128" s="8">
        <v>0.23886557999999999</v>
      </c>
      <c r="G128" s="9">
        <v>6.9843000000000002E-5</v>
      </c>
      <c r="H128" s="191">
        <v>5.6950000000000003</v>
      </c>
    </row>
    <row r="129" spans="1:8" x14ac:dyDescent="0.2">
      <c r="A129" s="3" t="s">
        <v>9</v>
      </c>
      <c r="B129" s="3" t="s">
        <v>9</v>
      </c>
      <c r="C129" s="4" t="s">
        <v>105</v>
      </c>
      <c r="D129" s="3" t="s">
        <v>9</v>
      </c>
      <c r="E129" s="3" t="s">
        <v>9</v>
      </c>
      <c r="F129" s="10">
        <v>0.23886557999999999</v>
      </c>
      <c r="G129" s="11">
        <v>6.9843000000000002E-5</v>
      </c>
      <c r="H129" s="156"/>
    </row>
    <row r="130" spans="1:8" x14ac:dyDescent="0.2">
      <c r="A130" s="3" t="s">
        <v>9</v>
      </c>
      <c r="B130" s="3" t="s">
        <v>9</v>
      </c>
      <c r="C130" s="12" t="s">
        <v>9</v>
      </c>
      <c r="D130" s="3" t="s">
        <v>9</v>
      </c>
      <c r="E130" s="3" t="s">
        <v>9</v>
      </c>
      <c r="F130" s="13" t="s">
        <v>9</v>
      </c>
      <c r="G130" s="13" t="s">
        <v>9</v>
      </c>
      <c r="H130" s="156"/>
    </row>
    <row r="131" spans="1:8" x14ac:dyDescent="0.2">
      <c r="A131" s="3" t="s">
        <v>9</v>
      </c>
      <c r="B131" s="3" t="s">
        <v>9</v>
      </c>
      <c r="C131" s="4" t="s">
        <v>116</v>
      </c>
      <c r="D131" s="3" t="s">
        <v>9</v>
      </c>
      <c r="E131" s="3" t="s">
        <v>9</v>
      </c>
      <c r="F131" s="3" t="s">
        <v>9</v>
      </c>
      <c r="G131" s="3" t="s">
        <v>9</v>
      </c>
      <c r="H131" s="156"/>
    </row>
    <row r="132" spans="1:8" x14ac:dyDescent="0.2">
      <c r="A132" s="3" t="s">
        <v>9</v>
      </c>
      <c r="B132" s="3" t="s">
        <v>9</v>
      </c>
      <c r="C132" s="4" t="s">
        <v>105</v>
      </c>
      <c r="D132" s="3" t="s">
        <v>9</v>
      </c>
      <c r="E132" s="3" t="s">
        <v>9</v>
      </c>
      <c r="F132" s="14">
        <v>0</v>
      </c>
      <c r="G132" s="15">
        <v>0</v>
      </c>
      <c r="H132" s="156"/>
    </row>
    <row r="133" spans="1:8" x14ac:dyDescent="0.2">
      <c r="A133" s="3" t="s">
        <v>9</v>
      </c>
      <c r="B133" s="3" t="s">
        <v>9</v>
      </c>
      <c r="C133" s="12" t="s">
        <v>9</v>
      </c>
      <c r="D133" s="3" t="s">
        <v>9</v>
      </c>
      <c r="E133" s="3" t="s">
        <v>9</v>
      </c>
      <c r="F133" s="13" t="s">
        <v>9</v>
      </c>
      <c r="G133" s="13" t="s">
        <v>9</v>
      </c>
      <c r="H133" s="156"/>
    </row>
    <row r="134" spans="1:8" x14ac:dyDescent="0.2">
      <c r="A134" s="3" t="s">
        <v>9</v>
      </c>
      <c r="B134" s="3" t="s">
        <v>9</v>
      </c>
      <c r="C134" s="4" t="s">
        <v>117</v>
      </c>
      <c r="D134" s="3" t="s">
        <v>9</v>
      </c>
      <c r="E134" s="3" t="s">
        <v>9</v>
      </c>
      <c r="F134" s="3" t="s">
        <v>9</v>
      </c>
      <c r="G134" s="3" t="s">
        <v>9</v>
      </c>
      <c r="H134" s="156"/>
    </row>
    <row r="135" spans="1:8" x14ac:dyDescent="0.2">
      <c r="A135" s="3" t="s">
        <v>9</v>
      </c>
      <c r="B135" s="3" t="s">
        <v>9</v>
      </c>
      <c r="C135" s="4" t="s">
        <v>105</v>
      </c>
      <c r="D135" s="3" t="s">
        <v>9</v>
      </c>
      <c r="E135" s="3" t="s">
        <v>9</v>
      </c>
      <c r="F135" s="14">
        <v>0</v>
      </c>
      <c r="G135" s="15">
        <v>0</v>
      </c>
      <c r="H135" s="156"/>
    </row>
    <row r="136" spans="1:8" x14ac:dyDescent="0.2">
      <c r="A136" s="3" t="s">
        <v>9</v>
      </c>
      <c r="B136" s="3" t="s">
        <v>9</v>
      </c>
      <c r="C136" s="12" t="s">
        <v>9</v>
      </c>
      <c r="D136" s="3" t="s">
        <v>9</v>
      </c>
      <c r="E136" s="3" t="s">
        <v>9</v>
      </c>
      <c r="F136" s="13" t="s">
        <v>9</v>
      </c>
      <c r="G136" s="13" t="s">
        <v>9</v>
      </c>
      <c r="H136" s="156"/>
    </row>
    <row r="137" spans="1:8" x14ac:dyDescent="0.2">
      <c r="A137" s="3" t="s">
        <v>9</v>
      </c>
      <c r="B137" s="3" t="s">
        <v>9</v>
      </c>
      <c r="C137" s="4" t="s">
        <v>118</v>
      </c>
      <c r="D137" s="3" t="s">
        <v>9</v>
      </c>
      <c r="E137" s="3" t="s">
        <v>9</v>
      </c>
      <c r="F137" s="13" t="s">
        <v>9</v>
      </c>
      <c r="G137" s="13" t="s">
        <v>9</v>
      </c>
      <c r="H137" s="156"/>
    </row>
    <row r="138" spans="1:8" x14ac:dyDescent="0.2">
      <c r="A138" s="3" t="s">
        <v>9</v>
      </c>
      <c r="B138" s="3" t="s">
        <v>9</v>
      </c>
      <c r="C138" s="4" t="s">
        <v>105</v>
      </c>
      <c r="D138" s="3" t="s">
        <v>9</v>
      </c>
      <c r="E138" s="3" t="s">
        <v>9</v>
      </c>
      <c r="F138" s="14">
        <v>0</v>
      </c>
      <c r="G138" s="15">
        <v>0</v>
      </c>
      <c r="H138" s="156"/>
    </row>
    <row r="139" spans="1:8" x14ac:dyDescent="0.2">
      <c r="A139" s="3" t="s">
        <v>9</v>
      </c>
      <c r="B139" s="3" t="s">
        <v>9</v>
      </c>
      <c r="C139" s="12" t="s">
        <v>9</v>
      </c>
      <c r="D139" s="3" t="s">
        <v>9</v>
      </c>
      <c r="E139" s="3" t="s">
        <v>9</v>
      </c>
      <c r="F139" s="13" t="s">
        <v>9</v>
      </c>
      <c r="G139" s="13" t="s">
        <v>9</v>
      </c>
      <c r="H139" s="156"/>
    </row>
    <row r="140" spans="1:8" x14ac:dyDescent="0.2">
      <c r="A140" s="3" t="s">
        <v>9</v>
      </c>
      <c r="B140" s="3" t="s">
        <v>9</v>
      </c>
      <c r="C140" s="4" t="s">
        <v>119</v>
      </c>
      <c r="D140" s="3" t="s">
        <v>9</v>
      </c>
      <c r="E140" s="3" t="s">
        <v>9</v>
      </c>
      <c r="F140" s="10">
        <v>0.23886557999999999</v>
      </c>
      <c r="G140" s="11">
        <v>6.9843000000000002E-5</v>
      </c>
      <c r="H140" s="156"/>
    </row>
    <row r="141" spans="1:8" x14ac:dyDescent="0.2">
      <c r="A141" s="3" t="s">
        <v>9</v>
      </c>
      <c r="B141" s="3" t="s">
        <v>9</v>
      </c>
      <c r="C141" s="12" t="s">
        <v>9</v>
      </c>
      <c r="D141" s="3" t="s">
        <v>9</v>
      </c>
      <c r="E141" s="3" t="s">
        <v>9</v>
      </c>
      <c r="F141" s="13" t="s">
        <v>9</v>
      </c>
      <c r="G141" s="13" t="s">
        <v>9</v>
      </c>
      <c r="H141" s="156"/>
    </row>
    <row r="142" spans="1:8" x14ac:dyDescent="0.2">
      <c r="A142" s="3" t="s">
        <v>9</v>
      </c>
      <c r="B142" s="3" t="s">
        <v>9</v>
      </c>
      <c r="C142" s="4" t="s">
        <v>120</v>
      </c>
      <c r="D142" s="3" t="s">
        <v>9</v>
      </c>
      <c r="E142" s="3" t="s">
        <v>9</v>
      </c>
      <c r="F142" s="13" t="s">
        <v>9</v>
      </c>
      <c r="G142" s="13" t="s">
        <v>9</v>
      </c>
      <c r="H142" s="156"/>
    </row>
    <row r="143" spans="1:8" x14ac:dyDescent="0.2">
      <c r="A143" s="3" t="s">
        <v>9</v>
      </c>
      <c r="B143" s="3" t="s">
        <v>9</v>
      </c>
      <c r="C143" s="4" t="s">
        <v>121</v>
      </c>
      <c r="D143" s="3" t="s">
        <v>9</v>
      </c>
      <c r="E143" s="3" t="s">
        <v>9</v>
      </c>
      <c r="F143" s="13" t="s">
        <v>9</v>
      </c>
      <c r="G143" s="13" t="s">
        <v>9</v>
      </c>
      <c r="H143" s="156"/>
    </row>
    <row r="144" spans="1:8" x14ac:dyDescent="0.2">
      <c r="A144" s="3" t="s">
        <v>9</v>
      </c>
      <c r="B144" s="3" t="s">
        <v>9</v>
      </c>
      <c r="C144" s="4" t="s">
        <v>105</v>
      </c>
      <c r="D144" s="3" t="s">
        <v>9</v>
      </c>
      <c r="E144" s="3" t="s">
        <v>9</v>
      </c>
      <c r="F144" s="14">
        <v>0</v>
      </c>
      <c r="G144" s="15">
        <v>0</v>
      </c>
      <c r="H144" s="156"/>
    </row>
    <row r="145" spans="1:8" x14ac:dyDescent="0.2">
      <c r="A145" s="3" t="s">
        <v>9</v>
      </c>
      <c r="B145" s="3" t="s">
        <v>9</v>
      </c>
      <c r="C145" s="12" t="s">
        <v>9</v>
      </c>
      <c r="D145" s="3" t="s">
        <v>9</v>
      </c>
      <c r="E145" s="3" t="s">
        <v>9</v>
      </c>
      <c r="F145" s="13" t="s">
        <v>9</v>
      </c>
      <c r="G145" s="13" t="s">
        <v>9</v>
      </c>
      <c r="H145" s="156"/>
    </row>
    <row r="146" spans="1:8" x14ac:dyDescent="0.2">
      <c r="A146" s="3" t="s">
        <v>9</v>
      </c>
      <c r="B146" s="3" t="s">
        <v>9</v>
      </c>
      <c r="C146" s="4" t="s">
        <v>122</v>
      </c>
      <c r="D146" s="3" t="s">
        <v>9</v>
      </c>
      <c r="E146" s="3" t="s">
        <v>9</v>
      </c>
      <c r="F146" s="13" t="s">
        <v>9</v>
      </c>
      <c r="G146" s="13" t="s">
        <v>9</v>
      </c>
      <c r="H146" s="156"/>
    </row>
    <row r="147" spans="1:8" x14ac:dyDescent="0.2">
      <c r="A147" s="3" t="s">
        <v>9</v>
      </c>
      <c r="B147" s="3" t="s">
        <v>9</v>
      </c>
      <c r="C147" s="4" t="s">
        <v>105</v>
      </c>
      <c r="D147" s="3" t="s">
        <v>9</v>
      </c>
      <c r="E147" s="3" t="s">
        <v>9</v>
      </c>
      <c r="F147" s="14">
        <v>0</v>
      </c>
      <c r="G147" s="15">
        <v>0</v>
      </c>
      <c r="H147" s="156"/>
    </row>
    <row r="148" spans="1:8" x14ac:dyDescent="0.2">
      <c r="A148" s="3" t="s">
        <v>9</v>
      </c>
      <c r="B148" s="3" t="s">
        <v>9</v>
      </c>
      <c r="C148" s="12" t="s">
        <v>9</v>
      </c>
      <c r="D148" s="3" t="s">
        <v>9</v>
      </c>
      <c r="E148" s="3" t="s">
        <v>9</v>
      </c>
      <c r="F148" s="13" t="s">
        <v>9</v>
      </c>
      <c r="G148" s="13" t="s">
        <v>9</v>
      </c>
      <c r="H148" s="156"/>
    </row>
    <row r="149" spans="1:8" x14ac:dyDescent="0.2">
      <c r="A149" s="3" t="s">
        <v>9</v>
      </c>
      <c r="B149" s="3" t="s">
        <v>9</v>
      </c>
      <c r="C149" s="4" t="s">
        <v>123</v>
      </c>
      <c r="D149" s="3" t="s">
        <v>9</v>
      </c>
      <c r="E149" s="3" t="s">
        <v>9</v>
      </c>
      <c r="F149" s="13" t="s">
        <v>9</v>
      </c>
      <c r="G149" s="13" t="s">
        <v>9</v>
      </c>
      <c r="H149" s="156"/>
    </row>
    <row r="150" spans="1:8" x14ac:dyDescent="0.2">
      <c r="A150" s="3" t="s">
        <v>9</v>
      </c>
      <c r="B150" s="3" t="s">
        <v>9</v>
      </c>
      <c r="C150" s="4" t="s">
        <v>105</v>
      </c>
      <c r="D150" s="3" t="s">
        <v>9</v>
      </c>
      <c r="E150" s="3" t="s">
        <v>9</v>
      </c>
      <c r="F150" s="14">
        <v>0</v>
      </c>
      <c r="G150" s="15">
        <v>0</v>
      </c>
      <c r="H150" s="156"/>
    </row>
    <row r="151" spans="1:8" x14ac:dyDescent="0.2">
      <c r="A151" s="3" t="s">
        <v>9</v>
      </c>
      <c r="B151" s="3" t="s">
        <v>9</v>
      </c>
      <c r="C151" s="12" t="s">
        <v>9</v>
      </c>
      <c r="D151" s="3" t="s">
        <v>9</v>
      </c>
      <c r="E151" s="3" t="s">
        <v>9</v>
      </c>
      <c r="F151" s="13" t="s">
        <v>9</v>
      </c>
      <c r="G151" s="13" t="s">
        <v>9</v>
      </c>
      <c r="H151" s="156"/>
    </row>
    <row r="152" spans="1:8" x14ac:dyDescent="0.2">
      <c r="A152" s="3" t="s">
        <v>9</v>
      </c>
      <c r="B152" s="3" t="s">
        <v>9</v>
      </c>
      <c r="C152" s="4" t="s">
        <v>124</v>
      </c>
      <c r="D152" s="3" t="s">
        <v>9</v>
      </c>
      <c r="E152" s="3" t="s">
        <v>9</v>
      </c>
      <c r="F152" s="13" t="s">
        <v>9</v>
      </c>
      <c r="G152" s="13" t="s">
        <v>9</v>
      </c>
      <c r="H152" s="156"/>
    </row>
    <row r="153" spans="1:8" x14ac:dyDescent="0.2">
      <c r="A153" s="5">
        <v>1</v>
      </c>
      <c r="B153" s="6"/>
      <c r="C153" s="6" t="s">
        <v>125</v>
      </c>
      <c r="D153" s="6"/>
      <c r="E153" s="16" t="s">
        <v>9</v>
      </c>
      <c r="F153" s="8">
        <v>36.7961338</v>
      </c>
      <c r="G153" s="9">
        <v>1.0759006999999999E-2</v>
      </c>
      <c r="H153" s="8">
        <v>3.3326163573085874</v>
      </c>
    </row>
    <row r="154" spans="1:8" x14ac:dyDescent="0.2">
      <c r="A154" s="5">
        <v>2</v>
      </c>
      <c r="B154" s="6"/>
      <c r="C154" s="6" t="s">
        <v>126</v>
      </c>
      <c r="D154" s="6"/>
      <c r="E154" s="16" t="s">
        <v>9</v>
      </c>
      <c r="F154" s="8">
        <v>26.281671500000002</v>
      </c>
      <c r="G154" s="9">
        <v>7.6846299999999996E-3</v>
      </c>
      <c r="H154" s="8">
        <v>3.2337849550915885</v>
      </c>
    </row>
    <row r="155" spans="1:8" x14ac:dyDescent="0.2">
      <c r="A155" s="3" t="s">
        <v>9</v>
      </c>
      <c r="B155" s="3" t="s">
        <v>9</v>
      </c>
      <c r="C155" s="4" t="s">
        <v>105</v>
      </c>
      <c r="D155" s="3" t="s">
        <v>9</v>
      </c>
      <c r="E155" s="3" t="s">
        <v>9</v>
      </c>
      <c r="F155" s="10">
        <v>63.077805300000001</v>
      </c>
      <c r="G155" s="11">
        <v>1.8443636999999999E-2</v>
      </c>
      <c r="H155" s="156"/>
    </row>
    <row r="156" spans="1:8" x14ac:dyDescent="0.2">
      <c r="A156" s="3" t="s">
        <v>9</v>
      </c>
      <c r="B156" s="3" t="s">
        <v>9</v>
      </c>
      <c r="C156" s="12" t="s">
        <v>9</v>
      </c>
      <c r="D156" s="3" t="s">
        <v>9</v>
      </c>
      <c r="E156" s="3" t="s">
        <v>9</v>
      </c>
      <c r="F156" s="13" t="s">
        <v>9</v>
      </c>
      <c r="G156" s="13" t="s">
        <v>9</v>
      </c>
      <c r="H156" s="156"/>
    </row>
    <row r="157" spans="1:8" x14ac:dyDescent="0.2">
      <c r="A157" s="3" t="s">
        <v>9</v>
      </c>
      <c r="B157" s="3" t="s">
        <v>9</v>
      </c>
      <c r="C157" s="4" t="s">
        <v>127</v>
      </c>
      <c r="D157" s="3" t="s">
        <v>9</v>
      </c>
      <c r="E157" s="3" t="s">
        <v>9</v>
      </c>
      <c r="F157" s="10">
        <v>63.077805300000001</v>
      </c>
      <c r="G157" s="11">
        <v>1.8443636999999999E-2</v>
      </c>
      <c r="H157" s="156"/>
    </row>
    <row r="158" spans="1:8" x14ac:dyDescent="0.2">
      <c r="A158" s="3" t="s">
        <v>9</v>
      </c>
      <c r="B158" s="3" t="s">
        <v>9</v>
      </c>
      <c r="C158" s="13" t="s">
        <v>9</v>
      </c>
      <c r="D158" s="3" t="s">
        <v>9</v>
      </c>
      <c r="E158" s="3" t="s">
        <v>9</v>
      </c>
      <c r="F158" s="3" t="s">
        <v>9</v>
      </c>
      <c r="G158" s="3" t="s">
        <v>9</v>
      </c>
      <c r="H158" s="156"/>
    </row>
    <row r="159" spans="1:8" x14ac:dyDescent="0.2">
      <c r="A159" s="3" t="s">
        <v>9</v>
      </c>
      <c r="B159" s="3" t="s">
        <v>9</v>
      </c>
      <c r="C159" s="4" t="s">
        <v>128</v>
      </c>
      <c r="D159" s="3" t="s">
        <v>9</v>
      </c>
      <c r="E159" s="3" t="s">
        <v>9</v>
      </c>
      <c r="F159" s="3" t="s">
        <v>9</v>
      </c>
      <c r="G159" s="3" t="s">
        <v>9</v>
      </c>
      <c r="H159" s="156"/>
    </row>
    <row r="160" spans="1:8" x14ac:dyDescent="0.2">
      <c r="A160" s="3" t="s">
        <v>9</v>
      </c>
      <c r="B160" s="3" t="s">
        <v>9</v>
      </c>
      <c r="C160" s="4" t="s">
        <v>129</v>
      </c>
      <c r="D160" s="3" t="s">
        <v>9</v>
      </c>
      <c r="E160" s="3" t="s">
        <v>9</v>
      </c>
      <c r="F160" s="3" t="s">
        <v>9</v>
      </c>
      <c r="G160" s="3" t="s">
        <v>9</v>
      </c>
      <c r="H160" s="156"/>
    </row>
    <row r="161" spans="1:8" x14ac:dyDescent="0.2">
      <c r="A161" s="3" t="s">
        <v>9</v>
      </c>
      <c r="B161" s="3" t="s">
        <v>9</v>
      </c>
      <c r="C161" s="4" t="s">
        <v>105</v>
      </c>
      <c r="D161" s="3" t="s">
        <v>9</v>
      </c>
      <c r="E161" s="3" t="s">
        <v>9</v>
      </c>
      <c r="F161" s="14">
        <v>0</v>
      </c>
      <c r="G161" s="15">
        <v>0</v>
      </c>
      <c r="H161" s="156"/>
    </row>
    <row r="162" spans="1:8" x14ac:dyDescent="0.2">
      <c r="A162" s="3" t="s">
        <v>9</v>
      </c>
      <c r="B162" s="3" t="s">
        <v>9</v>
      </c>
      <c r="C162" s="12" t="s">
        <v>9</v>
      </c>
      <c r="D162" s="3" t="s">
        <v>9</v>
      </c>
      <c r="E162" s="3" t="s">
        <v>9</v>
      </c>
      <c r="F162" s="13" t="s">
        <v>9</v>
      </c>
      <c r="G162" s="13" t="s">
        <v>9</v>
      </c>
      <c r="H162" s="156"/>
    </row>
    <row r="163" spans="1:8" x14ac:dyDescent="0.2">
      <c r="A163" s="3" t="s">
        <v>9</v>
      </c>
      <c r="B163" s="3" t="s">
        <v>9</v>
      </c>
      <c r="C163" s="4" t="s">
        <v>130</v>
      </c>
      <c r="D163" s="3" t="s">
        <v>9</v>
      </c>
      <c r="E163" s="3" t="s">
        <v>9</v>
      </c>
      <c r="F163" s="3" t="s">
        <v>9</v>
      </c>
      <c r="G163" s="3" t="s">
        <v>9</v>
      </c>
      <c r="H163" s="156"/>
    </row>
    <row r="164" spans="1:8" x14ac:dyDescent="0.2">
      <c r="A164" s="3" t="s">
        <v>9</v>
      </c>
      <c r="B164" s="3" t="s">
        <v>9</v>
      </c>
      <c r="C164" s="4" t="s">
        <v>131</v>
      </c>
      <c r="D164" s="3" t="s">
        <v>9</v>
      </c>
      <c r="E164" s="3" t="s">
        <v>9</v>
      </c>
      <c r="F164" s="3" t="s">
        <v>9</v>
      </c>
      <c r="G164" s="3" t="s">
        <v>9</v>
      </c>
      <c r="H164" s="156"/>
    </row>
    <row r="165" spans="1:8" x14ac:dyDescent="0.2">
      <c r="A165" s="3" t="s">
        <v>9</v>
      </c>
      <c r="B165" s="3" t="s">
        <v>9</v>
      </c>
      <c r="C165" s="4" t="s">
        <v>105</v>
      </c>
      <c r="D165" s="3" t="s">
        <v>9</v>
      </c>
      <c r="E165" s="3" t="s">
        <v>9</v>
      </c>
      <c r="F165" s="14">
        <v>0</v>
      </c>
      <c r="G165" s="15">
        <v>0</v>
      </c>
      <c r="H165" s="156"/>
    </row>
    <row r="166" spans="1:8" x14ac:dyDescent="0.2">
      <c r="A166" s="3" t="s">
        <v>9</v>
      </c>
      <c r="B166" s="3" t="s">
        <v>9</v>
      </c>
      <c r="C166" s="12" t="s">
        <v>9</v>
      </c>
      <c r="D166" s="3" t="s">
        <v>9</v>
      </c>
      <c r="E166" s="3" t="s">
        <v>9</v>
      </c>
      <c r="F166" s="13" t="s">
        <v>9</v>
      </c>
      <c r="G166" s="13" t="s">
        <v>9</v>
      </c>
      <c r="H166" s="156"/>
    </row>
    <row r="167" spans="1:8" x14ac:dyDescent="0.2">
      <c r="A167" s="3" t="s">
        <v>9</v>
      </c>
      <c r="B167" s="3" t="s">
        <v>9</v>
      </c>
      <c r="C167" s="12" t="s">
        <v>9</v>
      </c>
      <c r="D167" s="3" t="s">
        <v>9</v>
      </c>
      <c r="E167" s="3" t="s">
        <v>9</v>
      </c>
      <c r="F167" s="13" t="s">
        <v>9</v>
      </c>
      <c r="G167" s="13" t="s">
        <v>9</v>
      </c>
      <c r="H167" s="156"/>
    </row>
    <row r="168" spans="1:8" x14ac:dyDescent="0.2">
      <c r="A168" s="3" t="s">
        <v>9</v>
      </c>
      <c r="B168" s="3" t="s">
        <v>9</v>
      </c>
      <c r="C168" s="4" t="s">
        <v>132</v>
      </c>
      <c r="D168" s="3" t="s">
        <v>9</v>
      </c>
      <c r="E168" s="3" t="s">
        <v>9</v>
      </c>
      <c r="F168" s="13" t="s">
        <v>9</v>
      </c>
      <c r="G168" s="13" t="s">
        <v>9</v>
      </c>
      <c r="H168" s="156"/>
    </row>
    <row r="169" spans="1:8" x14ac:dyDescent="0.2">
      <c r="A169" s="3" t="s">
        <v>9</v>
      </c>
      <c r="B169" s="3" t="s">
        <v>9</v>
      </c>
      <c r="C169" s="4" t="s">
        <v>105</v>
      </c>
      <c r="D169" s="3" t="s">
        <v>9</v>
      </c>
      <c r="E169" s="3" t="s">
        <v>9</v>
      </c>
      <c r="F169" s="14">
        <v>0</v>
      </c>
      <c r="G169" s="15">
        <v>0</v>
      </c>
      <c r="H169" s="156"/>
    </row>
    <row r="170" spans="1:8" x14ac:dyDescent="0.2">
      <c r="A170" s="3" t="s">
        <v>9</v>
      </c>
      <c r="B170" s="3" t="s">
        <v>9</v>
      </c>
      <c r="C170" s="12" t="s">
        <v>9</v>
      </c>
      <c r="D170" s="3" t="s">
        <v>9</v>
      </c>
      <c r="E170" s="3" t="s">
        <v>9</v>
      </c>
      <c r="F170" s="13" t="s">
        <v>9</v>
      </c>
      <c r="G170" s="13" t="s">
        <v>9</v>
      </c>
      <c r="H170" s="156"/>
    </row>
    <row r="171" spans="1:8" x14ac:dyDescent="0.2">
      <c r="A171" s="3" t="s">
        <v>9</v>
      </c>
      <c r="B171" s="6" t="s">
        <v>9</v>
      </c>
      <c r="C171" s="6" t="s">
        <v>9</v>
      </c>
      <c r="D171" s="4" t="s">
        <v>9</v>
      </c>
      <c r="E171" s="3" t="s">
        <v>9</v>
      </c>
      <c r="F171" s="6" t="s">
        <v>9</v>
      </c>
      <c r="G171" s="16" t="s">
        <v>9</v>
      </c>
      <c r="H171" s="156"/>
    </row>
    <row r="172" spans="1:8" x14ac:dyDescent="0.2">
      <c r="A172" s="16" t="s">
        <v>9</v>
      </c>
      <c r="B172" s="6" t="s">
        <v>9</v>
      </c>
      <c r="C172" s="6" t="s">
        <v>133</v>
      </c>
      <c r="D172" s="6" t="s">
        <v>9</v>
      </c>
      <c r="E172" s="16" t="s">
        <v>9</v>
      </c>
      <c r="F172" s="8">
        <v>-6.6069038999999998</v>
      </c>
      <c r="G172" s="9">
        <v>-1.931826E-3</v>
      </c>
      <c r="H172" s="156"/>
    </row>
    <row r="173" spans="1:8" x14ac:dyDescent="0.2">
      <c r="A173" s="12" t="s">
        <v>9</v>
      </c>
      <c r="B173" s="12" t="s">
        <v>9</v>
      </c>
      <c r="C173" s="4" t="s">
        <v>134</v>
      </c>
      <c r="D173" s="17" t="s">
        <v>9</v>
      </c>
      <c r="E173" s="17" t="s">
        <v>9</v>
      </c>
      <c r="F173" s="10">
        <v>3420.03064498</v>
      </c>
      <c r="G173" s="11">
        <v>0.999999996</v>
      </c>
      <c r="H173" s="156"/>
    </row>
    <row r="174" spans="1:8" ht="14.1" customHeight="1" x14ac:dyDescent="0.2">
      <c r="A174" s="18" t="s">
        <v>9</v>
      </c>
      <c r="B174" s="18" t="s">
        <v>9</v>
      </c>
      <c r="C174" s="18" t="s">
        <v>9</v>
      </c>
      <c r="D174" s="19" t="s">
        <v>9</v>
      </c>
      <c r="E174" s="19" t="s">
        <v>9</v>
      </c>
      <c r="F174" s="19" t="s">
        <v>9</v>
      </c>
      <c r="G174" s="19" t="s">
        <v>9</v>
      </c>
    </row>
    <row r="175" spans="1:8" ht="17.100000000000001" customHeight="1" x14ac:dyDescent="0.2">
      <c r="A175" s="20" t="s">
        <v>9</v>
      </c>
      <c r="B175" s="200" t="s">
        <v>700</v>
      </c>
      <c r="C175" s="200"/>
      <c r="D175" s="200"/>
      <c r="E175" s="200"/>
      <c r="F175" s="200"/>
      <c r="G175" s="22" t="s">
        <v>9</v>
      </c>
    </row>
    <row r="176" spans="1:8" ht="14.1" customHeight="1" x14ac:dyDescent="0.2">
      <c r="A176" s="20" t="s">
        <v>9</v>
      </c>
      <c r="B176" s="200" t="s">
        <v>9</v>
      </c>
      <c r="C176" s="200"/>
      <c r="D176" s="200"/>
      <c r="E176" s="200"/>
      <c r="F176" s="200"/>
      <c r="G176" s="22" t="s">
        <v>9</v>
      </c>
    </row>
    <row r="177" spans="1:8" ht="14.1" customHeight="1" x14ac:dyDescent="0.2">
      <c r="A177" s="20" t="s">
        <v>9</v>
      </c>
      <c r="B177" s="20" t="s">
        <v>9</v>
      </c>
      <c r="C177" s="20" t="s">
        <v>9</v>
      </c>
      <c r="D177" s="22" t="s">
        <v>9</v>
      </c>
      <c r="E177" s="22" t="s">
        <v>9</v>
      </c>
      <c r="F177" s="22" t="s">
        <v>9</v>
      </c>
      <c r="G177" s="22" t="s">
        <v>9</v>
      </c>
    </row>
    <row r="178" spans="1:8" ht="14.1" customHeight="1" x14ac:dyDescent="0.2">
      <c r="A178" s="20" t="s">
        <v>9</v>
      </c>
      <c r="B178" s="198" t="s">
        <v>136</v>
      </c>
      <c r="C178" s="199"/>
      <c r="D178" s="13" t="s">
        <v>9</v>
      </c>
      <c r="E178" s="23" t="s">
        <v>9</v>
      </c>
      <c r="F178" s="22" t="s">
        <v>9</v>
      </c>
      <c r="G178" s="22" t="s">
        <v>9</v>
      </c>
    </row>
    <row r="179" spans="1:8" ht="29.1" customHeight="1" x14ac:dyDescent="0.2">
      <c r="A179" s="20" t="s">
        <v>9</v>
      </c>
      <c r="B179" s="205" t="s">
        <v>137</v>
      </c>
      <c r="C179" s="206"/>
      <c r="D179" s="4" t="s">
        <v>138</v>
      </c>
      <c r="E179" s="23" t="s">
        <v>9</v>
      </c>
      <c r="F179" s="22" t="s">
        <v>9</v>
      </c>
      <c r="G179" s="22" t="s">
        <v>9</v>
      </c>
    </row>
    <row r="180" spans="1:8" ht="17.100000000000001" customHeight="1" x14ac:dyDescent="0.2">
      <c r="A180" s="20" t="s">
        <v>9</v>
      </c>
      <c r="B180" s="205" t="s">
        <v>139</v>
      </c>
      <c r="C180" s="206"/>
      <c r="D180" s="4" t="s">
        <v>138</v>
      </c>
      <c r="E180" s="23" t="s">
        <v>9</v>
      </c>
      <c r="F180" s="22" t="s">
        <v>9</v>
      </c>
      <c r="G180" s="22" t="s">
        <v>9</v>
      </c>
    </row>
    <row r="181" spans="1:8" ht="17.100000000000001" customHeight="1" x14ac:dyDescent="0.2">
      <c r="A181" s="20" t="s">
        <v>9</v>
      </c>
      <c r="B181" s="205" t="s">
        <v>140</v>
      </c>
      <c r="C181" s="206"/>
      <c r="D181" s="13" t="s">
        <v>9</v>
      </c>
      <c r="E181" s="23" t="s">
        <v>9</v>
      </c>
      <c r="F181" s="22" t="s">
        <v>9</v>
      </c>
      <c r="G181" s="22" t="s">
        <v>9</v>
      </c>
    </row>
    <row r="182" spans="1:8" ht="24" customHeight="1" x14ac:dyDescent="0.2">
      <c r="A182" s="24" t="s">
        <v>9</v>
      </c>
      <c r="B182" s="25" t="s">
        <v>9</v>
      </c>
      <c r="C182" s="25" t="s">
        <v>141</v>
      </c>
      <c r="D182" s="25" t="s">
        <v>142</v>
      </c>
      <c r="E182" s="24" t="s">
        <v>9</v>
      </c>
      <c r="F182" s="24" t="s">
        <v>9</v>
      </c>
      <c r="G182" s="24" t="s">
        <v>9</v>
      </c>
    </row>
    <row r="183" spans="1:8" ht="18" customHeight="1" x14ac:dyDescent="0.2">
      <c r="A183" s="24" t="s">
        <v>9</v>
      </c>
      <c r="B183" s="25" t="s">
        <v>143</v>
      </c>
      <c r="C183" s="25" t="s">
        <v>144</v>
      </c>
      <c r="D183" s="25" t="s">
        <v>145</v>
      </c>
      <c r="E183" s="24" t="s">
        <v>9</v>
      </c>
      <c r="F183" s="24" t="s">
        <v>9</v>
      </c>
      <c r="G183" s="24" t="s">
        <v>9</v>
      </c>
    </row>
    <row r="184" spans="1:8" ht="17.100000000000001" customHeight="1" x14ac:dyDescent="0.2">
      <c r="A184" s="24" t="s">
        <v>9</v>
      </c>
      <c r="B184" s="6" t="s">
        <v>146</v>
      </c>
      <c r="C184" s="26">
        <v>16.705500000000001</v>
      </c>
      <c r="D184" s="26">
        <v>16.988</v>
      </c>
      <c r="E184" s="24" t="s">
        <v>9</v>
      </c>
      <c r="F184" s="21" t="s">
        <v>9</v>
      </c>
      <c r="G184" s="27" t="s">
        <v>9</v>
      </c>
    </row>
    <row r="185" spans="1:8" ht="17.100000000000001" customHeight="1" x14ac:dyDescent="0.2">
      <c r="A185" s="24" t="s">
        <v>9</v>
      </c>
      <c r="B185" s="6" t="s">
        <v>839</v>
      </c>
      <c r="C185" s="26">
        <v>15.990399999999999</v>
      </c>
      <c r="D185" s="26">
        <v>15.116899999999999</v>
      </c>
      <c r="E185" s="24" t="s">
        <v>9</v>
      </c>
      <c r="F185" s="21" t="s">
        <v>9</v>
      </c>
      <c r="G185" s="27" t="s">
        <v>9</v>
      </c>
    </row>
    <row r="186" spans="1:8" ht="17.100000000000001" customHeight="1" x14ac:dyDescent="0.2">
      <c r="A186" s="24" t="s">
        <v>9</v>
      </c>
      <c r="B186" s="6" t="s">
        <v>147</v>
      </c>
      <c r="C186" s="26">
        <v>16.218900000000001</v>
      </c>
      <c r="D186" s="26">
        <v>16.486699999999999</v>
      </c>
      <c r="E186" s="24" t="s">
        <v>9</v>
      </c>
      <c r="F186" s="21" t="s">
        <v>9</v>
      </c>
      <c r="G186" s="27" t="s">
        <v>9</v>
      </c>
    </row>
    <row r="187" spans="1:8" ht="17.100000000000001" customHeight="1" x14ac:dyDescent="0.2">
      <c r="A187" s="24" t="s">
        <v>9</v>
      </c>
      <c r="B187" s="6" t="s">
        <v>840</v>
      </c>
      <c r="C187" s="26">
        <v>15.517799999999999</v>
      </c>
      <c r="D187" s="26">
        <v>14.664199999999999</v>
      </c>
      <c r="E187" s="24" t="s">
        <v>9</v>
      </c>
      <c r="F187" s="21" t="s">
        <v>9</v>
      </c>
      <c r="G187" s="27" t="s">
        <v>9</v>
      </c>
    </row>
    <row r="188" spans="1:8" ht="14.1" customHeight="1" x14ac:dyDescent="0.2">
      <c r="A188" s="24" t="s">
        <v>9</v>
      </c>
      <c r="B188" s="24" t="s">
        <v>9</v>
      </c>
      <c r="C188" s="24" t="s">
        <v>9</v>
      </c>
      <c r="D188" s="24" t="s">
        <v>9</v>
      </c>
      <c r="E188" s="24" t="s">
        <v>9</v>
      </c>
      <c r="F188" s="24" t="s">
        <v>9</v>
      </c>
      <c r="G188" s="24" t="s">
        <v>9</v>
      </c>
    </row>
    <row r="189" spans="1:8" ht="29.1" customHeight="1" x14ac:dyDescent="0.2">
      <c r="A189" s="167" t="s">
        <v>9</v>
      </c>
      <c r="B189" s="207" t="s">
        <v>986</v>
      </c>
      <c r="C189" s="207"/>
      <c r="D189" s="160"/>
      <c r="E189" s="167" t="s">
        <v>9</v>
      </c>
      <c r="F189" s="167" t="s">
        <v>9</v>
      </c>
      <c r="G189" s="167" t="s">
        <v>9</v>
      </c>
    </row>
    <row r="190" spans="1:8" s="166" customFormat="1" ht="15" x14ac:dyDescent="0.2">
      <c r="A190" s="148" t="s">
        <v>9</v>
      </c>
      <c r="B190" s="161" t="s">
        <v>143</v>
      </c>
      <c r="C190" s="161" t="s">
        <v>878</v>
      </c>
      <c r="D190" s="161" t="s">
        <v>879</v>
      </c>
      <c r="E190" s="148" t="s">
        <v>9</v>
      </c>
      <c r="F190" s="148" t="s">
        <v>9</v>
      </c>
      <c r="G190" s="148" t="s">
        <v>9</v>
      </c>
      <c r="H190" s="165"/>
    </row>
    <row r="191" spans="1:8" ht="17.100000000000001" customHeight="1" x14ac:dyDescent="0.2">
      <c r="A191" s="24" t="s">
        <v>9</v>
      </c>
      <c r="B191" s="162" t="s">
        <v>839</v>
      </c>
      <c r="C191" s="163">
        <v>1.1439999999999999</v>
      </c>
      <c r="D191" s="163">
        <v>0</v>
      </c>
      <c r="E191" s="24" t="s">
        <v>9</v>
      </c>
      <c r="F191" s="31" t="s">
        <v>9</v>
      </c>
      <c r="G191" s="27" t="s">
        <v>9</v>
      </c>
    </row>
    <row r="192" spans="1:8" ht="29.1" customHeight="1" x14ac:dyDescent="0.2">
      <c r="A192" s="24" t="s">
        <v>9</v>
      </c>
      <c r="B192" s="162" t="s">
        <v>840</v>
      </c>
      <c r="C192" s="163">
        <v>1.1100000000000001</v>
      </c>
      <c r="D192" s="163">
        <v>1.1100000000000001</v>
      </c>
      <c r="E192" s="24" t="s">
        <v>9</v>
      </c>
      <c r="F192" s="31" t="s">
        <v>9</v>
      </c>
      <c r="G192" s="27" t="s">
        <v>9</v>
      </c>
    </row>
    <row r="193" spans="1:7" ht="14.1" customHeight="1" x14ac:dyDescent="0.2">
      <c r="A193" s="24" t="s">
        <v>9</v>
      </c>
      <c r="B193" s="21" t="s">
        <v>9</v>
      </c>
      <c r="C193" s="21" t="s">
        <v>9</v>
      </c>
      <c r="D193" s="24" t="s">
        <v>9</v>
      </c>
      <c r="E193" s="24" t="s">
        <v>9</v>
      </c>
      <c r="F193" s="24" t="s">
        <v>9</v>
      </c>
      <c r="G193" s="24" t="s">
        <v>9</v>
      </c>
    </row>
    <row r="194" spans="1:7" s="197" customFormat="1" x14ac:dyDescent="0.2">
      <c r="B194" s="208" t="s">
        <v>841</v>
      </c>
      <c r="C194" s="208"/>
      <c r="D194" s="208"/>
      <c r="E194" s="208"/>
      <c r="F194" s="208"/>
    </row>
    <row r="195" spans="1:7" ht="14.1" customHeight="1" x14ac:dyDescent="0.2">
      <c r="A195" s="24"/>
      <c r="B195" s="182"/>
      <c r="C195" s="182"/>
      <c r="D195" s="24"/>
      <c r="E195" s="24"/>
      <c r="F195" s="24"/>
      <c r="G195" s="24"/>
    </row>
    <row r="196" spans="1:7" ht="29.1" customHeight="1" x14ac:dyDescent="0.2">
      <c r="A196" s="24" t="s">
        <v>9</v>
      </c>
      <c r="B196" s="205" t="s">
        <v>148</v>
      </c>
      <c r="C196" s="206"/>
      <c r="D196" s="4" t="s">
        <v>138</v>
      </c>
      <c r="E196" s="24" t="s">
        <v>9</v>
      </c>
      <c r="F196" s="24" t="s">
        <v>9</v>
      </c>
      <c r="G196" s="24" t="s">
        <v>9</v>
      </c>
    </row>
    <row r="197" spans="1:7" ht="29.1" customHeight="1" x14ac:dyDescent="0.2">
      <c r="A197" s="24" t="s">
        <v>9</v>
      </c>
      <c r="B197" s="205" t="s">
        <v>149</v>
      </c>
      <c r="C197" s="206"/>
      <c r="D197" s="4" t="s">
        <v>138</v>
      </c>
      <c r="E197" s="24" t="s">
        <v>9</v>
      </c>
      <c r="F197" s="24" t="s">
        <v>9</v>
      </c>
      <c r="G197" s="24" t="s">
        <v>9</v>
      </c>
    </row>
    <row r="198" spans="1:7" ht="17.100000000000001" customHeight="1" x14ac:dyDescent="0.2">
      <c r="A198" s="24" t="s">
        <v>9</v>
      </c>
      <c r="B198" s="205" t="s">
        <v>150</v>
      </c>
      <c r="C198" s="206"/>
      <c r="D198" s="29">
        <v>0.53498606779168034</v>
      </c>
      <c r="E198" s="24" t="s">
        <v>9</v>
      </c>
      <c r="F198" s="21" t="s">
        <v>9</v>
      </c>
      <c r="G198" s="27" t="s">
        <v>9</v>
      </c>
    </row>
    <row r="199" spans="1:7" ht="17.100000000000001" customHeight="1" x14ac:dyDescent="0.2">
      <c r="A199" s="24" t="s">
        <v>9</v>
      </c>
      <c r="B199" s="205" t="s">
        <v>151</v>
      </c>
      <c r="C199" s="206"/>
      <c r="D199" s="4" t="s">
        <v>138</v>
      </c>
      <c r="E199" s="24" t="s">
        <v>9</v>
      </c>
      <c r="F199" s="24" t="s">
        <v>9</v>
      </c>
      <c r="G199" s="24" t="s">
        <v>9</v>
      </c>
    </row>
  </sheetData>
  <mergeCells count="15">
    <mergeCell ref="B198:C198"/>
    <mergeCell ref="B199:C199"/>
    <mergeCell ref="B179:C179"/>
    <mergeCell ref="B180:C180"/>
    <mergeCell ref="B181:C181"/>
    <mergeCell ref="B189:C189"/>
    <mergeCell ref="B196:C196"/>
    <mergeCell ref="B197:C197"/>
    <mergeCell ref="B194:F194"/>
    <mergeCell ref="B178:C178"/>
    <mergeCell ref="B175:F175"/>
    <mergeCell ref="B176:F17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14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701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50</v>
      </c>
      <c r="C7" s="6" t="s">
        <v>51</v>
      </c>
      <c r="D7" s="6" t="s">
        <v>22</v>
      </c>
      <c r="E7" s="7">
        <v>1150000</v>
      </c>
      <c r="F7" s="8">
        <v>17225.849999999999</v>
      </c>
      <c r="G7" s="9">
        <v>7.3774956000000003E-2</v>
      </c>
      <c r="H7" s="156"/>
    </row>
    <row r="8" spans="1:8" x14ac:dyDescent="0.2">
      <c r="A8" s="5">
        <v>2</v>
      </c>
      <c r="B8" s="6" t="s">
        <v>398</v>
      </c>
      <c r="C8" s="6" t="s">
        <v>399</v>
      </c>
      <c r="D8" s="6" t="s">
        <v>169</v>
      </c>
      <c r="E8" s="7">
        <v>1072000</v>
      </c>
      <c r="F8" s="8">
        <v>16946.175999999999</v>
      </c>
      <c r="G8" s="9">
        <v>7.2577165999999999E-2</v>
      </c>
      <c r="H8" s="156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770000</v>
      </c>
      <c r="F9" s="8">
        <v>16252.004999999999</v>
      </c>
      <c r="G9" s="9">
        <v>6.9604166999999995E-2</v>
      </c>
      <c r="H9" s="156"/>
    </row>
    <row r="10" spans="1:8" x14ac:dyDescent="0.2">
      <c r="A10" s="5">
        <v>4</v>
      </c>
      <c r="B10" s="6" t="s">
        <v>20</v>
      </c>
      <c r="C10" s="6" t="s">
        <v>21</v>
      </c>
      <c r="D10" s="6" t="s">
        <v>22</v>
      </c>
      <c r="E10" s="7">
        <v>2500000</v>
      </c>
      <c r="F10" s="8">
        <v>15772.5</v>
      </c>
      <c r="G10" s="9">
        <v>6.7550541000000006E-2</v>
      </c>
      <c r="H10" s="156"/>
    </row>
    <row r="11" spans="1:8" x14ac:dyDescent="0.2">
      <c r="A11" s="5">
        <v>5</v>
      </c>
      <c r="B11" s="6" t="s">
        <v>400</v>
      </c>
      <c r="C11" s="6" t="s">
        <v>401</v>
      </c>
      <c r="D11" s="6" t="s">
        <v>166</v>
      </c>
      <c r="E11" s="7">
        <v>445000</v>
      </c>
      <c r="F11" s="8">
        <v>11014.862499999999</v>
      </c>
      <c r="G11" s="9">
        <v>4.7174507999999997E-2</v>
      </c>
      <c r="H11" s="156"/>
    </row>
    <row r="12" spans="1:8" x14ac:dyDescent="0.2">
      <c r="A12" s="5">
        <v>6</v>
      </c>
      <c r="B12" s="6" t="s">
        <v>356</v>
      </c>
      <c r="C12" s="6" t="s">
        <v>357</v>
      </c>
      <c r="D12" s="6" t="s">
        <v>22</v>
      </c>
      <c r="E12" s="7">
        <v>1400000</v>
      </c>
      <c r="F12" s="8">
        <v>10476.200000000001</v>
      </c>
      <c r="G12" s="9">
        <v>4.4867521E-2</v>
      </c>
      <c r="H12" s="156"/>
    </row>
    <row r="13" spans="1:8" x14ac:dyDescent="0.2">
      <c r="A13" s="5">
        <v>7</v>
      </c>
      <c r="B13" s="6" t="s">
        <v>368</v>
      </c>
      <c r="C13" s="6" t="s">
        <v>369</v>
      </c>
      <c r="D13" s="6" t="s">
        <v>169</v>
      </c>
      <c r="E13" s="7">
        <v>740000</v>
      </c>
      <c r="F13" s="8">
        <v>7277.9</v>
      </c>
      <c r="G13" s="9">
        <v>3.1169826000000001E-2</v>
      </c>
      <c r="H13" s="156"/>
    </row>
    <row r="14" spans="1:8" x14ac:dyDescent="0.2">
      <c r="A14" s="5">
        <v>8</v>
      </c>
      <c r="B14" s="6" t="s">
        <v>408</v>
      </c>
      <c r="C14" s="6" t="s">
        <v>409</v>
      </c>
      <c r="D14" s="6" t="s">
        <v>169</v>
      </c>
      <c r="E14" s="7">
        <v>215000</v>
      </c>
      <c r="F14" s="8">
        <v>7193.3625000000002</v>
      </c>
      <c r="G14" s="9">
        <v>3.0807768999999999E-2</v>
      </c>
      <c r="H14" s="156"/>
    </row>
    <row r="15" spans="1:8" x14ac:dyDescent="0.2">
      <c r="A15" s="5">
        <v>9</v>
      </c>
      <c r="B15" s="6" t="s">
        <v>26</v>
      </c>
      <c r="C15" s="6" t="s">
        <v>27</v>
      </c>
      <c r="D15" s="6" t="s">
        <v>28</v>
      </c>
      <c r="E15" s="7">
        <v>560000</v>
      </c>
      <c r="F15" s="8">
        <v>6954.92</v>
      </c>
      <c r="G15" s="9">
        <v>2.9786566E-2</v>
      </c>
      <c r="H15" s="156"/>
    </row>
    <row r="16" spans="1:8" x14ac:dyDescent="0.2">
      <c r="A16" s="5">
        <v>10</v>
      </c>
      <c r="B16" s="6" t="s">
        <v>402</v>
      </c>
      <c r="C16" s="6" t="s">
        <v>403</v>
      </c>
      <c r="D16" s="6" t="s">
        <v>22</v>
      </c>
      <c r="E16" s="7">
        <v>1650000</v>
      </c>
      <c r="F16" s="8">
        <v>6916.8</v>
      </c>
      <c r="G16" s="9">
        <v>2.9623304999999999E-2</v>
      </c>
      <c r="H16" s="156"/>
    </row>
    <row r="17" spans="1:8" x14ac:dyDescent="0.2">
      <c r="A17" s="5">
        <v>11</v>
      </c>
      <c r="B17" s="6" t="s">
        <v>319</v>
      </c>
      <c r="C17" s="6" t="s">
        <v>320</v>
      </c>
      <c r="D17" s="6" t="s">
        <v>73</v>
      </c>
      <c r="E17" s="7">
        <v>910000</v>
      </c>
      <c r="F17" s="8">
        <v>6639.36</v>
      </c>
      <c r="G17" s="9">
        <v>2.8435083999999999E-2</v>
      </c>
      <c r="H17" s="156"/>
    </row>
    <row r="18" spans="1:8" x14ac:dyDescent="0.2">
      <c r="A18" s="5">
        <v>12</v>
      </c>
      <c r="B18" s="6" t="s">
        <v>153</v>
      </c>
      <c r="C18" s="6" t="s">
        <v>154</v>
      </c>
      <c r="D18" s="6" t="s">
        <v>155</v>
      </c>
      <c r="E18" s="7">
        <v>175000</v>
      </c>
      <c r="F18" s="8">
        <v>6561.1875</v>
      </c>
      <c r="G18" s="9">
        <v>2.8100285999999999E-2</v>
      </c>
      <c r="H18" s="156"/>
    </row>
    <row r="19" spans="1:8" x14ac:dyDescent="0.2">
      <c r="A19" s="5">
        <v>13</v>
      </c>
      <c r="B19" s="6" t="s">
        <v>208</v>
      </c>
      <c r="C19" s="6" t="s">
        <v>209</v>
      </c>
      <c r="D19" s="6" t="s">
        <v>976</v>
      </c>
      <c r="E19" s="7">
        <v>800000</v>
      </c>
      <c r="F19" s="8">
        <v>6543.6</v>
      </c>
      <c r="G19" s="9">
        <v>2.8024962E-2</v>
      </c>
      <c r="H19" s="156"/>
    </row>
    <row r="20" spans="1:8" x14ac:dyDescent="0.2">
      <c r="A20" s="5">
        <v>14</v>
      </c>
      <c r="B20" s="6" t="s">
        <v>18</v>
      </c>
      <c r="C20" s="6" t="s">
        <v>19</v>
      </c>
      <c r="D20" s="6" t="s">
        <v>972</v>
      </c>
      <c r="E20" s="7">
        <v>550000</v>
      </c>
      <c r="F20" s="8">
        <v>5641.625</v>
      </c>
      <c r="G20" s="9">
        <v>2.4161979E-2</v>
      </c>
      <c r="H20" s="156"/>
    </row>
    <row r="21" spans="1:8" x14ac:dyDescent="0.2">
      <c r="A21" s="5">
        <v>15</v>
      </c>
      <c r="B21" s="6" t="s">
        <v>12</v>
      </c>
      <c r="C21" s="6" t="s">
        <v>13</v>
      </c>
      <c r="D21" s="6" t="s">
        <v>14</v>
      </c>
      <c r="E21" s="7">
        <v>360000</v>
      </c>
      <c r="F21" s="8">
        <v>5401.98</v>
      </c>
      <c r="G21" s="9">
        <v>2.3135626999999999E-2</v>
      </c>
      <c r="H21" s="156"/>
    </row>
    <row r="22" spans="1:8" x14ac:dyDescent="0.2">
      <c r="A22" s="5">
        <v>16</v>
      </c>
      <c r="B22" s="6" t="s">
        <v>404</v>
      </c>
      <c r="C22" s="6" t="s">
        <v>405</v>
      </c>
      <c r="D22" s="6" t="s">
        <v>971</v>
      </c>
      <c r="E22" s="7">
        <v>500000</v>
      </c>
      <c r="F22" s="8">
        <v>5040.75</v>
      </c>
      <c r="G22" s="9">
        <v>2.1588548999999999E-2</v>
      </c>
      <c r="H22" s="156"/>
    </row>
    <row r="23" spans="1:8" x14ac:dyDescent="0.2">
      <c r="A23" s="5">
        <v>17</v>
      </c>
      <c r="B23" s="6" t="s">
        <v>313</v>
      </c>
      <c r="C23" s="6" t="s">
        <v>314</v>
      </c>
      <c r="D23" s="6" t="s">
        <v>73</v>
      </c>
      <c r="E23" s="7">
        <v>870000</v>
      </c>
      <c r="F23" s="8">
        <v>4875.0450000000001</v>
      </c>
      <c r="G23" s="9">
        <v>2.0878866999999999E-2</v>
      </c>
      <c r="H23" s="156"/>
    </row>
    <row r="24" spans="1:8" x14ac:dyDescent="0.2">
      <c r="A24" s="5">
        <v>18</v>
      </c>
      <c r="B24" s="6" t="s">
        <v>315</v>
      </c>
      <c r="C24" s="6" t="s">
        <v>316</v>
      </c>
      <c r="D24" s="6" t="s">
        <v>975</v>
      </c>
      <c r="E24" s="7">
        <v>150000</v>
      </c>
      <c r="F24" s="8">
        <v>4620.3</v>
      </c>
      <c r="G24" s="9">
        <v>1.9787843999999999E-2</v>
      </c>
      <c r="H24" s="156"/>
    </row>
    <row r="25" spans="1:8" x14ac:dyDescent="0.2">
      <c r="A25" s="5">
        <v>19</v>
      </c>
      <c r="B25" s="6" t="s">
        <v>23</v>
      </c>
      <c r="C25" s="6" t="s">
        <v>24</v>
      </c>
      <c r="D25" s="6" t="s">
        <v>25</v>
      </c>
      <c r="E25" s="7">
        <v>850000</v>
      </c>
      <c r="F25" s="8">
        <v>4468.0249999999996</v>
      </c>
      <c r="G25" s="9">
        <v>1.9135679999999999E-2</v>
      </c>
      <c r="H25" s="156"/>
    </row>
    <row r="26" spans="1:8" x14ac:dyDescent="0.2">
      <c r="A26" s="5">
        <v>20</v>
      </c>
      <c r="B26" s="6" t="s">
        <v>321</v>
      </c>
      <c r="C26" s="6" t="s">
        <v>322</v>
      </c>
      <c r="D26" s="6" t="s">
        <v>63</v>
      </c>
      <c r="E26" s="7">
        <v>960000</v>
      </c>
      <c r="F26" s="8">
        <v>4172.16</v>
      </c>
      <c r="G26" s="9">
        <v>1.7868548000000001E-2</v>
      </c>
      <c r="H26" s="156"/>
    </row>
    <row r="27" spans="1:8" x14ac:dyDescent="0.2">
      <c r="A27" s="5">
        <v>21</v>
      </c>
      <c r="B27" s="6" t="s">
        <v>406</v>
      </c>
      <c r="C27" s="6" t="s">
        <v>407</v>
      </c>
      <c r="D27" s="6" t="s">
        <v>73</v>
      </c>
      <c r="E27" s="7">
        <v>163000</v>
      </c>
      <c r="F27" s="8">
        <v>4028.2190000000001</v>
      </c>
      <c r="G27" s="9">
        <v>1.7252076000000002E-2</v>
      </c>
      <c r="H27" s="156"/>
    </row>
    <row r="28" spans="1:8" x14ac:dyDescent="0.2">
      <c r="A28" s="5">
        <v>22</v>
      </c>
      <c r="B28" s="6" t="s">
        <v>57</v>
      </c>
      <c r="C28" s="6" t="s">
        <v>58</v>
      </c>
      <c r="D28" s="6" t="s">
        <v>17</v>
      </c>
      <c r="E28" s="7">
        <v>835000</v>
      </c>
      <c r="F28" s="8">
        <v>3908.6350000000002</v>
      </c>
      <c r="G28" s="9">
        <v>1.6739921000000001E-2</v>
      </c>
      <c r="H28" s="156"/>
    </row>
    <row r="29" spans="1:8" x14ac:dyDescent="0.2">
      <c r="A29" s="5">
        <v>23</v>
      </c>
      <c r="B29" s="6" t="s">
        <v>97</v>
      </c>
      <c r="C29" s="6" t="s">
        <v>98</v>
      </c>
      <c r="D29" s="6" t="s">
        <v>28</v>
      </c>
      <c r="E29" s="7">
        <v>63078</v>
      </c>
      <c r="F29" s="8">
        <v>3554.066832</v>
      </c>
      <c r="G29" s="9">
        <v>1.5221375000000001E-2</v>
      </c>
      <c r="H29" s="156"/>
    </row>
    <row r="30" spans="1:8" x14ac:dyDescent="0.2">
      <c r="A30" s="5">
        <v>24</v>
      </c>
      <c r="B30" s="6" t="s">
        <v>416</v>
      </c>
      <c r="C30" s="6" t="s">
        <v>417</v>
      </c>
      <c r="D30" s="6" t="s">
        <v>92</v>
      </c>
      <c r="E30" s="7">
        <v>420000</v>
      </c>
      <c r="F30" s="8">
        <v>3266.34</v>
      </c>
      <c r="G30" s="9">
        <v>1.3989097000000001E-2</v>
      </c>
      <c r="H30" s="156"/>
    </row>
    <row r="31" spans="1:8" x14ac:dyDescent="0.2">
      <c r="A31" s="5">
        <v>25</v>
      </c>
      <c r="B31" s="6" t="s">
        <v>333</v>
      </c>
      <c r="C31" s="6" t="s">
        <v>334</v>
      </c>
      <c r="D31" s="6" t="s">
        <v>54</v>
      </c>
      <c r="E31" s="7">
        <v>800000</v>
      </c>
      <c r="F31" s="8">
        <v>3179.6</v>
      </c>
      <c r="G31" s="9">
        <v>1.3617607E-2</v>
      </c>
      <c r="H31" s="156"/>
    </row>
    <row r="32" spans="1:8" x14ac:dyDescent="0.2">
      <c r="A32" s="5">
        <v>26</v>
      </c>
      <c r="B32" s="6" t="s">
        <v>418</v>
      </c>
      <c r="C32" s="6" t="s">
        <v>419</v>
      </c>
      <c r="D32" s="6" t="s">
        <v>196</v>
      </c>
      <c r="E32" s="7">
        <v>72000</v>
      </c>
      <c r="F32" s="8">
        <v>3173.94</v>
      </c>
      <c r="G32" s="9">
        <v>1.3593366000000001E-2</v>
      </c>
      <c r="H32" s="156"/>
    </row>
    <row r="33" spans="1:8" x14ac:dyDescent="0.2">
      <c r="A33" s="5">
        <v>27</v>
      </c>
      <c r="B33" s="6" t="s">
        <v>173</v>
      </c>
      <c r="C33" s="6" t="s">
        <v>174</v>
      </c>
      <c r="D33" s="6" t="s">
        <v>63</v>
      </c>
      <c r="E33" s="7">
        <v>690000</v>
      </c>
      <c r="F33" s="8">
        <v>2791.395</v>
      </c>
      <c r="G33" s="9">
        <v>1.1955E-2</v>
      </c>
      <c r="H33" s="156"/>
    </row>
    <row r="34" spans="1:8" x14ac:dyDescent="0.2">
      <c r="A34" s="5">
        <v>28</v>
      </c>
      <c r="B34" s="6" t="s">
        <v>36</v>
      </c>
      <c r="C34" s="6" t="s">
        <v>37</v>
      </c>
      <c r="D34" s="6" t="s">
        <v>972</v>
      </c>
      <c r="E34" s="7">
        <v>40000</v>
      </c>
      <c r="F34" s="8">
        <v>2710.4</v>
      </c>
      <c r="G34" s="9">
        <v>1.1608115E-2</v>
      </c>
      <c r="H34" s="156"/>
    </row>
    <row r="35" spans="1:8" x14ac:dyDescent="0.2">
      <c r="A35" s="5">
        <v>29</v>
      </c>
      <c r="B35" s="6" t="s">
        <v>378</v>
      </c>
      <c r="C35" s="6" t="s">
        <v>379</v>
      </c>
      <c r="D35" s="6" t="s">
        <v>73</v>
      </c>
      <c r="E35" s="7">
        <v>340000</v>
      </c>
      <c r="F35" s="8">
        <v>2564.96</v>
      </c>
      <c r="G35" s="9">
        <v>1.0985223000000001E-2</v>
      </c>
      <c r="H35" s="156"/>
    </row>
    <row r="36" spans="1:8" x14ac:dyDescent="0.2">
      <c r="A36" s="5">
        <v>30</v>
      </c>
      <c r="B36" s="6" t="s">
        <v>335</v>
      </c>
      <c r="C36" s="6" t="s">
        <v>336</v>
      </c>
      <c r="D36" s="6" t="s">
        <v>196</v>
      </c>
      <c r="E36" s="7">
        <v>73000</v>
      </c>
      <c r="F36" s="8">
        <v>2499.739</v>
      </c>
      <c r="G36" s="9">
        <v>1.0705895E-2</v>
      </c>
      <c r="H36" s="156"/>
    </row>
    <row r="37" spans="1:8" x14ac:dyDescent="0.2">
      <c r="A37" s="5">
        <v>31</v>
      </c>
      <c r="B37" s="6" t="s">
        <v>339</v>
      </c>
      <c r="C37" s="6" t="s">
        <v>340</v>
      </c>
      <c r="D37" s="6" t="s">
        <v>68</v>
      </c>
      <c r="E37" s="7">
        <v>350000</v>
      </c>
      <c r="F37" s="8">
        <v>2444.2249999999999</v>
      </c>
      <c r="G37" s="9">
        <v>1.0468139E-2</v>
      </c>
      <c r="H37" s="156"/>
    </row>
    <row r="38" spans="1:8" x14ac:dyDescent="0.2">
      <c r="A38" s="5">
        <v>32</v>
      </c>
      <c r="B38" s="6" t="s">
        <v>185</v>
      </c>
      <c r="C38" s="6" t="s">
        <v>186</v>
      </c>
      <c r="D38" s="6" t="s">
        <v>172</v>
      </c>
      <c r="E38" s="7">
        <v>1070000</v>
      </c>
      <c r="F38" s="8">
        <v>2396.8000000000002</v>
      </c>
      <c r="G38" s="9">
        <v>1.0265026999999999E-2</v>
      </c>
      <c r="H38" s="156"/>
    </row>
    <row r="39" spans="1:8" x14ac:dyDescent="0.2">
      <c r="A39" s="5">
        <v>33</v>
      </c>
      <c r="B39" s="6" t="s">
        <v>386</v>
      </c>
      <c r="C39" s="6" t="s">
        <v>387</v>
      </c>
      <c r="D39" s="6" t="s">
        <v>971</v>
      </c>
      <c r="E39" s="7">
        <v>19000</v>
      </c>
      <c r="F39" s="8">
        <v>2300.7195000000002</v>
      </c>
      <c r="G39" s="9">
        <v>9.8535329999999994E-3</v>
      </c>
      <c r="H39" s="156"/>
    </row>
    <row r="40" spans="1:8" x14ac:dyDescent="0.2">
      <c r="A40" s="5">
        <v>34</v>
      </c>
      <c r="B40" s="6" t="s">
        <v>428</v>
      </c>
      <c r="C40" s="6" t="s">
        <v>429</v>
      </c>
      <c r="D40" s="6" t="s">
        <v>191</v>
      </c>
      <c r="E40" s="7">
        <v>632074</v>
      </c>
      <c r="F40" s="8">
        <v>2163.5893019999999</v>
      </c>
      <c r="G40" s="9">
        <v>9.2662309999999998E-3</v>
      </c>
      <c r="H40" s="156"/>
    </row>
    <row r="41" spans="1:8" x14ac:dyDescent="0.2">
      <c r="A41" s="5">
        <v>35</v>
      </c>
      <c r="B41" s="6" t="s">
        <v>430</v>
      </c>
      <c r="C41" s="6" t="s">
        <v>431</v>
      </c>
      <c r="D41" s="6" t="s">
        <v>432</v>
      </c>
      <c r="E41" s="7">
        <v>535000</v>
      </c>
      <c r="F41" s="8">
        <v>1990.4675</v>
      </c>
      <c r="G41" s="9">
        <v>8.5247840000000005E-3</v>
      </c>
      <c r="H41" s="156"/>
    </row>
    <row r="42" spans="1:8" x14ac:dyDescent="0.2">
      <c r="A42" s="5">
        <v>36</v>
      </c>
      <c r="B42" s="6" t="s">
        <v>412</v>
      </c>
      <c r="C42" s="6" t="s">
        <v>413</v>
      </c>
      <c r="D42" s="6" t="s">
        <v>196</v>
      </c>
      <c r="E42" s="7">
        <v>286000</v>
      </c>
      <c r="F42" s="8">
        <v>1931.787</v>
      </c>
      <c r="G42" s="9">
        <v>8.2734669999999996E-3</v>
      </c>
      <c r="H42" s="156"/>
    </row>
    <row r="43" spans="1:8" x14ac:dyDescent="0.2">
      <c r="A43" s="5">
        <v>37</v>
      </c>
      <c r="B43" s="6" t="s">
        <v>441</v>
      </c>
      <c r="C43" s="6" t="s">
        <v>442</v>
      </c>
      <c r="D43" s="6" t="s">
        <v>196</v>
      </c>
      <c r="E43" s="7">
        <v>34000</v>
      </c>
      <c r="F43" s="8">
        <v>1843.837</v>
      </c>
      <c r="G43" s="9">
        <v>7.8967940000000004E-3</v>
      </c>
      <c r="H43" s="156"/>
    </row>
    <row r="44" spans="1:8" x14ac:dyDescent="0.2">
      <c r="A44" s="5">
        <v>38</v>
      </c>
      <c r="B44" s="6" t="s">
        <v>420</v>
      </c>
      <c r="C44" s="6" t="s">
        <v>421</v>
      </c>
      <c r="D44" s="6" t="s">
        <v>971</v>
      </c>
      <c r="E44" s="7">
        <v>110000</v>
      </c>
      <c r="F44" s="8">
        <v>1723.7</v>
      </c>
      <c r="G44" s="9">
        <v>7.3822710000000001E-3</v>
      </c>
      <c r="H44" s="156"/>
    </row>
    <row r="45" spans="1:8" x14ac:dyDescent="0.2">
      <c r="A45" s="5">
        <v>39</v>
      </c>
      <c r="B45" s="6" t="s">
        <v>498</v>
      </c>
      <c r="C45" s="6" t="s">
        <v>499</v>
      </c>
      <c r="D45" s="6" t="s">
        <v>92</v>
      </c>
      <c r="E45" s="7">
        <v>500000</v>
      </c>
      <c r="F45" s="8">
        <v>1698</v>
      </c>
      <c r="G45" s="9">
        <v>7.2722029999999997E-3</v>
      </c>
      <c r="H45" s="156"/>
    </row>
    <row r="46" spans="1:8" x14ac:dyDescent="0.2">
      <c r="A46" s="5">
        <v>40</v>
      </c>
      <c r="B46" s="6" t="s">
        <v>422</v>
      </c>
      <c r="C46" s="6" t="s">
        <v>423</v>
      </c>
      <c r="D46" s="6" t="s">
        <v>73</v>
      </c>
      <c r="E46" s="7">
        <v>800000</v>
      </c>
      <c r="F46" s="8">
        <v>1621.6</v>
      </c>
      <c r="G46" s="9">
        <v>6.9449969999999996E-3</v>
      </c>
      <c r="H46" s="156"/>
    </row>
    <row r="47" spans="1:8" x14ac:dyDescent="0.2">
      <c r="A47" s="5">
        <v>41</v>
      </c>
      <c r="B47" s="6" t="s">
        <v>426</v>
      </c>
      <c r="C47" s="6" t="s">
        <v>427</v>
      </c>
      <c r="D47" s="6" t="s">
        <v>22</v>
      </c>
      <c r="E47" s="7">
        <v>94000</v>
      </c>
      <c r="F47" s="8">
        <v>1603.499</v>
      </c>
      <c r="G47" s="9">
        <v>6.8674729999999998E-3</v>
      </c>
      <c r="H47" s="156"/>
    </row>
    <row r="48" spans="1:8" x14ac:dyDescent="0.2">
      <c r="A48" s="5">
        <v>42</v>
      </c>
      <c r="B48" s="6" t="s">
        <v>437</v>
      </c>
      <c r="C48" s="6" t="s">
        <v>438</v>
      </c>
      <c r="D48" s="6" t="s">
        <v>196</v>
      </c>
      <c r="E48" s="7">
        <v>160000</v>
      </c>
      <c r="F48" s="8">
        <v>1555.04</v>
      </c>
      <c r="G48" s="9">
        <v>6.6599329999999998E-3</v>
      </c>
      <c r="H48" s="156"/>
    </row>
    <row r="49" spans="1:8" x14ac:dyDescent="0.2">
      <c r="A49" s="5">
        <v>43</v>
      </c>
      <c r="B49" s="6" t="s">
        <v>76</v>
      </c>
      <c r="C49" s="6" t="s">
        <v>77</v>
      </c>
      <c r="D49" s="6" t="s">
        <v>78</v>
      </c>
      <c r="E49" s="7">
        <v>1000000</v>
      </c>
      <c r="F49" s="8">
        <v>1496.5</v>
      </c>
      <c r="G49" s="9">
        <v>6.4092180000000004E-3</v>
      </c>
      <c r="H49" s="156"/>
    </row>
    <row r="50" spans="1:8" x14ac:dyDescent="0.2">
      <c r="A50" s="5">
        <v>44</v>
      </c>
      <c r="B50" s="6" t="s">
        <v>346</v>
      </c>
      <c r="C50" s="6" t="s">
        <v>347</v>
      </c>
      <c r="D50" s="6" t="s">
        <v>22</v>
      </c>
      <c r="E50" s="7">
        <v>1600000</v>
      </c>
      <c r="F50" s="8">
        <v>1374.4</v>
      </c>
      <c r="G50" s="9">
        <v>5.8862869999999996E-3</v>
      </c>
      <c r="H50" s="156"/>
    </row>
    <row r="51" spans="1:8" x14ac:dyDescent="0.2">
      <c r="A51" s="5">
        <v>45</v>
      </c>
      <c r="B51" s="6" t="s">
        <v>317</v>
      </c>
      <c r="C51" s="6" t="s">
        <v>318</v>
      </c>
      <c r="D51" s="6" t="s">
        <v>22</v>
      </c>
      <c r="E51" s="7">
        <v>1500000</v>
      </c>
      <c r="F51" s="8">
        <v>1306.5</v>
      </c>
      <c r="G51" s="9">
        <v>5.5954849999999999E-3</v>
      </c>
      <c r="H51" s="156"/>
    </row>
    <row r="52" spans="1:8" x14ac:dyDescent="0.2">
      <c r="A52" s="5">
        <v>46</v>
      </c>
      <c r="B52" s="6" t="s">
        <v>266</v>
      </c>
      <c r="C52" s="6" t="s">
        <v>267</v>
      </c>
      <c r="D52" s="6" t="s">
        <v>191</v>
      </c>
      <c r="E52" s="7">
        <v>195000</v>
      </c>
      <c r="F52" s="8">
        <v>1251.7049999999999</v>
      </c>
      <c r="G52" s="9">
        <v>5.3608079999999999E-3</v>
      </c>
      <c r="H52" s="156"/>
    </row>
    <row r="53" spans="1:8" x14ac:dyDescent="0.2">
      <c r="A53" s="5">
        <v>47</v>
      </c>
      <c r="B53" s="6" t="s">
        <v>301</v>
      </c>
      <c r="C53" s="6" t="s">
        <v>302</v>
      </c>
      <c r="D53" s="6" t="s">
        <v>172</v>
      </c>
      <c r="E53" s="7">
        <v>30000</v>
      </c>
      <c r="F53" s="8">
        <v>1085.9549999999999</v>
      </c>
      <c r="G53" s="9">
        <v>4.6509330000000003E-3</v>
      </c>
      <c r="H53" s="156"/>
    </row>
    <row r="54" spans="1:8" x14ac:dyDescent="0.2">
      <c r="A54" s="5">
        <v>48</v>
      </c>
      <c r="B54" s="6" t="s">
        <v>366</v>
      </c>
      <c r="C54" s="6" t="s">
        <v>367</v>
      </c>
      <c r="D54" s="6" t="s">
        <v>63</v>
      </c>
      <c r="E54" s="7">
        <v>1082873</v>
      </c>
      <c r="F54" s="8">
        <v>847.34812250000004</v>
      </c>
      <c r="G54" s="9">
        <v>3.6290269999999999E-3</v>
      </c>
      <c r="H54" s="156"/>
    </row>
    <row r="55" spans="1:8" x14ac:dyDescent="0.2">
      <c r="A55" s="3" t="s">
        <v>9</v>
      </c>
      <c r="B55" s="3" t="s">
        <v>9</v>
      </c>
      <c r="C55" s="4" t="s">
        <v>105</v>
      </c>
      <c r="D55" s="3" t="s">
        <v>9</v>
      </c>
      <c r="E55" s="3" t="s">
        <v>9</v>
      </c>
      <c r="F55" s="10">
        <v>232307.57575650001</v>
      </c>
      <c r="G55" s="11">
        <v>0.99492803600000002</v>
      </c>
      <c r="H55" s="156"/>
    </row>
    <row r="56" spans="1:8" x14ac:dyDescent="0.2">
      <c r="A56" s="3" t="s">
        <v>9</v>
      </c>
      <c r="B56" s="3" t="s">
        <v>9</v>
      </c>
      <c r="C56" s="12" t="s">
        <v>9</v>
      </c>
      <c r="D56" s="3" t="s">
        <v>9</v>
      </c>
      <c r="E56" s="3" t="s">
        <v>9</v>
      </c>
      <c r="F56" s="13" t="s">
        <v>9</v>
      </c>
      <c r="G56" s="13" t="s">
        <v>9</v>
      </c>
      <c r="H56" s="156"/>
    </row>
    <row r="57" spans="1:8" x14ac:dyDescent="0.2">
      <c r="A57" s="3" t="s">
        <v>9</v>
      </c>
      <c r="B57" s="3" t="s">
        <v>9</v>
      </c>
      <c r="C57" s="4" t="s">
        <v>106</v>
      </c>
      <c r="D57" s="3" t="s">
        <v>9</v>
      </c>
      <c r="E57" s="3" t="s">
        <v>9</v>
      </c>
      <c r="F57" s="3" t="s">
        <v>9</v>
      </c>
      <c r="G57" s="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105</v>
      </c>
      <c r="D58" s="3" t="s">
        <v>9</v>
      </c>
      <c r="E58" s="3" t="s">
        <v>9</v>
      </c>
      <c r="F58" s="14">
        <v>0</v>
      </c>
      <c r="G58" s="15">
        <v>0</v>
      </c>
      <c r="H58" s="156"/>
    </row>
    <row r="59" spans="1:8" x14ac:dyDescent="0.2">
      <c r="A59" s="3" t="s">
        <v>9</v>
      </c>
      <c r="B59" s="3" t="s">
        <v>9</v>
      </c>
      <c r="C59" s="12" t="s">
        <v>9</v>
      </c>
      <c r="D59" s="3" t="s">
        <v>9</v>
      </c>
      <c r="E59" s="3" t="s">
        <v>9</v>
      </c>
      <c r="F59" s="13" t="s">
        <v>9</v>
      </c>
      <c r="G59" s="1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107</v>
      </c>
      <c r="D60" s="3" t="s">
        <v>9</v>
      </c>
      <c r="E60" s="3" t="s">
        <v>9</v>
      </c>
      <c r="F60" s="3" t="s">
        <v>9</v>
      </c>
      <c r="G60" s="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105</v>
      </c>
      <c r="D61" s="3" t="s">
        <v>9</v>
      </c>
      <c r="E61" s="3" t="s">
        <v>9</v>
      </c>
      <c r="F61" s="14">
        <v>0</v>
      </c>
      <c r="G61" s="15">
        <v>0</v>
      </c>
      <c r="H61" s="156"/>
    </row>
    <row r="62" spans="1:8" x14ac:dyDescent="0.2">
      <c r="A62" s="3" t="s">
        <v>9</v>
      </c>
      <c r="B62" s="3" t="s">
        <v>9</v>
      </c>
      <c r="C62" s="12" t="s">
        <v>9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111</v>
      </c>
      <c r="D63" s="3" t="s">
        <v>9</v>
      </c>
      <c r="E63" s="3" t="s">
        <v>9</v>
      </c>
      <c r="F63" s="3" t="s">
        <v>9</v>
      </c>
      <c r="G63" s="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105</v>
      </c>
      <c r="D64" s="3" t="s">
        <v>9</v>
      </c>
      <c r="E64" s="3" t="s">
        <v>9</v>
      </c>
      <c r="F64" s="14">
        <v>0</v>
      </c>
      <c r="G64" s="15">
        <v>0</v>
      </c>
      <c r="H64" s="156"/>
    </row>
    <row r="65" spans="1:8" x14ac:dyDescent="0.2">
      <c r="A65" s="3" t="s">
        <v>9</v>
      </c>
      <c r="B65" s="3" t="s">
        <v>9</v>
      </c>
      <c r="C65" s="12" t="s">
        <v>9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112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105</v>
      </c>
      <c r="D67" s="3" t="s">
        <v>9</v>
      </c>
      <c r="E67" s="3" t="s">
        <v>9</v>
      </c>
      <c r="F67" s="14">
        <v>0</v>
      </c>
      <c r="G67" s="15">
        <v>0</v>
      </c>
      <c r="H67" s="156"/>
    </row>
    <row r="68" spans="1:8" x14ac:dyDescent="0.2">
      <c r="A68" s="3" t="s">
        <v>9</v>
      </c>
      <c r="B68" s="3" t="s">
        <v>9</v>
      </c>
      <c r="C68" s="12" t="s">
        <v>9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113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105</v>
      </c>
      <c r="D70" s="3" t="s">
        <v>9</v>
      </c>
      <c r="E70" s="3" t="s">
        <v>9</v>
      </c>
      <c r="F70" s="14">
        <v>0</v>
      </c>
      <c r="G70" s="15">
        <v>0</v>
      </c>
      <c r="H70" s="156"/>
    </row>
    <row r="71" spans="1:8" x14ac:dyDescent="0.2">
      <c r="A71" s="3" t="s">
        <v>9</v>
      </c>
      <c r="B71" s="3" t="s">
        <v>9</v>
      </c>
      <c r="C71" s="12" t="s">
        <v>9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114</v>
      </c>
      <c r="D72" s="3" t="s">
        <v>9</v>
      </c>
      <c r="E72" s="3" t="s">
        <v>9</v>
      </c>
      <c r="F72" s="10">
        <v>232307.57575650001</v>
      </c>
      <c r="G72" s="11">
        <v>0.99492803600000002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115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11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4">
        <v>0</v>
      </c>
      <c r="G76" s="15">
        <v>0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116</v>
      </c>
      <c r="D78" s="3" t="s">
        <v>9</v>
      </c>
      <c r="E78" s="3" t="s">
        <v>9</v>
      </c>
      <c r="F78" s="3" t="s">
        <v>9</v>
      </c>
      <c r="G78" s="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117</v>
      </c>
      <c r="D81" s="3" t="s">
        <v>9</v>
      </c>
      <c r="E81" s="3" t="s">
        <v>9</v>
      </c>
      <c r="F81" s="3" t="s">
        <v>9</v>
      </c>
      <c r="G81" s="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118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119</v>
      </c>
      <c r="D87" s="3" t="s">
        <v>9</v>
      </c>
      <c r="E87" s="3" t="s">
        <v>9</v>
      </c>
      <c r="F87" s="10">
        <v>0</v>
      </c>
      <c r="G87" s="11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120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121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122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4">
        <v>0</v>
      </c>
      <c r="G94" s="15">
        <v>0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123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124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5">
        <v>1</v>
      </c>
      <c r="B100" s="6"/>
      <c r="C100" s="6" t="s">
        <v>125</v>
      </c>
      <c r="D100" s="6"/>
      <c r="E100" s="16" t="s">
        <v>9</v>
      </c>
      <c r="F100" s="8">
        <v>1251.7291728</v>
      </c>
      <c r="G100" s="9">
        <v>5.3609119999999998E-3</v>
      </c>
      <c r="H100" s="8">
        <v>3.3326163573085874</v>
      </c>
    </row>
    <row r="101" spans="1:8" x14ac:dyDescent="0.2">
      <c r="A101" s="5">
        <v>2</v>
      </c>
      <c r="B101" s="6"/>
      <c r="C101" s="6" t="s">
        <v>126</v>
      </c>
      <c r="D101" s="6"/>
      <c r="E101" s="16" t="s">
        <v>9</v>
      </c>
      <c r="F101" s="8">
        <v>894.04619060000005</v>
      </c>
      <c r="G101" s="9">
        <v>3.8290249999999998E-3</v>
      </c>
      <c r="H101" s="8">
        <v>3.2337849550915885</v>
      </c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0">
        <v>2145.7753634000001</v>
      </c>
      <c r="G102" s="11">
        <v>9.1899370000000005E-3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127</v>
      </c>
      <c r="D104" s="3" t="s">
        <v>9</v>
      </c>
      <c r="E104" s="3" t="s">
        <v>9</v>
      </c>
      <c r="F104" s="10">
        <v>2145.7753634000001</v>
      </c>
      <c r="G104" s="11">
        <v>9.1899370000000005E-3</v>
      </c>
      <c r="H104" s="156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3" t="s">
        <v>9</v>
      </c>
      <c r="G105" s="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128</v>
      </c>
      <c r="D106" s="3" t="s">
        <v>9</v>
      </c>
      <c r="E106" s="3" t="s">
        <v>9</v>
      </c>
      <c r="F106" s="3" t="s">
        <v>9</v>
      </c>
      <c r="G106" s="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129</v>
      </c>
      <c r="D107" s="3" t="s">
        <v>9</v>
      </c>
      <c r="E107" s="3" t="s">
        <v>9</v>
      </c>
      <c r="F107" s="3" t="s">
        <v>9</v>
      </c>
      <c r="G107" s="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130</v>
      </c>
      <c r="D110" s="3" t="s">
        <v>9</v>
      </c>
      <c r="E110" s="3" t="s">
        <v>9</v>
      </c>
      <c r="F110" s="3" t="s">
        <v>9</v>
      </c>
      <c r="G110" s="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131</v>
      </c>
      <c r="D111" s="3" t="s">
        <v>9</v>
      </c>
      <c r="E111" s="3" t="s">
        <v>9</v>
      </c>
      <c r="F111" s="3" t="s">
        <v>9</v>
      </c>
      <c r="G111" s="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105</v>
      </c>
      <c r="D112" s="3" t="s">
        <v>9</v>
      </c>
      <c r="E112" s="3" t="s">
        <v>9</v>
      </c>
      <c r="F112" s="14">
        <v>0</v>
      </c>
      <c r="G112" s="15">
        <v>0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132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4">
        <v>0</v>
      </c>
      <c r="G116" s="15">
        <v>0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6" t="s">
        <v>9</v>
      </c>
      <c r="C118" s="6" t="s">
        <v>9</v>
      </c>
      <c r="D118" s="4" t="s">
        <v>9</v>
      </c>
      <c r="E118" s="3" t="s">
        <v>9</v>
      </c>
      <c r="F118" s="6" t="s">
        <v>9</v>
      </c>
      <c r="G118" s="16" t="s">
        <v>9</v>
      </c>
      <c r="H118" s="156"/>
    </row>
    <row r="119" spans="1:8" x14ac:dyDescent="0.2">
      <c r="A119" s="16" t="s">
        <v>9</v>
      </c>
      <c r="B119" s="6" t="s">
        <v>9</v>
      </c>
      <c r="C119" s="6" t="s">
        <v>133</v>
      </c>
      <c r="D119" s="6" t="s">
        <v>9</v>
      </c>
      <c r="E119" s="16" t="s">
        <v>9</v>
      </c>
      <c r="F119" s="8">
        <v>-961.51308386999995</v>
      </c>
      <c r="G119" s="9">
        <v>-4.1179729999999996E-3</v>
      </c>
      <c r="H119" s="156"/>
    </row>
    <row r="120" spans="1:8" x14ac:dyDescent="0.2">
      <c r="A120" s="12" t="s">
        <v>9</v>
      </c>
      <c r="B120" s="12" t="s">
        <v>9</v>
      </c>
      <c r="C120" s="4" t="s">
        <v>134</v>
      </c>
      <c r="D120" s="17" t="s">
        <v>9</v>
      </c>
      <c r="E120" s="17" t="s">
        <v>9</v>
      </c>
      <c r="F120" s="10">
        <v>233491.83803603001</v>
      </c>
      <c r="G120" s="11">
        <v>1</v>
      </c>
      <c r="H120" s="156"/>
    </row>
    <row r="121" spans="1:8" ht="14.1" customHeight="1" x14ac:dyDescent="0.2">
      <c r="A121" s="18" t="s">
        <v>9</v>
      </c>
      <c r="B121" s="18" t="s">
        <v>9</v>
      </c>
      <c r="C121" s="18" t="s">
        <v>9</v>
      </c>
      <c r="D121" s="19" t="s">
        <v>9</v>
      </c>
      <c r="E121" s="19" t="s">
        <v>9</v>
      </c>
      <c r="F121" s="19" t="s">
        <v>9</v>
      </c>
      <c r="G121" s="19" t="s">
        <v>9</v>
      </c>
    </row>
    <row r="122" spans="1:8" ht="14.1" customHeight="1" x14ac:dyDescent="0.2">
      <c r="A122" s="20" t="s">
        <v>9</v>
      </c>
      <c r="B122" s="200" t="s">
        <v>9</v>
      </c>
      <c r="C122" s="200"/>
      <c r="D122" s="200"/>
      <c r="E122" s="200"/>
      <c r="F122" s="200"/>
      <c r="G122" s="22" t="s">
        <v>9</v>
      </c>
    </row>
    <row r="123" spans="1:8" ht="14.1" customHeight="1" x14ac:dyDescent="0.2">
      <c r="A123" s="20" t="s">
        <v>9</v>
      </c>
      <c r="B123" s="200" t="s">
        <v>9</v>
      </c>
      <c r="C123" s="200"/>
      <c r="D123" s="200"/>
      <c r="E123" s="200"/>
      <c r="F123" s="200"/>
      <c r="G123" s="22" t="s">
        <v>9</v>
      </c>
    </row>
    <row r="124" spans="1:8" ht="14.1" customHeight="1" x14ac:dyDescent="0.2">
      <c r="A124" s="20" t="s">
        <v>9</v>
      </c>
      <c r="B124" s="20" t="s">
        <v>9</v>
      </c>
      <c r="C124" s="20" t="s">
        <v>9</v>
      </c>
      <c r="D124" s="22" t="s">
        <v>9</v>
      </c>
      <c r="E124" s="22" t="s">
        <v>9</v>
      </c>
      <c r="F124" s="22" t="s">
        <v>9</v>
      </c>
      <c r="G124" s="22" t="s">
        <v>9</v>
      </c>
    </row>
    <row r="125" spans="1:8" ht="14.1" customHeight="1" x14ac:dyDescent="0.2">
      <c r="A125" s="20" t="s">
        <v>9</v>
      </c>
      <c r="B125" s="198" t="s">
        <v>136</v>
      </c>
      <c r="C125" s="199"/>
      <c r="D125" s="13" t="s">
        <v>9</v>
      </c>
      <c r="E125" s="23" t="s">
        <v>9</v>
      </c>
      <c r="F125" s="22" t="s">
        <v>9</v>
      </c>
      <c r="G125" s="22" t="s">
        <v>9</v>
      </c>
    </row>
    <row r="126" spans="1:8" ht="29.1" customHeight="1" x14ac:dyDescent="0.2">
      <c r="A126" s="20" t="s">
        <v>9</v>
      </c>
      <c r="B126" s="205" t="s">
        <v>137</v>
      </c>
      <c r="C126" s="206"/>
      <c r="D126" s="4" t="s">
        <v>138</v>
      </c>
      <c r="E126" s="23" t="s">
        <v>9</v>
      </c>
      <c r="F126" s="22" t="s">
        <v>9</v>
      </c>
      <c r="G126" s="22" t="s">
        <v>9</v>
      </c>
    </row>
    <row r="127" spans="1:8" ht="17.100000000000001" customHeight="1" x14ac:dyDescent="0.2">
      <c r="A127" s="20" t="s">
        <v>9</v>
      </c>
      <c r="B127" s="205" t="s">
        <v>139</v>
      </c>
      <c r="C127" s="206"/>
      <c r="D127" s="4" t="s">
        <v>138</v>
      </c>
      <c r="E127" s="23" t="s">
        <v>9</v>
      </c>
      <c r="F127" s="22" t="s">
        <v>9</v>
      </c>
      <c r="G127" s="22" t="s">
        <v>9</v>
      </c>
    </row>
    <row r="128" spans="1:8" ht="17.100000000000001" customHeight="1" x14ac:dyDescent="0.2">
      <c r="A128" s="20" t="s">
        <v>9</v>
      </c>
      <c r="B128" s="205" t="s">
        <v>140</v>
      </c>
      <c r="C128" s="206"/>
      <c r="D128" s="13" t="s">
        <v>9</v>
      </c>
      <c r="E128" s="23" t="s">
        <v>9</v>
      </c>
      <c r="F128" s="22" t="s">
        <v>9</v>
      </c>
      <c r="G128" s="22" t="s">
        <v>9</v>
      </c>
    </row>
    <row r="129" spans="1:8" ht="24" customHeight="1" x14ac:dyDescent="0.2">
      <c r="A129" s="24" t="s">
        <v>9</v>
      </c>
      <c r="B129" s="25" t="s">
        <v>9</v>
      </c>
      <c r="C129" s="25" t="s">
        <v>141</v>
      </c>
      <c r="D129" s="25" t="s">
        <v>142</v>
      </c>
      <c r="E129" s="24" t="s">
        <v>9</v>
      </c>
      <c r="F129" s="24" t="s">
        <v>9</v>
      </c>
      <c r="G129" s="24" t="s">
        <v>9</v>
      </c>
    </row>
    <row r="130" spans="1:8" ht="18" customHeight="1" x14ac:dyDescent="0.2">
      <c r="A130" s="24" t="s">
        <v>9</v>
      </c>
      <c r="B130" s="25" t="s">
        <v>143</v>
      </c>
      <c r="C130" s="25" t="s">
        <v>144</v>
      </c>
      <c r="D130" s="25" t="s">
        <v>145</v>
      </c>
      <c r="E130" s="24" t="s">
        <v>9</v>
      </c>
      <c r="F130" s="24" t="s">
        <v>9</v>
      </c>
      <c r="G130" s="24" t="s">
        <v>9</v>
      </c>
    </row>
    <row r="131" spans="1:8" ht="17.100000000000001" customHeight="1" x14ac:dyDescent="0.2">
      <c r="A131" s="24" t="s">
        <v>9</v>
      </c>
      <c r="B131" s="6" t="s">
        <v>146</v>
      </c>
      <c r="C131" s="26">
        <v>132.67240000000001</v>
      </c>
      <c r="D131" s="26">
        <v>136.46109999999999</v>
      </c>
      <c r="E131" s="24" t="s">
        <v>9</v>
      </c>
      <c r="F131" s="21" t="s">
        <v>9</v>
      </c>
      <c r="G131" s="27" t="s">
        <v>9</v>
      </c>
    </row>
    <row r="132" spans="1:8" ht="17.100000000000001" customHeight="1" x14ac:dyDescent="0.2">
      <c r="A132" s="24" t="s">
        <v>9</v>
      </c>
      <c r="B132" s="6" t="s">
        <v>839</v>
      </c>
      <c r="C132" s="26">
        <v>15.5901</v>
      </c>
      <c r="D132" s="26">
        <v>16.035299999999999</v>
      </c>
      <c r="E132" s="24" t="s">
        <v>9</v>
      </c>
      <c r="F132" s="21" t="s">
        <v>9</v>
      </c>
      <c r="G132" s="27" t="s">
        <v>9</v>
      </c>
    </row>
    <row r="133" spans="1:8" ht="17.100000000000001" customHeight="1" x14ac:dyDescent="0.2">
      <c r="A133" s="24" t="s">
        <v>9</v>
      </c>
      <c r="B133" s="6" t="s">
        <v>147</v>
      </c>
      <c r="C133" s="26">
        <v>128.18100000000001</v>
      </c>
      <c r="D133" s="26">
        <v>131.74930000000001</v>
      </c>
      <c r="E133" s="24" t="s">
        <v>9</v>
      </c>
      <c r="F133" s="21" t="s">
        <v>9</v>
      </c>
      <c r="G133" s="27" t="s">
        <v>9</v>
      </c>
    </row>
    <row r="134" spans="1:8" ht="17.100000000000001" customHeight="1" x14ac:dyDescent="0.2">
      <c r="A134" s="24" t="s">
        <v>9</v>
      </c>
      <c r="B134" s="6" t="s">
        <v>840</v>
      </c>
      <c r="C134" s="26">
        <v>13.1332</v>
      </c>
      <c r="D134" s="26">
        <v>13.498799999999999</v>
      </c>
      <c r="E134" s="24" t="s">
        <v>9</v>
      </c>
      <c r="F134" s="21" t="s">
        <v>9</v>
      </c>
      <c r="G134" s="27" t="s">
        <v>9</v>
      </c>
    </row>
    <row r="135" spans="1:8" ht="14.1" customHeight="1" x14ac:dyDescent="0.2">
      <c r="A135" s="24" t="s">
        <v>9</v>
      </c>
      <c r="B135" s="24" t="s">
        <v>9</v>
      </c>
      <c r="C135" s="24" t="s">
        <v>9</v>
      </c>
      <c r="D135" s="24" t="s">
        <v>9</v>
      </c>
      <c r="E135" s="24" t="s">
        <v>9</v>
      </c>
      <c r="F135" s="24" t="s">
        <v>9</v>
      </c>
      <c r="G135" s="24" t="s">
        <v>9</v>
      </c>
    </row>
    <row r="136" spans="1:8" ht="29.1" customHeight="1" x14ac:dyDescent="0.2">
      <c r="A136" s="167" t="s">
        <v>9</v>
      </c>
      <c r="B136" s="207" t="s">
        <v>986</v>
      </c>
      <c r="C136" s="207"/>
      <c r="D136" s="160"/>
      <c r="E136" s="167" t="s">
        <v>9</v>
      </c>
      <c r="F136" s="167" t="s">
        <v>9</v>
      </c>
      <c r="G136" s="167" t="s">
        <v>9</v>
      </c>
    </row>
    <row r="137" spans="1:8" s="166" customFormat="1" ht="15" x14ac:dyDescent="0.2">
      <c r="A137" s="148" t="s">
        <v>9</v>
      </c>
      <c r="B137" s="161" t="s">
        <v>143</v>
      </c>
      <c r="C137" s="161" t="s">
        <v>878</v>
      </c>
      <c r="D137" s="161" t="s">
        <v>879</v>
      </c>
      <c r="E137" s="148" t="s">
        <v>9</v>
      </c>
      <c r="F137" s="148" t="s">
        <v>9</v>
      </c>
      <c r="G137" s="148" t="s">
        <v>9</v>
      </c>
      <c r="H137" s="165"/>
    </row>
    <row r="138" spans="1:8" ht="17.100000000000001" customHeight="1" x14ac:dyDescent="0.2">
      <c r="A138" s="24" t="s">
        <v>9</v>
      </c>
      <c r="B138" s="162" t="s">
        <v>839</v>
      </c>
      <c r="C138" s="163">
        <v>0.437</v>
      </c>
      <c r="D138" s="163">
        <v>0</v>
      </c>
      <c r="E138" s="24" t="s">
        <v>9</v>
      </c>
      <c r="F138" s="31" t="s">
        <v>9</v>
      </c>
      <c r="G138" s="27" t="s">
        <v>9</v>
      </c>
    </row>
    <row r="139" spans="1:8" ht="29.1" customHeight="1" x14ac:dyDescent="0.2">
      <c r="A139" s="24" t="s">
        <v>9</v>
      </c>
      <c r="B139" s="162" t="s">
        <v>840</v>
      </c>
      <c r="C139" s="163">
        <v>0.36799999999999999</v>
      </c>
      <c r="D139" s="163">
        <v>0.36799999999999999</v>
      </c>
      <c r="E139" s="24" t="s">
        <v>9</v>
      </c>
      <c r="F139" s="31" t="s">
        <v>9</v>
      </c>
      <c r="G139" s="27" t="s">
        <v>9</v>
      </c>
    </row>
    <row r="140" spans="1:8" ht="14.1" customHeight="1" x14ac:dyDescent="0.2">
      <c r="A140" s="24" t="s">
        <v>9</v>
      </c>
      <c r="B140" s="21" t="s">
        <v>9</v>
      </c>
      <c r="C140" s="21" t="s">
        <v>9</v>
      </c>
      <c r="D140" s="24" t="s">
        <v>9</v>
      </c>
      <c r="E140" s="24" t="s">
        <v>9</v>
      </c>
      <c r="F140" s="24" t="s">
        <v>9</v>
      </c>
      <c r="G140" s="24" t="s">
        <v>9</v>
      </c>
    </row>
    <row r="141" spans="1:8" s="197" customFormat="1" x14ac:dyDescent="0.2">
      <c r="B141" s="208" t="s">
        <v>841</v>
      </c>
      <c r="C141" s="208"/>
      <c r="D141" s="208"/>
      <c r="E141" s="208"/>
      <c r="F141" s="208"/>
    </row>
    <row r="142" spans="1:8" ht="14.1" customHeight="1" x14ac:dyDescent="0.2">
      <c r="A142" s="24"/>
      <c r="B142" s="182"/>
      <c r="C142" s="182"/>
      <c r="D142" s="24"/>
      <c r="E142" s="24"/>
      <c r="F142" s="24"/>
      <c r="G142" s="24"/>
    </row>
    <row r="143" spans="1:8" ht="29.1" customHeight="1" x14ac:dyDescent="0.2">
      <c r="A143" s="24" t="s">
        <v>9</v>
      </c>
      <c r="B143" s="205" t="s">
        <v>148</v>
      </c>
      <c r="C143" s="206"/>
      <c r="D143" s="4" t="s">
        <v>138</v>
      </c>
      <c r="E143" s="24" t="s">
        <v>9</v>
      </c>
      <c r="F143" s="24" t="s">
        <v>9</v>
      </c>
      <c r="G143" s="24" t="s">
        <v>9</v>
      </c>
    </row>
    <row r="144" spans="1:8" ht="29.1" customHeight="1" x14ac:dyDescent="0.2">
      <c r="A144" s="24" t="s">
        <v>9</v>
      </c>
      <c r="B144" s="205" t="s">
        <v>149</v>
      </c>
      <c r="C144" s="206"/>
      <c r="D144" s="4" t="s">
        <v>138</v>
      </c>
      <c r="E144" s="24" t="s">
        <v>9</v>
      </c>
      <c r="F144" s="24" t="s">
        <v>9</v>
      </c>
      <c r="G144" s="24" t="s">
        <v>9</v>
      </c>
    </row>
    <row r="145" spans="1:7" ht="17.100000000000001" customHeight="1" x14ac:dyDescent="0.2">
      <c r="A145" s="24" t="s">
        <v>9</v>
      </c>
      <c r="B145" s="205" t="s">
        <v>150</v>
      </c>
      <c r="C145" s="206"/>
      <c r="D145" s="29">
        <v>0.54822856452030322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205" t="s">
        <v>151</v>
      </c>
      <c r="C146" s="206"/>
      <c r="D146" s="4" t="s">
        <v>138</v>
      </c>
      <c r="E146" s="24" t="s">
        <v>9</v>
      </c>
      <c r="F146" s="24" t="s">
        <v>9</v>
      </c>
      <c r="G146" s="24" t="s">
        <v>9</v>
      </c>
    </row>
  </sheetData>
  <mergeCells count="15">
    <mergeCell ref="B145:C145"/>
    <mergeCell ref="B146:C146"/>
    <mergeCell ref="B126:C126"/>
    <mergeCell ref="B127:C127"/>
    <mergeCell ref="B128:C128"/>
    <mergeCell ref="B136:C136"/>
    <mergeCell ref="B143:C143"/>
    <mergeCell ref="B144:C144"/>
    <mergeCell ref="B141:F141"/>
    <mergeCell ref="B125:C125"/>
    <mergeCell ref="B122:F122"/>
    <mergeCell ref="B123:F12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34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17.710937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  <col min="10" max="10" width="14.710937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702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402</v>
      </c>
      <c r="C7" s="6" t="s">
        <v>403</v>
      </c>
      <c r="D7" s="6" t="s">
        <v>22</v>
      </c>
      <c r="E7" s="7">
        <v>135000</v>
      </c>
      <c r="F7" s="8">
        <v>565.91999999999996</v>
      </c>
      <c r="G7" s="9">
        <v>7.6546676999999994E-2</v>
      </c>
      <c r="H7" s="156"/>
    </row>
    <row r="8" spans="1:8" x14ac:dyDescent="0.2">
      <c r="A8" s="5">
        <v>2</v>
      </c>
      <c r="B8" s="6" t="s">
        <v>15</v>
      </c>
      <c r="C8" s="6" t="s">
        <v>16</v>
      </c>
      <c r="D8" s="6" t="s">
        <v>17</v>
      </c>
      <c r="E8" s="7">
        <v>25000</v>
      </c>
      <c r="F8" s="8">
        <v>527.66250000000002</v>
      </c>
      <c r="G8" s="9">
        <v>7.1371944000000007E-2</v>
      </c>
      <c r="H8" s="156"/>
    </row>
    <row r="9" spans="1:8" x14ac:dyDescent="0.2">
      <c r="A9" s="5">
        <v>3</v>
      </c>
      <c r="B9" s="6" t="s">
        <v>348</v>
      </c>
      <c r="C9" s="6" t="s">
        <v>349</v>
      </c>
      <c r="D9" s="6" t="s">
        <v>28</v>
      </c>
      <c r="E9" s="7">
        <v>60000</v>
      </c>
      <c r="F9" s="8">
        <v>457.14</v>
      </c>
      <c r="G9" s="9">
        <v>6.1833028999999998E-2</v>
      </c>
      <c r="H9" s="156"/>
    </row>
    <row r="10" spans="1:8" x14ac:dyDescent="0.2">
      <c r="A10" s="5">
        <v>4</v>
      </c>
      <c r="B10" s="6" t="s">
        <v>103</v>
      </c>
      <c r="C10" s="6" t="s">
        <v>104</v>
      </c>
      <c r="D10" s="6" t="s">
        <v>78</v>
      </c>
      <c r="E10" s="7">
        <v>77000</v>
      </c>
      <c r="F10" s="8">
        <v>429.46749999999997</v>
      </c>
      <c r="G10" s="9">
        <v>5.8090030000000001E-2</v>
      </c>
      <c r="H10" s="156"/>
    </row>
    <row r="11" spans="1:8" x14ac:dyDescent="0.2">
      <c r="A11" s="5">
        <v>5</v>
      </c>
      <c r="B11" s="6" t="s">
        <v>356</v>
      </c>
      <c r="C11" s="6" t="s">
        <v>357</v>
      </c>
      <c r="D11" s="6" t="s">
        <v>22</v>
      </c>
      <c r="E11" s="7">
        <v>48000</v>
      </c>
      <c r="F11" s="8">
        <v>359.18400000000003</v>
      </c>
      <c r="G11" s="9">
        <v>4.8583441999999998E-2</v>
      </c>
      <c r="H11" s="156"/>
    </row>
    <row r="12" spans="1:8" x14ac:dyDescent="0.2">
      <c r="A12" s="5">
        <v>6</v>
      </c>
      <c r="B12" s="6" t="s">
        <v>333</v>
      </c>
      <c r="C12" s="6" t="s">
        <v>334</v>
      </c>
      <c r="D12" s="6" t="s">
        <v>54</v>
      </c>
      <c r="E12" s="7">
        <v>90000</v>
      </c>
      <c r="F12" s="8">
        <v>357.70499999999998</v>
      </c>
      <c r="G12" s="9">
        <v>4.8383391999999997E-2</v>
      </c>
      <c r="H12" s="156"/>
    </row>
    <row r="13" spans="1:8" x14ac:dyDescent="0.2">
      <c r="A13" s="5">
        <v>7</v>
      </c>
      <c r="B13" s="6" t="s">
        <v>20</v>
      </c>
      <c r="C13" s="6" t="s">
        <v>21</v>
      </c>
      <c r="D13" s="6" t="s">
        <v>22</v>
      </c>
      <c r="E13" s="7">
        <v>55000</v>
      </c>
      <c r="F13" s="8">
        <v>346.995</v>
      </c>
      <c r="G13" s="9">
        <v>4.6934750999999997E-2</v>
      </c>
      <c r="H13" s="156"/>
    </row>
    <row r="14" spans="1:8" x14ac:dyDescent="0.2">
      <c r="A14" s="5">
        <v>8</v>
      </c>
      <c r="B14" s="6" t="s">
        <v>337</v>
      </c>
      <c r="C14" s="6" t="s">
        <v>338</v>
      </c>
      <c r="D14" s="6" t="s">
        <v>166</v>
      </c>
      <c r="E14" s="7">
        <v>72000</v>
      </c>
      <c r="F14" s="8">
        <v>338.4</v>
      </c>
      <c r="G14" s="9">
        <v>4.5772185999999999E-2</v>
      </c>
      <c r="H14" s="156"/>
    </row>
    <row r="15" spans="1:8" x14ac:dyDescent="0.2">
      <c r="A15" s="5">
        <v>9</v>
      </c>
      <c r="B15" s="6" t="s">
        <v>323</v>
      </c>
      <c r="C15" s="6" t="s">
        <v>324</v>
      </c>
      <c r="D15" s="6" t="s">
        <v>239</v>
      </c>
      <c r="E15" s="7">
        <v>930</v>
      </c>
      <c r="F15" s="8">
        <v>274.55459999999999</v>
      </c>
      <c r="G15" s="9">
        <v>3.7136418999999997E-2</v>
      </c>
      <c r="H15" s="156"/>
    </row>
    <row r="16" spans="1:8" x14ac:dyDescent="0.2">
      <c r="A16" s="5">
        <v>10</v>
      </c>
      <c r="B16" s="6" t="s">
        <v>445</v>
      </c>
      <c r="C16" s="6" t="s">
        <v>446</v>
      </c>
      <c r="D16" s="6" t="s">
        <v>191</v>
      </c>
      <c r="E16" s="7">
        <v>105000</v>
      </c>
      <c r="F16" s="8">
        <v>254.20500000000001</v>
      </c>
      <c r="G16" s="9">
        <v>3.4383919999999998E-2</v>
      </c>
      <c r="H16" s="156"/>
    </row>
    <row r="17" spans="1:8" ht="25.5" x14ac:dyDescent="0.2">
      <c r="A17" s="5">
        <v>11</v>
      </c>
      <c r="B17" s="6" t="s">
        <v>406</v>
      </c>
      <c r="C17" s="6" t="s">
        <v>407</v>
      </c>
      <c r="D17" s="6" t="s">
        <v>73</v>
      </c>
      <c r="E17" s="7">
        <v>9000</v>
      </c>
      <c r="F17" s="8">
        <v>222.417</v>
      </c>
      <c r="G17" s="9">
        <v>3.0084256E-2</v>
      </c>
      <c r="H17" s="156"/>
    </row>
    <row r="18" spans="1:8" x14ac:dyDescent="0.2">
      <c r="A18" s="5">
        <v>12</v>
      </c>
      <c r="B18" s="6" t="s">
        <v>301</v>
      </c>
      <c r="C18" s="6" t="s">
        <v>302</v>
      </c>
      <c r="D18" s="6" t="s">
        <v>172</v>
      </c>
      <c r="E18" s="7">
        <v>6000</v>
      </c>
      <c r="F18" s="8">
        <v>217.191</v>
      </c>
      <c r="G18" s="9">
        <v>2.9377383999999999E-2</v>
      </c>
      <c r="H18" s="156"/>
    </row>
    <row r="19" spans="1:8" x14ac:dyDescent="0.2">
      <c r="A19" s="5">
        <v>13</v>
      </c>
      <c r="B19" s="6" t="s">
        <v>93</v>
      </c>
      <c r="C19" s="6" t="s">
        <v>94</v>
      </c>
      <c r="D19" s="6" t="s">
        <v>68</v>
      </c>
      <c r="E19" s="7">
        <v>30000</v>
      </c>
      <c r="F19" s="8">
        <v>211.11</v>
      </c>
      <c r="G19" s="9">
        <v>2.8554863999999999E-2</v>
      </c>
      <c r="H19" s="156"/>
    </row>
    <row r="20" spans="1:8" x14ac:dyDescent="0.2">
      <c r="A20" s="5">
        <v>14</v>
      </c>
      <c r="B20" s="6" t="s">
        <v>635</v>
      </c>
      <c r="C20" s="6" t="s">
        <v>636</v>
      </c>
      <c r="D20" s="6" t="s">
        <v>432</v>
      </c>
      <c r="E20" s="7">
        <v>62000</v>
      </c>
      <c r="F20" s="8">
        <v>162.96700000000001</v>
      </c>
      <c r="G20" s="9">
        <v>2.2043014E-2</v>
      </c>
      <c r="H20" s="156"/>
    </row>
    <row r="21" spans="1:8" x14ac:dyDescent="0.2">
      <c r="A21" s="5">
        <v>15</v>
      </c>
      <c r="B21" s="6" t="s">
        <v>346</v>
      </c>
      <c r="C21" s="6" t="s">
        <v>347</v>
      </c>
      <c r="D21" s="6" t="s">
        <v>22</v>
      </c>
      <c r="E21" s="7">
        <v>140400</v>
      </c>
      <c r="F21" s="8">
        <v>120.6036</v>
      </c>
      <c r="G21" s="9">
        <v>1.6312915000000001E-2</v>
      </c>
      <c r="H21" s="156"/>
    </row>
    <row r="22" spans="1:8" x14ac:dyDescent="0.2">
      <c r="A22" s="5">
        <v>16</v>
      </c>
      <c r="B22" s="6" t="s">
        <v>703</v>
      </c>
      <c r="C22" s="6" t="s">
        <v>704</v>
      </c>
      <c r="D22" s="6" t="s">
        <v>22</v>
      </c>
      <c r="E22" s="7">
        <v>75600</v>
      </c>
      <c r="F22" s="8">
        <v>114.79859999999999</v>
      </c>
      <c r="G22" s="9">
        <v>1.5527727E-2</v>
      </c>
      <c r="H22" s="156"/>
    </row>
    <row r="23" spans="1:8" x14ac:dyDescent="0.2">
      <c r="A23" s="5">
        <v>17</v>
      </c>
      <c r="B23" s="6" t="s">
        <v>588</v>
      </c>
      <c r="C23" s="6" t="s">
        <v>589</v>
      </c>
      <c r="D23" s="6" t="s">
        <v>971</v>
      </c>
      <c r="E23" s="7">
        <v>15400</v>
      </c>
      <c r="F23" s="8">
        <v>105.6902</v>
      </c>
      <c r="G23" s="9">
        <v>1.4295719E-2</v>
      </c>
      <c r="H23" s="156"/>
    </row>
    <row r="24" spans="1:8" ht="25.5" x14ac:dyDescent="0.2">
      <c r="A24" s="5">
        <v>18</v>
      </c>
      <c r="B24" s="6" t="s">
        <v>422</v>
      </c>
      <c r="C24" s="6" t="s">
        <v>423</v>
      </c>
      <c r="D24" s="6" t="s">
        <v>73</v>
      </c>
      <c r="E24" s="7">
        <v>48000</v>
      </c>
      <c r="F24" s="8">
        <v>97.296000000000006</v>
      </c>
      <c r="G24" s="9">
        <v>1.3160315000000001E-2</v>
      </c>
      <c r="H24" s="156"/>
    </row>
    <row r="25" spans="1:8" x14ac:dyDescent="0.2">
      <c r="A25" s="5">
        <v>19</v>
      </c>
      <c r="B25" s="6" t="s">
        <v>57</v>
      </c>
      <c r="C25" s="6" t="s">
        <v>58</v>
      </c>
      <c r="D25" s="6" t="s">
        <v>17</v>
      </c>
      <c r="E25" s="7">
        <v>19800</v>
      </c>
      <c r="F25" s="8">
        <v>92.683800000000005</v>
      </c>
      <c r="G25" s="9">
        <v>1.2536466E-2</v>
      </c>
      <c r="H25" s="156"/>
    </row>
    <row r="26" spans="1:8" x14ac:dyDescent="0.2">
      <c r="A26" s="3" t="s">
        <v>9</v>
      </c>
      <c r="B26" s="3" t="s">
        <v>9</v>
      </c>
      <c r="C26" s="4" t="s">
        <v>105</v>
      </c>
      <c r="D26" s="3" t="s">
        <v>9</v>
      </c>
      <c r="E26" s="3" t="s">
        <v>9</v>
      </c>
      <c r="F26" s="10">
        <v>5255.9907999999996</v>
      </c>
      <c r="G26" s="11">
        <v>0.71092845000000005</v>
      </c>
      <c r="H26" s="156"/>
    </row>
    <row r="27" spans="1:8" x14ac:dyDescent="0.2">
      <c r="A27" s="3" t="s">
        <v>9</v>
      </c>
      <c r="B27" s="3" t="s">
        <v>9</v>
      </c>
      <c r="C27" s="12" t="s">
        <v>9</v>
      </c>
      <c r="D27" s="3" t="s">
        <v>9</v>
      </c>
      <c r="E27" s="3" t="s">
        <v>9</v>
      </c>
      <c r="F27" s="13" t="s">
        <v>9</v>
      </c>
      <c r="G27" s="13" t="s">
        <v>9</v>
      </c>
      <c r="H27" s="156"/>
    </row>
    <row r="28" spans="1:8" x14ac:dyDescent="0.2">
      <c r="A28" s="3" t="s">
        <v>9</v>
      </c>
      <c r="B28" s="3" t="s">
        <v>9</v>
      </c>
      <c r="C28" s="4" t="s">
        <v>106</v>
      </c>
      <c r="D28" s="3" t="s">
        <v>9</v>
      </c>
      <c r="E28" s="3" t="s">
        <v>9</v>
      </c>
      <c r="F28" s="3" t="s">
        <v>9</v>
      </c>
      <c r="G28" s="3" t="s">
        <v>9</v>
      </c>
      <c r="H28" s="156"/>
    </row>
    <row r="29" spans="1:8" x14ac:dyDescent="0.2">
      <c r="A29" s="3" t="s">
        <v>9</v>
      </c>
      <c r="B29" s="3" t="s">
        <v>9</v>
      </c>
      <c r="C29" s="4" t="s">
        <v>105</v>
      </c>
      <c r="D29" s="3" t="s">
        <v>9</v>
      </c>
      <c r="E29" s="3" t="s">
        <v>9</v>
      </c>
      <c r="F29" s="14">
        <v>0</v>
      </c>
      <c r="G29" s="15">
        <v>0</v>
      </c>
      <c r="H29" s="156"/>
    </row>
    <row r="30" spans="1:8" x14ac:dyDescent="0.2">
      <c r="A30" s="3" t="s">
        <v>9</v>
      </c>
      <c r="B30" s="3" t="s">
        <v>9</v>
      </c>
      <c r="C30" s="12" t="s">
        <v>9</v>
      </c>
      <c r="D30" s="3" t="s">
        <v>9</v>
      </c>
      <c r="E30" s="3" t="s">
        <v>9</v>
      </c>
      <c r="F30" s="13" t="s">
        <v>9</v>
      </c>
      <c r="G30" s="13" t="s">
        <v>9</v>
      </c>
      <c r="H30" s="156"/>
    </row>
    <row r="31" spans="1:8" x14ac:dyDescent="0.2">
      <c r="A31" s="3" t="s">
        <v>9</v>
      </c>
      <c r="B31" s="3" t="s">
        <v>9</v>
      </c>
      <c r="C31" s="4" t="s">
        <v>107</v>
      </c>
      <c r="D31" s="3" t="s">
        <v>9</v>
      </c>
      <c r="E31" s="3" t="s">
        <v>9</v>
      </c>
      <c r="F31" s="3" t="s">
        <v>9</v>
      </c>
      <c r="G31" s="3" t="s">
        <v>9</v>
      </c>
      <c r="H31" s="156"/>
    </row>
    <row r="32" spans="1:8" x14ac:dyDescent="0.2">
      <c r="A32" s="3" t="s">
        <v>9</v>
      </c>
      <c r="B32" s="3" t="s">
        <v>9</v>
      </c>
      <c r="C32" s="4" t="s">
        <v>105</v>
      </c>
      <c r="D32" s="3" t="s">
        <v>9</v>
      </c>
      <c r="E32" s="3" t="s">
        <v>9</v>
      </c>
      <c r="F32" s="14">
        <v>0</v>
      </c>
      <c r="G32" s="15">
        <v>0</v>
      </c>
      <c r="H32" s="156"/>
    </row>
    <row r="33" spans="1:8" x14ac:dyDescent="0.2">
      <c r="A33" s="3" t="s">
        <v>9</v>
      </c>
      <c r="B33" s="3" t="s">
        <v>9</v>
      </c>
      <c r="C33" s="12" t="s">
        <v>9</v>
      </c>
      <c r="D33" s="3" t="s">
        <v>9</v>
      </c>
      <c r="E33" s="3" t="s">
        <v>9</v>
      </c>
      <c r="F33" s="13" t="s">
        <v>9</v>
      </c>
      <c r="G33" s="13" t="s">
        <v>9</v>
      </c>
      <c r="H33" s="156"/>
    </row>
    <row r="34" spans="1:8" x14ac:dyDescent="0.2">
      <c r="A34" s="3" t="s">
        <v>9</v>
      </c>
      <c r="B34" s="3" t="s">
        <v>9</v>
      </c>
      <c r="C34" s="4" t="s">
        <v>111</v>
      </c>
      <c r="D34" s="3" t="s">
        <v>9</v>
      </c>
      <c r="E34" s="3" t="s">
        <v>9</v>
      </c>
      <c r="F34" s="3" t="s">
        <v>9</v>
      </c>
      <c r="G34" s="3" t="s">
        <v>9</v>
      </c>
      <c r="H34" s="156"/>
    </row>
    <row r="35" spans="1:8" x14ac:dyDescent="0.2">
      <c r="A35" s="3" t="s">
        <v>9</v>
      </c>
      <c r="B35" s="3" t="s">
        <v>9</v>
      </c>
      <c r="C35" s="4" t="s">
        <v>105</v>
      </c>
      <c r="D35" s="3" t="s">
        <v>9</v>
      </c>
      <c r="E35" s="3" t="s">
        <v>9</v>
      </c>
      <c r="F35" s="14">
        <v>0</v>
      </c>
      <c r="G35" s="15">
        <v>0</v>
      </c>
      <c r="H35" s="156"/>
    </row>
    <row r="36" spans="1:8" x14ac:dyDescent="0.2">
      <c r="A36" s="3" t="s">
        <v>9</v>
      </c>
      <c r="B36" s="3" t="s">
        <v>9</v>
      </c>
      <c r="C36" s="12" t="s">
        <v>9</v>
      </c>
      <c r="D36" s="3" t="s">
        <v>9</v>
      </c>
      <c r="E36" s="3" t="s">
        <v>9</v>
      </c>
      <c r="F36" s="13" t="s">
        <v>9</v>
      </c>
      <c r="G36" s="13" t="s">
        <v>9</v>
      </c>
      <c r="H36" s="156"/>
    </row>
    <row r="37" spans="1:8" x14ac:dyDescent="0.2">
      <c r="A37" s="3" t="s">
        <v>9</v>
      </c>
      <c r="B37" s="3" t="s">
        <v>9</v>
      </c>
      <c r="C37" s="4" t="s">
        <v>112</v>
      </c>
      <c r="D37" s="3" t="s">
        <v>9</v>
      </c>
      <c r="E37" s="3" t="s">
        <v>9</v>
      </c>
      <c r="F37" s="13" t="s">
        <v>9</v>
      </c>
      <c r="G37" s="13" t="s">
        <v>9</v>
      </c>
      <c r="H37" s="156"/>
    </row>
    <row r="38" spans="1:8" x14ac:dyDescent="0.2">
      <c r="A38" s="3" t="s">
        <v>9</v>
      </c>
      <c r="B38" s="3" t="s">
        <v>9</v>
      </c>
      <c r="C38" s="4" t="s">
        <v>105</v>
      </c>
      <c r="D38" s="3" t="s">
        <v>9</v>
      </c>
      <c r="E38" s="3" t="s">
        <v>9</v>
      </c>
      <c r="F38" s="14">
        <v>0</v>
      </c>
      <c r="G38" s="15">
        <v>0</v>
      </c>
      <c r="H38" s="156"/>
    </row>
    <row r="39" spans="1:8" x14ac:dyDescent="0.2">
      <c r="A39" s="3" t="s">
        <v>9</v>
      </c>
      <c r="B39" s="3" t="s">
        <v>9</v>
      </c>
      <c r="C39" s="12" t="s">
        <v>9</v>
      </c>
      <c r="D39" s="3" t="s">
        <v>9</v>
      </c>
      <c r="E39" s="3" t="s">
        <v>9</v>
      </c>
      <c r="F39" s="13" t="s">
        <v>9</v>
      </c>
      <c r="G39" s="13" t="s">
        <v>9</v>
      </c>
      <c r="H39" s="156"/>
    </row>
    <row r="40" spans="1:8" x14ac:dyDescent="0.2">
      <c r="A40" s="3" t="s">
        <v>9</v>
      </c>
      <c r="B40" s="3" t="s">
        <v>9</v>
      </c>
      <c r="C40" s="4" t="s">
        <v>113</v>
      </c>
      <c r="D40" s="3" t="s">
        <v>9</v>
      </c>
      <c r="E40" s="3" t="s">
        <v>9</v>
      </c>
      <c r="F40" s="13" t="s">
        <v>9</v>
      </c>
      <c r="G40" s="13" t="s">
        <v>9</v>
      </c>
      <c r="H40" s="156"/>
    </row>
    <row r="41" spans="1:8" x14ac:dyDescent="0.2">
      <c r="A41" s="5">
        <v>1</v>
      </c>
      <c r="B41" s="6"/>
      <c r="C41" s="155" t="s">
        <v>921</v>
      </c>
      <c r="D41" s="6" t="s">
        <v>705</v>
      </c>
      <c r="E41" s="7">
        <v>-19800</v>
      </c>
      <c r="F41" s="8">
        <v>-92.941199999999995</v>
      </c>
      <c r="G41" s="130">
        <v>-1.2571280000000001E-2</v>
      </c>
      <c r="H41" s="156"/>
    </row>
    <row r="42" spans="1:8" x14ac:dyDescent="0.2">
      <c r="A42" s="5">
        <v>2</v>
      </c>
      <c r="B42" s="6"/>
      <c r="C42" s="155" t="s">
        <v>922</v>
      </c>
      <c r="D42" s="6" t="s">
        <v>705</v>
      </c>
      <c r="E42" s="7">
        <v>-48000</v>
      </c>
      <c r="F42" s="8">
        <v>-97.656000000000006</v>
      </c>
      <c r="G42" s="130">
        <v>-1.320901E-2</v>
      </c>
      <c r="H42" s="156"/>
    </row>
    <row r="43" spans="1:8" x14ac:dyDescent="0.2">
      <c r="A43" s="5">
        <v>3</v>
      </c>
      <c r="B43" s="6"/>
      <c r="C43" s="155" t="s">
        <v>923</v>
      </c>
      <c r="D43" s="6" t="s">
        <v>705</v>
      </c>
      <c r="E43" s="7">
        <v>-15400</v>
      </c>
      <c r="F43" s="8">
        <v>-106.11369999999999</v>
      </c>
      <c r="G43" s="130">
        <v>-1.4352999999999999E-2</v>
      </c>
      <c r="H43" s="156"/>
    </row>
    <row r="44" spans="1:8" x14ac:dyDescent="0.2">
      <c r="A44" s="5">
        <v>4</v>
      </c>
      <c r="B44" s="6"/>
      <c r="C44" s="155" t="s">
        <v>924</v>
      </c>
      <c r="D44" s="6" t="s">
        <v>705</v>
      </c>
      <c r="E44" s="7">
        <v>-75600</v>
      </c>
      <c r="F44" s="8">
        <v>-115.1388</v>
      </c>
      <c r="G44" s="130">
        <v>-1.5573740000000001E-2</v>
      </c>
      <c r="H44" s="156"/>
    </row>
    <row r="45" spans="1:8" x14ac:dyDescent="0.2">
      <c r="A45" s="5">
        <v>5</v>
      </c>
      <c r="B45" s="6"/>
      <c r="C45" s="155" t="s">
        <v>925</v>
      </c>
      <c r="D45" s="6" t="s">
        <v>705</v>
      </c>
      <c r="E45" s="7">
        <v>-140400</v>
      </c>
      <c r="F45" s="8">
        <v>-120.9546</v>
      </c>
      <c r="G45" s="130">
        <v>-1.6360389999999999E-2</v>
      </c>
      <c r="H45" s="156"/>
    </row>
    <row r="46" spans="1:8" x14ac:dyDescent="0.2">
      <c r="A46" s="5">
        <v>6</v>
      </c>
      <c r="B46" s="6"/>
      <c r="C46" s="155" t="s">
        <v>951</v>
      </c>
      <c r="D46" s="6" t="s">
        <v>705</v>
      </c>
      <c r="E46" s="7">
        <v>-62000</v>
      </c>
      <c r="F46" s="8">
        <v>-163.74199999999999</v>
      </c>
      <c r="G46" s="130">
        <v>-2.2147839999999999E-2</v>
      </c>
      <c r="H46" s="156"/>
    </row>
    <row r="47" spans="1:8" x14ac:dyDescent="0.2">
      <c r="A47" s="5">
        <v>7</v>
      </c>
      <c r="B47" s="6"/>
      <c r="C47" s="155" t="s">
        <v>926</v>
      </c>
      <c r="D47" s="6" t="s">
        <v>705</v>
      </c>
      <c r="E47" s="7">
        <v>-30000</v>
      </c>
      <c r="F47" s="8">
        <v>-212.34</v>
      </c>
      <c r="G47" s="130">
        <v>-2.8721239999999999E-2</v>
      </c>
      <c r="H47" s="156"/>
    </row>
    <row r="48" spans="1:8" x14ac:dyDescent="0.2">
      <c r="A48" s="5">
        <v>8</v>
      </c>
      <c r="B48" s="6"/>
      <c r="C48" s="155" t="s">
        <v>927</v>
      </c>
      <c r="D48" s="6" t="s">
        <v>705</v>
      </c>
      <c r="E48" s="7">
        <v>-6000</v>
      </c>
      <c r="F48" s="8">
        <v>-217.73099999999999</v>
      </c>
      <c r="G48" s="130">
        <v>-2.9450420000000001E-2</v>
      </c>
      <c r="H48" s="156"/>
    </row>
    <row r="49" spans="1:8" x14ac:dyDescent="0.2">
      <c r="A49" s="5">
        <v>9</v>
      </c>
      <c r="B49" s="6"/>
      <c r="C49" s="155" t="s">
        <v>928</v>
      </c>
      <c r="D49" s="6" t="s">
        <v>705</v>
      </c>
      <c r="E49" s="7">
        <v>-9000</v>
      </c>
      <c r="F49" s="8">
        <v>-223.39349999999999</v>
      </c>
      <c r="G49" s="130">
        <v>-3.0216340000000001E-2</v>
      </c>
      <c r="H49" s="156"/>
    </row>
    <row r="50" spans="1:8" x14ac:dyDescent="0.2">
      <c r="A50" s="5">
        <v>10</v>
      </c>
      <c r="B50" s="6"/>
      <c r="C50" s="155" t="s">
        <v>929</v>
      </c>
      <c r="D50" s="6" t="s">
        <v>705</v>
      </c>
      <c r="E50" s="7">
        <v>-105000</v>
      </c>
      <c r="F50" s="8">
        <v>-254.73</v>
      </c>
      <c r="G50" s="130">
        <v>-3.4454930000000002E-2</v>
      </c>
      <c r="H50" s="156"/>
    </row>
    <row r="51" spans="1:8" x14ac:dyDescent="0.2">
      <c r="A51" s="5">
        <v>11</v>
      </c>
      <c r="B51" s="6"/>
      <c r="C51" s="155" t="s">
        <v>930</v>
      </c>
      <c r="D51" s="6" t="s">
        <v>705</v>
      </c>
      <c r="E51" s="7">
        <v>-930</v>
      </c>
      <c r="F51" s="8">
        <v>-275.37299999999999</v>
      </c>
      <c r="G51" s="130">
        <v>-3.7247120000000002E-2</v>
      </c>
      <c r="H51" s="156"/>
    </row>
    <row r="52" spans="1:8" x14ac:dyDescent="0.2">
      <c r="A52" s="5">
        <v>12</v>
      </c>
      <c r="B52" s="6"/>
      <c r="C52" s="155" t="s">
        <v>931</v>
      </c>
      <c r="D52" s="6" t="s">
        <v>705</v>
      </c>
      <c r="E52" s="7">
        <v>-72000</v>
      </c>
      <c r="F52" s="8">
        <v>-339.15600000000001</v>
      </c>
      <c r="G52" s="130">
        <v>-4.5874440000000002E-2</v>
      </c>
      <c r="H52" s="156"/>
    </row>
    <row r="53" spans="1:8" x14ac:dyDescent="0.2">
      <c r="A53" s="5">
        <v>13</v>
      </c>
      <c r="B53" s="6"/>
      <c r="C53" s="155" t="s">
        <v>932</v>
      </c>
      <c r="D53" s="6" t="s">
        <v>705</v>
      </c>
      <c r="E53" s="7">
        <v>-55000</v>
      </c>
      <c r="F53" s="8">
        <v>-348.48</v>
      </c>
      <c r="G53" s="130">
        <v>-4.7135610000000001E-2</v>
      </c>
      <c r="H53" s="156"/>
    </row>
    <row r="54" spans="1:8" x14ac:dyDescent="0.2">
      <c r="A54" s="5">
        <v>14</v>
      </c>
      <c r="B54" s="6"/>
      <c r="C54" s="155" t="s">
        <v>933</v>
      </c>
      <c r="D54" s="6" t="s">
        <v>705</v>
      </c>
      <c r="E54" s="7">
        <v>-90000</v>
      </c>
      <c r="F54" s="8">
        <v>-358.69499999999999</v>
      </c>
      <c r="G54" s="130">
        <v>-4.8517299999999999E-2</v>
      </c>
      <c r="H54" s="156"/>
    </row>
    <row r="55" spans="1:8" x14ac:dyDescent="0.2">
      <c r="A55" s="5">
        <v>15</v>
      </c>
      <c r="B55" s="6"/>
      <c r="C55" s="155" t="s">
        <v>934</v>
      </c>
      <c r="D55" s="6" t="s">
        <v>705</v>
      </c>
      <c r="E55" s="7">
        <v>-48000</v>
      </c>
      <c r="F55" s="8">
        <v>-360.86399999999998</v>
      </c>
      <c r="G55" s="130">
        <v>-4.8810680000000002E-2</v>
      </c>
      <c r="H55" s="156"/>
    </row>
    <row r="56" spans="1:8" x14ac:dyDescent="0.2">
      <c r="A56" s="5">
        <v>16</v>
      </c>
      <c r="B56" s="6"/>
      <c r="C56" s="155" t="s">
        <v>935</v>
      </c>
      <c r="D56" s="6" t="s">
        <v>705</v>
      </c>
      <c r="E56" s="7">
        <v>-77000</v>
      </c>
      <c r="F56" s="8">
        <v>-431.39249999999998</v>
      </c>
      <c r="G56" s="130">
        <v>-5.8350409999999998E-2</v>
      </c>
      <c r="H56" s="156"/>
    </row>
    <row r="57" spans="1:8" x14ac:dyDescent="0.2">
      <c r="A57" s="5">
        <v>17</v>
      </c>
      <c r="B57" s="6"/>
      <c r="C57" s="155" t="s">
        <v>936</v>
      </c>
      <c r="D57" s="6" t="s">
        <v>705</v>
      </c>
      <c r="E57" s="7">
        <v>-60000</v>
      </c>
      <c r="F57" s="8">
        <v>-456.99</v>
      </c>
      <c r="G57" s="130">
        <v>-6.1812739999999998E-2</v>
      </c>
      <c r="H57" s="156"/>
    </row>
    <row r="58" spans="1:8" x14ac:dyDescent="0.2">
      <c r="A58" s="5">
        <v>18</v>
      </c>
      <c r="B58" s="6"/>
      <c r="C58" s="155" t="s">
        <v>954</v>
      </c>
      <c r="D58" s="6" t="s">
        <v>705</v>
      </c>
      <c r="E58" s="7">
        <v>-25000</v>
      </c>
      <c r="F58" s="8">
        <v>-529.11249999999995</v>
      </c>
      <c r="G58" s="130">
        <v>-7.1568069999999998E-2</v>
      </c>
      <c r="H58" s="156"/>
    </row>
    <row r="59" spans="1:8" x14ac:dyDescent="0.2">
      <c r="A59" s="5">
        <v>19</v>
      </c>
      <c r="B59" s="6"/>
      <c r="C59" s="155" t="s">
        <v>953</v>
      </c>
      <c r="D59" s="6" t="s">
        <v>705</v>
      </c>
      <c r="E59" s="7">
        <v>-135000</v>
      </c>
      <c r="F59" s="8">
        <v>-568.35</v>
      </c>
      <c r="G59" s="130">
        <v>-7.6875360000000004E-2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0">
        <v>-5273.1538</v>
      </c>
      <c r="G60" s="11">
        <v>-0.71324991999999998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114</v>
      </c>
      <c r="D62" s="3" t="s">
        <v>9</v>
      </c>
      <c r="E62" s="3" t="s">
        <v>9</v>
      </c>
      <c r="F62" s="10">
        <v>5255.9907999999996</v>
      </c>
      <c r="G62" s="11">
        <v>0.71092845000000005</v>
      </c>
      <c r="H62" s="156"/>
    </row>
    <row r="63" spans="1:8" x14ac:dyDescent="0.2">
      <c r="A63" s="3" t="s">
        <v>9</v>
      </c>
      <c r="B63" s="3" t="s">
        <v>9</v>
      </c>
      <c r="C63" s="12" t="s">
        <v>9</v>
      </c>
      <c r="D63" s="3" t="s">
        <v>9</v>
      </c>
      <c r="E63" s="3" t="s">
        <v>9</v>
      </c>
      <c r="F63" s="13" t="s">
        <v>9</v>
      </c>
      <c r="G63" s="1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115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105</v>
      </c>
      <c r="D66" s="3" t="s">
        <v>9</v>
      </c>
      <c r="E66" s="3" t="s">
        <v>9</v>
      </c>
      <c r="F66" s="14">
        <v>0</v>
      </c>
      <c r="G66" s="15">
        <v>0</v>
      </c>
      <c r="H66" s="156"/>
    </row>
    <row r="67" spans="1:8" x14ac:dyDescent="0.2">
      <c r="A67" s="3" t="s">
        <v>9</v>
      </c>
      <c r="B67" s="3" t="s">
        <v>9</v>
      </c>
      <c r="C67" s="12" t="s">
        <v>9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116</v>
      </c>
      <c r="D68" s="3" t="s">
        <v>9</v>
      </c>
      <c r="E68" s="3" t="s">
        <v>9</v>
      </c>
      <c r="F68" s="3" t="s">
        <v>9</v>
      </c>
      <c r="G68" s="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117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118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119</v>
      </c>
      <c r="D77" s="3" t="s">
        <v>9</v>
      </c>
      <c r="E77" s="3" t="s">
        <v>9</v>
      </c>
      <c r="F77" s="10">
        <v>0</v>
      </c>
      <c r="G77" s="11">
        <v>0</v>
      </c>
      <c r="H77" s="156"/>
    </row>
    <row r="78" spans="1:8" x14ac:dyDescent="0.2">
      <c r="A78" s="3" t="s">
        <v>9</v>
      </c>
      <c r="B78" s="3" t="s">
        <v>9</v>
      </c>
      <c r="C78" s="12" t="s">
        <v>9</v>
      </c>
      <c r="D78" s="3" t="s">
        <v>9</v>
      </c>
      <c r="E78" s="3" t="s">
        <v>9</v>
      </c>
      <c r="F78" s="13" t="s">
        <v>9</v>
      </c>
      <c r="G78" s="1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120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121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122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123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124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5">
        <v>1</v>
      </c>
      <c r="B90" s="6"/>
      <c r="C90" s="6" t="s">
        <v>125</v>
      </c>
      <c r="D90" s="6"/>
      <c r="E90" s="16" t="s">
        <v>9</v>
      </c>
      <c r="F90" s="8">
        <v>176.34261309999999</v>
      </c>
      <c r="G90" s="9">
        <v>2.3852207E-2</v>
      </c>
      <c r="H90" s="8">
        <v>3.3326163573085874</v>
      </c>
    </row>
    <row r="91" spans="1:8" x14ac:dyDescent="0.2">
      <c r="A91" s="5">
        <v>2</v>
      </c>
      <c r="B91" s="6"/>
      <c r="C91" s="6" t="s">
        <v>126</v>
      </c>
      <c r="D91" s="6"/>
      <c r="E91" s="16" t="s">
        <v>9</v>
      </c>
      <c r="F91" s="8">
        <v>125.9525411</v>
      </c>
      <c r="G91" s="9">
        <v>1.7036415999999999E-2</v>
      </c>
      <c r="H91" s="8">
        <v>3.2337849550915885</v>
      </c>
    </row>
    <row r="92" spans="1:8" x14ac:dyDescent="0.2">
      <c r="A92" s="3" t="s">
        <v>9</v>
      </c>
      <c r="B92" s="3" t="s">
        <v>9</v>
      </c>
      <c r="C92" s="4" t="s">
        <v>105</v>
      </c>
      <c r="D92" s="3" t="s">
        <v>9</v>
      </c>
      <c r="E92" s="3" t="s">
        <v>9</v>
      </c>
      <c r="F92" s="10">
        <v>302.29515420000001</v>
      </c>
      <c r="G92" s="11">
        <v>4.0888622999999999E-2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127</v>
      </c>
      <c r="D94" s="3" t="s">
        <v>9</v>
      </c>
      <c r="E94" s="3" t="s">
        <v>9</v>
      </c>
      <c r="F94" s="10">
        <v>302.29515420000001</v>
      </c>
      <c r="G94" s="11">
        <v>4.0888622999999999E-2</v>
      </c>
      <c r="H94" s="156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128</v>
      </c>
      <c r="D96" s="3" t="s">
        <v>9</v>
      </c>
      <c r="E96" s="3" t="s">
        <v>9</v>
      </c>
      <c r="F96" s="3" t="s">
        <v>9</v>
      </c>
      <c r="G96" s="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129</v>
      </c>
      <c r="D97" s="3" t="s">
        <v>9</v>
      </c>
      <c r="E97" s="3" t="s">
        <v>9</v>
      </c>
      <c r="F97" s="3" t="s">
        <v>9</v>
      </c>
      <c r="G97" s="3" t="s">
        <v>9</v>
      </c>
      <c r="H97" s="156"/>
    </row>
    <row r="98" spans="1:8" x14ac:dyDescent="0.2">
      <c r="A98" s="5">
        <v>1</v>
      </c>
      <c r="B98" s="6" t="s">
        <v>706</v>
      </c>
      <c r="C98" s="6" t="s">
        <v>985</v>
      </c>
      <c r="D98" s="6"/>
      <c r="E98" s="7">
        <v>464328.50199999998</v>
      </c>
      <c r="F98" s="8">
        <v>203.15904246599999</v>
      </c>
      <c r="G98" s="9">
        <v>2.7479413000000001E-2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0">
        <v>203.15904246599999</v>
      </c>
      <c r="G99" s="11">
        <v>2.7479413000000001E-2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130</v>
      </c>
      <c r="D101" s="3" t="s">
        <v>9</v>
      </c>
      <c r="E101" s="3" t="s">
        <v>9</v>
      </c>
      <c r="F101" s="3" t="s">
        <v>9</v>
      </c>
      <c r="G101" s="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131</v>
      </c>
      <c r="D102" s="3" t="s">
        <v>9</v>
      </c>
      <c r="E102" s="3" t="s">
        <v>9</v>
      </c>
      <c r="F102" s="3" t="s">
        <v>9</v>
      </c>
      <c r="G102" s="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105</v>
      </c>
      <c r="D103" s="3" t="s">
        <v>9</v>
      </c>
      <c r="E103" s="3" t="s">
        <v>9</v>
      </c>
      <c r="F103" s="14">
        <v>0</v>
      </c>
      <c r="G103" s="15">
        <v>0</v>
      </c>
      <c r="H103" s="156"/>
    </row>
    <row r="104" spans="1:8" x14ac:dyDescent="0.2">
      <c r="A104" s="3" t="s">
        <v>9</v>
      </c>
      <c r="B104" s="3" t="s">
        <v>9</v>
      </c>
      <c r="C104" s="12" t="s">
        <v>9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12" t="s">
        <v>9</v>
      </c>
      <c r="D105" s="3" t="s">
        <v>9</v>
      </c>
      <c r="E105" s="3" t="s">
        <v>9</v>
      </c>
      <c r="F105" s="13" t="s">
        <v>9</v>
      </c>
      <c r="G105" s="1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132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4">
        <v>0</v>
      </c>
      <c r="G107" s="15">
        <v>0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16" t="s">
        <v>9</v>
      </c>
      <c r="B109" s="6" t="s">
        <v>9</v>
      </c>
      <c r="C109" s="6" t="s">
        <v>707</v>
      </c>
      <c r="D109" s="6" t="s">
        <v>9</v>
      </c>
      <c r="E109" s="16" t="s">
        <v>9</v>
      </c>
      <c r="F109" s="8">
        <v>1803.221875</v>
      </c>
      <c r="G109" s="9">
        <v>0.243904866</v>
      </c>
      <c r="H109" s="156"/>
    </row>
    <row r="110" spans="1:8" x14ac:dyDescent="0.2">
      <c r="A110" s="16" t="s">
        <v>9</v>
      </c>
      <c r="B110" s="6" t="s">
        <v>9</v>
      </c>
      <c r="C110" s="6" t="s">
        <v>133</v>
      </c>
      <c r="D110" s="6" t="s">
        <v>9</v>
      </c>
      <c r="E110" s="16" t="s">
        <v>9</v>
      </c>
      <c r="F110" s="8">
        <v>-171.53075624599933</v>
      </c>
      <c r="G110" s="9">
        <v>-2.3201352385252901E-2</v>
      </c>
      <c r="H110" s="156"/>
    </row>
    <row r="111" spans="1:8" x14ac:dyDescent="0.2">
      <c r="A111" s="12" t="s">
        <v>9</v>
      </c>
      <c r="B111" s="12" t="s">
        <v>9</v>
      </c>
      <c r="C111" s="4" t="s">
        <v>134</v>
      </c>
      <c r="D111" s="17" t="s">
        <v>9</v>
      </c>
      <c r="E111" s="17" t="s">
        <v>9</v>
      </c>
      <c r="F111" s="10">
        <v>7393.1361154200004</v>
      </c>
      <c r="G111" s="11">
        <v>0.99999999961474706</v>
      </c>
      <c r="H111" s="156"/>
    </row>
    <row r="112" spans="1:8" ht="14.1" customHeight="1" x14ac:dyDescent="0.2">
      <c r="A112" s="18" t="s">
        <v>9</v>
      </c>
      <c r="B112" s="18" t="s">
        <v>9</v>
      </c>
      <c r="C112" s="18" t="s">
        <v>9</v>
      </c>
      <c r="D112" s="19" t="s">
        <v>9</v>
      </c>
      <c r="E112" s="19" t="s">
        <v>9</v>
      </c>
      <c r="F112" s="19" t="s">
        <v>9</v>
      </c>
      <c r="G112" s="19" t="s">
        <v>9</v>
      </c>
    </row>
    <row r="113" spans="1:7" ht="14.1" customHeight="1" x14ac:dyDescent="0.2">
      <c r="A113" s="20" t="s">
        <v>9</v>
      </c>
      <c r="B113" s="214" t="s">
        <v>984</v>
      </c>
      <c r="C113" s="214"/>
      <c r="D113" s="214"/>
      <c r="E113" s="214"/>
      <c r="F113" s="214"/>
      <c r="G113" s="22" t="s">
        <v>9</v>
      </c>
    </row>
    <row r="114" spans="1:7" ht="17.100000000000001" customHeight="1" x14ac:dyDescent="0.2">
      <c r="A114" s="20" t="s">
        <v>9</v>
      </c>
      <c r="B114" s="22" t="s">
        <v>9</v>
      </c>
      <c r="C114" s="22" t="s">
        <v>9</v>
      </c>
      <c r="D114" s="22" t="s">
        <v>9</v>
      </c>
      <c r="E114" s="22" t="s">
        <v>9</v>
      </c>
      <c r="F114" s="22" t="s">
        <v>9</v>
      </c>
      <c r="G114" s="22" t="s">
        <v>9</v>
      </c>
    </row>
    <row r="115" spans="1:7" ht="14.1" customHeight="1" x14ac:dyDescent="0.2">
      <c r="A115" s="20" t="s">
        <v>9</v>
      </c>
      <c r="B115" s="20" t="s">
        <v>9</v>
      </c>
      <c r="C115" s="20" t="s">
        <v>9</v>
      </c>
      <c r="D115" s="22" t="s">
        <v>9</v>
      </c>
      <c r="E115" s="22" t="s">
        <v>9</v>
      </c>
      <c r="F115" s="22" t="s">
        <v>9</v>
      </c>
      <c r="G115" s="22" t="s">
        <v>9</v>
      </c>
    </row>
    <row r="116" spans="1:7" ht="14.1" customHeight="1" x14ac:dyDescent="0.2">
      <c r="A116" s="20" t="s">
        <v>9</v>
      </c>
      <c r="B116" s="198" t="s">
        <v>136</v>
      </c>
      <c r="C116" s="199"/>
      <c r="D116" s="13" t="s">
        <v>9</v>
      </c>
      <c r="E116" s="23" t="s">
        <v>9</v>
      </c>
      <c r="F116" s="22" t="s">
        <v>9</v>
      </c>
      <c r="G116" s="22" t="s">
        <v>9</v>
      </c>
    </row>
    <row r="117" spans="1:7" ht="29.1" customHeight="1" x14ac:dyDescent="0.2">
      <c r="A117" s="20" t="s">
        <v>9</v>
      </c>
      <c r="B117" s="205" t="s">
        <v>137</v>
      </c>
      <c r="C117" s="206"/>
      <c r="D117" s="4" t="s">
        <v>138</v>
      </c>
      <c r="E117" s="23" t="s">
        <v>9</v>
      </c>
      <c r="F117" s="22" t="s">
        <v>9</v>
      </c>
      <c r="G117" s="22" t="s">
        <v>9</v>
      </c>
    </row>
    <row r="118" spans="1:7" ht="17.100000000000001" customHeight="1" x14ac:dyDescent="0.2">
      <c r="A118" s="20" t="s">
        <v>9</v>
      </c>
      <c r="B118" s="205" t="s">
        <v>139</v>
      </c>
      <c r="C118" s="206"/>
      <c r="D118" s="4" t="s">
        <v>138</v>
      </c>
      <c r="E118" s="23" t="s">
        <v>9</v>
      </c>
      <c r="F118" s="22" t="s">
        <v>9</v>
      </c>
      <c r="G118" s="22" t="s">
        <v>9</v>
      </c>
    </row>
    <row r="119" spans="1:7" ht="17.100000000000001" customHeight="1" x14ac:dyDescent="0.2">
      <c r="A119" s="20" t="s">
        <v>9</v>
      </c>
      <c r="B119" s="205" t="s">
        <v>140</v>
      </c>
      <c r="C119" s="206"/>
      <c r="D119" s="13" t="s">
        <v>9</v>
      </c>
      <c r="E119" s="23" t="s">
        <v>9</v>
      </c>
      <c r="F119" s="22" t="s">
        <v>9</v>
      </c>
      <c r="G119" s="22" t="s">
        <v>9</v>
      </c>
    </row>
    <row r="120" spans="1:7" ht="24" customHeight="1" x14ac:dyDescent="0.2">
      <c r="A120" s="24" t="s">
        <v>9</v>
      </c>
      <c r="B120" s="25" t="s">
        <v>9</v>
      </c>
      <c r="C120" s="25" t="s">
        <v>141</v>
      </c>
      <c r="D120" s="25" t="s">
        <v>142</v>
      </c>
      <c r="E120" s="24" t="s">
        <v>9</v>
      </c>
      <c r="F120" s="24" t="s">
        <v>9</v>
      </c>
      <c r="G120" s="24" t="s">
        <v>9</v>
      </c>
    </row>
    <row r="121" spans="1:7" ht="18" customHeight="1" x14ac:dyDescent="0.2">
      <c r="A121" s="24" t="s">
        <v>9</v>
      </c>
      <c r="B121" s="25" t="s">
        <v>143</v>
      </c>
      <c r="C121" s="25" t="s">
        <v>144</v>
      </c>
      <c r="D121" s="25" t="s">
        <v>145</v>
      </c>
      <c r="E121" s="24" t="s">
        <v>9</v>
      </c>
      <c r="F121" s="24" t="s">
        <v>9</v>
      </c>
      <c r="G121" s="24" t="s">
        <v>9</v>
      </c>
    </row>
    <row r="122" spans="1:7" ht="17.100000000000001" customHeight="1" x14ac:dyDescent="0.2">
      <c r="A122" s="24" t="s">
        <v>9</v>
      </c>
      <c r="B122" s="6" t="s">
        <v>146</v>
      </c>
      <c r="C122" s="26">
        <v>10.5989</v>
      </c>
      <c r="D122" s="26">
        <v>10.6602</v>
      </c>
      <c r="E122" s="24" t="s">
        <v>9</v>
      </c>
      <c r="F122" s="21" t="s">
        <v>9</v>
      </c>
      <c r="G122" s="27" t="s">
        <v>9</v>
      </c>
    </row>
    <row r="123" spans="1:7" ht="17.100000000000001" customHeight="1" x14ac:dyDescent="0.2">
      <c r="A123" s="24" t="s">
        <v>9</v>
      </c>
      <c r="B123" s="6" t="s">
        <v>839</v>
      </c>
      <c r="C123" s="26">
        <v>10.595700000000001</v>
      </c>
      <c r="D123" s="26">
        <v>10.656700000000001</v>
      </c>
      <c r="E123" s="24" t="s">
        <v>9</v>
      </c>
      <c r="F123" s="21" t="s">
        <v>9</v>
      </c>
      <c r="G123" s="27" t="s">
        <v>9</v>
      </c>
    </row>
    <row r="124" spans="1:7" ht="17.100000000000001" customHeight="1" x14ac:dyDescent="0.2">
      <c r="A124" s="24" t="s">
        <v>9</v>
      </c>
      <c r="B124" s="6" t="s">
        <v>147</v>
      </c>
      <c r="C124" s="26">
        <v>10.502700000000001</v>
      </c>
      <c r="D124" s="26">
        <v>10.557499999999999</v>
      </c>
      <c r="E124" s="24" t="s">
        <v>9</v>
      </c>
      <c r="F124" s="21" t="s">
        <v>9</v>
      </c>
      <c r="G124" s="27" t="s">
        <v>9</v>
      </c>
    </row>
    <row r="125" spans="1:7" ht="17.100000000000001" customHeight="1" x14ac:dyDescent="0.2">
      <c r="A125" s="24" t="s">
        <v>9</v>
      </c>
      <c r="B125" s="6" t="s">
        <v>840</v>
      </c>
      <c r="C125" s="26">
        <v>10.502800000000001</v>
      </c>
      <c r="D125" s="26">
        <v>10.557600000000001</v>
      </c>
      <c r="E125" s="24" t="s">
        <v>9</v>
      </c>
      <c r="F125" s="21" t="s">
        <v>9</v>
      </c>
      <c r="G125" s="27" t="s">
        <v>9</v>
      </c>
    </row>
    <row r="126" spans="1:7" ht="14.1" customHeight="1" x14ac:dyDescent="0.2">
      <c r="A126" s="24" t="s">
        <v>9</v>
      </c>
      <c r="B126" s="24" t="s">
        <v>9</v>
      </c>
      <c r="C126" s="24" t="s">
        <v>9</v>
      </c>
      <c r="D126" s="24" t="s">
        <v>9</v>
      </c>
      <c r="E126" s="24" t="s">
        <v>9</v>
      </c>
      <c r="F126" s="24" t="s">
        <v>9</v>
      </c>
      <c r="G126" s="24" t="s">
        <v>9</v>
      </c>
    </row>
    <row r="127" spans="1:7" ht="17.100000000000001" customHeight="1" x14ac:dyDescent="0.2">
      <c r="A127" s="24" t="s">
        <v>9</v>
      </c>
      <c r="B127" s="205" t="s">
        <v>1013</v>
      </c>
      <c r="C127" s="206"/>
      <c r="D127" s="4" t="s">
        <v>138</v>
      </c>
      <c r="E127" s="24" t="s">
        <v>9</v>
      </c>
      <c r="F127" s="24" t="s">
        <v>9</v>
      </c>
      <c r="G127" s="24" t="s">
        <v>9</v>
      </c>
    </row>
    <row r="128" spans="1:7" ht="18" customHeight="1" x14ac:dyDescent="0.2">
      <c r="A128" s="24" t="s">
        <v>9</v>
      </c>
      <c r="B128" s="30"/>
      <c r="C128" s="30"/>
      <c r="D128" s="28" t="s">
        <v>9</v>
      </c>
      <c r="E128" s="24" t="s">
        <v>9</v>
      </c>
      <c r="F128" s="24" t="s">
        <v>9</v>
      </c>
      <c r="G128" s="24" t="s">
        <v>9</v>
      </c>
    </row>
    <row r="129" spans="1:7" s="197" customFormat="1" x14ac:dyDescent="0.2">
      <c r="B129" s="208" t="s">
        <v>841</v>
      </c>
      <c r="C129" s="208"/>
      <c r="D129" s="208"/>
      <c r="E129" s="208"/>
      <c r="F129" s="208"/>
    </row>
    <row r="130" spans="1:7" ht="14.1" customHeight="1" x14ac:dyDescent="0.2">
      <c r="A130" s="24" t="s">
        <v>9</v>
      </c>
      <c r="B130" s="21" t="s">
        <v>9</v>
      </c>
      <c r="C130" s="21" t="s">
        <v>9</v>
      </c>
      <c r="D130" s="24" t="s">
        <v>9</v>
      </c>
      <c r="E130" s="24" t="s">
        <v>9</v>
      </c>
      <c r="F130" s="24" t="s">
        <v>9</v>
      </c>
      <c r="G130" s="24" t="s">
        <v>9</v>
      </c>
    </row>
    <row r="131" spans="1:7" ht="29.1" customHeight="1" x14ac:dyDescent="0.2">
      <c r="A131" s="24" t="s">
        <v>9</v>
      </c>
      <c r="B131" s="205" t="s">
        <v>148</v>
      </c>
      <c r="C131" s="206"/>
      <c r="D131" s="4" t="s">
        <v>994</v>
      </c>
      <c r="E131" s="24" t="s">
        <v>9</v>
      </c>
      <c r="F131" s="24" t="s">
        <v>9</v>
      </c>
      <c r="G131" s="24" t="s">
        <v>9</v>
      </c>
    </row>
    <row r="132" spans="1:7" ht="29.1" customHeight="1" x14ac:dyDescent="0.2">
      <c r="A132" s="24" t="s">
        <v>9</v>
      </c>
      <c r="B132" s="205" t="s">
        <v>149</v>
      </c>
      <c r="C132" s="206"/>
      <c r="D132" s="4" t="s">
        <v>138</v>
      </c>
      <c r="E132" s="24" t="s">
        <v>9</v>
      </c>
      <c r="F132" s="24" t="s">
        <v>9</v>
      </c>
      <c r="G132" s="24" t="s">
        <v>9</v>
      </c>
    </row>
    <row r="133" spans="1:7" ht="17.100000000000001" customHeight="1" x14ac:dyDescent="0.2">
      <c r="A133" s="24" t="s">
        <v>9</v>
      </c>
      <c r="B133" s="205" t="s">
        <v>150</v>
      </c>
      <c r="C133" s="206"/>
      <c r="D133" s="29">
        <v>13.110548125652965</v>
      </c>
      <c r="E133" s="24" t="s">
        <v>9</v>
      </c>
      <c r="F133" s="21" t="s">
        <v>9</v>
      </c>
      <c r="G133" s="27" t="s">
        <v>9</v>
      </c>
    </row>
    <row r="134" spans="1:7" ht="17.100000000000001" customHeight="1" x14ac:dyDescent="0.2">
      <c r="A134" s="24" t="s">
        <v>9</v>
      </c>
      <c r="B134" s="205" t="s">
        <v>151</v>
      </c>
      <c r="C134" s="206"/>
      <c r="D134" s="4" t="s">
        <v>138</v>
      </c>
      <c r="E134" s="24" t="s">
        <v>9</v>
      </c>
      <c r="F134" s="24" t="s">
        <v>9</v>
      </c>
      <c r="G134" s="24" t="s">
        <v>9</v>
      </c>
    </row>
  </sheetData>
  <mergeCells count="14">
    <mergeCell ref="B133:C133"/>
    <mergeCell ref="B134:C134"/>
    <mergeCell ref="B117:C117"/>
    <mergeCell ref="B118:C118"/>
    <mergeCell ref="B119:C119"/>
    <mergeCell ref="B127:C127"/>
    <mergeCell ref="B131:C131"/>
    <mergeCell ref="B132:C132"/>
    <mergeCell ref="B129:F129"/>
    <mergeCell ref="B116:C116"/>
    <mergeCell ref="B113:F11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A3BE-2EBC-451C-ABB3-D03F747D9110}">
  <sheetPr>
    <outlinePr summaryBelow="0" summaryRight="0"/>
  </sheetPr>
  <dimension ref="A1:M202"/>
  <sheetViews>
    <sheetView showGridLines="0" workbookViewId="0">
      <selection activeCell="A4" sqref="A4"/>
    </sheetView>
  </sheetViews>
  <sheetFormatPr defaultRowHeight="12.75" x14ac:dyDescent="0.2"/>
  <cols>
    <col min="1" max="1" width="5.85546875" style="123" bestFit="1" customWidth="1"/>
    <col min="2" max="2" width="19.28515625" style="123" bestFit="1" customWidth="1"/>
    <col min="3" max="3" width="60.42578125" style="123" bestFit="1" customWidth="1"/>
    <col min="4" max="4" width="22.42578125" style="123" bestFit="1" customWidth="1"/>
    <col min="5" max="5" width="8.7109375" style="123" bestFit="1" customWidth="1"/>
    <col min="6" max="6" width="10.140625" style="123" bestFit="1" customWidth="1"/>
    <col min="7" max="7" width="9" style="123" bestFit="1" customWidth="1"/>
    <col min="8" max="8" width="8.42578125" style="123" bestFit="1" customWidth="1"/>
    <col min="9" max="9" width="17.42578125" style="123" bestFit="1" customWidth="1"/>
    <col min="10" max="10" width="9.140625" style="123"/>
    <col min="11" max="11" width="11.5703125" style="123" bestFit="1" customWidth="1"/>
    <col min="12" max="12" width="9.42578125" style="123" bestFit="1" customWidth="1"/>
    <col min="13" max="13" width="6.7109375" style="123" bestFit="1" customWidth="1"/>
    <col min="14" max="252" width="9.140625" style="123"/>
    <col min="253" max="253" width="6.85546875" style="123" customWidth="1"/>
    <col min="254" max="254" width="20.5703125" style="123" customWidth="1"/>
    <col min="255" max="255" width="34.28515625" style="123" customWidth="1"/>
    <col min="256" max="256" width="17.85546875" style="123" customWidth="1"/>
    <col min="257" max="258" width="19.140625" style="123" customWidth="1"/>
    <col min="259" max="259" width="16.42578125" style="123" customWidth="1"/>
    <col min="260" max="508" width="9.140625" style="123"/>
    <col min="509" max="509" width="6.85546875" style="123" customWidth="1"/>
    <col min="510" max="510" width="20.5703125" style="123" customWidth="1"/>
    <col min="511" max="511" width="34.28515625" style="123" customWidth="1"/>
    <col min="512" max="512" width="17.85546875" style="123" customWidth="1"/>
    <col min="513" max="514" width="19.140625" style="123" customWidth="1"/>
    <col min="515" max="515" width="16.42578125" style="123" customWidth="1"/>
    <col min="516" max="764" width="9.140625" style="123"/>
    <col min="765" max="765" width="6.85546875" style="123" customWidth="1"/>
    <col min="766" max="766" width="20.5703125" style="123" customWidth="1"/>
    <col min="767" max="767" width="34.28515625" style="123" customWidth="1"/>
    <col min="768" max="768" width="17.85546875" style="123" customWidth="1"/>
    <col min="769" max="770" width="19.140625" style="123" customWidth="1"/>
    <col min="771" max="771" width="16.42578125" style="123" customWidth="1"/>
    <col min="772" max="1020" width="9.140625" style="123"/>
    <col min="1021" max="1021" width="6.85546875" style="123" customWidth="1"/>
    <col min="1022" max="1022" width="20.5703125" style="123" customWidth="1"/>
    <col min="1023" max="1023" width="34.28515625" style="123" customWidth="1"/>
    <col min="1024" max="1024" width="17.85546875" style="123" customWidth="1"/>
    <col min="1025" max="1026" width="19.140625" style="123" customWidth="1"/>
    <col min="1027" max="1027" width="16.42578125" style="123" customWidth="1"/>
    <col min="1028" max="1276" width="9.140625" style="123"/>
    <col min="1277" max="1277" width="6.85546875" style="123" customWidth="1"/>
    <col min="1278" max="1278" width="20.5703125" style="123" customWidth="1"/>
    <col min="1279" max="1279" width="34.28515625" style="123" customWidth="1"/>
    <col min="1280" max="1280" width="17.85546875" style="123" customWidth="1"/>
    <col min="1281" max="1282" width="19.140625" style="123" customWidth="1"/>
    <col min="1283" max="1283" width="16.42578125" style="123" customWidth="1"/>
    <col min="1284" max="1532" width="9.140625" style="123"/>
    <col min="1533" max="1533" width="6.85546875" style="123" customWidth="1"/>
    <col min="1534" max="1534" width="20.5703125" style="123" customWidth="1"/>
    <col min="1535" max="1535" width="34.28515625" style="123" customWidth="1"/>
    <col min="1536" max="1536" width="17.85546875" style="123" customWidth="1"/>
    <col min="1537" max="1538" width="19.140625" style="123" customWidth="1"/>
    <col min="1539" max="1539" width="16.42578125" style="123" customWidth="1"/>
    <col min="1540" max="1788" width="9.140625" style="123"/>
    <col min="1789" max="1789" width="6.85546875" style="123" customWidth="1"/>
    <col min="1790" max="1790" width="20.5703125" style="123" customWidth="1"/>
    <col min="1791" max="1791" width="34.28515625" style="123" customWidth="1"/>
    <col min="1792" max="1792" width="17.85546875" style="123" customWidth="1"/>
    <col min="1793" max="1794" width="19.140625" style="123" customWidth="1"/>
    <col min="1795" max="1795" width="16.42578125" style="123" customWidth="1"/>
    <col min="1796" max="2044" width="9.140625" style="123"/>
    <col min="2045" max="2045" width="6.85546875" style="123" customWidth="1"/>
    <col min="2046" max="2046" width="20.5703125" style="123" customWidth="1"/>
    <col min="2047" max="2047" width="34.28515625" style="123" customWidth="1"/>
    <col min="2048" max="2048" width="17.85546875" style="123" customWidth="1"/>
    <col min="2049" max="2050" width="19.140625" style="123" customWidth="1"/>
    <col min="2051" max="2051" width="16.42578125" style="123" customWidth="1"/>
    <col min="2052" max="2300" width="9.140625" style="123"/>
    <col min="2301" max="2301" width="6.85546875" style="123" customWidth="1"/>
    <col min="2302" max="2302" width="20.5703125" style="123" customWidth="1"/>
    <col min="2303" max="2303" width="34.28515625" style="123" customWidth="1"/>
    <col min="2304" max="2304" width="17.85546875" style="123" customWidth="1"/>
    <col min="2305" max="2306" width="19.140625" style="123" customWidth="1"/>
    <col min="2307" max="2307" width="16.42578125" style="123" customWidth="1"/>
    <col min="2308" max="2556" width="9.140625" style="123"/>
    <col min="2557" max="2557" width="6.85546875" style="123" customWidth="1"/>
    <col min="2558" max="2558" width="20.5703125" style="123" customWidth="1"/>
    <col min="2559" max="2559" width="34.28515625" style="123" customWidth="1"/>
    <col min="2560" max="2560" width="17.85546875" style="123" customWidth="1"/>
    <col min="2561" max="2562" width="19.140625" style="123" customWidth="1"/>
    <col min="2563" max="2563" width="16.42578125" style="123" customWidth="1"/>
    <col min="2564" max="2812" width="9.140625" style="123"/>
    <col min="2813" max="2813" width="6.85546875" style="123" customWidth="1"/>
    <col min="2814" max="2814" width="20.5703125" style="123" customWidth="1"/>
    <col min="2815" max="2815" width="34.28515625" style="123" customWidth="1"/>
    <col min="2816" max="2816" width="17.85546875" style="123" customWidth="1"/>
    <col min="2817" max="2818" width="19.140625" style="123" customWidth="1"/>
    <col min="2819" max="2819" width="16.42578125" style="123" customWidth="1"/>
    <col min="2820" max="3068" width="9.140625" style="123"/>
    <col min="3069" max="3069" width="6.85546875" style="123" customWidth="1"/>
    <col min="3070" max="3070" width="20.5703125" style="123" customWidth="1"/>
    <col min="3071" max="3071" width="34.28515625" style="123" customWidth="1"/>
    <col min="3072" max="3072" width="17.85546875" style="123" customWidth="1"/>
    <col min="3073" max="3074" width="19.140625" style="123" customWidth="1"/>
    <col min="3075" max="3075" width="16.42578125" style="123" customWidth="1"/>
    <col min="3076" max="3324" width="9.140625" style="123"/>
    <col min="3325" max="3325" width="6.85546875" style="123" customWidth="1"/>
    <col min="3326" max="3326" width="20.5703125" style="123" customWidth="1"/>
    <col min="3327" max="3327" width="34.28515625" style="123" customWidth="1"/>
    <col min="3328" max="3328" width="17.85546875" style="123" customWidth="1"/>
    <col min="3329" max="3330" width="19.140625" style="123" customWidth="1"/>
    <col min="3331" max="3331" width="16.42578125" style="123" customWidth="1"/>
    <col min="3332" max="3580" width="9.140625" style="123"/>
    <col min="3581" max="3581" width="6.85546875" style="123" customWidth="1"/>
    <col min="3582" max="3582" width="20.5703125" style="123" customWidth="1"/>
    <col min="3583" max="3583" width="34.28515625" style="123" customWidth="1"/>
    <col min="3584" max="3584" width="17.85546875" style="123" customWidth="1"/>
    <col min="3585" max="3586" width="19.140625" style="123" customWidth="1"/>
    <col min="3587" max="3587" width="16.42578125" style="123" customWidth="1"/>
    <col min="3588" max="3836" width="9.140625" style="123"/>
    <col min="3837" max="3837" width="6.85546875" style="123" customWidth="1"/>
    <col min="3838" max="3838" width="20.5703125" style="123" customWidth="1"/>
    <col min="3839" max="3839" width="34.28515625" style="123" customWidth="1"/>
    <col min="3840" max="3840" width="17.85546875" style="123" customWidth="1"/>
    <col min="3841" max="3842" width="19.140625" style="123" customWidth="1"/>
    <col min="3843" max="3843" width="16.42578125" style="123" customWidth="1"/>
    <col min="3844" max="4092" width="9.140625" style="123"/>
    <col min="4093" max="4093" width="6.85546875" style="123" customWidth="1"/>
    <col min="4094" max="4094" width="20.5703125" style="123" customWidth="1"/>
    <col min="4095" max="4095" width="34.28515625" style="123" customWidth="1"/>
    <col min="4096" max="4096" width="17.85546875" style="123" customWidth="1"/>
    <col min="4097" max="4098" width="19.140625" style="123" customWidth="1"/>
    <col min="4099" max="4099" width="16.42578125" style="123" customWidth="1"/>
    <col min="4100" max="4348" width="9.140625" style="123"/>
    <col min="4349" max="4349" width="6.85546875" style="123" customWidth="1"/>
    <col min="4350" max="4350" width="20.5703125" style="123" customWidth="1"/>
    <col min="4351" max="4351" width="34.28515625" style="123" customWidth="1"/>
    <col min="4352" max="4352" width="17.85546875" style="123" customWidth="1"/>
    <col min="4353" max="4354" width="19.140625" style="123" customWidth="1"/>
    <col min="4355" max="4355" width="16.42578125" style="123" customWidth="1"/>
    <col min="4356" max="4604" width="9.140625" style="123"/>
    <col min="4605" max="4605" width="6.85546875" style="123" customWidth="1"/>
    <col min="4606" max="4606" width="20.5703125" style="123" customWidth="1"/>
    <col min="4607" max="4607" width="34.28515625" style="123" customWidth="1"/>
    <col min="4608" max="4608" width="17.85546875" style="123" customWidth="1"/>
    <col min="4609" max="4610" width="19.140625" style="123" customWidth="1"/>
    <col min="4611" max="4611" width="16.42578125" style="123" customWidth="1"/>
    <col min="4612" max="4860" width="9.140625" style="123"/>
    <col min="4861" max="4861" width="6.85546875" style="123" customWidth="1"/>
    <col min="4862" max="4862" width="20.5703125" style="123" customWidth="1"/>
    <col min="4863" max="4863" width="34.28515625" style="123" customWidth="1"/>
    <col min="4864" max="4864" width="17.85546875" style="123" customWidth="1"/>
    <col min="4865" max="4866" width="19.140625" style="123" customWidth="1"/>
    <col min="4867" max="4867" width="16.42578125" style="123" customWidth="1"/>
    <col min="4868" max="5116" width="9.140625" style="123"/>
    <col min="5117" max="5117" width="6.85546875" style="123" customWidth="1"/>
    <col min="5118" max="5118" width="20.5703125" style="123" customWidth="1"/>
    <col min="5119" max="5119" width="34.28515625" style="123" customWidth="1"/>
    <col min="5120" max="5120" width="17.85546875" style="123" customWidth="1"/>
    <col min="5121" max="5122" width="19.140625" style="123" customWidth="1"/>
    <col min="5123" max="5123" width="16.42578125" style="123" customWidth="1"/>
    <col min="5124" max="5372" width="9.140625" style="123"/>
    <col min="5373" max="5373" width="6.85546875" style="123" customWidth="1"/>
    <col min="5374" max="5374" width="20.5703125" style="123" customWidth="1"/>
    <col min="5375" max="5375" width="34.28515625" style="123" customWidth="1"/>
    <col min="5376" max="5376" width="17.85546875" style="123" customWidth="1"/>
    <col min="5377" max="5378" width="19.140625" style="123" customWidth="1"/>
    <col min="5379" max="5379" width="16.42578125" style="123" customWidth="1"/>
    <col min="5380" max="5628" width="9.140625" style="123"/>
    <col min="5629" max="5629" width="6.85546875" style="123" customWidth="1"/>
    <col min="5630" max="5630" width="20.5703125" style="123" customWidth="1"/>
    <col min="5631" max="5631" width="34.28515625" style="123" customWidth="1"/>
    <col min="5632" max="5632" width="17.85546875" style="123" customWidth="1"/>
    <col min="5633" max="5634" width="19.140625" style="123" customWidth="1"/>
    <col min="5635" max="5635" width="16.42578125" style="123" customWidth="1"/>
    <col min="5636" max="5884" width="9.140625" style="123"/>
    <col min="5885" max="5885" width="6.85546875" style="123" customWidth="1"/>
    <col min="5886" max="5886" width="20.5703125" style="123" customWidth="1"/>
    <col min="5887" max="5887" width="34.28515625" style="123" customWidth="1"/>
    <col min="5888" max="5888" width="17.85546875" style="123" customWidth="1"/>
    <col min="5889" max="5890" width="19.140625" style="123" customWidth="1"/>
    <col min="5891" max="5891" width="16.42578125" style="123" customWidth="1"/>
    <col min="5892" max="6140" width="9.140625" style="123"/>
    <col min="6141" max="6141" width="6.85546875" style="123" customWidth="1"/>
    <col min="6142" max="6142" width="20.5703125" style="123" customWidth="1"/>
    <col min="6143" max="6143" width="34.28515625" style="123" customWidth="1"/>
    <col min="6144" max="6144" width="17.85546875" style="123" customWidth="1"/>
    <col min="6145" max="6146" width="19.140625" style="123" customWidth="1"/>
    <col min="6147" max="6147" width="16.42578125" style="123" customWidth="1"/>
    <col min="6148" max="6396" width="9.140625" style="123"/>
    <col min="6397" max="6397" width="6.85546875" style="123" customWidth="1"/>
    <col min="6398" max="6398" width="20.5703125" style="123" customWidth="1"/>
    <col min="6399" max="6399" width="34.28515625" style="123" customWidth="1"/>
    <col min="6400" max="6400" width="17.85546875" style="123" customWidth="1"/>
    <col min="6401" max="6402" width="19.140625" style="123" customWidth="1"/>
    <col min="6403" max="6403" width="16.42578125" style="123" customWidth="1"/>
    <col min="6404" max="6652" width="9.140625" style="123"/>
    <col min="6653" max="6653" width="6.85546875" style="123" customWidth="1"/>
    <col min="6654" max="6654" width="20.5703125" style="123" customWidth="1"/>
    <col min="6655" max="6655" width="34.28515625" style="123" customWidth="1"/>
    <col min="6656" max="6656" width="17.85546875" style="123" customWidth="1"/>
    <col min="6657" max="6658" width="19.140625" style="123" customWidth="1"/>
    <col min="6659" max="6659" width="16.42578125" style="123" customWidth="1"/>
    <col min="6660" max="6908" width="9.140625" style="123"/>
    <col min="6909" max="6909" width="6.85546875" style="123" customWidth="1"/>
    <col min="6910" max="6910" width="20.5703125" style="123" customWidth="1"/>
    <col min="6911" max="6911" width="34.28515625" style="123" customWidth="1"/>
    <col min="6912" max="6912" width="17.85546875" style="123" customWidth="1"/>
    <col min="6913" max="6914" width="19.140625" style="123" customWidth="1"/>
    <col min="6915" max="6915" width="16.42578125" style="123" customWidth="1"/>
    <col min="6916" max="7164" width="9.140625" style="123"/>
    <col min="7165" max="7165" width="6.85546875" style="123" customWidth="1"/>
    <col min="7166" max="7166" width="20.5703125" style="123" customWidth="1"/>
    <col min="7167" max="7167" width="34.28515625" style="123" customWidth="1"/>
    <col min="7168" max="7168" width="17.85546875" style="123" customWidth="1"/>
    <col min="7169" max="7170" width="19.140625" style="123" customWidth="1"/>
    <col min="7171" max="7171" width="16.42578125" style="123" customWidth="1"/>
    <col min="7172" max="7420" width="9.140625" style="123"/>
    <col min="7421" max="7421" width="6.85546875" style="123" customWidth="1"/>
    <col min="7422" max="7422" width="20.5703125" style="123" customWidth="1"/>
    <col min="7423" max="7423" width="34.28515625" style="123" customWidth="1"/>
    <col min="7424" max="7424" width="17.85546875" style="123" customWidth="1"/>
    <col min="7425" max="7426" width="19.140625" style="123" customWidth="1"/>
    <col min="7427" max="7427" width="16.42578125" style="123" customWidth="1"/>
    <col min="7428" max="7676" width="9.140625" style="123"/>
    <col min="7677" max="7677" width="6.85546875" style="123" customWidth="1"/>
    <col min="7678" max="7678" width="20.5703125" style="123" customWidth="1"/>
    <col min="7679" max="7679" width="34.28515625" style="123" customWidth="1"/>
    <col min="7680" max="7680" width="17.85546875" style="123" customWidth="1"/>
    <col min="7681" max="7682" width="19.140625" style="123" customWidth="1"/>
    <col min="7683" max="7683" width="16.42578125" style="123" customWidth="1"/>
    <col min="7684" max="7932" width="9.140625" style="123"/>
    <col min="7933" max="7933" width="6.85546875" style="123" customWidth="1"/>
    <col min="7934" max="7934" width="20.5703125" style="123" customWidth="1"/>
    <col min="7935" max="7935" width="34.28515625" style="123" customWidth="1"/>
    <col min="7936" max="7936" width="17.85546875" style="123" customWidth="1"/>
    <col min="7937" max="7938" width="19.140625" style="123" customWidth="1"/>
    <col min="7939" max="7939" width="16.42578125" style="123" customWidth="1"/>
    <col min="7940" max="8188" width="9.140625" style="123"/>
    <col min="8189" max="8189" width="6.85546875" style="123" customWidth="1"/>
    <col min="8190" max="8190" width="20.5703125" style="123" customWidth="1"/>
    <col min="8191" max="8191" width="34.28515625" style="123" customWidth="1"/>
    <col min="8192" max="8192" width="17.85546875" style="123" customWidth="1"/>
    <col min="8193" max="8194" width="19.140625" style="123" customWidth="1"/>
    <col min="8195" max="8195" width="16.42578125" style="123" customWidth="1"/>
    <col min="8196" max="8444" width="9.140625" style="123"/>
    <col min="8445" max="8445" width="6.85546875" style="123" customWidth="1"/>
    <col min="8446" max="8446" width="20.5703125" style="123" customWidth="1"/>
    <col min="8447" max="8447" width="34.28515625" style="123" customWidth="1"/>
    <col min="8448" max="8448" width="17.85546875" style="123" customWidth="1"/>
    <col min="8449" max="8450" width="19.140625" style="123" customWidth="1"/>
    <col min="8451" max="8451" width="16.42578125" style="123" customWidth="1"/>
    <col min="8452" max="8700" width="9.140625" style="123"/>
    <col min="8701" max="8701" width="6.85546875" style="123" customWidth="1"/>
    <col min="8702" max="8702" width="20.5703125" style="123" customWidth="1"/>
    <col min="8703" max="8703" width="34.28515625" style="123" customWidth="1"/>
    <col min="8704" max="8704" width="17.85546875" style="123" customWidth="1"/>
    <col min="8705" max="8706" width="19.140625" style="123" customWidth="1"/>
    <col min="8707" max="8707" width="16.42578125" style="123" customWidth="1"/>
    <col min="8708" max="8956" width="9.140625" style="123"/>
    <col min="8957" max="8957" width="6.85546875" style="123" customWidth="1"/>
    <col min="8958" max="8958" width="20.5703125" style="123" customWidth="1"/>
    <col min="8959" max="8959" width="34.28515625" style="123" customWidth="1"/>
    <col min="8960" max="8960" width="17.85546875" style="123" customWidth="1"/>
    <col min="8961" max="8962" width="19.140625" style="123" customWidth="1"/>
    <col min="8963" max="8963" width="16.42578125" style="123" customWidth="1"/>
    <col min="8964" max="9212" width="9.140625" style="123"/>
    <col min="9213" max="9213" width="6.85546875" style="123" customWidth="1"/>
    <col min="9214" max="9214" width="20.5703125" style="123" customWidth="1"/>
    <col min="9215" max="9215" width="34.28515625" style="123" customWidth="1"/>
    <col min="9216" max="9216" width="17.85546875" style="123" customWidth="1"/>
    <col min="9217" max="9218" width="19.140625" style="123" customWidth="1"/>
    <col min="9219" max="9219" width="16.42578125" style="123" customWidth="1"/>
    <col min="9220" max="9468" width="9.140625" style="123"/>
    <col min="9469" max="9469" width="6.85546875" style="123" customWidth="1"/>
    <col min="9470" max="9470" width="20.5703125" style="123" customWidth="1"/>
    <col min="9471" max="9471" width="34.28515625" style="123" customWidth="1"/>
    <col min="9472" max="9472" width="17.85546875" style="123" customWidth="1"/>
    <col min="9473" max="9474" width="19.140625" style="123" customWidth="1"/>
    <col min="9475" max="9475" width="16.42578125" style="123" customWidth="1"/>
    <col min="9476" max="9724" width="9.140625" style="123"/>
    <col min="9725" max="9725" width="6.85546875" style="123" customWidth="1"/>
    <col min="9726" max="9726" width="20.5703125" style="123" customWidth="1"/>
    <col min="9727" max="9727" width="34.28515625" style="123" customWidth="1"/>
    <col min="9728" max="9728" width="17.85546875" style="123" customWidth="1"/>
    <col min="9729" max="9730" width="19.140625" style="123" customWidth="1"/>
    <col min="9731" max="9731" width="16.42578125" style="123" customWidth="1"/>
    <col min="9732" max="9980" width="9.140625" style="123"/>
    <col min="9981" max="9981" width="6.85546875" style="123" customWidth="1"/>
    <col min="9982" max="9982" width="20.5703125" style="123" customWidth="1"/>
    <col min="9983" max="9983" width="34.28515625" style="123" customWidth="1"/>
    <col min="9984" max="9984" width="17.85546875" style="123" customWidth="1"/>
    <col min="9985" max="9986" width="19.140625" style="123" customWidth="1"/>
    <col min="9987" max="9987" width="16.42578125" style="123" customWidth="1"/>
    <col min="9988" max="10236" width="9.140625" style="123"/>
    <col min="10237" max="10237" width="6.85546875" style="123" customWidth="1"/>
    <col min="10238" max="10238" width="20.5703125" style="123" customWidth="1"/>
    <col min="10239" max="10239" width="34.28515625" style="123" customWidth="1"/>
    <col min="10240" max="10240" width="17.85546875" style="123" customWidth="1"/>
    <col min="10241" max="10242" width="19.140625" style="123" customWidth="1"/>
    <col min="10243" max="10243" width="16.42578125" style="123" customWidth="1"/>
    <col min="10244" max="10492" width="9.140625" style="123"/>
    <col min="10493" max="10493" width="6.85546875" style="123" customWidth="1"/>
    <col min="10494" max="10494" width="20.5703125" style="123" customWidth="1"/>
    <col min="10495" max="10495" width="34.28515625" style="123" customWidth="1"/>
    <col min="10496" max="10496" width="17.85546875" style="123" customWidth="1"/>
    <col min="10497" max="10498" width="19.140625" style="123" customWidth="1"/>
    <col min="10499" max="10499" width="16.42578125" style="123" customWidth="1"/>
    <col min="10500" max="10748" width="9.140625" style="123"/>
    <col min="10749" max="10749" width="6.85546875" style="123" customWidth="1"/>
    <col min="10750" max="10750" width="20.5703125" style="123" customWidth="1"/>
    <col min="10751" max="10751" width="34.28515625" style="123" customWidth="1"/>
    <col min="10752" max="10752" width="17.85546875" style="123" customWidth="1"/>
    <col min="10753" max="10754" width="19.140625" style="123" customWidth="1"/>
    <col min="10755" max="10755" width="16.42578125" style="123" customWidth="1"/>
    <col min="10756" max="11004" width="9.140625" style="123"/>
    <col min="11005" max="11005" width="6.85546875" style="123" customWidth="1"/>
    <col min="11006" max="11006" width="20.5703125" style="123" customWidth="1"/>
    <col min="11007" max="11007" width="34.28515625" style="123" customWidth="1"/>
    <col min="11008" max="11008" width="17.85546875" style="123" customWidth="1"/>
    <col min="11009" max="11010" width="19.140625" style="123" customWidth="1"/>
    <col min="11011" max="11011" width="16.42578125" style="123" customWidth="1"/>
    <col min="11012" max="11260" width="9.140625" style="123"/>
    <col min="11261" max="11261" width="6.85546875" style="123" customWidth="1"/>
    <col min="11262" max="11262" width="20.5703125" style="123" customWidth="1"/>
    <col min="11263" max="11263" width="34.28515625" style="123" customWidth="1"/>
    <col min="11264" max="11264" width="17.85546875" style="123" customWidth="1"/>
    <col min="11265" max="11266" width="19.140625" style="123" customWidth="1"/>
    <col min="11267" max="11267" width="16.42578125" style="123" customWidth="1"/>
    <col min="11268" max="11516" width="9.140625" style="123"/>
    <col min="11517" max="11517" width="6.85546875" style="123" customWidth="1"/>
    <col min="11518" max="11518" width="20.5703125" style="123" customWidth="1"/>
    <col min="11519" max="11519" width="34.28515625" style="123" customWidth="1"/>
    <col min="11520" max="11520" width="17.85546875" style="123" customWidth="1"/>
    <col min="11521" max="11522" width="19.140625" style="123" customWidth="1"/>
    <col min="11523" max="11523" width="16.42578125" style="123" customWidth="1"/>
    <col min="11524" max="11772" width="9.140625" style="123"/>
    <col min="11773" max="11773" width="6.85546875" style="123" customWidth="1"/>
    <col min="11774" max="11774" width="20.5703125" style="123" customWidth="1"/>
    <col min="11775" max="11775" width="34.28515625" style="123" customWidth="1"/>
    <col min="11776" max="11776" width="17.85546875" style="123" customWidth="1"/>
    <col min="11777" max="11778" width="19.140625" style="123" customWidth="1"/>
    <col min="11779" max="11779" width="16.42578125" style="123" customWidth="1"/>
    <col min="11780" max="12028" width="9.140625" style="123"/>
    <col min="12029" max="12029" width="6.85546875" style="123" customWidth="1"/>
    <col min="12030" max="12030" width="20.5703125" style="123" customWidth="1"/>
    <col min="12031" max="12031" width="34.28515625" style="123" customWidth="1"/>
    <col min="12032" max="12032" width="17.85546875" style="123" customWidth="1"/>
    <col min="12033" max="12034" width="19.140625" style="123" customWidth="1"/>
    <col min="12035" max="12035" width="16.42578125" style="123" customWidth="1"/>
    <col min="12036" max="12284" width="9.140625" style="123"/>
    <col min="12285" max="12285" width="6.85546875" style="123" customWidth="1"/>
    <col min="12286" max="12286" width="20.5703125" style="123" customWidth="1"/>
    <col min="12287" max="12287" width="34.28515625" style="123" customWidth="1"/>
    <col min="12288" max="12288" width="17.85546875" style="123" customWidth="1"/>
    <col min="12289" max="12290" width="19.140625" style="123" customWidth="1"/>
    <col min="12291" max="12291" width="16.42578125" style="123" customWidth="1"/>
    <col min="12292" max="12540" width="9.140625" style="123"/>
    <col min="12541" max="12541" width="6.85546875" style="123" customWidth="1"/>
    <col min="12542" max="12542" width="20.5703125" style="123" customWidth="1"/>
    <col min="12543" max="12543" width="34.28515625" style="123" customWidth="1"/>
    <col min="12544" max="12544" width="17.85546875" style="123" customWidth="1"/>
    <col min="12545" max="12546" width="19.140625" style="123" customWidth="1"/>
    <col min="12547" max="12547" width="16.42578125" style="123" customWidth="1"/>
    <col min="12548" max="12796" width="9.140625" style="123"/>
    <col min="12797" max="12797" width="6.85546875" style="123" customWidth="1"/>
    <col min="12798" max="12798" width="20.5703125" style="123" customWidth="1"/>
    <col min="12799" max="12799" width="34.28515625" style="123" customWidth="1"/>
    <col min="12800" max="12800" width="17.85546875" style="123" customWidth="1"/>
    <col min="12801" max="12802" width="19.140625" style="123" customWidth="1"/>
    <col min="12803" max="12803" width="16.42578125" style="123" customWidth="1"/>
    <col min="12804" max="13052" width="9.140625" style="123"/>
    <col min="13053" max="13053" width="6.85546875" style="123" customWidth="1"/>
    <col min="13054" max="13054" width="20.5703125" style="123" customWidth="1"/>
    <col min="13055" max="13055" width="34.28515625" style="123" customWidth="1"/>
    <col min="13056" max="13056" width="17.85546875" style="123" customWidth="1"/>
    <col min="13057" max="13058" width="19.140625" style="123" customWidth="1"/>
    <col min="13059" max="13059" width="16.42578125" style="123" customWidth="1"/>
    <col min="13060" max="13308" width="9.140625" style="123"/>
    <col min="13309" max="13309" width="6.85546875" style="123" customWidth="1"/>
    <col min="13310" max="13310" width="20.5703125" style="123" customWidth="1"/>
    <col min="13311" max="13311" width="34.28515625" style="123" customWidth="1"/>
    <col min="13312" max="13312" width="17.85546875" style="123" customWidth="1"/>
    <col min="13313" max="13314" width="19.140625" style="123" customWidth="1"/>
    <col min="13315" max="13315" width="16.42578125" style="123" customWidth="1"/>
    <col min="13316" max="13564" width="9.140625" style="123"/>
    <col min="13565" max="13565" width="6.85546875" style="123" customWidth="1"/>
    <col min="13566" max="13566" width="20.5703125" style="123" customWidth="1"/>
    <col min="13567" max="13567" width="34.28515625" style="123" customWidth="1"/>
    <col min="13568" max="13568" width="17.85546875" style="123" customWidth="1"/>
    <col min="13569" max="13570" width="19.140625" style="123" customWidth="1"/>
    <col min="13571" max="13571" width="16.42578125" style="123" customWidth="1"/>
    <col min="13572" max="13820" width="9.140625" style="123"/>
    <col min="13821" max="13821" width="6.85546875" style="123" customWidth="1"/>
    <col min="13822" max="13822" width="20.5703125" style="123" customWidth="1"/>
    <col min="13823" max="13823" width="34.28515625" style="123" customWidth="1"/>
    <col min="13824" max="13824" width="17.85546875" style="123" customWidth="1"/>
    <col min="13825" max="13826" width="19.140625" style="123" customWidth="1"/>
    <col min="13827" max="13827" width="16.42578125" style="123" customWidth="1"/>
    <col min="13828" max="14076" width="9.140625" style="123"/>
    <col min="14077" max="14077" width="6.85546875" style="123" customWidth="1"/>
    <col min="14078" max="14078" width="20.5703125" style="123" customWidth="1"/>
    <col min="14079" max="14079" width="34.28515625" style="123" customWidth="1"/>
    <col min="14080" max="14080" width="17.85546875" style="123" customWidth="1"/>
    <col min="14081" max="14082" width="19.140625" style="123" customWidth="1"/>
    <col min="14083" max="14083" width="16.42578125" style="123" customWidth="1"/>
    <col min="14084" max="14332" width="9.140625" style="123"/>
    <col min="14333" max="14333" width="6.85546875" style="123" customWidth="1"/>
    <col min="14334" max="14334" width="20.5703125" style="123" customWidth="1"/>
    <col min="14335" max="14335" width="34.28515625" style="123" customWidth="1"/>
    <col min="14336" max="14336" width="17.85546875" style="123" customWidth="1"/>
    <col min="14337" max="14338" width="19.140625" style="123" customWidth="1"/>
    <col min="14339" max="14339" width="16.42578125" style="123" customWidth="1"/>
    <col min="14340" max="14588" width="9.140625" style="123"/>
    <col min="14589" max="14589" width="6.85546875" style="123" customWidth="1"/>
    <col min="14590" max="14590" width="20.5703125" style="123" customWidth="1"/>
    <col min="14591" max="14591" width="34.28515625" style="123" customWidth="1"/>
    <col min="14592" max="14592" width="17.85546875" style="123" customWidth="1"/>
    <col min="14593" max="14594" width="19.140625" style="123" customWidth="1"/>
    <col min="14595" max="14595" width="16.42578125" style="123" customWidth="1"/>
    <col min="14596" max="14844" width="9.140625" style="123"/>
    <col min="14845" max="14845" width="6.85546875" style="123" customWidth="1"/>
    <col min="14846" max="14846" width="20.5703125" style="123" customWidth="1"/>
    <col min="14847" max="14847" width="34.28515625" style="123" customWidth="1"/>
    <col min="14848" max="14848" width="17.85546875" style="123" customWidth="1"/>
    <col min="14849" max="14850" width="19.140625" style="123" customWidth="1"/>
    <col min="14851" max="14851" width="16.42578125" style="123" customWidth="1"/>
    <col min="14852" max="15100" width="9.140625" style="123"/>
    <col min="15101" max="15101" width="6.85546875" style="123" customWidth="1"/>
    <col min="15102" max="15102" width="20.5703125" style="123" customWidth="1"/>
    <col min="15103" max="15103" width="34.28515625" style="123" customWidth="1"/>
    <col min="15104" max="15104" width="17.85546875" style="123" customWidth="1"/>
    <col min="15105" max="15106" width="19.140625" style="123" customWidth="1"/>
    <col min="15107" max="15107" width="16.42578125" style="123" customWidth="1"/>
    <col min="15108" max="15356" width="9.140625" style="123"/>
    <col min="15357" max="15357" width="6.85546875" style="123" customWidth="1"/>
    <col min="15358" max="15358" width="20.5703125" style="123" customWidth="1"/>
    <col min="15359" max="15359" width="34.28515625" style="123" customWidth="1"/>
    <col min="15360" max="15360" width="17.85546875" style="123" customWidth="1"/>
    <col min="15361" max="15362" width="19.140625" style="123" customWidth="1"/>
    <col min="15363" max="15363" width="16.42578125" style="123" customWidth="1"/>
    <col min="15364" max="15612" width="9.140625" style="123"/>
    <col min="15613" max="15613" width="6.85546875" style="123" customWidth="1"/>
    <col min="15614" max="15614" width="20.5703125" style="123" customWidth="1"/>
    <col min="15615" max="15615" width="34.28515625" style="123" customWidth="1"/>
    <col min="15616" max="15616" width="17.85546875" style="123" customWidth="1"/>
    <col min="15617" max="15618" width="19.140625" style="123" customWidth="1"/>
    <col min="15619" max="15619" width="16.42578125" style="123" customWidth="1"/>
    <col min="15620" max="15868" width="9.140625" style="123"/>
    <col min="15869" max="15869" width="6.85546875" style="123" customWidth="1"/>
    <col min="15870" max="15870" width="20.5703125" style="123" customWidth="1"/>
    <col min="15871" max="15871" width="34.28515625" style="123" customWidth="1"/>
    <col min="15872" max="15872" width="17.85546875" style="123" customWidth="1"/>
    <col min="15873" max="15874" width="19.140625" style="123" customWidth="1"/>
    <col min="15875" max="15875" width="16.42578125" style="123" customWidth="1"/>
    <col min="15876" max="16124" width="9.140625" style="123"/>
    <col min="16125" max="16125" width="6.85546875" style="123" customWidth="1"/>
    <col min="16126" max="16126" width="20.5703125" style="123" customWidth="1"/>
    <col min="16127" max="16127" width="34.28515625" style="123" customWidth="1"/>
    <col min="16128" max="16128" width="17.85546875" style="123" customWidth="1"/>
    <col min="16129" max="16130" width="19.140625" style="123" customWidth="1"/>
    <col min="16131" max="16131" width="16.42578125" style="123" customWidth="1"/>
    <col min="16132" max="16384" width="9.140625" style="123"/>
  </cols>
  <sheetData>
    <row r="1" spans="1:9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9" ht="15" x14ac:dyDescent="0.2">
      <c r="A2" s="202" t="s">
        <v>810</v>
      </c>
      <c r="B2" s="203"/>
      <c r="C2" s="203"/>
      <c r="D2" s="203"/>
      <c r="E2" s="203"/>
      <c r="F2" s="203"/>
      <c r="G2" s="203"/>
      <c r="H2" s="204"/>
    </row>
    <row r="3" spans="1:9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9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9" x14ac:dyDescent="0.2">
      <c r="A5" s="124" t="s">
        <v>9</v>
      </c>
      <c r="B5" s="124" t="s">
        <v>9</v>
      </c>
      <c r="C5" s="125" t="s">
        <v>10</v>
      </c>
      <c r="D5" s="124" t="s">
        <v>9</v>
      </c>
      <c r="E5" s="124" t="s">
        <v>9</v>
      </c>
      <c r="F5" s="124" t="s">
        <v>9</v>
      </c>
      <c r="G5" s="124" t="s">
        <v>9</v>
      </c>
      <c r="H5" s="156"/>
    </row>
    <row r="6" spans="1:9" x14ac:dyDescent="0.2">
      <c r="A6" s="124" t="s">
        <v>9</v>
      </c>
      <c r="B6" s="124" t="s">
        <v>9</v>
      </c>
      <c r="C6" s="125" t="s">
        <v>11</v>
      </c>
      <c r="D6" s="124" t="s">
        <v>9</v>
      </c>
      <c r="E6" s="124" t="s">
        <v>9</v>
      </c>
      <c r="F6" s="124" t="s">
        <v>9</v>
      </c>
      <c r="G6" s="124" t="s">
        <v>9</v>
      </c>
      <c r="H6" s="156"/>
    </row>
    <row r="7" spans="1:9" x14ac:dyDescent="0.2">
      <c r="A7" s="126">
        <v>1</v>
      </c>
      <c r="B7" s="127" t="s">
        <v>20</v>
      </c>
      <c r="C7" s="127" t="s">
        <v>21</v>
      </c>
      <c r="D7" s="127" t="s">
        <v>22</v>
      </c>
      <c r="E7" s="128">
        <v>936875</v>
      </c>
      <c r="F7" s="129">
        <v>5910.7443750000002</v>
      </c>
      <c r="G7" s="130">
        <v>5.8830312000000003E-2</v>
      </c>
      <c r="H7" s="156"/>
    </row>
    <row r="8" spans="1:9" x14ac:dyDescent="0.2">
      <c r="A8" s="126">
        <v>2</v>
      </c>
      <c r="B8" s="127" t="s">
        <v>15</v>
      </c>
      <c r="C8" s="127" t="s">
        <v>16</v>
      </c>
      <c r="D8" s="127" t="s">
        <v>17</v>
      </c>
      <c r="E8" s="128">
        <v>210750</v>
      </c>
      <c r="F8" s="129">
        <v>4448.1948750000001</v>
      </c>
      <c r="G8" s="130">
        <v>4.4273390000000003E-2</v>
      </c>
      <c r="H8" s="156"/>
    </row>
    <row r="9" spans="1:9" x14ac:dyDescent="0.2">
      <c r="A9" s="126">
        <v>3</v>
      </c>
      <c r="B9" s="127" t="s">
        <v>402</v>
      </c>
      <c r="C9" s="127" t="s">
        <v>403</v>
      </c>
      <c r="D9" s="127" t="s">
        <v>22</v>
      </c>
      <c r="E9" s="128">
        <v>890000</v>
      </c>
      <c r="F9" s="129">
        <v>3730.88</v>
      </c>
      <c r="G9" s="130">
        <v>3.7133872999999998E-2</v>
      </c>
      <c r="H9" s="156"/>
    </row>
    <row r="10" spans="1:9" x14ac:dyDescent="0.2">
      <c r="A10" s="126">
        <v>4</v>
      </c>
      <c r="B10" s="127" t="s">
        <v>398</v>
      </c>
      <c r="C10" s="127" t="s">
        <v>399</v>
      </c>
      <c r="D10" s="127" t="s">
        <v>169</v>
      </c>
      <c r="E10" s="128">
        <v>195000</v>
      </c>
      <c r="F10" s="129">
        <v>3082.56</v>
      </c>
      <c r="G10" s="130">
        <v>3.0681071000000001E-2</v>
      </c>
      <c r="H10" s="156"/>
    </row>
    <row r="11" spans="1:9" x14ac:dyDescent="0.2">
      <c r="A11" s="126">
        <v>5</v>
      </c>
      <c r="B11" s="127" t="s">
        <v>400</v>
      </c>
      <c r="C11" s="127" t="s">
        <v>401</v>
      </c>
      <c r="D11" s="127" t="s">
        <v>166</v>
      </c>
      <c r="E11" s="128">
        <v>122500</v>
      </c>
      <c r="F11" s="129">
        <v>3032.1812500000001</v>
      </c>
      <c r="G11" s="130">
        <v>3.0179645000000001E-2</v>
      </c>
      <c r="H11" s="156"/>
    </row>
    <row r="12" spans="1:9" x14ac:dyDescent="0.2">
      <c r="A12" s="126">
        <v>6</v>
      </c>
      <c r="B12" s="127" t="s">
        <v>50</v>
      </c>
      <c r="C12" s="127" t="s">
        <v>51</v>
      </c>
      <c r="D12" s="127" t="s">
        <v>22</v>
      </c>
      <c r="E12" s="128">
        <v>184000</v>
      </c>
      <c r="F12" s="129">
        <v>2756.136</v>
      </c>
      <c r="G12" s="130">
        <v>2.7432135E-2</v>
      </c>
      <c r="H12" s="156"/>
    </row>
    <row r="13" spans="1:9" s="179" customFormat="1" x14ac:dyDescent="0.2">
      <c r="A13" s="126">
        <v>7</v>
      </c>
      <c r="B13" s="6" t="s">
        <v>979</v>
      </c>
      <c r="C13" s="6" t="s">
        <v>980</v>
      </c>
      <c r="D13" s="6" t="s">
        <v>40</v>
      </c>
      <c r="E13" s="7">
        <v>738000</v>
      </c>
      <c r="F13" s="8">
        <v>2585.8044</v>
      </c>
      <c r="G13" s="9">
        <v>2.5736809999999999E-2</v>
      </c>
      <c r="H13" s="156"/>
      <c r="I13" s="180"/>
    </row>
    <row r="14" spans="1:9" x14ac:dyDescent="0.2">
      <c r="A14" s="126">
        <v>8</v>
      </c>
      <c r="B14" s="127" t="s">
        <v>408</v>
      </c>
      <c r="C14" s="127" t="s">
        <v>409</v>
      </c>
      <c r="D14" s="127" t="s">
        <v>169</v>
      </c>
      <c r="E14" s="128">
        <v>71006</v>
      </c>
      <c r="F14" s="129">
        <v>2375.6832450000002</v>
      </c>
      <c r="G14" s="130">
        <v>2.3645446000000001E-2</v>
      </c>
      <c r="H14" s="156"/>
    </row>
    <row r="15" spans="1:9" x14ac:dyDescent="0.2">
      <c r="A15" s="126">
        <v>9</v>
      </c>
      <c r="B15" s="127" t="s">
        <v>356</v>
      </c>
      <c r="C15" s="127" t="s">
        <v>357</v>
      </c>
      <c r="D15" s="127" t="s">
        <v>22</v>
      </c>
      <c r="E15" s="128">
        <v>300000</v>
      </c>
      <c r="F15" s="129">
        <v>2244.9</v>
      </c>
      <c r="G15" s="130">
        <v>2.2343745000000002E-2</v>
      </c>
      <c r="H15" s="156"/>
    </row>
    <row r="16" spans="1:9" x14ac:dyDescent="0.2">
      <c r="A16" s="126">
        <v>10</v>
      </c>
      <c r="B16" s="127" t="s">
        <v>23</v>
      </c>
      <c r="C16" s="127" t="s">
        <v>24</v>
      </c>
      <c r="D16" s="127" t="s">
        <v>25</v>
      </c>
      <c r="E16" s="128">
        <v>396183</v>
      </c>
      <c r="F16" s="129">
        <v>2082.5359395</v>
      </c>
      <c r="G16" s="130">
        <v>2.0727717E-2</v>
      </c>
      <c r="H16" s="156"/>
    </row>
    <row r="17" spans="1:8" x14ac:dyDescent="0.2">
      <c r="A17" s="126">
        <v>11</v>
      </c>
      <c r="B17" s="127" t="s">
        <v>482</v>
      </c>
      <c r="C17" s="127" t="s">
        <v>483</v>
      </c>
      <c r="D17" s="127" t="s">
        <v>73</v>
      </c>
      <c r="E17" s="128">
        <v>300000</v>
      </c>
      <c r="F17" s="129">
        <v>1984.95</v>
      </c>
      <c r="G17" s="130">
        <v>1.9756433E-2</v>
      </c>
      <c r="H17" s="156"/>
    </row>
    <row r="18" spans="1:8" s="179" customFormat="1" x14ac:dyDescent="0.2">
      <c r="A18" s="126">
        <v>12</v>
      </c>
      <c r="B18" s="6" t="s">
        <v>981</v>
      </c>
      <c r="C18" s="6" t="s">
        <v>982</v>
      </c>
      <c r="D18" s="6" t="s">
        <v>983</v>
      </c>
      <c r="E18" s="7">
        <v>1462700</v>
      </c>
      <c r="F18" s="8">
        <v>1657.0928299999998</v>
      </c>
      <c r="G18" s="9">
        <v>1.6493230000000001E-2</v>
      </c>
      <c r="H18" s="156"/>
    </row>
    <row r="19" spans="1:8" x14ac:dyDescent="0.2">
      <c r="A19" s="126">
        <v>13</v>
      </c>
      <c r="B19" s="127" t="s">
        <v>441</v>
      </c>
      <c r="C19" s="127" t="s">
        <v>442</v>
      </c>
      <c r="D19" s="127" t="s">
        <v>196</v>
      </c>
      <c r="E19" s="128">
        <v>28625</v>
      </c>
      <c r="F19" s="129">
        <v>1552.3480625</v>
      </c>
      <c r="G19" s="130">
        <v>1.5450696999999999E-2</v>
      </c>
      <c r="H19" s="156"/>
    </row>
    <row r="20" spans="1:8" x14ac:dyDescent="0.2">
      <c r="A20" s="126">
        <v>14</v>
      </c>
      <c r="B20" s="127" t="s">
        <v>611</v>
      </c>
      <c r="C20" s="127" t="s">
        <v>612</v>
      </c>
      <c r="D20" s="127" t="s">
        <v>73</v>
      </c>
      <c r="E20" s="128">
        <v>280000</v>
      </c>
      <c r="F20" s="129">
        <v>1486.24</v>
      </c>
      <c r="G20" s="130">
        <v>1.4792715999999999E-2</v>
      </c>
      <c r="H20" s="156"/>
    </row>
    <row r="21" spans="1:8" x14ac:dyDescent="0.2">
      <c r="A21" s="126">
        <v>15</v>
      </c>
      <c r="B21" s="127" t="s">
        <v>645</v>
      </c>
      <c r="C21" s="127" t="s">
        <v>646</v>
      </c>
      <c r="D21" s="127" t="s">
        <v>169</v>
      </c>
      <c r="E21" s="128">
        <v>133000</v>
      </c>
      <c r="F21" s="129">
        <v>1456.9485</v>
      </c>
      <c r="G21" s="130">
        <v>1.4501174E-2</v>
      </c>
      <c r="H21" s="156"/>
    </row>
    <row r="22" spans="1:8" x14ac:dyDescent="0.2">
      <c r="A22" s="126">
        <v>16</v>
      </c>
      <c r="B22" s="127" t="s">
        <v>36</v>
      </c>
      <c r="C22" s="127" t="s">
        <v>37</v>
      </c>
      <c r="D22" s="127" t="s">
        <v>972</v>
      </c>
      <c r="E22" s="128">
        <v>18750</v>
      </c>
      <c r="F22" s="129">
        <v>1270.5</v>
      </c>
      <c r="G22" s="130">
        <v>1.2645431E-2</v>
      </c>
      <c r="H22" s="156"/>
    </row>
    <row r="23" spans="1:8" x14ac:dyDescent="0.2">
      <c r="A23" s="126">
        <v>17</v>
      </c>
      <c r="B23" s="127" t="s">
        <v>428</v>
      </c>
      <c r="C23" s="127" t="s">
        <v>429</v>
      </c>
      <c r="D23" s="127" t="s">
        <v>191</v>
      </c>
      <c r="E23" s="128">
        <v>366935</v>
      </c>
      <c r="F23" s="129">
        <v>1256.018505</v>
      </c>
      <c r="G23" s="130">
        <v>1.2501295000000001E-2</v>
      </c>
      <c r="H23" s="156"/>
    </row>
    <row r="24" spans="1:8" x14ac:dyDescent="0.2">
      <c r="A24" s="126">
        <v>18</v>
      </c>
      <c r="B24" s="127" t="s">
        <v>26</v>
      </c>
      <c r="C24" s="127" t="s">
        <v>27</v>
      </c>
      <c r="D24" s="127" t="s">
        <v>28</v>
      </c>
      <c r="E24" s="128">
        <v>100000</v>
      </c>
      <c r="F24" s="129">
        <v>1241.95</v>
      </c>
      <c r="G24" s="130">
        <v>1.2361270000000001E-2</v>
      </c>
      <c r="H24" s="156"/>
    </row>
    <row r="25" spans="1:8" x14ac:dyDescent="0.2">
      <c r="A25" s="126">
        <v>19</v>
      </c>
      <c r="B25" s="127" t="s">
        <v>153</v>
      </c>
      <c r="C25" s="127" t="s">
        <v>154</v>
      </c>
      <c r="D25" s="127" t="s">
        <v>155</v>
      </c>
      <c r="E25" s="128">
        <v>31600</v>
      </c>
      <c r="F25" s="129">
        <v>1184.7629999999999</v>
      </c>
      <c r="G25" s="130">
        <v>1.1792080999999999E-2</v>
      </c>
      <c r="H25" s="156"/>
    </row>
    <row r="26" spans="1:8" x14ac:dyDescent="0.2">
      <c r="A26" s="126">
        <v>20</v>
      </c>
      <c r="B26" s="127" t="s">
        <v>623</v>
      </c>
      <c r="C26" s="127" t="s">
        <v>624</v>
      </c>
      <c r="D26" s="127" t="s">
        <v>155</v>
      </c>
      <c r="E26" s="128">
        <v>53500</v>
      </c>
      <c r="F26" s="129">
        <v>1152.3632500000001</v>
      </c>
      <c r="G26" s="130">
        <v>1.1469603E-2</v>
      </c>
      <c r="H26" s="156"/>
    </row>
    <row r="27" spans="1:8" x14ac:dyDescent="0.2">
      <c r="A27" s="126">
        <v>21</v>
      </c>
      <c r="B27" s="127" t="s">
        <v>52</v>
      </c>
      <c r="C27" s="127" t="s">
        <v>53</v>
      </c>
      <c r="D27" s="127" t="s">
        <v>54</v>
      </c>
      <c r="E27" s="128">
        <v>798000</v>
      </c>
      <c r="F27" s="129">
        <v>1042.1880000000001</v>
      </c>
      <c r="G27" s="130">
        <v>1.0373016000000001E-2</v>
      </c>
      <c r="H27" s="156"/>
    </row>
    <row r="28" spans="1:8" x14ac:dyDescent="0.2">
      <c r="A28" s="126">
        <v>22</v>
      </c>
      <c r="B28" s="127" t="s">
        <v>297</v>
      </c>
      <c r="C28" s="127" t="s">
        <v>298</v>
      </c>
      <c r="D28" s="127" t="s">
        <v>971</v>
      </c>
      <c r="E28" s="128">
        <v>96000</v>
      </c>
      <c r="F28" s="129">
        <v>1017.984</v>
      </c>
      <c r="G28" s="130">
        <v>1.0132110999999999E-2</v>
      </c>
      <c r="H28" s="156"/>
    </row>
    <row r="29" spans="1:8" x14ac:dyDescent="0.2">
      <c r="A29" s="126">
        <v>23</v>
      </c>
      <c r="B29" s="127" t="s">
        <v>406</v>
      </c>
      <c r="C29" s="127" t="s">
        <v>407</v>
      </c>
      <c r="D29" s="127" t="s">
        <v>73</v>
      </c>
      <c r="E29" s="128">
        <v>40400</v>
      </c>
      <c r="F29" s="129">
        <v>998.40520000000004</v>
      </c>
      <c r="G29" s="130">
        <v>9.9372409999999994E-3</v>
      </c>
      <c r="H29" s="156"/>
    </row>
    <row r="30" spans="1:8" x14ac:dyDescent="0.2">
      <c r="A30" s="126">
        <v>24</v>
      </c>
      <c r="B30" s="127" t="s">
        <v>579</v>
      </c>
      <c r="C30" s="127" t="s">
        <v>580</v>
      </c>
      <c r="D30" s="127" t="s">
        <v>92</v>
      </c>
      <c r="E30" s="128">
        <v>23750</v>
      </c>
      <c r="F30" s="129">
        <v>981.78937499999995</v>
      </c>
      <c r="G30" s="130">
        <v>9.7718609999999997E-3</v>
      </c>
      <c r="H30" s="156"/>
    </row>
    <row r="31" spans="1:8" x14ac:dyDescent="0.2">
      <c r="A31" s="126">
        <v>25</v>
      </c>
      <c r="B31" s="127" t="s">
        <v>12</v>
      </c>
      <c r="C31" s="127" t="s">
        <v>13</v>
      </c>
      <c r="D31" s="127" t="s">
        <v>14</v>
      </c>
      <c r="E31" s="128">
        <v>62500</v>
      </c>
      <c r="F31" s="129">
        <v>937.84375</v>
      </c>
      <c r="G31" s="130">
        <v>9.3344659999999996E-3</v>
      </c>
      <c r="H31" s="156"/>
    </row>
    <row r="32" spans="1:8" x14ac:dyDescent="0.2">
      <c r="A32" s="126">
        <v>26</v>
      </c>
      <c r="B32" s="127" t="s">
        <v>57</v>
      </c>
      <c r="C32" s="127" t="s">
        <v>58</v>
      </c>
      <c r="D32" s="127" t="s">
        <v>17</v>
      </c>
      <c r="E32" s="128">
        <v>195000</v>
      </c>
      <c r="F32" s="129">
        <v>912.79499999999996</v>
      </c>
      <c r="G32" s="130">
        <v>9.0851530000000003E-3</v>
      </c>
      <c r="H32" s="156"/>
    </row>
    <row r="33" spans="1:8" x14ac:dyDescent="0.2">
      <c r="A33" s="126">
        <v>27</v>
      </c>
      <c r="B33" s="127" t="s">
        <v>311</v>
      </c>
      <c r="C33" s="127" t="s">
        <v>312</v>
      </c>
      <c r="D33" s="127" t="s">
        <v>261</v>
      </c>
      <c r="E33" s="128">
        <v>30000</v>
      </c>
      <c r="F33" s="129">
        <v>873.12</v>
      </c>
      <c r="G33" s="130">
        <v>8.6902630000000002E-3</v>
      </c>
      <c r="H33" s="156"/>
    </row>
    <row r="34" spans="1:8" x14ac:dyDescent="0.2">
      <c r="A34" s="126">
        <v>28</v>
      </c>
      <c r="B34" s="127" t="s">
        <v>426</v>
      </c>
      <c r="C34" s="127" t="s">
        <v>427</v>
      </c>
      <c r="D34" s="127" t="s">
        <v>22</v>
      </c>
      <c r="E34" s="128">
        <v>48100</v>
      </c>
      <c r="F34" s="129">
        <v>820.51385000000005</v>
      </c>
      <c r="G34" s="130">
        <v>8.1666680000000002E-3</v>
      </c>
      <c r="H34" s="156"/>
    </row>
    <row r="35" spans="1:8" x14ac:dyDescent="0.2">
      <c r="A35" s="126">
        <v>29</v>
      </c>
      <c r="B35" s="127" t="s">
        <v>97</v>
      </c>
      <c r="C35" s="127" t="s">
        <v>98</v>
      </c>
      <c r="D35" s="127" t="s">
        <v>28</v>
      </c>
      <c r="E35" s="128">
        <v>14050</v>
      </c>
      <c r="F35" s="129">
        <v>791.63319999999999</v>
      </c>
      <c r="G35" s="130">
        <v>7.8792150000000002E-3</v>
      </c>
      <c r="H35" s="156"/>
    </row>
    <row r="36" spans="1:8" x14ac:dyDescent="0.2">
      <c r="A36" s="126">
        <v>30</v>
      </c>
      <c r="B36" s="127" t="s">
        <v>416</v>
      </c>
      <c r="C36" s="127" t="s">
        <v>417</v>
      </c>
      <c r="D36" s="127" t="s">
        <v>92</v>
      </c>
      <c r="E36" s="128">
        <v>100000</v>
      </c>
      <c r="F36" s="129">
        <v>777.7</v>
      </c>
      <c r="G36" s="130">
        <v>7.7405369999999996E-3</v>
      </c>
      <c r="H36" s="156"/>
    </row>
    <row r="37" spans="1:8" x14ac:dyDescent="0.2">
      <c r="A37" s="126">
        <v>31</v>
      </c>
      <c r="B37" s="127" t="s">
        <v>368</v>
      </c>
      <c r="C37" s="127" t="s">
        <v>369</v>
      </c>
      <c r="D37" s="127" t="s">
        <v>169</v>
      </c>
      <c r="E37" s="128">
        <v>77000</v>
      </c>
      <c r="F37" s="129">
        <v>757.29499999999996</v>
      </c>
      <c r="G37" s="130">
        <v>7.5374429999999996E-3</v>
      </c>
      <c r="H37" s="156"/>
    </row>
    <row r="38" spans="1:8" x14ac:dyDescent="0.2">
      <c r="A38" s="126">
        <v>32</v>
      </c>
      <c r="B38" s="127" t="s">
        <v>366</v>
      </c>
      <c r="C38" s="127" t="s">
        <v>367</v>
      </c>
      <c r="D38" s="127" t="s">
        <v>63</v>
      </c>
      <c r="E38" s="128">
        <v>963757</v>
      </c>
      <c r="F38" s="129">
        <v>754.13985249999996</v>
      </c>
      <c r="G38" s="130">
        <v>7.5060400000000003E-3</v>
      </c>
      <c r="H38" s="156"/>
    </row>
    <row r="39" spans="1:8" x14ac:dyDescent="0.2">
      <c r="A39" s="126">
        <v>33</v>
      </c>
      <c r="B39" s="127" t="s">
        <v>208</v>
      </c>
      <c r="C39" s="127" t="s">
        <v>209</v>
      </c>
      <c r="D39" s="127" t="s">
        <v>976</v>
      </c>
      <c r="E39" s="128">
        <v>90000</v>
      </c>
      <c r="F39" s="129">
        <v>736.15499999999997</v>
      </c>
      <c r="G39" s="130">
        <v>7.327035E-3</v>
      </c>
      <c r="H39" s="156"/>
    </row>
    <row r="40" spans="1:8" x14ac:dyDescent="0.2">
      <c r="A40" s="126">
        <v>34</v>
      </c>
      <c r="B40" s="127" t="s">
        <v>404</v>
      </c>
      <c r="C40" s="127" t="s">
        <v>405</v>
      </c>
      <c r="D40" s="127" t="s">
        <v>971</v>
      </c>
      <c r="E40" s="128">
        <v>72500</v>
      </c>
      <c r="F40" s="129">
        <v>730.90875000000005</v>
      </c>
      <c r="G40" s="130">
        <v>7.2748179999999997E-3</v>
      </c>
      <c r="H40" s="156"/>
    </row>
    <row r="41" spans="1:8" x14ac:dyDescent="0.2">
      <c r="A41" s="126">
        <v>35</v>
      </c>
      <c r="B41" s="127" t="s">
        <v>321</v>
      </c>
      <c r="C41" s="127" t="s">
        <v>322</v>
      </c>
      <c r="D41" s="127" t="s">
        <v>63</v>
      </c>
      <c r="E41" s="128">
        <v>159000</v>
      </c>
      <c r="F41" s="129">
        <v>691.01400000000001</v>
      </c>
      <c r="G41" s="130">
        <v>6.8777409999999997E-3</v>
      </c>
      <c r="H41" s="156"/>
    </row>
    <row r="42" spans="1:8" x14ac:dyDescent="0.2">
      <c r="A42" s="126">
        <v>36</v>
      </c>
      <c r="B42" s="127" t="s">
        <v>588</v>
      </c>
      <c r="C42" s="127" t="s">
        <v>589</v>
      </c>
      <c r="D42" s="127" t="s">
        <v>971</v>
      </c>
      <c r="E42" s="128">
        <v>100100</v>
      </c>
      <c r="F42" s="129">
        <v>686.98630000000003</v>
      </c>
      <c r="G42" s="130">
        <v>6.837653E-3</v>
      </c>
      <c r="H42" s="156"/>
    </row>
    <row r="43" spans="1:8" x14ac:dyDescent="0.2">
      <c r="A43" s="126">
        <v>37</v>
      </c>
      <c r="B43" s="127" t="s">
        <v>414</v>
      </c>
      <c r="C43" s="127" t="s">
        <v>415</v>
      </c>
      <c r="D43" s="127" t="s">
        <v>54</v>
      </c>
      <c r="E43" s="128">
        <v>54050</v>
      </c>
      <c r="F43" s="129">
        <v>630.54729999999995</v>
      </c>
      <c r="G43" s="130">
        <v>6.2759089999999997E-3</v>
      </c>
      <c r="H43" s="156"/>
    </row>
    <row r="44" spans="1:8" x14ac:dyDescent="0.2">
      <c r="A44" s="126">
        <v>38</v>
      </c>
      <c r="B44" s="127" t="s">
        <v>339</v>
      </c>
      <c r="C44" s="127" t="s">
        <v>340</v>
      </c>
      <c r="D44" s="127" t="s">
        <v>68</v>
      </c>
      <c r="E44" s="128">
        <v>89000</v>
      </c>
      <c r="F44" s="129">
        <v>621.53150000000005</v>
      </c>
      <c r="G44" s="130">
        <v>6.186174E-3</v>
      </c>
      <c r="H44" s="156"/>
    </row>
    <row r="45" spans="1:8" x14ac:dyDescent="0.2">
      <c r="A45" s="126">
        <v>39</v>
      </c>
      <c r="B45" s="127" t="s">
        <v>319</v>
      </c>
      <c r="C45" s="127" t="s">
        <v>320</v>
      </c>
      <c r="D45" s="127" t="s">
        <v>73</v>
      </c>
      <c r="E45" s="128">
        <v>82500</v>
      </c>
      <c r="F45" s="129">
        <v>601.91999999999996</v>
      </c>
      <c r="G45" s="130">
        <v>5.9909780000000001E-3</v>
      </c>
      <c r="H45" s="156"/>
    </row>
    <row r="46" spans="1:8" x14ac:dyDescent="0.2">
      <c r="A46" s="126">
        <v>40</v>
      </c>
      <c r="B46" s="127" t="s">
        <v>76</v>
      </c>
      <c r="C46" s="127" t="s">
        <v>77</v>
      </c>
      <c r="D46" s="127" t="s">
        <v>78</v>
      </c>
      <c r="E46" s="128">
        <v>400000</v>
      </c>
      <c r="F46" s="129">
        <v>598.6</v>
      </c>
      <c r="G46" s="130">
        <v>5.9579339999999998E-3</v>
      </c>
      <c r="H46" s="156"/>
    </row>
    <row r="47" spans="1:8" x14ac:dyDescent="0.2">
      <c r="A47" s="126">
        <v>41</v>
      </c>
      <c r="B47" s="127" t="s">
        <v>394</v>
      </c>
      <c r="C47" s="6" t="s">
        <v>1015</v>
      </c>
      <c r="D47" s="6" t="s">
        <v>345</v>
      </c>
      <c r="E47" s="128">
        <v>312750</v>
      </c>
      <c r="F47" s="129">
        <v>579.52575000000002</v>
      </c>
      <c r="G47" s="130">
        <v>5.7680860000000004E-3</v>
      </c>
      <c r="H47" s="156"/>
    </row>
    <row r="48" spans="1:8" x14ac:dyDescent="0.2">
      <c r="A48" s="126">
        <v>42</v>
      </c>
      <c r="B48" s="127" t="s">
        <v>309</v>
      </c>
      <c r="C48" s="127" t="s">
        <v>310</v>
      </c>
      <c r="D48" s="127" t="s">
        <v>63</v>
      </c>
      <c r="E48" s="128">
        <v>56000</v>
      </c>
      <c r="F48" s="129">
        <v>572.572</v>
      </c>
      <c r="G48" s="130">
        <v>5.6988739999999996E-3</v>
      </c>
      <c r="H48" s="156"/>
    </row>
    <row r="49" spans="1:8" x14ac:dyDescent="0.2">
      <c r="A49" s="126">
        <v>43</v>
      </c>
      <c r="B49" s="127" t="s">
        <v>346</v>
      </c>
      <c r="C49" s="127" t="s">
        <v>347</v>
      </c>
      <c r="D49" s="127" t="s">
        <v>22</v>
      </c>
      <c r="E49" s="128">
        <v>640000</v>
      </c>
      <c r="F49" s="129">
        <v>549.76</v>
      </c>
      <c r="G49" s="130">
        <v>5.4718240000000001E-3</v>
      </c>
      <c r="H49" s="156"/>
    </row>
    <row r="50" spans="1:8" x14ac:dyDescent="0.2">
      <c r="A50" s="126">
        <v>44</v>
      </c>
      <c r="B50" s="127" t="s">
        <v>185</v>
      </c>
      <c r="C50" s="127" t="s">
        <v>186</v>
      </c>
      <c r="D50" s="127" t="s">
        <v>172</v>
      </c>
      <c r="E50" s="128">
        <v>225000</v>
      </c>
      <c r="F50" s="129">
        <v>504</v>
      </c>
      <c r="G50" s="130">
        <v>5.0163689999999997E-3</v>
      </c>
      <c r="H50" s="156"/>
    </row>
    <row r="51" spans="1:8" x14ac:dyDescent="0.2">
      <c r="A51" s="126">
        <v>45</v>
      </c>
      <c r="B51" s="127" t="s">
        <v>378</v>
      </c>
      <c r="C51" s="127" t="s">
        <v>379</v>
      </c>
      <c r="D51" s="127" t="s">
        <v>73</v>
      </c>
      <c r="E51" s="128">
        <v>65000</v>
      </c>
      <c r="F51" s="129">
        <v>490.36</v>
      </c>
      <c r="G51" s="130">
        <v>4.8806090000000002E-3</v>
      </c>
      <c r="H51" s="156"/>
    </row>
    <row r="52" spans="1:8" x14ac:dyDescent="0.2">
      <c r="A52" s="126">
        <v>46</v>
      </c>
      <c r="B52" s="127" t="s">
        <v>18</v>
      </c>
      <c r="C52" s="127" t="s">
        <v>19</v>
      </c>
      <c r="D52" s="127" t="s">
        <v>972</v>
      </c>
      <c r="E52" s="128">
        <v>47500</v>
      </c>
      <c r="F52" s="129">
        <v>487.23124999999999</v>
      </c>
      <c r="G52" s="130">
        <v>4.849468E-3</v>
      </c>
      <c r="H52" s="156"/>
    </row>
    <row r="53" spans="1:8" x14ac:dyDescent="0.2">
      <c r="A53" s="126">
        <v>47</v>
      </c>
      <c r="B53" s="127" t="s">
        <v>362</v>
      </c>
      <c r="C53" s="127" t="s">
        <v>363</v>
      </c>
      <c r="D53" s="127" t="s">
        <v>166</v>
      </c>
      <c r="E53" s="128">
        <v>36000</v>
      </c>
      <c r="F53" s="129">
        <v>483.35399999999998</v>
      </c>
      <c r="G53" s="130">
        <v>4.8108769999999999E-3</v>
      </c>
      <c r="H53" s="156"/>
    </row>
    <row r="54" spans="1:8" x14ac:dyDescent="0.2">
      <c r="A54" s="126">
        <v>48</v>
      </c>
      <c r="B54" s="127" t="s">
        <v>335</v>
      </c>
      <c r="C54" s="127" t="s">
        <v>336</v>
      </c>
      <c r="D54" s="127" t="s">
        <v>196</v>
      </c>
      <c r="E54" s="128">
        <v>14000</v>
      </c>
      <c r="F54" s="129">
        <v>479.40199999999999</v>
      </c>
      <c r="G54" s="130">
        <v>4.7715429999999996E-3</v>
      </c>
      <c r="H54" s="156"/>
    </row>
    <row r="55" spans="1:8" x14ac:dyDescent="0.2">
      <c r="A55" s="126">
        <v>49</v>
      </c>
      <c r="B55" s="127" t="s">
        <v>386</v>
      </c>
      <c r="C55" s="127" t="s">
        <v>387</v>
      </c>
      <c r="D55" s="127" t="s">
        <v>971</v>
      </c>
      <c r="E55" s="128">
        <v>3750</v>
      </c>
      <c r="F55" s="129">
        <v>454.08937500000002</v>
      </c>
      <c r="G55" s="130">
        <v>4.5196029999999996E-3</v>
      </c>
      <c r="H55" s="156"/>
    </row>
    <row r="56" spans="1:8" x14ac:dyDescent="0.2">
      <c r="A56" s="126">
        <v>50</v>
      </c>
      <c r="B56" s="127" t="s">
        <v>418</v>
      </c>
      <c r="C56" s="127" t="s">
        <v>419</v>
      </c>
      <c r="D56" s="127" t="s">
        <v>196</v>
      </c>
      <c r="E56" s="128">
        <v>10200</v>
      </c>
      <c r="F56" s="129">
        <v>449.64150000000001</v>
      </c>
      <c r="G56" s="130">
        <v>4.4753329999999997E-3</v>
      </c>
      <c r="H56" s="156"/>
    </row>
    <row r="57" spans="1:8" x14ac:dyDescent="0.2">
      <c r="A57" s="126">
        <v>51</v>
      </c>
      <c r="B57" s="127" t="s">
        <v>629</v>
      </c>
      <c r="C57" s="127" t="s">
        <v>630</v>
      </c>
      <c r="D57" s="127" t="s">
        <v>22</v>
      </c>
      <c r="E57" s="128">
        <v>992000</v>
      </c>
      <c r="F57" s="129">
        <v>419.61599999999999</v>
      </c>
      <c r="G57" s="130">
        <v>4.1764860000000001E-3</v>
      </c>
      <c r="H57" s="156"/>
    </row>
    <row r="58" spans="1:8" x14ac:dyDescent="0.2">
      <c r="A58" s="126">
        <v>52</v>
      </c>
      <c r="B58" s="127" t="s">
        <v>333</v>
      </c>
      <c r="C58" s="127" t="s">
        <v>334</v>
      </c>
      <c r="D58" s="127" t="s">
        <v>54</v>
      </c>
      <c r="E58" s="128">
        <v>100000</v>
      </c>
      <c r="F58" s="129">
        <v>397.45</v>
      </c>
      <c r="G58" s="130">
        <v>3.9558650000000002E-3</v>
      </c>
      <c r="H58" s="156"/>
    </row>
    <row r="59" spans="1:8" x14ac:dyDescent="0.2">
      <c r="A59" s="126">
        <v>53</v>
      </c>
      <c r="B59" s="127" t="s">
        <v>422</v>
      </c>
      <c r="C59" s="127" t="s">
        <v>423</v>
      </c>
      <c r="D59" s="127" t="s">
        <v>73</v>
      </c>
      <c r="E59" s="128">
        <v>186400</v>
      </c>
      <c r="F59" s="129">
        <v>377.83280000000002</v>
      </c>
      <c r="G59" s="130">
        <v>3.7606129999999999E-3</v>
      </c>
      <c r="H59" s="156"/>
    </row>
    <row r="60" spans="1:8" x14ac:dyDescent="0.2">
      <c r="A60" s="126">
        <v>54</v>
      </c>
      <c r="B60" s="127" t="s">
        <v>573</v>
      </c>
      <c r="C60" s="127" t="s">
        <v>574</v>
      </c>
      <c r="D60" s="127" t="s">
        <v>63</v>
      </c>
      <c r="E60" s="128">
        <v>30000</v>
      </c>
      <c r="F60" s="129">
        <v>366.69</v>
      </c>
      <c r="G60" s="130">
        <v>3.6497069999999999E-3</v>
      </c>
      <c r="H60" s="156"/>
    </row>
    <row r="61" spans="1:8" x14ac:dyDescent="0.2">
      <c r="A61" s="126">
        <v>55</v>
      </c>
      <c r="B61" s="127" t="s">
        <v>498</v>
      </c>
      <c r="C61" s="127" t="s">
        <v>499</v>
      </c>
      <c r="D61" s="127" t="s">
        <v>92</v>
      </c>
      <c r="E61" s="128">
        <v>107000</v>
      </c>
      <c r="F61" s="129">
        <v>363.37200000000001</v>
      </c>
      <c r="G61" s="130">
        <v>3.6166829999999999E-3</v>
      </c>
      <c r="H61" s="156"/>
    </row>
    <row r="62" spans="1:8" x14ac:dyDescent="0.2">
      <c r="A62" s="126">
        <v>56</v>
      </c>
      <c r="B62" s="127" t="s">
        <v>354</v>
      </c>
      <c r="C62" s="127" t="s">
        <v>355</v>
      </c>
      <c r="D62" s="127" t="s">
        <v>236</v>
      </c>
      <c r="E62" s="128">
        <v>40000</v>
      </c>
      <c r="F62" s="129">
        <v>360.36</v>
      </c>
      <c r="G62" s="130">
        <v>3.586704E-3</v>
      </c>
      <c r="H62" s="156"/>
    </row>
    <row r="63" spans="1:8" x14ac:dyDescent="0.2">
      <c r="A63" s="126">
        <v>57</v>
      </c>
      <c r="B63" s="127" t="s">
        <v>412</v>
      </c>
      <c r="C63" s="127" t="s">
        <v>413</v>
      </c>
      <c r="D63" s="127" t="s">
        <v>196</v>
      </c>
      <c r="E63" s="128">
        <v>52000</v>
      </c>
      <c r="F63" s="129">
        <v>351.23399999999998</v>
      </c>
      <c r="G63" s="130">
        <v>3.4958720000000001E-3</v>
      </c>
      <c r="H63" s="156"/>
    </row>
    <row r="64" spans="1:8" x14ac:dyDescent="0.2">
      <c r="A64" s="126">
        <v>58</v>
      </c>
      <c r="B64" s="127" t="s">
        <v>437</v>
      </c>
      <c r="C64" s="127" t="s">
        <v>438</v>
      </c>
      <c r="D64" s="127" t="s">
        <v>196</v>
      </c>
      <c r="E64" s="128">
        <v>35500</v>
      </c>
      <c r="F64" s="129">
        <v>345.02449999999999</v>
      </c>
      <c r="G64" s="130">
        <v>3.4340680000000002E-3</v>
      </c>
      <c r="H64" s="156"/>
    </row>
    <row r="65" spans="1:8" x14ac:dyDescent="0.2">
      <c r="A65" s="126">
        <v>59</v>
      </c>
      <c r="B65" s="127" t="s">
        <v>364</v>
      </c>
      <c r="C65" s="127" t="s">
        <v>365</v>
      </c>
      <c r="D65" s="127" t="s">
        <v>63</v>
      </c>
      <c r="E65" s="128">
        <v>15400</v>
      </c>
      <c r="F65" s="129">
        <v>344.267</v>
      </c>
      <c r="G65" s="130">
        <v>3.4265290000000002E-3</v>
      </c>
      <c r="H65" s="156"/>
    </row>
    <row r="66" spans="1:8" x14ac:dyDescent="0.2">
      <c r="A66" s="126">
        <v>60</v>
      </c>
      <c r="B66" s="127" t="s">
        <v>430</v>
      </c>
      <c r="C66" s="127" t="s">
        <v>431</v>
      </c>
      <c r="D66" s="127" t="s">
        <v>432</v>
      </c>
      <c r="E66" s="128">
        <v>90000</v>
      </c>
      <c r="F66" s="129">
        <v>334.84500000000003</v>
      </c>
      <c r="G66" s="130">
        <v>3.3327500000000002E-3</v>
      </c>
      <c r="H66" s="156"/>
    </row>
    <row r="67" spans="1:8" x14ac:dyDescent="0.2">
      <c r="A67" s="126">
        <v>61</v>
      </c>
      <c r="B67" s="127" t="s">
        <v>216</v>
      </c>
      <c r="C67" s="127" t="s">
        <v>217</v>
      </c>
      <c r="D67" s="127" t="s">
        <v>54</v>
      </c>
      <c r="E67" s="128">
        <v>28300</v>
      </c>
      <c r="F67" s="129">
        <v>314.48374999999999</v>
      </c>
      <c r="G67" s="130">
        <v>3.130093E-3</v>
      </c>
      <c r="H67" s="156"/>
    </row>
    <row r="68" spans="1:8" x14ac:dyDescent="0.2">
      <c r="A68" s="126">
        <v>62</v>
      </c>
      <c r="B68" s="127" t="s">
        <v>420</v>
      </c>
      <c r="C68" s="127" t="s">
        <v>421</v>
      </c>
      <c r="D68" s="127" t="s">
        <v>971</v>
      </c>
      <c r="E68" s="128">
        <v>19000</v>
      </c>
      <c r="F68" s="129">
        <v>297.73</v>
      </c>
      <c r="G68" s="130">
        <v>2.963341E-3</v>
      </c>
      <c r="H68" s="156"/>
    </row>
    <row r="69" spans="1:8" x14ac:dyDescent="0.2">
      <c r="A69" s="126">
        <v>63</v>
      </c>
      <c r="B69" s="127" t="s">
        <v>266</v>
      </c>
      <c r="C69" s="127" t="s">
        <v>267</v>
      </c>
      <c r="D69" s="127" t="s">
        <v>191</v>
      </c>
      <c r="E69" s="128">
        <v>41000</v>
      </c>
      <c r="F69" s="129">
        <v>263.17899999999997</v>
      </c>
      <c r="G69" s="130">
        <v>2.6194510000000001E-3</v>
      </c>
      <c r="H69" s="156"/>
    </row>
    <row r="70" spans="1:8" x14ac:dyDescent="0.2">
      <c r="A70" s="126">
        <v>64</v>
      </c>
      <c r="B70" s="127" t="s">
        <v>424</v>
      </c>
      <c r="C70" s="127" t="s">
        <v>425</v>
      </c>
      <c r="D70" s="127" t="s">
        <v>166</v>
      </c>
      <c r="E70" s="128">
        <v>22500</v>
      </c>
      <c r="F70" s="129">
        <v>261.97874999999999</v>
      </c>
      <c r="G70" s="130">
        <v>2.6075040000000001E-3</v>
      </c>
      <c r="H70" s="156"/>
    </row>
    <row r="71" spans="1:8" x14ac:dyDescent="0.2">
      <c r="A71" s="126">
        <v>65</v>
      </c>
      <c r="B71" s="127" t="s">
        <v>93</v>
      </c>
      <c r="C71" s="127" t="s">
        <v>94</v>
      </c>
      <c r="D71" s="127" t="s">
        <v>68</v>
      </c>
      <c r="E71" s="128">
        <v>30000</v>
      </c>
      <c r="F71" s="129">
        <v>211.11</v>
      </c>
      <c r="G71" s="130">
        <v>2.1012019999999999E-3</v>
      </c>
      <c r="H71" s="156"/>
    </row>
    <row r="72" spans="1:8" x14ac:dyDescent="0.2">
      <c r="A72" s="126">
        <v>66</v>
      </c>
      <c r="B72" s="127" t="s">
        <v>635</v>
      </c>
      <c r="C72" s="127" t="s">
        <v>636</v>
      </c>
      <c r="D72" s="127" t="s">
        <v>432</v>
      </c>
      <c r="E72" s="128">
        <v>52700</v>
      </c>
      <c r="F72" s="129">
        <v>138.52195</v>
      </c>
      <c r="G72" s="130">
        <v>1.3787249999999999E-3</v>
      </c>
      <c r="H72" s="156"/>
    </row>
    <row r="73" spans="1:8" x14ac:dyDescent="0.2">
      <c r="A73" s="124" t="s">
        <v>9</v>
      </c>
      <c r="B73" s="124" t="s">
        <v>9</v>
      </c>
      <c r="C73" s="125" t="s">
        <v>105</v>
      </c>
      <c r="D73" s="124" t="s">
        <v>9</v>
      </c>
      <c r="E73" s="124" t="s">
        <v>9</v>
      </c>
      <c r="F73" s="131">
        <v>72653.494934499991</v>
      </c>
      <c r="G73" s="132">
        <v>0.72312850900000014</v>
      </c>
      <c r="H73" s="156"/>
    </row>
    <row r="74" spans="1:8" x14ac:dyDescent="0.2">
      <c r="A74" s="124" t="s">
        <v>9</v>
      </c>
      <c r="B74" s="124" t="s">
        <v>9</v>
      </c>
      <c r="C74" s="133" t="s">
        <v>9</v>
      </c>
      <c r="D74" s="124" t="s">
        <v>9</v>
      </c>
      <c r="E74" s="124" t="s">
        <v>9</v>
      </c>
      <c r="F74" s="134" t="s">
        <v>9</v>
      </c>
      <c r="G74" s="134" t="s">
        <v>9</v>
      </c>
      <c r="H74" s="156"/>
    </row>
    <row r="75" spans="1:8" x14ac:dyDescent="0.2">
      <c r="A75" s="124" t="s">
        <v>9</v>
      </c>
      <c r="B75" s="124" t="s">
        <v>9</v>
      </c>
      <c r="C75" s="125" t="s">
        <v>106</v>
      </c>
      <c r="D75" s="124" t="s">
        <v>9</v>
      </c>
      <c r="E75" s="124" t="s">
        <v>9</v>
      </c>
      <c r="F75" s="124" t="s">
        <v>9</v>
      </c>
      <c r="G75" s="124" t="s">
        <v>9</v>
      </c>
      <c r="H75" s="156"/>
    </row>
    <row r="76" spans="1:8" x14ac:dyDescent="0.2">
      <c r="A76" s="124" t="s">
        <v>9</v>
      </c>
      <c r="B76" s="124" t="s">
        <v>9</v>
      </c>
      <c r="C76" s="125" t="s">
        <v>105</v>
      </c>
      <c r="D76" s="124" t="s">
        <v>9</v>
      </c>
      <c r="E76" s="124" t="s">
        <v>9</v>
      </c>
      <c r="F76" s="135">
        <v>0</v>
      </c>
      <c r="G76" s="136">
        <v>0</v>
      </c>
      <c r="H76" s="156"/>
    </row>
    <row r="77" spans="1:8" x14ac:dyDescent="0.2">
      <c r="A77" s="124" t="s">
        <v>9</v>
      </c>
      <c r="B77" s="124" t="s">
        <v>9</v>
      </c>
      <c r="C77" s="133" t="s">
        <v>9</v>
      </c>
      <c r="D77" s="124" t="s">
        <v>9</v>
      </c>
      <c r="E77" s="124" t="s">
        <v>9</v>
      </c>
      <c r="F77" s="134" t="s">
        <v>9</v>
      </c>
      <c r="G77" s="134" t="s">
        <v>9</v>
      </c>
      <c r="H77" s="156"/>
    </row>
    <row r="78" spans="1:8" x14ac:dyDescent="0.2">
      <c r="A78" s="124" t="s">
        <v>9</v>
      </c>
      <c r="B78" s="124" t="s">
        <v>9</v>
      </c>
      <c r="C78" s="125" t="s">
        <v>107</v>
      </c>
      <c r="D78" s="124" t="s">
        <v>9</v>
      </c>
      <c r="E78" s="124" t="s">
        <v>9</v>
      </c>
      <c r="F78" s="124" t="s">
        <v>9</v>
      </c>
      <c r="G78" s="124" t="s">
        <v>9</v>
      </c>
      <c r="H78" s="156"/>
    </row>
    <row r="79" spans="1:8" x14ac:dyDescent="0.2">
      <c r="A79" s="124" t="s">
        <v>9</v>
      </c>
      <c r="B79" s="124" t="s">
        <v>9</v>
      </c>
      <c r="C79" s="125" t="s">
        <v>105</v>
      </c>
      <c r="D79" s="124" t="s">
        <v>9</v>
      </c>
      <c r="E79" s="124" t="s">
        <v>9</v>
      </c>
      <c r="F79" s="135">
        <v>0</v>
      </c>
      <c r="G79" s="136">
        <v>0</v>
      </c>
      <c r="H79" s="156"/>
    </row>
    <row r="80" spans="1:8" x14ac:dyDescent="0.2">
      <c r="A80" s="124" t="s">
        <v>9</v>
      </c>
      <c r="B80" s="124" t="s">
        <v>9</v>
      </c>
      <c r="C80" s="133" t="s">
        <v>9</v>
      </c>
      <c r="D80" s="124" t="s">
        <v>9</v>
      </c>
      <c r="E80" s="124" t="s">
        <v>9</v>
      </c>
      <c r="F80" s="134" t="s">
        <v>9</v>
      </c>
      <c r="G80" s="134" t="s">
        <v>9</v>
      </c>
      <c r="H80" s="156"/>
    </row>
    <row r="81" spans="1:8" x14ac:dyDescent="0.2">
      <c r="A81" s="124" t="s">
        <v>9</v>
      </c>
      <c r="B81" s="124" t="s">
        <v>9</v>
      </c>
      <c r="C81" s="125" t="s">
        <v>111</v>
      </c>
      <c r="D81" s="124" t="s">
        <v>9</v>
      </c>
      <c r="E81" s="124" t="s">
        <v>9</v>
      </c>
      <c r="F81" s="124" t="s">
        <v>9</v>
      </c>
      <c r="G81" s="124" t="s">
        <v>9</v>
      </c>
      <c r="H81" s="156"/>
    </row>
    <row r="82" spans="1:8" x14ac:dyDescent="0.2">
      <c r="A82" s="124" t="s">
        <v>9</v>
      </c>
      <c r="B82" s="124" t="s">
        <v>9</v>
      </c>
      <c r="C82" s="125" t="s">
        <v>105</v>
      </c>
      <c r="D82" s="124" t="s">
        <v>9</v>
      </c>
      <c r="E82" s="124" t="s">
        <v>9</v>
      </c>
      <c r="F82" s="131">
        <v>0</v>
      </c>
      <c r="G82" s="132">
        <v>0</v>
      </c>
      <c r="H82" s="156"/>
    </row>
    <row r="83" spans="1:8" x14ac:dyDescent="0.2">
      <c r="A83" s="124" t="s">
        <v>9</v>
      </c>
      <c r="B83" s="124" t="s">
        <v>9</v>
      </c>
      <c r="C83" s="133" t="s">
        <v>9</v>
      </c>
      <c r="D83" s="124" t="s">
        <v>9</v>
      </c>
      <c r="E83" s="124" t="s">
        <v>9</v>
      </c>
      <c r="F83" s="134" t="s">
        <v>9</v>
      </c>
      <c r="G83" s="134" t="s">
        <v>9</v>
      </c>
      <c r="H83" s="156"/>
    </row>
    <row r="84" spans="1:8" s="175" customFormat="1" ht="15" x14ac:dyDescent="0.2">
      <c r="A84" s="124" t="s">
        <v>9</v>
      </c>
      <c r="B84" s="124" t="s">
        <v>9</v>
      </c>
      <c r="C84" s="125" t="s">
        <v>112</v>
      </c>
      <c r="D84" s="124" t="s">
        <v>9</v>
      </c>
      <c r="E84" s="124" t="s">
        <v>9</v>
      </c>
      <c r="F84" s="134" t="s">
        <v>9</v>
      </c>
      <c r="G84" s="134" t="s">
        <v>9</v>
      </c>
      <c r="H84" s="156"/>
    </row>
    <row r="85" spans="1:8" ht="25.5" x14ac:dyDescent="0.2">
      <c r="A85" s="170">
        <v>1</v>
      </c>
      <c r="B85" s="171" t="s">
        <v>990</v>
      </c>
      <c r="C85" s="171" t="s">
        <v>991</v>
      </c>
      <c r="D85" s="171" t="s">
        <v>166</v>
      </c>
      <c r="E85" s="172">
        <v>2400</v>
      </c>
      <c r="F85" s="173">
        <v>17.072399999999998</v>
      </c>
      <c r="G85" s="174">
        <v>1.6992E-4</v>
      </c>
      <c r="H85" s="156"/>
    </row>
    <row r="86" spans="1:8" x14ac:dyDescent="0.2">
      <c r="A86" s="124" t="s">
        <v>9</v>
      </c>
      <c r="B86" s="124" t="s">
        <v>9</v>
      </c>
      <c r="C86" s="125" t="s">
        <v>105</v>
      </c>
      <c r="D86" s="124" t="s">
        <v>9</v>
      </c>
      <c r="E86" s="124" t="s">
        <v>9</v>
      </c>
      <c r="F86" s="135">
        <v>17.072399999999998</v>
      </c>
      <c r="G86" s="136">
        <v>1.6992E-4</v>
      </c>
      <c r="H86" s="156"/>
    </row>
    <row r="87" spans="1:8" x14ac:dyDescent="0.2">
      <c r="A87" s="124" t="s">
        <v>9</v>
      </c>
      <c r="B87" s="124" t="s">
        <v>9</v>
      </c>
      <c r="C87" s="133" t="s">
        <v>9</v>
      </c>
      <c r="D87" s="124" t="s">
        <v>9</v>
      </c>
      <c r="E87" s="124" t="s">
        <v>9</v>
      </c>
      <c r="F87" s="134" t="s">
        <v>9</v>
      </c>
      <c r="G87" s="134" t="s">
        <v>9</v>
      </c>
      <c r="H87" s="156"/>
    </row>
    <row r="88" spans="1:8" x14ac:dyDescent="0.2">
      <c r="A88" s="124" t="s">
        <v>9</v>
      </c>
      <c r="B88" s="124" t="s">
        <v>9</v>
      </c>
      <c r="C88" s="125" t="s">
        <v>113</v>
      </c>
      <c r="D88" s="124" t="s">
        <v>9</v>
      </c>
      <c r="E88" s="124" t="s">
        <v>9</v>
      </c>
      <c r="F88" s="134" t="s">
        <v>9</v>
      </c>
      <c r="G88" s="134" t="s">
        <v>9</v>
      </c>
      <c r="H88" s="156"/>
    </row>
    <row r="89" spans="1:8" x14ac:dyDescent="0.2">
      <c r="A89" s="126">
        <v>1</v>
      </c>
      <c r="B89" s="127"/>
      <c r="C89" s="6" t="s">
        <v>951</v>
      </c>
      <c r="D89" s="127" t="s">
        <v>705</v>
      </c>
      <c r="E89" s="128">
        <v>-52700</v>
      </c>
      <c r="F89" s="129">
        <v>-139.1807</v>
      </c>
      <c r="G89" s="130">
        <v>-1.3852809999999999E-3</v>
      </c>
      <c r="H89" s="156"/>
    </row>
    <row r="90" spans="1:8" x14ac:dyDescent="0.2">
      <c r="A90" s="126">
        <v>2</v>
      </c>
      <c r="B90" s="127"/>
      <c r="C90" s="6" t="s">
        <v>926</v>
      </c>
      <c r="D90" s="127" t="s">
        <v>705</v>
      </c>
      <c r="E90" s="128">
        <v>-30000</v>
      </c>
      <c r="F90" s="129">
        <v>-212.34</v>
      </c>
      <c r="G90" s="130">
        <v>-2.1134439999999999E-3</v>
      </c>
      <c r="H90" s="156"/>
    </row>
    <row r="91" spans="1:8" x14ac:dyDescent="0.2">
      <c r="A91" s="126">
        <v>3</v>
      </c>
      <c r="B91" s="127"/>
      <c r="C91" s="6" t="s">
        <v>944</v>
      </c>
      <c r="D91" s="127" t="s">
        <v>705</v>
      </c>
      <c r="E91" s="128">
        <v>-992000</v>
      </c>
      <c r="F91" s="129">
        <v>-421.10399999999998</v>
      </c>
      <c r="G91" s="130">
        <v>-4.1912959999999997E-3</v>
      </c>
      <c r="H91" s="156"/>
    </row>
    <row r="92" spans="1:8" x14ac:dyDescent="0.2">
      <c r="A92" s="126">
        <v>4</v>
      </c>
      <c r="B92" s="127"/>
      <c r="C92" s="6" t="s">
        <v>952</v>
      </c>
      <c r="D92" s="127" t="s">
        <v>705</v>
      </c>
      <c r="E92" s="128">
        <v>-11250</v>
      </c>
      <c r="F92" s="129">
        <v>-452.01937500000003</v>
      </c>
      <c r="G92" s="130">
        <v>-4.4990000000000004E-3</v>
      </c>
      <c r="H92" s="156"/>
    </row>
    <row r="93" spans="1:8" x14ac:dyDescent="0.2">
      <c r="A93" s="126">
        <v>5</v>
      </c>
      <c r="B93" s="127"/>
      <c r="C93" s="6" t="s">
        <v>934</v>
      </c>
      <c r="D93" s="127" t="s">
        <v>705</v>
      </c>
      <c r="E93" s="128">
        <v>-68400</v>
      </c>
      <c r="F93" s="129">
        <v>-514.23119999999994</v>
      </c>
      <c r="G93" s="130">
        <v>-5.1182019999999996E-3</v>
      </c>
      <c r="H93" s="156"/>
    </row>
    <row r="94" spans="1:8" x14ac:dyDescent="0.2">
      <c r="A94" s="126">
        <v>6</v>
      </c>
      <c r="B94" s="127"/>
      <c r="C94" s="6" t="s">
        <v>923</v>
      </c>
      <c r="D94" s="127" t="s">
        <v>705</v>
      </c>
      <c r="E94" s="128">
        <v>-100100</v>
      </c>
      <c r="F94" s="129">
        <v>-689.73905000000002</v>
      </c>
      <c r="G94" s="130">
        <v>-6.8650509999999996E-3</v>
      </c>
      <c r="H94" s="156"/>
    </row>
    <row r="95" spans="1:8" x14ac:dyDescent="0.2">
      <c r="A95" s="126">
        <v>7</v>
      </c>
      <c r="B95" s="127"/>
      <c r="C95" s="6" t="s">
        <v>942</v>
      </c>
      <c r="D95" s="127" t="s">
        <v>705</v>
      </c>
      <c r="E95" s="128">
        <v>-92400</v>
      </c>
      <c r="F95" s="129">
        <v>-988.86479999999995</v>
      </c>
      <c r="G95" s="130">
        <v>-9.8422839999999998E-3</v>
      </c>
      <c r="H95" s="156"/>
    </row>
    <row r="96" spans="1:8" x14ac:dyDescent="0.2">
      <c r="A96" s="126">
        <v>8</v>
      </c>
      <c r="B96" s="127"/>
      <c r="C96" s="6" t="s">
        <v>945</v>
      </c>
      <c r="D96" s="127" t="s">
        <v>705</v>
      </c>
      <c r="E96" s="128">
        <v>-798000</v>
      </c>
      <c r="F96" s="129">
        <v>-1043.7840000000001</v>
      </c>
      <c r="G96" s="130">
        <v>-1.0388901000000001E-2</v>
      </c>
      <c r="H96" s="156"/>
    </row>
    <row r="97" spans="1:9" x14ac:dyDescent="0.2">
      <c r="A97" s="126">
        <v>9</v>
      </c>
      <c r="B97" s="127"/>
      <c r="C97" s="6" t="s">
        <v>946</v>
      </c>
      <c r="D97" s="127" t="s">
        <v>705</v>
      </c>
      <c r="E97" s="128">
        <v>-31200</v>
      </c>
      <c r="F97" s="129">
        <v>-1045.6056000000001</v>
      </c>
      <c r="G97" s="130">
        <v>-1.0407032E-2</v>
      </c>
      <c r="H97" s="156"/>
    </row>
    <row r="98" spans="1:9" x14ac:dyDescent="0.2">
      <c r="A98" s="126">
        <v>10</v>
      </c>
      <c r="B98" s="127"/>
      <c r="C98" s="6" t="s">
        <v>947</v>
      </c>
      <c r="D98" s="127" t="s">
        <v>705</v>
      </c>
      <c r="E98" s="128">
        <v>-20000</v>
      </c>
      <c r="F98" s="129">
        <v>-1083.25</v>
      </c>
      <c r="G98" s="130">
        <v>-1.0781710999999999E-2</v>
      </c>
      <c r="H98" s="156"/>
    </row>
    <row r="99" spans="1:9" x14ac:dyDescent="0.2">
      <c r="A99" s="126">
        <v>11</v>
      </c>
      <c r="B99" s="127"/>
      <c r="C99" s="6" t="s">
        <v>948</v>
      </c>
      <c r="D99" s="127" t="s">
        <v>705</v>
      </c>
      <c r="E99" s="128">
        <v>-53500</v>
      </c>
      <c r="F99" s="129">
        <v>-1157.3922500000001</v>
      </c>
      <c r="G99" s="130">
        <v>-1.1519657000000001E-2</v>
      </c>
      <c r="H99" s="156"/>
    </row>
    <row r="100" spans="1:9" x14ac:dyDescent="0.2">
      <c r="A100" s="126">
        <v>12</v>
      </c>
      <c r="B100" s="127"/>
      <c r="C100" s="6" t="s">
        <v>943</v>
      </c>
      <c r="D100" s="127" t="s">
        <v>705</v>
      </c>
      <c r="E100" s="128">
        <v>-51000</v>
      </c>
      <c r="F100" s="129">
        <v>-1269.6195</v>
      </c>
      <c r="G100" s="130">
        <v>-1.2636667000000001E-2</v>
      </c>
      <c r="H100" s="156"/>
    </row>
    <row r="101" spans="1:9" x14ac:dyDescent="0.2">
      <c r="A101" s="126">
        <v>13</v>
      </c>
      <c r="B101" s="127"/>
      <c r="C101" s="6" t="s">
        <v>939</v>
      </c>
      <c r="D101" s="127" t="s">
        <v>705</v>
      </c>
      <c r="E101" s="128">
        <v>-246183</v>
      </c>
      <c r="F101" s="129">
        <v>-1300.2155144999999</v>
      </c>
      <c r="G101" s="130">
        <v>-1.2941193E-2</v>
      </c>
      <c r="H101" s="156"/>
    </row>
    <row r="102" spans="1:9" x14ac:dyDescent="0.2">
      <c r="A102" s="126">
        <v>14</v>
      </c>
      <c r="B102" s="127"/>
      <c r="C102" s="6" t="s">
        <v>949</v>
      </c>
      <c r="D102" s="127" t="s">
        <v>705</v>
      </c>
      <c r="E102" s="128">
        <v>-280000</v>
      </c>
      <c r="F102" s="129">
        <v>-1488.9</v>
      </c>
      <c r="G102" s="130">
        <v>-1.4819191000000001E-2</v>
      </c>
      <c r="H102" s="156"/>
    </row>
    <row r="103" spans="1:9" x14ac:dyDescent="0.2">
      <c r="A103" s="126">
        <v>15</v>
      </c>
      <c r="B103" s="127"/>
      <c r="C103" s="6" t="s">
        <v>953</v>
      </c>
      <c r="D103" s="127" t="s">
        <v>705</v>
      </c>
      <c r="E103" s="128">
        <v>-450000</v>
      </c>
      <c r="F103" s="129">
        <v>-1894.5</v>
      </c>
      <c r="G103" s="130">
        <v>-1.8856174E-2</v>
      </c>
      <c r="H103" s="156"/>
    </row>
    <row r="104" spans="1:9" x14ac:dyDescent="0.2">
      <c r="A104" s="126">
        <v>16</v>
      </c>
      <c r="B104" s="127"/>
      <c r="C104" s="6" t="s">
        <v>954</v>
      </c>
      <c r="D104" s="127" t="s">
        <v>705</v>
      </c>
      <c r="E104" s="128">
        <v>-90000</v>
      </c>
      <c r="F104" s="129">
        <v>-1904.8050000000001</v>
      </c>
      <c r="G104" s="130">
        <v>-1.8958741000000001E-2</v>
      </c>
      <c r="H104" s="156"/>
    </row>
    <row r="105" spans="1:9" x14ac:dyDescent="0.2">
      <c r="A105" s="126">
        <v>17</v>
      </c>
      <c r="B105" s="127"/>
      <c r="C105" s="6" t="s">
        <v>941</v>
      </c>
      <c r="D105" s="127" t="s">
        <v>705</v>
      </c>
      <c r="E105" s="128">
        <v>-300000</v>
      </c>
      <c r="F105" s="129">
        <v>-1993.5</v>
      </c>
      <c r="G105" s="130">
        <v>-1.9841531999999999E-2</v>
      </c>
      <c r="H105" s="156"/>
    </row>
    <row r="106" spans="1:9" x14ac:dyDescent="0.2">
      <c r="A106" s="126">
        <v>18</v>
      </c>
      <c r="B106" s="127"/>
      <c r="C106" s="6" t="s">
        <v>932</v>
      </c>
      <c r="D106" s="127" t="s">
        <v>705</v>
      </c>
      <c r="E106" s="128">
        <v>-484000</v>
      </c>
      <c r="F106" s="129">
        <v>-3066.6239999999998</v>
      </c>
      <c r="G106" s="130">
        <v>-3.0522457999999999E-2</v>
      </c>
      <c r="H106" s="156"/>
    </row>
    <row r="107" spans="1:9" x14ac:dyDescent="0.2">
      <c r="A107" s="126">
        <v>19</v>
      </c>
      <c r="B107" s="127"/>
      <c r="C107" s="6" t="s">
        <v>950</v>
      </c>
      <c r="D107" s="127" t="s">
        <v>717</v>
      </c>
      <c r="E107" s="128">
        <v>-23500</v>
      </c>
      <c r="F107" s="129">
        <v>-3701.7552500000002</v>
      </c>
      <c r="G107" s="130">
        <v>-3.6843991999999999E-2</v>
      </c>
      <c r="H107" s="156"/>
    </row>
    <row r="108" spans="1:9" x14ac:dyDescent="0.2">
      <c r="A108" s="124" t="s">
        <v>9</v>
      </c>
      <c r="B108" s="124" t="s">
        <v>9</v>
      </c>
      <c r="C108" s="125" t="s">
        <v>105</v>
      </c>
      <c r="D108" s="124" t="s">
        <v>9</v>
      </c>
      <c r="E108" s="124" t="s">
        <v>9</v>
      </c>
      <c r="F108" s="131">
        <v>-24367.430239500001</v>
      </c>
      <c r="G108" s="132">
        <v>-0.24253180699999999</v>
      </c>
      <c r="H108" s="156"/>
    </row>
    <row r="109" spans="1:9" x14ac:dyDescent="0.2">
      <c r="A109" s="124" t="s">
        <v>9</v>
      </c>
      <c r="B109" s="124" t="s">
        <v>9</v>
      </c>
      <c r="C109" s="133" t="s">
        <v>9</v>
      </c>
      <c r="D109" s="124" t="s">
        <v>9</v>
      </c>
      <c r="E109" s="124" t="s">
        <v>9</v>
      </c>
      <c r="F109" s="134" t="s">
        <v>9</v>
      </c>
      <c r="G109" s="134" t="s">
        <v>9</v>
      </c>
      <c r="H109" s="156"/>
      <c r="I109" s="158"/>
    </row>
    <row r="110" spans="1:9" x14ac:dyDescent="0.2">
      <c r="A110" s="124" t="s">
        <v>9</v>
      </c>
      <c r="B110" s="124" t="s">
        <v>9</v>
      </c>
      <c r="C110" s="125" t="s">
        <v>114</v>
      </c>
      <c r="D110" s="124" t="s">
        <v>9</v>
      </c>
      <c r="E110" s="124" t="s">
        <v>9</v>
      </c>
      <c r="F110" s="131">
        <v>72670.567334499981</v>
      </c>
      <c r="G110" s="132">
        <v>0.72329842900000019</v>
      </c>
      <c r="H110" s="156"/>
    </row>
    <row r="111" spans="1:9" x14ac:dyDescent="0.2">
      <c r="A111" s="124" t="s">
        <v>9</v>
      </c>
      <c r="B111" s="124" t="s">
        <v>9</v>
      </c>
      <c r="C111" s="133" t="s">
        <v>9</v>
      </c>
      <c r="D111" s="124" t="s">
        <v>9</v>
      </c>
      <c r="E111" s="124" t="s">
        <v>9</v>
      </c>
      <c r="F111" s="134" t="s">
        <v>9</v>
      </c>
      <c r="G111" s="134" t="s">
        <v>9</v>
      </c>
      <c r="H111" s="156"/>
    </row>
    <row r="112" spans="1:9" x14ac:dyDescent="0.2">
      <c r="A112" s="124" t="s">
        <v>9</v>
      </c>
      <c r="B112" s="124" t="s">
        <v>9</v>
      </c>
      <c r="C112" s="125" t="s">
        <v>115</v>
      </c>
      <c r="D112" s="124" t="s">
        <v>9</v>
      </c>
      <c r="E112" s="124" t="s">
        <v>9</v>
      </c>
      <c r="F112" s="134" t="s">
        <v>9</v>
      </c>
      <c r="G112" s="134" t="s">
        <v>9</v>
      </c>
      <c r="H112" s="156"/>
    </row>
    <row r="113" spans="1:8" x14ac:dyDescent="0.2">
      <c r="A113" s="124" t="s">
        <v>9</v>
      </c>
      <c r="B113" s="124" t="s">
        <v>9</v>
      </c>
      <c r="C113" s="125" t="s">
        <v>11</v>
      </c>
      <c r="D113" s="124" t="s">
        <v>9</v>
      </c>
      <c r="E113" s="124" t="s">
        <v>9</v>
      </c>
      <c r="F113" s="134" t="s">
        <v>9</v>
      </c>
      <c r="G113" s="134" t="s">
        <v>9</v>
      </c>
      <c r="H113" s="156"/>
    </row>
    <row r="114" spans="1:8" ht="25.5" x14ac:dyDescent="0.2">
      <c r="A114" s="126">
        <v>1</v>
      </c>
      <c r="B114" s="127" t="s">
        <v>846</v>
      </c>
      <c r="C114" s="127" t="s">
        <v>847</v>
      </c>
      <c r="D114" s="127" t="s">
        <v>1001</v>
      </c>
      <c r="E114" s="128">
        <v>150</v>
      </c>
      <c r="F114" s="129">
        <v>1541.8755000000001</v>
      </c>
      <c r="G114" s="130">
        <v>1.5346462E-2</v>
      </c>
      <c r="H114" s="191">
        <v>4.95</v>
      </c>
    </row>
    <row r="115" spans="1:8" x14ac:dyDescent="0.2">
      <c r="A115" s="126">
        <v>2</v>
      </c>
      <c r="B115" s="127" t="s">
        <v>848</v>
      </c>
      <c r="C115" s="127" t="s">
        <v>849</v>
      </c>
      <c r="D115" s="127" t="s">
        <v>699</v>
      </c>
      <c r="E115" s="128">
        <v>100</v>
      </c>
      <c r="F115" s="129">
        <v>1035.6030000000001</v>
      </c>
      <c r="G115" s="130">
        <v>1.0307475E-2</v>
      </c>
      <c r="H115" s="191">
        <v>4.8650000000000002</v>
      </c>
    </row>
    <row r="116" spans="1:8" x14ac:dyDescent="0.2">
      <c r="A116" s="126">
        <v>3</v>
      </c>
      <c r="B116" s="127" t="s">
        <v>850</v>
      </c>
      <c r="C116" s="127" t="s">
        <v>851</v>
      </c>
      <c r="D116" s="127" t="s">
        <v>699</v>
      </c>
      <c r="E116" s="128">
        <v>100</v>
      </c>
      <c r="F116" s="129">
        <v>1034.153</v>
      </c>
      <c r="G116" s="130">
        <v>1.0293043E-2</v>
      </c>
      <c r="H116" s="191">
        <v>4.96</v>
      </c>
    </row>
    <row r="117" spans="1:8" ht="25.5" x14ac:dyDescent="0.2">
      <c r="A117" s="126">
        <v>4</v>
      </c>
      <c r="B117" s="127" t="s">
        <v>852</v>
      </c>
      <c r="C117" s="127" t="s">
        <v>853</v>
      </c>
      <c r="D117" s="127" t="s">
        <v>1001</v>
      </c>
      <c r="E117" s="128">
        <v>100</v>
      </c>
      <c r="F117" s="129">
        <v>1032.0440000000001</v>
      </c>
      <c r="G117" s="130">
        <v>1.0272051000000001E-2</v>
      </c>
      <c r="H117" s="191">
        <v>4.79</v>
      </c>
    </row>
    <row r="118" spans="1:8" x14ac:dyDescent="0.2">
      <c r="A118" s="126">
        <v>5</v>
      </c>
      <c r="B118" s="127" t="s">
        <v>854</v>
      </c>
      <c r="C118" s="127" t="s">
        <v>855</v>
      </c>
      <c r="D118" s="127" t="s">
        <v>699</v>
      </c>
      <c r="E118" s="128">
        <v>100</v>
      </c>
      <c r="F118" s="129">
        <v>1030.665</v>
      </c>
      <c r="G118" s="130">
        <v>1.0258326E-2</v>
      </c>
      <c r="H118" s="191">
        <v>4.95</v>
      </c>
    </row>
    <row r="119" spans="1:8" x14ac:dyDescent="0.2">
      <c r="A119" s="126">
        <v>6</v>
      </c>
      <c r="B119" s="127" t="s">
        <v>856</v>
      </c>
      <c r="C119" s="127" t="s">
        <v>857</v>
      </c>
      <c r="D119" s="127" t="s">
        <v>699</v>
      </c>
      <c r="E119" s="128">
        <v>100</v>
      </c>
      <c r="F119" s="129">
        <v>1011.3920000000001</v>
      </c>
      <c r="G119" s="130">
        <v>1.0066500000000001E-2</v>
      </c>
      <c r="H119" s="191">
        <v>5.125</v>
      </c>
    </row>
    <row r="120" spans="1:8" x14ac:dyDescent="0.2">
      <c r="A120" s="126">
        <v>7</v>
      </c>
      <c r="B120" s="127" t="s">
        <v>858</v>
      </c>
      <c r="C120" s="127" t="s">
        <v>859</v>
      </c>
      <c r="D120" s="127" t="s">
        <v>699</v>
      </c>
      <c r="E120" s="128">
        <v>100</v>
      </c>
      <c r="F120" s="129">
        <v>1003.341</v>
      </c>
      <c r="G120" s="130">
        <v>9.9863669999999995E-3</v>
      </c>
      <c r="H120" s="191">
        <v>4.6399999999999997</v>
      </c>
    </row>
    <row r="121" spans="1:8" x14ac:dyDescent="0.2">
      <c r="A121" s="126">
        <v>8</v>
      </c>
      <c r="B121" s="127" t="s">
        <v>860</v>
      </c>
      <c r="C121" s="127" t="s">
        <v>861</v>
      </c>
      <c r="D121" s="127" t="s">
        <v>699</v>
      </c>
      <c r="E121" s="128">
        <v>50</v>
      </c>
      <c r="F121" s="129">
        <v>525.97149999999999</v>
      </c>
      <c r="G121" s="130">
        <v>5.2350540000000003E-3</v>
      </c>
      <c r="H121" s="191">
        <v>4.7350000000000003</v>
      </c>
    </row>
    <row r="122" spans="1:8" x14ac:dyDescent="0.2">
      <c r="A122" s="126">
        <v>9</v>
      </c>
      <c r="B122" s="127" t="s">
        <v>862</v>
      </c>
      <c r="C122" s="127" t="s">
        <v>863</v>
      </c>
      <c r="D122" s="127" t="s">
        <v>699</v>
      </c>
      <c r="E122" s="128">
        <v>50</v>
      </c>
      <c r="F122" s="129">
        <v>517.48450000000003</v>
      </c>
      <c r="G122" s="130">
        <v>5.1505819999999999E-3</v>
      </c>
      <c r="H122" s="191">
        <v>4.9400000000000004</v>
      </c>
    </row>
    <row r="123" spans="1:8" x14ac:dyDescent="0.2">
      <c r="A123" s="126">
        <v>10</v>
      </c>
      <c r="B123" s="127" t="s">
        <v>864</v>
      </c>
      <c r="C123" s="127" t="s">
        <v>865</v>
      </c>
      <c r="D123" s="127" t="s">
        <v>699</v>
      </c>
      <c r="E123" s="128">
        <v>50</v>
      </c>
      <c r="F123" s="129">
        <v>516.40750000000003</v>
      </c>
      <c r="G123" s="130">
        <v>5.1398629999999997E-3</v>
      </c>
      <c r="H123" s="191">
        <v>4.6710000000000003</v>
      </c>
    </row>
    <row r="124" spans="1:8" x14ac:dyDescent="0.2">
      <c r="A124" s="126">
        <v>11</v>
      </c>
      <c r="B124" s="127" t="s">
        <v>866</v>
      </c>
      <c r="C124" s="127" t="s">
        <v>867</v>
      </c>
      <c r="D124" s="127" t="s">
        <v>699</v>
      </c>
      <c r="E124" s="128">
        <v>50</v>
      </c>
      <c r="F124" s="129">
        <v>515.68349999999998</v>
      </c>
      <c r="G124" s="130">
        <v>5.1326569999999997E-3</v>
      </c>
      <c r="H124" s="191">
        <v>4.72</v>
      </c>
    </row>
    <row r="125" spans="1:8" x14ac:dyDescent="0.2">
      <c r="A125" s="126">
        <v>12</v>
      </c>
      <c r="B125" s="127" t="s">
        <v>868</v>
      </c>
      <c r="C125" s="127" t="s">
        <v>869</v>
      </c>
      <c r="D125" s="127" t="s">
        <v>699</v>
      </c>
      <c r="E125" s="128">
        <v>50</v>
      </c>
      <c r="F125" s="129">
        <v>507.67450000000002</v>
      </c>
      <c r="G125" s="130">
        <v>5.0529420000000004E-3</v>
      </c>
      <c r="H125" s="191">
        <v>3.8450000000000002</v>
      </c>
    </row>
    <row r="126" spans="1:8" x14ac:dyDescent="0.2">
      <c r="A126" s="126">
        <v>13</v>
      </c>
      <c r="B126" s="127" t="s">
        <v>870</v>
      </c>
      <c r="C126" s="127" t="s">
        <v>871</v>
      </c>
      <c r="D126" s="127" t="s">
        <v>699</v>
      </c>
      <c r="E126" s="128">
        <v>50</v>
      </c>
      <c r="F126" s="129">
        <v>501.16250000000002</v>
      </c>
      <c r="G126" s="130">
        <v>4.9881270000000002E-3</v>
      </c>
      <c r="H126" s="191">
        <v>3.3980000000000001</v>
      </c>
    </row>
    <row r="127" spans="1:8" x14ac:dyDescent="0.2">
      <c r="A127" s="124" t="s">
        <v>9</v>
      </c>
      <c r="B127" s="124" t="s">
        <v>9</v>
      </c>
      <c r="C127" s="125" t="s">
        <v>105</v>
      </c>
      <c r="D127" s="124" t="s">
        <v>9</v>
      </c>
      <c r="E127" s="124" t="s">
        <v>9</v>
      </c>
      <c r="F127" s="131">
        <v>10773.4575</v>
      </c>
      <c r="G127" s="132">
        <v>0.107229449</v>
      </c>
      <c r="H127" s="156"/>
    </row>
    <row r="128" spans="1:8" x14ac:dyDescent="0.2">
      <c r="A128" s="124" t="s">
        <v>9</v>
      </c>
      <c r="B128" s="124" t="s">
        <v>9</v>
      </c>
      <c r="C128" s="133" t="s">
        <v>9</v>
      </c>
      <c r="D128" s="124" t="s">
        <v>9</v>
      </c>
      <c r="E128" s="124" t="s">
        <v>9</v>
      </c>
      <c r="F128" s="134" t="s">
        <v>9</v>
      </c>
      <c r="G128" s="134" t="s">
        <v>9</v>
      </c>
      <c r="H128" s="156"/>
    </row>
    <row r="129" spans="1:8" x14ac:dyDescent="0.2">
      <c r="A129" s="124" t="s">
        <v>9</v>
      </c>
      <c r="B129" s="124" t="s">
        <v>9</v>
      </c>
      <c r="C129" s="125" t="s">
        <v>116</v>
      </c>
      <c r="D129" s="124" t="s">
        <v>9</v>
      </c>
      <c r="E129" s="124" t="s">
        <v>9</v>
      </c>
      <c r="F129" s="124" t="s">
        <v>9</v>
      </c>
      <c r="G129" s="124" t="s">
        <v>9</v>
      </c>
      <c r="H129" s="156"/>
    </row>
    <row r="130" spans="1:8" x14ac:dyDescent="0.2">
      <c r="A130" s="124" t="s">
        <v>9</v>
      </c>
      <c r="B130" s="124" t="s">
        <v>9</v>
      </c>
      <c r="C130" s="125" t="s">
        <v>105</v>
      </c>
      <c r="D130" s="124" t="s">
        <v>9</v>
      </c>
      <c r="E130" s="124" t="s">
        <v>9</v>
      </c>
      <c r="F130" s="135">
        <v>0</v>
      </c>
      <c r="G130" s="136">
        <v>0</v>
      </c>
      <c r="H130" s="156"/>
    </row>
    <row r="131" spans="1:8" x14ac:dyDescent="0.2">
      <c r="A131" s="124" t="s">
        <v>9</v>
      </c>
      <c r="B131" s="124" t="s">
        <v>9</v>
      </c>
      <c r="C131" s="133" t="s">
        <v>9</v>
      </c>
      <c r="D131" s="124" t="s">
        <v>9</v>
      </c>
      <c r="E131" s="124" t="s">
        <v>9</v>
      </c>
      <c r="F131" s="134" t="s">
        <v>9</v>
      </c>
      <c r="G131" s="134" t="s">
        <v>9</v>
      </c>
      <c r="H131" s="156"/>
    </row>
    <row r="132" spans="1:8" x14ac:dyDescent="0.2">
      <c r="A132" s="124" t="s">
        <v>9</v>
      </c>
      <c r="B132" s="124" t="s">
        <v>9</v>
      </c>
      <c r="C132" s="125" t="s">
        <v>117</v>
      </c>
      <c r="D132" s="124" t="s">
        <v>9</v>
      </c>
      <c r="E132" s="124" t="s">
        <v>9</v>
      </c>
      <c r="F132" s="124" t="s">
        <v>9</v>
      </c>
      <c r="G132" s="124" t="s">
        <v>9</v>
      </c>
      <c r="H132" s="156"/>
    </row>
    <row r="133" spans="1:8" x14ac:dyDescent="0.2">
      <c r="A133" s="126">
        <v>1</v>
      </c>
      <c r="B133" s="127" t="s">
        <v>724</v>
      </c>
      <c r="C133" s="127" t="s">
        <v>956</v>
      </c>
      <c r="D133" s="127" t="s">
        <v>725</v>
      </c>
      <c r="E133" s="128">
        <v>1000000</v>
      </c>
      <c r="F133" s="129">
        <v>1057.55</v>
      </c>
      <c r="G133" s="130">
        <v>1.0525916E-2</v>
      </c>
      <c r="H133" s="191">
        <v>4.9109999999999996</v>
      </c>
    </row>
    <row r="134" spans="1:8" x14ac:dyDescent="0.2">
      <c r="A134" s="124" t="s">
        <v>9</v>
      </c>
      <c r="B134" s="124" t="s">
        <v>9</v>
      </c>
      <c r="C134" s="125" t="s">
        <v>105</v>
      </c>
      <c r="D134" s="124" t="s">
        <v>9</v>
      </c>
      <c r="E134" s="124" t="s">
        <v>9</v>
      </c>
      <c r="F134" s="131">
        <v>1057.55</v>
      </c>
      <c r="G134" s="132">
        <v>1.0525916E-2</v>
      </c>
      <c r="H134" s="156"/>
    </row>
    <row r="135" spans="1:8" x14ac:dyDescent="0.2">
      <c r="A135" s="124" t="s">
        <v>9</v>
      </c>
      <c r="B135" s="124" t="s">
        <v>9</v>
      </c>
      <c r="C135" s="133" t="s">
        <v>9</v>
      </c>
      <c r="D135" s="124" t="s">
        <v>9</v>
      </c>
      <c r="E135" s="124" t="s">
        <v>9</v>
      </c>
      <c r="F135" s="134" t="s">
        <v>9</v>
      </c>
      <c r="G135" s="134" t="s">
        <v>9</v>
      </c>
      <c r="H135" s="156"/>
    </row>
    <row r="136" spans="1:8" x14ac:dyDescent="0.2">
      <c r="A136" s="124" t="s">
        <v>9</v>
      </c>
      <c r="B136" s="124" t="s">
        <v>9</v>
      </c>
      <c r="C136" s="125" t="s">
        <v>118</v>
      </c>
      <c r="D136" s="124" t="s">
        <v>9</v>
      </c>
      <c r="E136" s="124" t="s">
        <v>9</v>
      </c>
      <c r="F136" s="134" t="s">
        <v>9</v>
      </c>
      <c r="G136" s="134" t="s">
        <v>9</v>
      </c>
      <c r="H136" s="156"/>
    </row>
    <row r="137" spans="1:8" x14ac:dyDescent="0.2">
      <c r="A137" s="124" t="s">
        <v>9</v>
      </c>
      <c r="B137" s="124" t="s">
        <v>9</v>
      </c>
      <c r="C137" s="125" t="s">
        <v>105</v>
      </c>
      <c r="D137" s="124" t="s">
        <v>9</v>
      </c>
      <c r="E137" s="124" t="s">
        <v>9</v>
      </c>
      <c r="F137" s="135">
        <v>0</v>
      </c>
      <c r="G137" s="136">
        <v>0</v>
      </c>
      <c r="H137" s="156"/>
    </row>
    <row r="138" spans="1:8" x14ac:dyDescent="0.2">
      <c r="A138" s="124" t="s">
        <v>9</v>
      </c>
      <c r="B138" s="124" t="s">
        <v>9</v>
      </c>
      <c r="C138" s="133" t="s">
        <v>9</v>
      </c>
      <c r="D138" s="124" t="s">
        <v>9</v>
      </c>
      <c r="E138" s="124" t="s">
        <v>9</v>
      </c>
      <c r="F138" s="134" t="s">
        <v>9</v>
      </c>
      <c r="G138" s="134" t="s">
        <v>9</v>
      </c>
      <c r="H138" s="156"/>
    </row>
    <row r="139" spans="1:8" x14ac:dyDescent="0.2">
      <c r="A139" s="124" t="s">
        <v>9</v>
      </c>
      <c r="B139" s="124" t="s">
        <v>9</v>
      </c>
      <c r="C139" s="125" t="s">
        <v>119</v>
      </c>
      <c r="D139" s="124" t="s">
        <v>9</v>
      </c>
      <c r="E139" s="124" t="s">
        <v>9</v>
      </c>
      <c r="F139" s="131">
        <v>11831.0075</v>
      </c>
      <c r="G139" s="132">
        <v>0.117755365</v>
      </c>
      <c r="H139" s="156"/>
    </row>
    <row r="140" spans="1:8" x14ac:dyDescent="0.2">
      <c r="A140" s="124" t="s">
        <v>9</v>
      </c>
      <c r="B140" s="124" t="s">
        <v>9</v>
      </c>
      <c r="C140" s="133" t="s">
        <v>9</v>
      </c>
      <c r="D140" s="124" t="s">
        <v>9</v>
      </c>
      <c r="E140" s="124" t="s">
        <v>9</v>
      </c>
      <c r="F140" s="134" t="s">
        <v>9</v>
      </c>
      <c r="G140" s="134" t="s">
        <v>9</v>
      </c>
      <c r="H140" s="156"/>
    </row>
    <row r="141" spans="1:8" x14ac:dyDescent="0.2">
      <c r="A141" s="124" t="s">
        <v>9</v>
      </c>
      <c r="B141" s="124" t="s">
        <v>9</v>
      </c>
      <c r="C141" s="125" t="s">
        <v>120</v>
      </c>
      <c r="D141" s="124" t="s">
        <v>9</v>
      </c>
      <c r="E141" s="124" t="s">
        <v>9</v>
      </c>
      <c r="F141" s="134" t="s">
        <v>9</v>
      </c>
      <c r="G141" s="134" t="s">
        <v>9</v>
      </c>
      <c r="H141" s="156"/>
    </row>
    <row r="142" spans="1:8" x14ac:dyDescent="0.2">
      <c r="A142" s="124" t="s">
        <v>9</v>
      </c>
      <c r="B142" s="124" t="s">
        <v>9</v>
      </c>
      <c r="C142" s="125" t="s">
        <v>121</v>
      </c>
      <c r="D142" s="124" t="s">
        <v>9</v>
      </c>
      <c r="E142" s="124" t="s">
        <v>9</v>
      </c>
      <c r="F142" s="134" t="s">
        <v>9</v>
      </c>
      <c r="G142" s="134" t="s">
        <v>9</v>
      </c>
      <c r="H142" s="156"/>
    </row>
    <row r="143" spans="1:8" x14ac:dyDescent="0.2">
      <c r="A143" s="124" t="s">
        <v>9</v>
      </c>
      <c r="B143" s="124" t="s">
        <v>9</v>
      </c>
      <c r="C143" s="125" t="s">
        <v>105</v>
      </c>
      <c r="D143" s="124" t="s">
        <v>9</v>
      </c>
      <c r="E143" s="124" t="s">
        <v>9</v>
      </c>
      <c r="F143" s="135">
        <v>0</v>
      </c>
      <c r="G143" s="136">
        <v>0</v>
      </c>
      <c r="H143" s="156"/>
    </row>
    <row r="144" spans="1:8" x14ac:dyDescent="0.2">
      <c r="A144" s="124" t="s">
        <v>9</v>
      </c>
      <c r="B144" s="124" t="s">
        <v>9</v>
      </c>
      <c r="C144" s="133" t="s">
        <v>9</v>
      </c>
      <c r="D144" s="124" t="s">
        <v>9</v>
      </c>
      <c r="E144" s="124" t="s">
        <v>9</v>
      </c>
      <c r="F144" s="134" t="s">
        <v>9</v>
      </c>
      <c r="G144" s="134" t="s">
        <v>9</v>
      </c>
      <c r="H144" s="156"/>
    </row>
    <row r="145" spans="1:8" x14ac:dyDescent="0.2">
      <c r="A145" s="124" t="s">
        <v>9</v>
      </c>
      <c r="B145" s="124" t="s">
        <v>9</v>
      </c>
      <c r="C145" s="125" t="s">
        <v>122</v>
      </c>
      <c r="D145" s="124" t="s">
        <v>9</v>
      </c>
      <c r="E145" s="124" t="s">
        <v>9</v>
      </c>
      <c r="F145" s="134" t="s">
        <v>9</v>
      </c>
      <c r="G145" s="134" t="s">
        <v>9</v>
      </c>
      <c r="H145" s="156"/>
    </row>
    <row r="146" spans="1:8" x14ac:dyDescent="0.2">
      <c r="A146" s="126">
        <v>1</v>
      </c>
      <c r="B146" s="127" t="s">
        <v>872</v>
      </c>
      <c r="C146" s="127" t="s">
        <v>873</v>
      </c>
      <c r="D146" s="127" t="s">
        <v>874</v>
      </c>
      <c r="E146" s="128">
        <v>300</v>
      </c>
      <c r="F146" s="129">
        <v>1462.7985000000001</v>
      </c>
      <c r="G146" s="130">
        <v>1.45594E-2</v>
      </c>
      <c r="H146" s="191">
        <v>4.0709999999999997</v>
      </c>
    </row>
    <row r="147" spans="1:8" x14ac:dyDescent="0.2">
      <c r="A147" s="124" t="s">
        <v>9</v>
      </c>
      <c r="B147" s="124" t="s">
        <v>9</v>
      </c>
      <c r="C147" s="125" t="s">
        <v>105</v>
      </c>
      <c r="D147" s="124" t="s">
        <v>9</v>
      </c>
      <c r="E147" s="124" t="s">
        <v>9</v>
      </c>
      <c r="F147" s="131">
        <v>1462.7985000000001</v>
      </c>
      <c r="G147" s="132">
        <v>1.45594E-2</v>
      </c>
      <c r="H147" s="156"/>
    </row>
    <row r="148" spans="1:8" x14ac:dyDescent="0.2">
      <c r="A148" s="124" t="s">
        <v>9</v>
      </c>
      <c r="B148" s="124" t="s">
        <v>9</v>
      </c>
      <c r="C148" s="133" t="s">
        <v>9</v>
      </c>
      <c r="D148" s="124" t="s">
        <v>9</v>
      </c>
      <c r="E148" s="124" t="s">
        <v>9</v>
      </c>
      <c r="F148" s="134" t="s">
        <v>9</v>
      </c>
      <c r="G148" s="134" t="s">
        <v>9</v>
      </c>
      <c r="H148" s="156"/>
    </row>
    <row r="149" spans="1:8" x14ac:dyDescent="0.2">
      <c r="A149" s="124" t="s">
        <v>9</v>
      </c>
      <c r="B149" s="124" t="s">
        <v>9</v>
      </c>
      <c r="C149" s="125" t="s">
        <v>123</v>
      </c>
      <c r="D149" s="124" t="s">
        <v>9</v>
      </c>
      <c r="E149" s="124" t="s">
        <v>9</v>
      </c>
      <c r="F149" s="134" t="s">
        <v>9</v>
      </c>
      <c r="G149" s="134" t="s">
        <v>9</v>
      </c>
      <c r="H149" s="156"/>
    </row>
    <row r="150" spans="1:8" x14ac:dyDescent="0.2">
      <c r="A150" s="124" t="s">
        <v>9</v>
      </c>
      <c r="B150" s="124" t="s">
        <v>9</v>
      </c>
      <c r="C150" s="125" t="s">
        <v>105</v>
      </c>
      <c r="D150" s="124" t="s">
        <v>9</v>
      </c>
      <c r="E150" s="124" t="s">
        <v>9</v>
      </c>
      <c r="F150" s="135">
        <v>0</v>
      </c>
      <c r="G150" s="136">
        <v>0</v>
      </c>
      <c r="H150" s="156"/>
    </row>
    <row r="151" spans="1:8" x14ac:dyDescent="0.2">
      <c r="A151" s="124" t="s">
        <v>9</v>
      </c>
      <c r="B151" s="124" t="s">
        <v>9</v>
      </c>
      <c r="C151" s="133" t="s">
        <v>9</v>
      </c>
      <c r="D151" s="124" t="s">
        <v>9</v>
      </c>
      <c r="E151" s="124" t="s">
        <v>9</v>
      </c>
      <c r="F151" s="134" t="s">
        <v>9</v>
      </c>
      <c r="G151" s="134" t="s">
        <v>9</v>
      </c>
      <c r="H151" s="156"/>
    </row>
    <row r="152" spans="1:8" x14ac:dyDescent="0.2">
      <c r="A152" s="124" t="s">
        <v>9</v>
      </c>
      <c r="B152" s="124" t="s">
        <v>9</v>
      </c>
      <c r="C152" s="125" t="s">
        <v>124</v>
      </c>
      <c r="D152" s="124" t="s">
        <v>9</v>
      </c>
      <c r="E152" s="124" t="s">
        <v>9</v>
      </c>
      <c r="F152" s="134" t="s">
        <v>9</v>
      </c>
      <c r="G152" s="134" t="s">
        <v>9</v>
      </c>
      <c r="H152" s="156"/>
    </row>
    <row r="153" spans="1:8" x14ac:dyDescent="0.2">
      <c r="A153" s="126">
        <v>1</v>
      </c>
      <c r="B153" s="127"/>
      <c r="C153" s="127" t="s">
        <v>125</v>
      </c>
      <c r="D153" s="127"/>
      <c r="E153" s="137" t="s">
        <v>9</v>
      </c>
      <c r="F153" s="129">
        <v>3415.5089404999999</v>
      </c>
      <c r="G153" s="130">
        <v>3.3994948999999997E-2</v>
      </c>
      <c r="H153" s="8">
        <v>3.3326163573085874</v>
      </c>
    </row>
    <row r="154" spans="1:8" x14ac:dyDescent="0.2">
      <c r="A154" s="126">
        <v>2</v>
      </c>
      <c r="B154" s="127"/>
      <c r="C154" s="127" t="s">
        <v>126</v>
      </c>
      <c r="D154" s="127"/>
      <c r="E154" s="137" t="s">
        <v>9</v>
      </c>
      <c r="F154" s="129">
        <v>2439.5234666000001</v>
      </c>
      <c r="G154" s="130">
        <v>2.4280855E-2</v>
      </c>
      <c r="H154" s="8">
        <v>3.2337849550915885</v>
      </c>
    </row>
    <row r="155" spans="1:8" x14ac:dyDescent="0.2">
      <c r="A155" s="124" t="s">
        <v>9</v>
      </c>
      <c r="B155" s="124" t="s">
        <v>9</v>
      </c>
      <c r="C155" s="125" t="s">
        <v>105</v>
      </c>
      <c r="D155" s="124" t="s">
        <v>9</v>
      </c>
      <c r="E155" s="124" t="s">
        <v>9</v>
      </c>
      <c r="F155" s="131">
        <v>5855.0324070999995</v>
      </c>
      <c r="G155" s="132">
        <v>5.8275804E-2</v>
      </c>
      <c r="H155" s="156"/>
    </row>
    <row r="156" spans="1:8" x14ac:dyDescent="0.2">
      <c r="A156" s="124" t="s">
        <v>9</v>
      </c>
      <c r="B156" s="124" t="s">
        <v>9</v>
      </c>
      <c r="C156" s="133" t="s">
        <v>9</v>
      </c>
      <c r="D156" s="124" t="s">
        <v>9</v>
      </c>
      <c r="E156" s="124" t="s">
        <v>9</v>
      </c>
      <c r="F156" s="134" t="s">
        <v>9</v>
      </c>
      <c r="G156" s="134" t="s">
        <v>9</v>
      </c>
      <c r="H156" s="156"/>
    </row>
    <row r="157" spans="1:8" x14ac:dyDescent="0.2">
      <c r="A157" s="124" t="s">
        <v>9</v>
      </c>
      <c r="B157" s="124" t="s">
        <v>9</v>
      </c>
      <c r="C157" s="125" t="s">
        <v>127</v>
      </c>
      <c r="D157" s="124" t="s">
        <v>9</v>
      </c>
      <c r="E157" s="124" t="s">
        <v>9</v>
      </c>
      <c r="F157" s="131">
        <v>7317.8309071000003</v>
      </c>
      <c r="G157" s="132">
        <v>7.2835204000000001E-2</v>
      </c>
      <c r="H157" s="156"/>
    </row>
    <row r="158" spans="1:8" x14ac:dyDescent="0.2">
      <c r="A158" s="124" t="s">
        <v>9</v>
      </c>
      <c r="B158" s="124" t="s">
        <v>9</v>
      </c>
      <c r="C158" s="134" t="s">
        <v>9</v>
      </c>
      <c r="D158" s="124" t="s">
        <v>9</v>
      </c>
      <c r="E158" s="124" t="s">
        <v>9</v>
      </c>
      <c r="F158" s="124" t="s">
        <v>9</v>
      </c>
      <c r="G158" s="124" t="s">
        <v>9</v>
      </c>
      <c r="H158" s="156"/>
    </row>
    <row r="159" spans="1:8" x14ac:dyDescent="0.2">
      <c r="A159" s="124" t="s">
        <v>9</v>
      </c>
      <c r="B159" s="124" t="s">
        <v>9</v>
      </c>
      <c r="C159" s="125" t="s">
        <v>128</v>
      </c>
      <c r="D159" s="124" t="s">
        <v>9</v>
      </c>
      <c r="E159" s="124" t="s">
        <v>9</v>
      </c>
      <c r="F159" s="124" t="s">
        <v>9</v>
      </c>
      <c r="G159" s="124" t="s">
        <v>9</v>
      </c>
      <c r="H159" s="156"/>
    </row>
    <row r="160" spans="1:8" x14ac:dyDescent="0.2">
      <c r="A160" s="124" t="s">
        <v>9</v>
      </c>
      <c r="B160" s="124" t="s">
        <v>9</v>
      </c>
      <c r="C160" s="125" t="s">
        <v>129</v>
      </c>
      <c r="D160" s="124" t="s">
        <v>9</v>
      </c>
      <c r="E160" s="124" t="s">
        <v>9</v>
      </c>
      <c r="F160" s="124" t="s">
        <v>9</v>
      </c>
      <c r="G160" s="124" t="s">
        <v>9</v>
      </c>
      <c r="H160" s="156"/>
    </row>
    <row r="161" spans="1:13" x14ac:dyDescent="0.2">
      <c r="A161" s="124" t="s">
        <v>9</v>
      </c>
      <c r="B161" s="124" t="s">
        <v>9</v>
      </c>
      <c r="C161" s="125" t="s">
        <v>105</v>
      </c>
      <c r="D161" s="124" t="s">
        <v>9</v>
      </c>
      <c r="E161" s="124" t="s">
        <v>9</v>
      </c>
      <c r="F161" s="135">
        <v>0</v>
      </c>
      <c r="G161" s="136">
        <v>0</v>
      </c>
      <c r="H161" s="156"/>
    </row>
    <row r="162" spans="1:13" x14ac:dyDescent="0.2">
      <c r="A162" s="124" t="s">
        <v>9</v>
      </c>
      <c r="B162" s="124" t="s">
        <v>9</v>
      </c>
      <c r="C162" s="133" t="s">
        <v>9</v>
      </c>
      <c r="D162" s="124" t="s">
        <v>9</v>
      </c>
      <c r="E162" s="124" t="s">
        <v>9</v>
      </c>
      <c r="F162" s="134" t="s">
        <v>9</v>
      </c>
      <c r="G162" s="134" t="s">
        <v>9</v>
      </c>
      <c r="H162" s="156"/>
    </row>
    <row r="163" spans="1:13" x14ac:dyDescent="0.2">
      <c r="A163" s="124" t="s">
        <v>9</v>
      </c>
      <c r="B163" s="124" t="s">
        <v>9</v>
      </c>
      <c r="C163" s="125" t="s">
        <v>130</v>
      </c>
      <c r="D163" s="124" t="s">
        <v>9</v>
      </c>
      <c r="E163" s="124" t="s">
        <v>9</v>
      </c>
      <c r="F163" s="124" t="s">
        <v>9</v>
      </c>
      <c r="G163" s="124" t="s">
        <v>9</v>
      </c>
      <c r="H163" s="156"/>
    </row>
    <row r="164" spans="1:13" x14ac:dyDescent="0.2">
      <c r="A164" s="124" t="s">
        <v>9</v>
      </c>
      <c r="B164" s="124" t="s">
        <v>9</v>
      </c>
      <c r="C164" s="125" t="s">
        <v>131</v>
      </c>
      <c r="D164" s="124" t="s">
        <v>9</v>
      </c>
      <c r="E164" s="124" t="s">
        <v>9</v>
      </c>
      <c r="F164" s="124" t="s">
        <v>9</v>
      </c>
      <c r="G164" s="124" t="s">
        <v>9</v>
      </c>
      <c r="H164" s="156"/>
    </row>
    <row r="165" spans="1:13" x14ac:dyDescent="0.2">
      <c r="A165" s="124" t="s">
        <v>9</v>
      </c>
      <c r="B165" s="124" t="s">
        <v>9</v>
      </c>
      <c r="C165" s="125" t="s">
        <v>105</v>
      </c>
      <c r="D165" s="124" t="s">
        <v>9</v>
      </c>
      <c r="E165" s="124" t="s">
        <v>9</v>
      </c>
      <c r="F165" s="135">
        <v>0</v>
      </c>
      <c r="G165" s="136">
        <v>0</v>
      </c>
      <c r="H165" s="156"/>
      <c r="M165" s="132">
        <v>0.71736042300000014</v>
      </c>
    </row>
    <row r="166" spans="1:13" x14ac:dyDescent="0.2">
      <c r="A166" s="124" t="s">
        <v>9</v>
      </c>
      <c r="B166" s="124" t="s">
        <v>9</v>
      </c>
      <c r="C166" s="133" t="s">
        <v>9</v>
      </c>
      <c r="D166" s="124" t="s">
        <v>9</v>
      </c>
      <c r="E166" s="124" t="s">
        <v>9</v>
      </c>
      <c r="F166" s="134" t="s">
        <v>9</v>
      </c>
      <c r="G166" s="134" t="s">
        <v>9</v>
      </c>
      <c r="H166" s="156"/>
      <c r="M166" s="132">
        <v>5.7680860000000004E-3</v>
      </c>
    </row>
    <row r="167" spans="1:13" x14ac:dyDescent="0.2">
      <c r="A167" s="124" t="s">
        <v>9</v>
      </c>
      <c r="B167" s="124" t="s">
        <v>9</v>
      </c>
      <c r="C167" s="125" t="s">
        <v>132</v>
      </c>
      <c r="D167" s="124" t="s">
        <v>9</v>
      </c>
      <c r="E167" s="124" t="s">
        <v>9</v>
      </c>
      <c r="F167" s="134" t="s">
        <v>9</v>
      </c>
      <c r="G167" s="134" t="s">
        <v>9</v>
      </c>
      <c r="H167" s="156"/>
      <c r="M167" s="136">
        <v>1.6992E-4</v>
      </c>
    </row>
    <row r="168" spans="1:13" x14ac:dyDescent="0.2">
      <c r="A168" s="124" t="s">
        <v>9</v>
      </c>
      <c r="B168" s="124" t="s">
        <v>9</v>
      </c>
      <c r="C168" s="125" t="s">
        <v>105</v>
      </c>
      <c r="D168" s="124" t="s">
        <v>9</v>
      </c>
      <c r="E168" s="124" t="s">
        <v>9</v>
      </c>
      <c r="F168" s="135">
        <v>0</v>
      </c>
      <c r="G168" s="136">
        <v>0</v>
      </c>
      <c r="H168" s="156"/>
      <c r="M168" s="132">
        <v>0.107229449</v>
      </c>
    </row>
    <row r="169" spans="1:13" x14ac:dyDescent="0.2">
      <c r="A169" s="124" t="s">
        <v>9</v>
      </c>
      <c r="B169" s="124" t="s">
        <v>9</v>
      </c>
      <c r="C169" s="133" t="s">
        <v>9</v>
      </c>
      <c r="D169" s="124" t="s">
        <v>9</v>
      </c>
      <c r="E169" s="124" t="s">
        <v>9</v>
      </c>
      <c r="F169" s="134" t="s">
        <v>9</v>
      </c>
      <c r="G169" s="134" t="s">
        <v>9</v>
      </c>
      <c r="H169" s="156"/>
      <c r="M169" s="132">
        <v>1.0525916E-2</v>
      </c>
    </row>
    <row r="170" spans="1:13" x14ac:dyDescent="0.2">
      <c r="A170" s="137" t="s">
        <v>9</v>
      </c>
      <c r="B170" s="127" t="s">
        <v>9</v>
      </c>
      <c r="C170" s="127" t="s">
        <v>707</v>
      </c>
      <c r="D170" s="127" t="s">
        <v>9</v>
      </c>
      <c r="E170" s="137" t="s">
        <v>9</v>
      </c>
      <c r="F170" s="129">
        <v>8509.8419080000003</v>
      </c>
      <c r="G170" s="130">
        <v>8.469942551004736E-2</v>
      </c>
      <c r="H170" s="156"/>
      <c r="M170" s="132">
        <v>1.45594E-2</v>
      </c>
    </row>
    <row r="171" spans="1:13" x14ac:dyDescent="0.2">
      <c r="A171" s="137" t="s">
        <v>9</v>
      </c>
      <c r="B171" s="127" t="s">
        <v>9</v>
      </c>
      <c r="C171" s="127" t="s">
        <v>875</v>
      </c>
      <c r="D171" s="127" t="s">
        <v>9</v>
      </c>
      <c r="E171" s="137" t="s">
        <v>9</v>
      </c>
      <c r="F171" s="129">
        <v>141.8223341099947</v>
      </c>
      <c r="G171" s="130">
        <v>1.4115738404397329E-3</v>
      </c>
      <c r="H171" s="156"/>
      <c r="M171" s="132">
        <v>5.8275804E-2</v>
      </c>
    </row>
    <row r="172" spans="1:13" x14ac:dyDescent="0.2">
      <c r="A172" s="133" t="s">
        <v>9</v>
      </c>
      <c r="B172" s="133" t="s">
        <v>9</v>
      </c>
      <c r="C172" s="125" t="s">
        <v>134</v>
      </c>
      <c r="D172" s="134" t="s">
        <v>9</v>
      </c>
      <c r="E172" s="134" t="s">
        <v>9</v>
      </c>
      <c r="F172" s="10">
        <v>100471.06998371</v>
      </c>
      <c r="G172" s="11">
        <v>0.99999999735048728</v>
      </c>
      <c r="H172" s="156"/>
    </row>
    <row r="173" spans="1:13" ht="17.100000000000001" customHeight="1" x14ac:dyDescent="0.2">
      <c r="A173" s="138" t="s">
        <v>9</v>
      </c>
      <c r="B173" s="138" t="s">
        <v>9</v>
      </c>
      <c r="C173" s="138" t="s">
        <v>9</v>
      </c>
      <c r="D173" s="139" t="s">
        <v>9</v>
      </c>
      <c r="E173" s="139" t="s">
        <v>9</v>
      </c>
      <c r="F173" s="139" t="s">
        <v>9</v>
      </c>
      <c r="G173" s="176"/>
      <c r="M173" s="132">
        <f>SUM(M165:M172)</f>
        <v>0.91388899800000012</v>
      </c>
    </row>
    <row r="174" spans="1:13" ht="17.100000000000001" customHeight="1" x14ac:dyDescent="0.2">
      <c r="A174" s="140" t="s">
        <v>9</v>
      </c>
      <c r="B174" s="217" t="s">
        <v>876</v>
      </c>
      <c r="C174" s="217"/>
      <c r="D174" s="217"/>
      <c r="E174" s="217"/>
      <c r="F174" s="217"/>
      <c r="G174" s="141" t="s">
        <v>9</v>
      </c>
    </row>
    <row r="175" spans="1:13" ht="14.1" customHeight="1" x14ac:dyDescent="0.2">
      <c r="A175" s="140" t="s">
        <v>9</v>
      </c>
      <c r="B175" s="217" t="s">
        <v>877</v>
      </c>
      <c r="C175" s="217"/>
      <c r="D175" s="217"/>
      <c r="E175" s="217"/>
      <c r="F175" s="217"/>
      <c r="G175" s="141" t="s">
        <v>9</v>
      </c>
      <c r="M175" s="132">
        <f>+M173+G170</f>
        <v>0.99858842351004751</v>
      </c>
    </row>
    <row r="176" spans="1:13" ht="14.1" customHeight="1" x14ac:dyDescent="0.2">
      <c r="A176" s="140" t="s">
        <v>9</v>
      </c>
      <c r="B176" s="217" t="s">
        <v>9</v>
      </c>
      <c r="C176" s="217"/>
      <c r="D176" s="217"/>
      <c r="E176" s="217"/>
      <c r="F176" s="217"/>
      <c r="G176" s="141" t="s">
        <v>9</v>
      </c>
    </row>
    <row r="177" spans="1:11" ht="14.1" customHeight="1" x14ac:dyDescent="0.2">
      <c r="A177" s="140" t="s">
        <v>9</v>
      </c>
      <c r="B177" s="140" t="s">
        <v>9</v>
      </c>
      <c r="C177" s="140" t="s">
        <v>9</v>
      </c>
      <c r="D177" s="141" t="s">
        <v>9</v>
      </c>
      <c r="E177" s="141" t="s">
        <v>9</v>
      </c>
      <c r="F177" s="141" t="s">
        <v>9</v>
      </c>
      <c r="G177" s="141" t="s">
        <v>9</v>
      </c>
    </row>
    <row r="178" spans="1:11" ht="29.1" customHeight="1" x14ac:dyDescent="0.2">
      <c r="A178" s="140" t="s">
        <v>9</v>
      </c>
      <c r="B178" s="218" t="s">
        <v>136</v>
      </c>
      <c r="C178" s="219"/>
      <c r="D178" s="220"/>
      <c r="E178" s="142" t="s">
        <v>9</v>
      </c>
      <c r="F178" s="141" t="s">
        <v>9</v>
      </c>
      <c r="G178" s="141" t="s">
        <v>9</v>
      </c>
    </row>
    <row r="179" spans="1:11" ht="17.100000000000001" customHeight="1" x14ac:dyDescent="0.2">
      <c r="A179" s="140" t="s">
        <v>9</v>
      </c>
      <c r="B179" s="215" t="s">
        <v>137</v>
      </c>
      <c r="C179" s="216"/>
      <c r="D179" s="168" t="s">
        <v>988</v>
      </c>
      <c r="E179" s="142" t="s">
        <v>9</v>
      </c>
      <c r="F179" s="141" t="s">
        <v>9</v>
      </c>
      <c r="G179" s="141" t="s">
        <v>9</v>
      </c>
    </row>
    <row r="180" spans="1:11" ht="17.100000000000001" customHeight="1" x14ac:dyDescent="0.2">
      <c r="A180" s="140" t="s">
        <v>9</v>
      </c>
      <c r="B180" s="215" t="s">
        <v>139</v>
      </c>
      <c r="C180" s="216"/>
      <c r="D180" s="125" t="s">
        <v>138</v>
      </c>
      <c r="E180" s="142" t="s">
        <v>9</v>
      </c>
      <c r="F180" s="141" t="s">
        <v>9</v>
      </c>
      <c r="G180" s="141" t="s">
        <v>9</v>
      </c>
    </row>
    <row r="181" spans="1:11" ht="24" customHeight="1" x14ac:dyDescent="0.2">
      <c r="A181" s="140" t="s">
        <v>9</v>
      </c>
      <c r="B181" s="215" t="s">
        <v>140</v>
      </c>
      <c r="C181" s="216"/>
      <c r="D181" s="134" t="s">
        <v>9</v>
      </c>
      <c r="E181" s="142" t="s">
        <v>9</v>
      </c>
      <c r="F181" s="141" t="s">
        <v>9</v>
      </c>
      <c r="G181" s="141" t="s">
        <v>9</v>
      </c>
    </row>
    <row r="182" spans="1:11" ht="18" customHeight="1" x14ac:dyDescent="0.2">
      <c r="A182" s="143" t="s">
        <v>9</v>
      </c>
      <c r="B182" s="144" t="s">
        <v>9</v>
      </c>
      <c r="C182" s="144" t="s">
        <v>141</v>
      </c>
      <c r="D182" s="144" t="s">
        <v>142</v>
      </c>
      <c r="E182" s="143" t="s">
        <v>9</v>
      </c>
      <c r="F182" s="143" t="s">
        <v>9</v>
      </c>
      <c r="G182" s="143" t="s">
        <v>9</v>
      </c>
    </row>
    <row r="183" spans="1:11" ht="17.100000000000001" customHeight="1" x14ac:dyDescent="0.2">
      <c r="A183" s="143" t="s">
        <v>9</v>
      </c>
      <c r="B183" s="145" t="s">
        <v>143</v>
      </c>
      <c r="C183" s="144" t="s">
        <v>144</v>
      </c>
      <c r="D183" s="144" t="s">
        <v>145</v>
      </c>
      <c r="E183" s="143" t="s">
        <v>9</v>
      </c>
      <c r="F183" s="143" t="s">
        <v>9</v>
      </c>
      <c r="G183" s="143" t="s">
        <v>9</v>
      </c>
    </row>
    <row r="184" spans="1:11" ht="17.100000000000001" customHeight="1" x14ac:dyDescent="0.2">
      <c r="A184" s="143" t="s">
        <v>9</v>
      </c>
      <c r="B184" s="127" t="s">
        <v>146</v>
      </c>
      <c r="C184" s="146">
        <v>13.8725</v>
      </c>
      <c r="D184" s="146">
        <v>14.1334</v>
      </c>
      <c r="E184" s="143" t="s">
        <v>9</v>
      </c>
      <c r="F184" s="147" t="s">
        <v>9</v>
      </c>
      <c r="G184" s="148" t="s">
        <v>9</v>
      </c>
    </row>
    <row r="185" spans="1:11" ht="17.100000000000001" customHeight="1" x14ac:dyDescent="0.2">
      <c r="A185" s="143" t="s">
        <v>9</v>
      </c>
      <c r="B185" s="127" t="s">
        <v>839</v>
      </c>
      <c r="C185" s="146">
        <v>13.873200000000001</v>
      </c>
      <c r="D185" s="146">
        <v>14.1342</v>
      </c>
      <c r="E185" s="143" t="s">
        <v>9</v>
      </c>
      <c r="F185" s="147" t="s">
        <v>9</v>
      </c>
      <c r="G185" s="148" t="s">
        <v>9</v>
      </c>
    </row>
    <row r="186" spans="1:11" ht="17.100000000000001" customHeight="1" x14ac:dyDescent="0.2">
      <c r="A186" s="143" t="s">
        <v>9</v>
      </c>
      <c r="B186" s="127" t="s">
        <v>147</v>
      </c>
      <c r="C186" s="146">
        <v>13.5486</v>
      </c>
      <c r="D186" s="146">
        <v>13.782500000000001</v>
      </c>
      <c r="E186" s="143" t="s">
        <v>9</v>
      </c>
      <c r="F186" s="147" t="s">
        <v>9</v>
      </c>
      <c r="G186" s="148" t="s">
        <v>9</v>
      </c>
    </row>
    <row r="187" spans="1:11" ht="14.1" customHeight="1" x14ac:dyDescent="0.2">
      <c r="A187" s="143" t="s">
        <v>9</v>
      </c>
      <c r="B187" s="127" t="s">
        <v>840</v>
      </c>
      <c r="C187" s="146">
        <v>13.5486</v>
      </c>
      <c r="D187" s="146">
        <v>13.782500000000001</v>
      </c>
      <c r="E187" s="143" t="s">
        <v>9</v>
      </c>
      <c r="F187" s="147" t="s">
        <v>9</v>
      </c>
      <c r="G187" s="148" t="s">
        <v>9</v>
      </c>
    </row>
    <row r="188" spans="1:11" customFormat="1" ht="29.1" customHeight="1" x14ac:dyDescent="0.2">
      <c r="A188" s="143" t="s">
        <v>9</v>
      </c>
      <c r="B188" s="143" t="s">
        <v>9</v>
      </c>
      <c r="C188" s="143" t="s">
        <v>9</v>
      </c>
      <c r="D188" s="143" t="s">
        <v>9</v>
      </c>
      <c r="E188" s="143" t="s">
        <v>9</v>
      </c>
      <c r="F188" s="143" t="s">
        <v>9</v>
      </c>
      <c r="G188" s="143" t="s">
        <v>9</v>
      </c>
      <c r="H188" s="123"/>
      <c r="I188" s="123"/>
      <c r="J188" s="123"/>
      <c r="K188" s="123"/>
    </row>
    <row r="189" spans="1:11" s="166" customFormat="1" ht="15" x14ac:dyDescent="0.2">
      <c r="A189" s="167" t="s">
        <v>9</v>
      </c>
      <c r="B189" s="207" t="s">
        <v>986</v>
      </c>
      <c r="C189" s="207"/>
      <c r="D189" s="160"/>
      <c r="E189" s="167" t="s">
        <v>9</v>
      </c>
      <c r="F189" s="167" t="s">
        <v>9</v>
      </c>
      <c r="G189" s="167" t="s">
        <v>9</v>
      </c>
      <c r="H189" s="123"/>
      <c r="I189" s="123"/>
      <c r="J189" s="123"/>
      <c r="K189" s="123"/>
    </row>
    <row r="190" spans="1:11" customFormat="1" ht="17.100000000000001" customHeight="1" x14ac:dyDescent="0.2">
      <c r="A190" s="148" t="s">
        <v>9</v>
      </c>
      <c r="B190" s="161" t="s">
        <v>143</v>
      </c>
      <c r="C190" s="161" t="s">
        <v>878</v>
      </c>
      <c r="D190" s="161" t="s">
        <v>879</v>
      </c>
      <c r="E190" s="148" t="s">
        <v>9</v>
      </c>
      <c r="F190" s="148" t="s">
        <v>9</v>
      </c>
      <c r="G190" s="148" t="s">
        <v>9</v>
      </c>
      <c r="H190" s="123"/>
      <c r="I190" s="123"/>
      <c r="J190" s="123"/>
      <c r="K190" s="123"/>
    </row>
    <row r="191" spans="1:11" customFormat="1" ht="29.1" customHeight="1" x14ac:dyDescent="0.2">
      <c r="A191" s="24" t="s">
        <v>9</v>
      </c>
      <c r="B191" s="162" t="s">
        <v>839</v>
      </c>
      <c r="C191" s="163">
        <v>0.97899999999999998</v>
      </c>
      <c r="D191" s="163">
        <v>0</v>
      </c>
      <c r="E191" s="24" t="s">
        <v>9</v>
      </c>
      <c r="F191" s="31" t="s">
        <v>9</v>
      </c>
      <c r="G191" s="27" t="s">
        <v>9</v>
      </c>
      <c r="H191" s="123"/>
      <c r="I191" s="123"/>
      <c r="J191" s="123"/>
      <c r="K191" s="123"/>
    </row>
    <row r="192" spans="1:11" ht="14.1" customHeight="1" x14ac:dyDescent="0.2">
      <c r="A192" s="24" t="s">
        <v>9</v>
      </c>
      <c r="B192" s="162" t="s">
        <v>840</v>
      </c>
      <c r="C192" s="163">
        <v>0.95499999999999996</v>
      </c>
      <c r="D192" s="163">
        <v>0.95499999999999996</v>
      </c>
      <c r="E192" s="24" t="s">
        <v>9</v>
      </c>
      <c r="F192" s="31" t="s">
        <v>9</v>
      </c>
      <c r="G192" s="27" t="s">
        <v>9</v>
      </c>
    </row>
    <row r="193" spans="1:7" ht="14.1" customHeight="1" x14ac:dyDescent="0.2">
      <c r="A193" s="143" t="s">
        <v>9</v>
      </c>
      <c r="B193" s="149" t="s">
        <v>9</v>
      </c>
      <c r="C193" s="149" t="s">
        <v>9</v>
      </c>
      <c r="D193" s="150" t="s">
        <v>9</v>
      </c>
      <c r="E193" s="143" t="s">
        <v>9</v>
      </c>
      <c r="F193" s="147" t="s">
        <v>9</v>
      </c>
      <c r="G193" s="148" t="s">
        <v>9</v>
      </c>
    </row>
    <row r="194" spans="1:7" s="197" customFormat="1" x14ac:dyDescent="0.2">
      <c r="B194" s="208" t="s">
        <v>841</v>
      </c>
      <c r="C194" s="208"/>
      <c r="D194" s="208"/>
      <c r="E194" s="208"/>
      <c r="F194" s="208"/>
    </row>
    <row r="195" spans="1:7" x14ac:dyDescent="0.2">
      <c r="A195" s="143"/>
      <c r="B195" s="183"/>
      <c r="C195" s="183"/>
      <c r="D195" s="143"/>
      <c r="E195" s="143"/>
      <c r="F195" s="143"/>
      <c r="G195" s="143"/>
    </row>
    <row r="196" spans="1:7" ht="29.1" customHeight="1" x14ac:dyDescent="0.2">
      <c r="A196" s="143" t="s">
        <v>9</v>
      </c>
      <c r="B196" s="215" t="s">
        <v>148</v>
      </c>
      <c r="C196" s="216"/>
      <c r="D196" s="4" t="s">
        <v>994</v>
      </c>
      <c r="E196" s="151" t="s">
        <v>9</v>
      </c>
      <c r="F196" s="143" t="s">
        <v>9</v>
      </c>
      <c r="G196" s="143" t="s">
        <v>9</v>
      </c>
    </row>
    <row r="197" spans="1:7" ht="26.25" customHeight="1" x14ac:dyDescent="0.2">
      <c r="A197" s="143" t="s">
        <v>9</v>
      </c>
      <c r="B197" s="215" t="s">
        <v>149</v>
      </c>
      <c r="C197" s="216"/>
      <c r="D197" s="125" t="s">
        <v>138</v>
      </c>
      <c r="E197" s="151" t="s">
        <v>9</v>
      </c>
      <c r="F197" s="143" t="s">
        <v>9</v>
      </c>
      <c r="G197" s="143" t="s">
        <v>9</v>
      </c>
    </row>
    <row r="198" spans="1:7" ht="17.100000000000001" customHeight="1" x14ac:dyDescent="0.2">
      <c r="A198" s="143" t="s">
        <v>9</v>
      </c>
      <c r="B198" s="212" t="s">
        <v>992</v>
      </c>
      <c r="C198" s="213"/>
      <c r="D198" s="152">
        <v>1.4343939336070675</v>
      </c>
      <c r="E198" s="151" t="s">
        <v>9</v>
      </c>
      <c r="F198" s="143" t="s">
        <v>9</v>
      </c>
      <c r="G198" s="143" t="s">
        <v>9</v>
      </c>
    </row>
    <row r="199" spans="1:7" ht="17.100000000000001" customHeight="1" x14ac:dyDescent="0.2">
      <c r="A199" s="143" t="s">
        <v>9</v>
      </c>
      <c r="B199" s="212" t="s">
        <v>993</v>
      </c>
      <c r="C199" s="213"/>
      <c r="D199" s="152">
        <v>1.3474034946857458</v>
      </c>
      <c r="E199" s="151" t="s">
        <v>9</v>
      </c>
      <c r="F199" s="143" t="s">
        <v>9</v>
      </c>
      <c r="G199" s="143" t="s">
        <v>9</v>
      </c>
    </row>
    <row r="200" spans="1:7" ht="17.100000000000001" customHeight="1" x14ac:dyDescent="0.2">
      <c r="A200" s="143" t="s">
        <v>9</v>
      </c>
      <c r="B200" s="215" t="s">
        <v>880</v>
      </c>
      <c r="C200" s="216"/>
      <c r="D200" s="125" t="s">
        <v>138</v>
      </c>
      <c r="E200" s="151" t="s">
        <v>9</v>
      </c>
      <c r="F200" s="143" t="s">
        <v>9</v>
      </c>
      <c r="G200" s="143" t="s">
        <v>9</v>
      </c>
    </row>
    <row r="201" spans="1:7" x14ac:dyDescent="0.2">
      <c r="A201" s="143" t="s">
        <v>9</v>
      </c>
      <c r="B201" s="215" t="s">
        <v>997</v>
      </c>
      <c r="C201" s="216"/>
      <c r="D201" s="153">
        <v>3.6306359481477948</v>
      </c>
      <c r="E201" s="143" t="s">
        <v>9</v>
      </c>
      <c r="F201" s="147" t="s">
        <v>9</v>
      </c>
      <c r="G201" s="148" t="s">
        <v>9</v>
      </c>
    </row>
    <row r="202" spans="1:7" x14ac:dyDescent="0.2">
      <c r="A202" s="154"/>
      <c r="B202" s="154"/>
      <c r="C202" s="154"/>
      <c r="D202" s="154"/>
      <c r="E202" s="154"/>
      <c r="F202" s="154"/>
      <c r="G202" s="154"/>
    </row>
  </sheetData>
  <mergeCells count="18">
    <mergeCell ref="B181:C181"/>
    <mergeCell ref="B189:C189"/>
    <mergeCell ref="B199:C199"/>
    <mergeCell ref="B200:C200"/>
    <mergeCell ref="B201:C201"/>
    <mergeCell ref="B194:F194"/>
    <mergeCell ref="A1:H1"/>
    <mergeCell ref="A2:H2"/>
    <mergeCell ref="A3:H3"/>
    <mergeCell ref="B197:C197"/>
    <mergeCell ref="B198:C198"/>
    <mergeCell ref="B196:C196"/>
    <mergeCell ref="B174:F174"/>
    <mergeCell ref="B175:F175"/>
    <mergeCell ref="B176:F176"/>
    <mergeCell ref="B178:D178"/>
    <mergeCell ref="B179:C179"/>
    <mergeCell ref="B180:C18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57C1-4349-44BF-A712-6E815F931AAE}">
  <sheetPr>
    <outlinePr summaryBelow="0" summaryRight="0"/>
  </sheetPr>
  <dimension ref="A1:I171"/>
  <sheetViews>
    <sheetView showGridLines="0" workbookViewId="0">
      <selection activeCell="A4" sqref="A4"/>
    </sheetView>
  </sheetViews>
  <sheetFormatPr defaultRowHeight="12.75" x14ac:dyDescent="0.2"/>
  <cols>
    <col min="1" max="1" width="5.85546875" style="123" bestFit="1" customWidth="1"/>
    <col min="2" max="2" width="19.28515625" style="123" bestFit="1" customWidth="1"/>
    <col min="3" max="3" width="41.140625" style="123" bestFit="1" customWidth="1"/>
    <col min="4" max="4" width="22.42578125" style="123" bestFit="1" customWidth="1"/>
    <col min="5" max="5" width="8.7109375" style="123" bestFit="1" customWidth="1"/>
    <col min="6" max="6" width="10.140625" style="123" bestFit="1" customWidth="1"/>
    <col min="7" max="7" width="14" style="123" bestFit="1" customWidth="1"/>
    <col min="8" max="8" width="8.42578125" style="123" bestFit="1" customWidth="1"/>
    <col min="9" max="9" width="10.28515625" style="123" customWidth="1"/>
    <col min="10" max="252" width="9.140625" style="123"/>
    <col min="253" max="253" width="6.85546875" style="123" customWidth="1"/>
    <col min="254" max="254" width="20.5703125" style="123" customWidth="1"/>
    <col min="255" max="255" width="34.28515625" style="123" customWidth="1"/>
    <col min="256" max="256" width="17.85546875" style="123" customWidth="1"/>
    <col min="257" max="258" width="19.140625" style="123" customWidth="1"/>
    <col min="259" max="259" width="16.42578125" style="123" customWidth="1"/>
    <col min="260" max="508" width="9.140625" style="123"/>
    <col min="509" max="509" width="6.85546875" style="123" customWidth="1"/>
    <col min="510" max="510" width="20.5703125" style="123" customWidth="1"/>
    <col min="511" max="511" width="34.28515625" style="123" customWidth="1"/>
    <col min="512" max="512" width="17.85546875" style="123" customWidth="1"/>
    <col min="513" max="514" width="19.140625" style="123" customWidth="1"/>
    <col min="515" max="515" width="16.42578125" style="123" customWidth="1"/>
    <col min="516" max="764" width="9.140625" style="123"/>
    <col min="765" max="765" width="6.85546875" style="123" customWidth="1"/>
    <col min="766" max="766" width="20.5703125" style="123" customWidth="1"/>
    <col min="767" max="767" width="34.28515625" style="123" customWidth="1"/>
    <col min="768" max="768" width="17.85546875" style="123" customWidth="1"/>
    <col min="769" max="770" width="19.140625" style="123" customWidth="1"/>
    <col min="771" max="771" width="16.42578125" style="123" customWidth="1"/>
    <col min="772" max="1020" width="9.140625" style="123"/>
    <col min="1021" max="1021" width="6.85546875" style="123" customWidth="1"/>
    <col min="1022" max="1022" width="20.5703125" style="123" customWidth="1"/>
    <col min="1023" max="1023" width="34.28515625" style="123" customWidth="1"/>
    <col min="1024" max="1024" width="17.85546875" style="123" customWidth="1"/>
    <col min="1025" max="1026" width="19.140625" style="123" customWidth="1"/>
    <col min="1027" max="1027" width="16.42578125" style="123" customWidth="1"/>
    <col min="1028" max="1276" width="9.140625" style="123"/>
    <col min="1277" max="1277" width="6.85546875" style="123" customWidth="1"/>
    <col min="1278" max="1278" width="20.5703125" style="123" customWidth="1"/>
    <col min="1279" max="1279" width="34.28515625" style="123" customWidth="1"/>
    <col min="1280" max="1280" width="17.85546875" style="123" customWidth="1"/>
    <col min="1281" max="1282" width="19.140625" style="123" customWidth="1"/>
    <col min="1283" max="1283" width="16.42578125" style="123" customWidth="1"/>
    <col min="1284" max="1532" width="9.140625" style="123"/>
    <col min="1533" max="1533" width="6.85546875" style="123" customWidth="1"/>
    <col min="1534" max="1534" width="20.5703125" style="123" customWidth="1"/>
    <col min="1535" max="1535" width="34.28515625" style="123" customWidth="1"/>
    <col min="1536" max="1536" width="17.85546875" style="123" customWidth="1"/>
    <col min="1537" max="1538" width="19.140625" style="123" customWidth="1"/>
    <col min="1539" max="1539" width="16.42578125" style="123" customWidth="1"/>
    <col min="1540" max="1788" width="9.140625" style="123"/>
    <col min="1789" max="1789" width="6.85546875" style="123" customWidth="1"/>
    <col min="1790" max="1790" width="20.5703125" style="123" customWidth="1"/>
    <col min="1791" max="1791" width="34.28515625" style="123" customWidth="1"/>
    <col min="1792" max="1792" width="17.85546875" style="123" customWidth="1"/>
    <col min="1793" max="1794" width="19.140625" style="123" customWidth="1"/>
    <col min="1795" max="1795" width="16.42578125" style="123" customWidth="1"/>
    <col min="1796" max="2044" width="9.140625" style="123"/>
    <col min="2045" max="2045" width="6.85546875" style="123" customWidth="1"/>
    <col min="2046" max="2046" width="20.5703125" style="123" customWidth="1"/>
    <col min="2047" max="2047" width="34.28515625" style="123" customWidth="1"/>
    <col min="2048" max="2048" width="17.85546875" style="123" customWidth="1"/>
    <col min="2049" max="2050" width="19.140625" style="123" customWidth="1"/>
    <col min="2051" max="2051" width="16.42578125" style="123" customWidth="1"/>
    <col min="2052" max="2300" width="9.140625" style="123"/>
    <col min="2301" max="2301" width="6.85546875" style="123" customWidth="1"/>
    <col min="2302" max="2302" width="20.5703125" style="123" customWidth="1"/>
    <col min="2303" max="2303" width="34.28515625" style="123" customWidth="1"/>
    <col min="2304" max="2304" width="17.85546875" style="123" customWidth="1"/>
    <col min="2305" max="2306" width="19.140625" style="123" customWidth="1"/>
    <col min="2307" max="2307" width="16.42578125" style="123" customWidth="1"/>
    <col min="2308" max="2556" width="9.140625" style="123"/>
    <col min="2557" max="2557" width="6.85546875" style="123" customWidth="1"/>
    <col min="2558" max="2558" width="20.5703125" style="123" customWidth="1"/>
    <col min="2559" max="2559" width="34.28515625" style="123" customWidth="1"/>
    <col min="2560" max="2560" width="17.85546875" style="123" customWidth="1"/>
    <col min="2561" max="2562" width="19.140625" style="123" customWidth="1"/>
    <col min="2563" max="2563" width="16.42578125" style="123" customWidth="1"/>
    <col min="2564" max="2812" width="9.140625" style="123"/>
    <col min="2813" max="2813" width="6.85546875" style="123" customWidth="1"/>
    <col min="2814" max="2814" width="20.5703125" style="123" customWidth="1"/>
    <col min="2815" max="2815" width="34.28515625" style="123" customWidth="1"/>
    <col min="2816" max="2816" width="17.85546875" style="123" customWidth="1"/>
    <col min="2817" max="2818" width="19.140625" style="123" customWidth="1"/>
    <col min="2819" max="2819" width="16.42578125" style="123" customWidth="1"/>
    <col min="2820" max="3068" width="9.140625" style="123"/>
    <col min="3069" max="3069" width="6.85546875" style="123" customWidth="1"/>
    <col min="3070" max="3070" width="20.5703125" style="123" customWidth="1"/>
    <col min="3071" max="3071" width="34.28515625" style="123" customWidth="1"/>
    <col min="3072" max="3072" width="17.85546875" style="123" customWidth="1"/>
    <col min="3073" max="3074" width="19.140625" style="123" customWidth="1"/>
    <col min="3075" max="3075" width="16.42578125" style="123" customWidth="1"/>
    <col min="3076" max="3324" width="9.140625" style="123"/>
    <col min="3325" max="3325" width="6.85546875" style="123" customWidth="1"/>
    <col min="3326" max="3326" width="20.5703125" style="123" customWidth="1"/>
    <col min="3327" max="3327" width="34.28515625" style="123" customWidth="1"/>
    <col min="3328" max="3328" width="17.85546875" style="123" customWidth="1"/>
    <col min="3329" max="3330" width="19.140625" style="123" customWidth="1"/>
    <col min="3331" max="3331" width="16.42578125" style="123" customWidth="1"/>
    <col min="3332" max="3580" width="9.140625" style="123"/>
    <col min="3581" max="3581" width="6.85546875" style="123" customWidth="1"/>
    <col min="3582" max="3582" width="20.5703125" style="123" customWidth="1"/>
    <col min="3583" max="3583" width="34.28515625" style="123" customWidth="1"/>
    <col min="3584" max="3584" width="17.85546875" style="123" customWidth="1"/>
    <col min="3585" max="3586" width="19.140625" style="123" customWidth="1"/>
    <col min="3587" max="3587" width="16.42578125" style="123" customWidth="1"/>
    <col min="3588" max="3836" width="9.140625" style="123"/>
    <col min="3837" max="3837" width="6.85546875" style="123" customWidth="1"/>
    <col min="3838" max="3838" width="20.5703125" style="123" customWidth="1"/>
    <col min="3839" max="3839" width="34.28515625" style="123" customWidth="1"/>
    <col min="3840" max="3840" width="17.85546875" style="123" customWidth="1"/>
    <col min="3841" max="3842" width="19.140625" style="123" customWidth="1"/>
    <col min="3843" max="3843" width="16.42578125" style="123" customWidth="1"/>
    <col min="3844" max="4092" width="9.140625" style="123"/>
    <col min="4093" max="4093" width="6.85546875" style="123" customWidth="1"/>
    <col min="4094" max="4094" width="20.5703125" style="123" customWidth="1"/>
    <col min="4095" max="4095" width="34.28515625" style="123" customWidth="1"/>
    <col min="4096" max="4096" width="17.85546875" style="123" customWidth="1"/>
    <col min="4097" max="4098" width="19.140625" style="123" customWidth="1"/>
    <col min="4099" max="4099" width="16.42578125" style="123" customWidth="1"/>
    <col min="4100" max="4348" width="9.140625" style="123"/>
    <col min="4349" max="4349" width="6.85546875" style="123" customWidth="1"/>
    <col min="4350" max="4350" width="20.5703125" style="123" customWidth="1"/>
    <col min="4351" max="4351" width="34.28515625" style="123" customWidth="1"/>
    <col min="4352" max="4352" width="17.85546875" style="123" customWidth="1"/>
    <col min="4353" max="4354" width="19.140625" style="123" customWidth="1"/>
    <col min="4355" max="4355" width="16.42578125" style="123" customWidth="1"/>
    <col min="4356" max="4604" width="9.140625" style="123"/>
    <col min="4605" max="4605" width="6.85546875" style="123" customWidth="1"/>
    <col min="4606" max="4606" width="20.5703125" style="123" customWidth="1"/>
    <col min="4607" max="4607" width="34.28515625" style="123" customWidth="1"/>
    <col min="4608" max="4608" width="17.85546875" style="123" customWidth="1"/>
    <col min="4609" max="4610" width="19.140625" style="123" customWidth="1"/>
    <col min="4611" max="4611" width="16.42578125" style="123" customWidth="1"/>
    <col min="4612" max="4860" width="9.140625" style="123"/>
    <col min="4861" max="4861" width="6.85546875" style="123" customWidth="1"/>
    <col min="4862" max="4862" width="20.5703125" style="123" customWidth="1"/>
    <col min="4863" max="4863" width="34.28515625" style="123" customWidth="1"/>
    <col min="4864" max="4864" width="17.85546875" style="123" customWidth="1"/>
    <col min="4865" max="4866" width="19.140625" style="123" customWidth="1"/>
    <col min="4867" max="4867" width="16.42578125" style="123" customWidth="1"/>
    <col min="4868" max="5116" width="9.140625" style="123"/>
    <col min="5117" max="5117" width="6.85546875" style="123" customWidth="1"/>
    <col min="5118" max="5118" width="20.5703125" style="123" customWidth="1"/>
    <col min="5119" max="5119" width="34.28515625" style="123" customWidth="1"/>
    <col min="5120" max="5120" width="17.85546875" style="123" customWidth="1"/>
    <col min="5121" max="5122" width="19.140625" style="123" customWidth="1"/>
    <col min="5123" max="5123" width="16.42578125" style="123" customWidth="1"/>
    <col min="5124" max="5372" width="9.140625" style="123"/>
    <col min="5373" max="5373" width="6.85546875" style="123" customWidth="1"/>
    <col min="5374" max="5374" width="20.5703125" style="123" customWidth="1"/>
    <col min="5375" max="5375" width="34.28515625" style="123" customWidth="1"/>
    <col min="5376" max="5376" width="17.85546875" style="123" customWidth="1"/>
    <col min="5377" max="5378" width="19.140625" style="123" customWidth="1"/>
    <col min="5379" max="5379" width="16.42578125" style="123" customWidth="1"/>
    <col min="5380" max="5628" width="9.140625" style="123"/>
    <col min="5629" max="5629" width="6.85546875" style="123" customWidth="1"/>
    <col min="5630" max="5630" width="20.5703125" style="123" customWidth="1"/>
    <col min="5631" max="5631" width="34.28515625" style="123" customWidth="1"/>
    <col min="5632" max="5632" width="17.85546875" style="123" customWidth="1"/>
    <col min="5633" max="5634" width="19.140625" style="123" customWidth="1"/>
    <col min="5635" max="5635" width="16.42578125" style="123" customWidth="1"/>
    <col min="5636" max="5884" width="9.140625" style="123"/>
    <col min="5885" max="5885" width="6.85546875" style="123" customWidth="1"/>
    <col min="5886" max="5886" width="20.5703125" style="123" customWidth="1"/>
    <col min="5887" max="5887" width="34.28515625" style="123" customWidth="1"/>
    <col min="5888" max="5888" width="17.85546875" style="123" customWidth="1"/>
    <col min="5889" max="5890" width="19.140625" style="123" customWidth="1"/>
    <col min="5891" max="5891" width="16.42578125" style="123" customWidth="1"/>
    <col min="5892" max="6140" width="9.140625" style="123"/>
    <col min="6141" max="6141" width="6.85546875" style="123" customWidth="1"/>
    <col min="6142" max="6142" width="20.5703125" style="123" customWidth="1"/>
    <col min="6143" max="6143" width="34.28515625" style="123" customWidth="1"/>
    <col min="6144" max="6144" width="17.85546875" style="123" customWidth="1"/>
    <col min="6145" max="6146" width="19.140625" style="123" customWidth="1"/>
    <col min="6147" max="6147" width="16.42578125" style="123" customWidth="1"/>
    <col min="6148" max="6396" width="9.140625" style="123"/>
    <col min="6397" max="6397" width="6.85546875" style="123" customWidth="1"/>
    <col min="6398" max="6398" width="20.5703125" style="123" customWidth="1"/>
    <col min="6399" max="6399" width="34.28515625" style="123" customWidth="1"/>
    <col min="6400" max="6400" width="17.85546875" style="123" customWidth="1"/>
    <col min="6401" max="6402" width="19.140625" style="123" customWidth="1"/>
    <col min="6403" max="6403" width="16.42578125" style="123" customWidth="1"/>
    <col min="6404" max="6652" width="9.140625" style="123"/>
    <col min="6653" max="6653" width="6.85546875" style="123" customWidth="1"/>
    <col min="6654" max="6654" width="20.5703125" style="123" customWidth="1"/>
    <col min="6655" max="6655" width="34.28515625" style="123" customWidth="1"/>
    <col min="6656" max="6656" width="17.85546875" style="123" customWidth="1"/>
    <col min="6657" max="6658" width="19.140625" style="123" customWidth="1"/>
    <col min="6659" max="6659" width="16.42578125" style="123" customWidth="1"/>
    <col min="6660" max="6908" width="9.140625" style="123"/>
    <col min="6909" max="6909" width="6.85546875" style="123" customWidth="1"/>
    <col min="6910" max="6910" width="20.5703125" style="123" customWidth="1"/>
    <col min="6911" max="6911" width="34.28515625" style="123" customWidth="1"/>
    <col min="6912" max="6912" width="17.85546875" style="123" customWidth="1"/>
    <col min="6913" max="6914" width="19.140625" style="123" customWidth="1"/>
    <col min="6915" max="6915" width="16.42578125" style="123" customWidth="1"/>
    <col min="6916" max="7164" width="9.140625" style="123"/>
    <col min="7165" max="7165" width="6.85546875" style="123" customWidth="1"/>
    <col min="7166" max="7166" width="20.5703125" style="123" customWidth="1"/>
    <col min="7167" max="7167" width="34.28515625" style="123" customWidth="1"/>
    <col min="7168" max="7168" width="17.85546875" style="123" customWidth="1"/>
    <col min="7169" max="7170" width="19.140625" style="123" customWidth="1"/>
    <col min="7171" max="7171" width="16.42578125" style="123" customWidth="1"/>
    <col min="7172" max="7420" width="9.140625" style="123"/>
    <col min="7421" max="7421" width="6.85546875" style="123" customWidth="1"/>
    <col min="7422" max="7422" width="20.5703125" style="123" customWidth="1"/>
    <col min="7423" max="7423" width="34.28515625" style="123" customWidth="1"/>
    <col min="7424" max="7424" width="17.85546875" style="123" customWidth="1"/>
    <col min="7425" max="7426" width="19.140625" style="123" customWidth="1"/>
    <col min="7427" max="7427" width="16.42578125" style="123" customWidth="1"/>
    <col min="7428" max="7676" width="9.140625" style="123"/>
    <col min="7677" max="7677" width="6.85546875" style="123" customWidth="1"/>
    <col min="7678" max="7678" width="20.5703125" style="123" customWidth="1"/>
    <col min="7679" max="7679" width="34.28515625" style="123" customWidth="1"/>
    <col min="7680" max="7680" width="17.85546875" style="123" customWidth="1"/>
    <col min="7681" max="7682" width="19.140625" style="123" customWidth="1"/>
    <col min="7683" max="7683" width="16.42578125" style="123" customWidth="1"/>
    <col min="7684" max="7932" width="9.140625" style="123"/>
    <col min="7933" max="7933" width="6.85546875" style="123" customWidth="1"/>
    <col min="7934" max="7934" width="20.5703125" style="123" customWidth="1"/>
    <col min="7935" max="7935" width="34.28515625" style="123" customWidth="1"/>
    <col min="7936" max="7936" width="17.85546875" style="123" customWidth="1"/>
    <col min="7937" max="7938" width="19.140625" style="123" customWidth="1"/>
    <col min="7939" max="7939" width="16.42578125" style="123" customWidth="1"/>
    <col min="7940" max="8188" width="9.140625" style="123"/>
    <col min="8189" max="8189" width="6.85546875" style="123" customWidth="1"/>
    <col min="8190" max="8190" width="20.5703125" style="123" customWidth="1"/>
    <col min="8191" max="8191" width="34.28515625" style="123" customWidth="1"/>
    <col min="8192" max="8192" width="17.85546875" style="123" customWidth="1"/>
    <col min="8193" max="8194" width="19.140625" style="123" customWidth="1"/>
    <col min="8195" max="8195" width="16.42578125" style="123" customWidth="1"/>
    <col min="8196" max="8444" width="9.140625" style="123"/>
    <col min="8445" max="8445" width="6.85546875" style="123" customWidth="1"/>
    <col min="8446" max="8446" width="20.5703125" style="123" customWidth="1"/>
    <col min="8447" max="8447" width="34.28515625" style="123" customWidth="1"/>
    <col min="8448" max="8448" width="17.85546875" style="123" customWidth="1"/>
    <col min="8449" max="8450" width="19.140625" style="123" customWidth="1"/>
    <col min="8451" max="8451" width="16.42578125" style="123" customWidth="1"/>
    <col min="8452" max="8700" width="9.140625" style="123"/>
    <col min="8701" max="8701" width="6.85546875" style="123" customWidth="1"/>
    <col min="8702" max="8702" width="20.5703125" style="123" customWidth="1"/>
    <col min="8703" max="8703" width="34.28515625" style="123" customWidth="1"/>
    <col min="8704" max="8704" width="17.85546875" style="123" customWidth="1"/>
    <col min="8705" max="8706" width="19.140625" style="123" customWidth="1"/>
    <col min="8707" max="8707" width="16.42578125" style="123" customWidth="1"/>
    <col min="8708" max="8956" width="9.140625" style="123"/>
    <col min="8957" max="8957" width="6.85546875" style="123" customWidth="1"/>
    <col min="8958" max="8958" width="20.5703125" style="123" customWidth="1"/>
    <col min="8959" max="8959" width="34.28515625" style="123" customWidth="1"/>
    <col min="8960" max="8960" width="17.85546875" style="123" customWidth="1"/>
    <col min="8961" max="8962" width="19.140625" style="123" customWidth="1"/>
    <col min="8963" max="8963" width="16.42578125" style="123" customWidth="1"/>
    <col min="8964" max="9212" width="9.140625" style="123"/>
    <col min="9213" max="9213" width="6.85546875" style="123" customWidth="1"/>
    <col min="9214" max="9214" width="20.5703125" style="123" customWidth="1"/>
    <col min="9215" max="9215" width="34.28515625" style="123" customWidth="1"/>
    <col min="9216" max="9216" width="17.85546875" style="123" customWidth="1"/>
    <col min="9217" max="9218" width="19.140625" style="123" customWidth="1"/>
    <col min="9219" max="9219" width="16.42578125" style="123" customWidth="1"/>
    <col min="9220" max="9468" width="9.140625" style="123"/>
    <col min="9469" max="9469" width="6.85546875" style="123" customWidth="1"/>
    <col min="9470" max="9470" width="20.5703125" style="123" customWidth="1"/>
    <col min="9471" max="9471" width="34.28515625" style="123" customWidth="1"/>
    <col min="9472" max="9472" width="17.85546875" style="123" customWidth="1"/>
    <col min="9473" max="9474" width="19.140625" style="123" customWidth="1"/>
    <col min="9475" max="9475" width="16.42578125" style="123" customWidth="1"/>
    <col min="9476" max="9724" width="9.140625" style="123"/>
    <col min="9725" max="9725" width="6.85546875" style="123" customWidth="1"/>
    <col min="9726" max="9726" width="20.5703125" style="123" customWidth="1"/>
    <col min="9727" max="9727" width="34.28515625" style="123" customWidth="1"/>
    <col min="9728" max="9728" width="17.85546875" style="123" customWidth="1"/>
    <col min="9729" max="9730" width="19.140625" style="123" customWidth="1"/>
    <col min="9731" max="9731" width="16.42578125" style="123" customWidth="1"/>
    <col min="9732" max="9980" width="9.140625" style="123"/>
    <col min="9981" max="9981" width="6.85546875" style="123" customWidth="1"/>
    <col min="9982" max="9982" width="20.5703125" style="123" customWidth="1"/>
    <col min="9983" max="9983" width="34.28515625" style="123" customWidth="1"/>
    <col min="9984" max="9984" width="17.85546875" style="123" customWidth="1"/>
    <col min="9985" max="9986" width="19.140625" style="123" customWidth="1"/>
    <col min="9987" max="9987" width="16.42578125" style="123" customWidth="1"/>
    <col min="9988" max="10236" width="9.140625" style="123"/>
    <col min="10237" max="10237" width="6.85546875" style="123" customWidth="1"/>
    <col min="10238" max="10238" width="20.5703125" style="123" customWidth="1"/>
    <col min="10239" max="10239" width="34.28515625" style="123" customWidth="1"/>
    <col min="10240" max="10240" width="17.85546875" style="123" customWidth="1"/>
    <col min="10241" max="10242" width="19.140625" style="123" customWidth="1"/>
    <col min="10243" max="10243" width="16.42578125" style="123" customWidth="1"/>
    <col min="10244" max="10492" width="9.140625" style="123"/>
    <col min="10493" max="10493" width="6.85546875" style="123" customWidth="1"/>
    <col min="10494" max="10494" width="20.5703125" style="123" customWidth="1"/>
    <col min="10495" max="10495" width="34.28515625" style="123" customWidth="1"/>
    <col min="10496" max="10496" width="17.85546875" style="123" customWidth="1"/>
    <col min="10497" max="10498" width="19.140625" style="123" customWidth="1"/>
    <col min="10499" max="10499" width="16.42578125" style="123" customWidth="1"/>
    <col min="10500" max="10748" width="9.140625" style="123"/>
    <col min="10749" max="10749" width="6.85546875" style="123" customWidth="1"/>
    <col min="10750" max="10750" width="20.5703125" style="123" customWidth="1"/>
    <col min="10751" max="10751" width="34.28515625" style="123" customWidth="1"/>
    <col min="10752" max="10752" width="17.85546875" style="123" customWidth="1"/>
    <col min="10753" max="10754" width="19.140625" style="123" customWidth="1"/>
    <col min="10755" max="10755" width="16.42578125" style="123" customWidth="1"/>
    <col min="10756" max="11004" width="9.140625" style="123"/>
    <col min="11005" max="11005" width="6.85546875" style="123" customWidth="1"/>
    <col min="11006" max="11006" width="20.5703125" style="123" customWidth="1"/>
    <col min="11007" max="11007" width="34.28515625" style="123" customWidth="1"/>
    <col min="11008" max="11008" width="17.85546875" style="123" customWidth="1"/>
    <col min="11009" max="11010" width="19.140625" style="123" customWidth="1"/>
    <col min="11011" max="11011" width="16.42578125" style="123" customWidth="1"/>
    <col min="11012" max="11260" width="9.140625" style="123"/>
    <col min="11261" max="11261" width="6.85546875" style="123" customWidth="1"/>
    <col min="11262" max="11262" width="20.5703125" style="123" customWidth="1"/>
    <col min="11263" max="11263" width="34.28515625" style="123" customWidth="1"/>
    <col min="11264" max="11264" width="17.85546875" style="123" customWidth="1"/>
    <col min="11265" max="11266" width="19.140625" style="123" customWidth="1"/>
    <col min="11267" max="11267" width="16.42578125" style="123" customWidth="1"/>
    <col min="11268" max="11516" width="9.140625" style="123"/>
    <col min="11517" max="11517" width="6.85546875" style="123" customWidth="1"/>
    <col min="11518" max="11518" width="20.5703125" style="123" customWidth="1"/>
    <col min="11519" max="11519" width="34.28515625" style="123" customWidth="1"/>
    <col min="11520" max="11520" width="17.85546875" style="123" customWidth="1"/>
    <col min="11521" max="11522" width="19.140625" style="123" customWidth="1"/>
    <col min="11523" max="11523" width="16.42578125" style="123" customWidth="1"/>
    <col min="11524" max="11772" width="9.140625" style="123"/>
    <col min="11773" max="11773" width="6.85546875" style="123" customWidth="1"/>
    <col min="11774" max="11774" width="20.5703125" style="123" customWidth="1"/>
    <col min="11775" max="11775" width="34.28515625" style="123" customWidth="1"/>
    <col min="11776" max="11776" width="17.85546875" style="123" customWidth="1"/>
    <col min="11777" max="11778" width="19.140625" style="123" customWidth="1"/>
    <col min="11779" max="11779" width="16.42578125" style="123" customWidth="1"/>
    <col min="11780" max="12028" width="9.140625" style="123"/>
    <col min="12029" max="12029" width="6.85546875" style="123" customWidth="1"/>
    <col min="12030" max="12030" width="20.5703125" style="123" customWidth="1"/>
    <col min="12031" max="12031" width="34.28515625" style="123" customWidth="1"/>
    <col min="12032" max="12032" width="17.85546875" style="123" customWidth="1"/>
    <col min="12033" max="12034" width="19.140625" style="123" customWidth="1"/>
    <col min="12035" max="12035" width="16.42578125" style="123" customWidth="1"/>
    <col min="12036" max="12284" width="9.140625" style="123"/>
    <col min="12285" max="12285" width="6.85546875" style="123" customWidth="1"/>
    <col min="12286" max="12286" width="20.5703125" style="123" customWidth="1"/>
    <col min="12287" max="12287" width="34.28515625" style="123" customWidth="1"/>
    <col min="12288" max="12288" width="17.85546875" style="123" customWidth="1"/>
    <col min="12289" max="12290" width="19.140625" style="123" customWidth="1"/>
    <col min="12291" max="12291" width="16.42578125" style="123" customWidth="1"/>
    <col min="12292" max="12540" width="9.140625" style="123"/>
    <col min="12541" max="12541" width="6.85546875" style="123" customWidth="1"/>
    <col min="12542" max="12542" width="20.5703125" style="123" customWidth="1"/>
    <col min="12543" max="12543" width="34.28515625" style="123" customWidth="1"/>
    <col min="12544" max="12544" width="17.85546875" style="123" customWidth="1"/>
    <col min="12545" max="12546" width="19.140625" style="123" customWidth="1"/>
    <col min="12547" max="12547" width="16.42578125" style="123" customWidth="1"/>
    <col min="12548" max="12796" width="9.140625" style="123"/>
    <col min="12797" max="12797" width="6.85546875" style="123" customWidth="1"/>
    <col min="12798" max="12798" width="20.5703125" style="123" customWidth="1"/>
    <col min="12799" max="12799" width="34.28515625" style="123" customWidth="1"/>
    <col min="12800" max="12800" width="17.85546875" style="123" customWidth="1"/>
    <col min="12801" max="12802" width="19.140625" style="123" customWidth="1"/>
    <col min="12803" max="12803" width="16.42578125" style="123" customWidth="1"/>
    <col min="12804" max="13052" width="9.140625" style="123"/>
    <col min="13053" max="13053" width="6.85546875" style="123" customWidth="1"/>
    <col min="13054" max="13054" width="20.5703125" style="123" customWidth="1"/>
    <col min="13055" max="13055" width="34.28515625" style="123" customWidth="1"/>
    <col min="13056" max="13056" width="17.85546875" style="123" customWidth="1"/>
    <col min="13057" max="13058" width="19.140625" style="123" customWidth="1"/>
    <col min="13059" max="13059" width="16.42578125" style="123" customWidth="1"/>
    <col min="13060" max="13308" width="9.140625" style="123"/>
    <col min="13309" max="13309" width="6.85546875" style="123" customWidth="1"/>
    <col min="13310" max="13310" width="20.5703125" style="123" customWidth="1"/>
    <col min="13311" max="13311" width="34.28515625" style="123" customWidth="1"/>
    <col min="13312" max="13312" width="17.85546875" style="123" customWidth="1"/>
    <col min="13313" max="13314" width="19.140625" style="123" customWidth="1"/>
    <col min="13315" max="13315" width="16.42578125" style="123" customWidth="1"/>
    <col min="13316" max="13564" width="9.140625" style="123"/>
    <col min="13565" max="13565" width="6.85546875" style="123" customWidth="1"/>
    <col min="13566" max="13566" width="20.5703125" style="123" customWidth="1"/>
    <col min="13567" max="13567" width="34.28515625" style="123" customWidth="1"/>
    <col min="13568" max="13568" width="17.85546875" style="123" customWidth="1"/>
    <col min="13569" max="13570" width="19.140625" style="123" customWidth="1"/>
    <col min="13571" max="13571" width="16.42578125" style="123" customWidth="1"/>
    <col min="13572" max="13820" width="9.140625" style="123"/>
    <col min="13821" max="13821" width="6.85546875" style="123" customWidth="1"/>
    <col min="13822" max="13822" width="20.5703125" style="123" customWidth="1"/>
    <col min="13823" max="13823" width="34.28515625" style="123" customWidth="1"/>
    <col min="13824" max="13824" width="17.85546875" style="123" customWidth="1"/>
    <col min="13825" max="13826" width="19.140625" style="123" customWidth="1"/>
    <col min="13827" max="13827" width="16.42578125" style="123" customWidth="1"/>
    <col min="13828" max="14076" width="9.140625" style="123"/>
    <col min="14077" max="14077" width="6.85546875" style="123" customWidth="1"/>
    <col min="14078" max="14078" width="20.5703125" style="123" customWidth="1"/>
    <col min="14079" max="14079" width="34.28515625" style="123" customWidth="1"/>
    <col min="14080" max="14080" width="17.85546875" style="123" customWidth="1"/>
    <col min="14081" max="14082" width="19.140625" style="123" customWidth="1"/>
    <col min="14083" max="14083" width="16.42578125" style="123" customWidth="1"/>
    <col min="14084" max="14332" width="9.140625" style="123"/>
    <col min="14333" max="14333" width="6.85546875" style="123" customWidth="1"/>
    <col min="14334" max="14334" width="20.5703125" style="123" customWidth="1"/>
    <col min="14335" max="14335" width="34.28515625" style="123" customWidth="1"/>
    <col min="14336" max="14336" width="17.85546875" style="123" customWidth="1"/>
    <col min="14337" max="14338" width="19.140625" style="123" customWidth="1"/>
    <col min="14339" max="14339" width="16.42578125" style="123" customWidth="1"/>
    <col min="14340" max="14588" width="9.140625" style="123"/>
    <col min="14589" max="14589" width="6.85546875" style="123" customWidth="1"/>
    <col min="14590" max="14590" width="20.5703125" style="123" customWidth="1"/>
    <col min="14591" max="14591" width="34.28515625" style="123" customWidth="1"/>
    <col min="14592" max="14592" width="17.85546875" style="123" customWidth="1"/>
    <col min="14593" max="14594" width="19.140625" style="123" customWidth="1"/>
    <col min="14595" max="14595" width="16.42578125" style="123" customWidth="1"/>
    <col min="14596" max="14844" width="9.140625" style="123"/>
    <col min="14845" max="14845" width="6.85546875" style="123" customWidth="1"/>
    <col min="14846" max="14846" width="20.5703125" style="123" customWidth="1"/>
    <col min="14847" max="14847" width="34.28515625" style="123" customWidth="1"/>
    <col min="14848" max="14848" width="17.85546875" style="123" customWidth="1"/>
    <col min="14849" max="14850" width="19.140625" style="123" customWidth="1"/>
    <col min="14851" max="14851" width="16.42578125" style="123" customWidth="1"/>
    <col min="14852" max="15100" width="9.140625" style="123"/>
    <col min="15101" max="15101" width="6.85546875" style="123" customWidth="1"/>
    <col min="15102" max="15102" width="20.5703125" style="123" customWidth="1"/>
    <col min="15103" max="15103" width="34.28515625" style="123" customWidth="1"/>
    <col min="15104" max="15104" width="17.85546875" style="123" customWidth="1"/>
    <col min="15105" max="15106" width="19.140625" style="123" customWidth="1"/>
    <col min="15107" max="15107" width="16.42578125" style="123" customWidth="1"/>
    <col min="15108" max="15356" width="9.140625" style="123"/>
    <col min="15357" max="15357" width="6.85546875" style="123" customWidth="1"/>
    <col min="15358" max="15358" width="20.5703125" style="123" customWidth="1"/>
    <col min="15359" max="15359" width="34.28515625" style="123" customWidth="1"/>
    <col min="15360" max="15360" width="17.85546875" style="123" customWidth="1"/>
    <col min="15361" max="15362" width="19.140625" style="123" customWidth="1"/>
    <col min="15363" max="15363" width="16.42578125" style="123" customWidth="1"/>
    <col min="15364" max="15612" width="9.140625" style="123"/>
    <col min="15613" max="15613" width="6.85546875" style="123" customWidth="1"/>
    <col min="15614" max="15614" width="20.5703125" style="123" customWidth="1"/>
    <col min="15615" max="15615" width="34.28515625" style="123" customWidth="1"/>
    <col min="15616" max="15616" width="17.85546875" style="123" customWidth="1"/>
    <col min="15617" max="15618" width="19.140625" style="123" customWidth="1"/>
    <col min="15619" max="15619" width="16.42578125" style="123" customWidth="1"/>
    <col min="15620" max="15868" width="9.140625" style="123"/>
    <col min="15869" max="15869" width="6.85546875" style="123" customWidth="1"/>
    <col min="15870" max="15870" width="20.5703125" style="123" customWidth="1"/>
    <col min="15871" max="15871" width="34.28515625" style="123" customWidth="1"/>
    <col min="15872" max="15872" width="17.85546875" style="123" customWidth="1"/>
    <col min="15873" max="15874" width="19.140625" style="123" customWidth="1"/>
    <col min="15875" max="15875" width="16.42578125" style="123" customWidth="1"/>
    <col min="15876" max="16124" width="9.140625" style="123"/>
    <col min="16125" max="16125" width="6.85546875" style="123" customWidth="1"/>
    <col min="16126" max="16126" width="20.5703125" style="123" customWidth="1"/>
    <col min="16127" max="16127" width="34.28515625" style="123" customWidth="1"/>
    <col min="16128" max="16128" width="17.85546875" style="123" customWidth="1"/>
    <col min="16129" max="16130" width="19.140625" style="123" customWidth="1"/>
    <col min="16131" max="16131" width="16.42578125" style="123" customWidth="1"/>
    <col min="16132" max="16384" width="9.140625" style="123"/>
  </cols>
  <sheetData>
    <row r="1" spans="1:9" ht="15" x14ac:dyDescent="0.2">
      <c r="A1" s="201" t="s">
        <v>0</v>
      </c>
      <c r="B1" s="201"/>
      <c r="C1" s="201"/>
      <c r="D1" s="201"/>
      <c r="E1" s="201"/>
      <c r="F1" s="201"/>
      <c r="G1" s="201"/>
      <c r="H1" s="201"/>
      <c r="I1" s="201"/>
    </row>
    <row r="2" spans="1:9" ht="15" x14ac:dyDescent="0.2">
      <c r="A2" s="201" t="s">
        <v>812</v>
      </c>
      <c r="B2" s="201"/>
      <c r="C2" s="201"/>
      <c r="D2" s="201"/>
      <c r="E2" s="201"/>
      <c r="F2" s="201"/>
      <c r="G2" s="201"/>
      <c r="H2" s="201"/>
      <c r="I2" s="201"/>
    </row>
    <row r="3" spans="1:9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  <c r="I3" s="201"/>
    </row>
    <row r="4" spans="1:9" ht="30.75" customHeight="1" x14ac:dyDescent="0.2">
      <c r="A4" s="193" t="s">
        <v>2</v>
      </c>
      <c r="B4" s="193" t="s">
        <v>3</v>
      </c>
      <c r="C4" s="193" t="s">
        <v>4</v>
      </c>
      <c r="D4" s="193" t="s">
        <v>5</v>
      </c>
      <c r="E4" s="194" t="s">
        <v>6</v>
      </c>
      <c r="F4" s="194" t="s">
        <v>7</v>
      </c>
      <c r="G4" s="194" t="s">
        <v>8</v>
      </c>
      <c r="H4" s="190" t="s">
        <v>827</v>
      </c>
      <c r="I4" s="192" t="s">
        <v>1011</v>
      </c>
    </row>
    <row r="5" spans="1:9" x14ac:dyDescent="0.2">
      <c r="A5" s="124" t="s">
        <v>9</v>
      </c>
      <c r="B5" s="124" t="s">
        <v>9</v>
      </c>
      <c r="C5" s="125" t="s">
        <v>10</v>
      </c>
      <c r="D5" s="124" t="s">
        <v>9</v>
      </c>
      <c r="E5" s="124" t="s">
        <v>9</v>
      </c>
      <c r="F5" s="124" t="s">
        <v>9</v>
      </c>
      <c r="G5" s="124" t="s">
        <v>9</v>
      </c>
      <c r="H5" s="156"/>
      <c r="I5" s="8"/>
    </row>
    <row r="6" spans="1:9" x14ac:dyDescent="0.2">
      <c r="A6" s="124" t="s">
        <v>9</v>
      </c>
      <c r="B6" s="124" t="s">
        <v>9</v>
      </c>
      <c r="C6" s="125" t="s">
        <v>11</v>
      </c>
      <c r="D6" s="124" t="s">
        <v>9</v>
      </c>
      <c r="E6" s="124" t="s">
        <v>9</v>
      </c>
      <c r="F6" s="124" t="s">
        <v>9</v>
      </c>
      <c r="G6" s="124" t="s">
        <v>9</v>
      </c>
      <c r="H6" s="156"/>
      <c r="I6" s="8"/>
    </row>
    <row r="7" spans="1:9" x14ac:dyDescent="0.2">
      <c r="A7" s="126">
        <v>1</v>
      </c>
      <c r="B7" s="127" t="s">
        <v>398</v>
      </c>
      <c r="C7" s="127" t="s">
        <v>399</v>
      </c>
      <c r="D7" s="127" t="s">
        <v>169</v>
      </c>
      <c r="E7" s="128">
        <v>704290</v>
      </c>
      <c r="F7" s="129">
        <v>11133.41632</v>
      </c>
      <c r="G7" s="130">
        <v>6.2153820999999998E-2</v>
      </c>
      <c r="H7" s="156"/>
      <c r="I7" s="8"/>
    </row>
    <row r="8" spans="1:9" x14ac:dyDescent="0.2">
      <c r="A8" s="126">
        <v>2</v>
      </c>
      <c r="B8" s="127" t="s">
        <v>50</v>
      </c>
      <c r="C8" s="127" t="s">
        <v>51</v>
      </c>
      <c r="D8" s="127" t="s">
        <v>22</v>
      </c>
      <c r="E8" s="128">
        <v>613861</v>
      </c>
      <c r="F8" s="129">
        <v>9195.0239189999993</v>
      </c>
      <c r="G8" s="130">
        <v>5.133248E-2</v>
      </c>
      <c r="H8" s="156"/>
      <c r="I8" s="8"/>
    </row>
    <row r="9" spans="1:9" x14ac:dyDescent="0.2">
      <c r="A9" s="126">
        <v>3</v>
      </c>
      <c r="B9" s="127" t="s">
        <v>20</v>
      </c>
      <c r="C9" s="127" t="s">
        <v>21</v>
      </c>
      <c r="D9" s="127" t="s">
        <v>22</v>
      </c>
      <c r="E9" s="128">
        <v>1367321</v>
      </c>
      <c r="F9" s="129">
        <v>8626.4281890000002</v>
      </c>
      <c r="G9" s="130">
        <v>4.8158215999999997E-2</v>
      </c>
      <c r="H9" s="156"/>
      <c r="I9" s="8"/>
    </row>
    <row r="10" spans="1:9" x14ac:dyDescent="0.2">
      <c r="A10" s="126">
        <v>4</v>
      </c>
      <c r="B10" s="127" t="s">
        <v>12</v>
      </c>
      <c r="C10" s="127" t="s">
        <v>13</v>
      </c>
      <c r="D10" s="127" t="s">
        <v>14</v>
      </c>
      <c r="E10" s="128">
        <v>369779</v>
      </c>
      <c r="F10" s="129">
        <v>5548.7187844999999</v>
      </c>
      <c r="G10" s="130">
        <v>3.0976482E-2</v>
      </c>
      <c r="H10" s="156"/>
      <c r="I10" s="8"/>
    </row>
    <row r="11" spans="1:9" x14ac:dyDescent="0.2">
      <c r="A11" s="126">
        <v>5</v>
      </c>
      <c r="B11" s="127" t="s">
        <v>526</v>
      </c>
      <c r="C11" s="127" t="s">
        <v>527</v>
      </c>
      <c r="D11" s="127" t="s">
        <v>22</v>
      </c>
      <c r="E11" s="128">
        <v>1481259</v>
      </c>
      <c r="F11" s="129">
        <v>5142.1906184999998</v>
      </c>
      <c r="G11" s="130">
        <v>2.8706982999999998E-2</v>
      </c>
      <c r="H11" s="156"/>
      <c r="I11" s="8"/>
    </row>
    <row r="12" spans="1:9" x14ac:dyDescent="0.2">
      <c r="A12" s="126">
        <v>6</v>
      </c>
      <c r="B12" s="127" t="s">
        <v>402</v>
      </c>
      <c r="C12" s="127" t="s">
        <v>403</v>
      </c>
      <c r="D12" s="127" t="s">
        <v>22</v>
      </c>
      <c r="E12" s="128">
        <v>1190548</v>
      </c>
      <c r="F12" s="129">
        <v>4990.7772160000004</v>
      </c>
      <c r="G12" s="130">
        <v>2.7861697000000001E-2</v>
      </c>
      <c r="H12" s="156"/>
      <c r="I12" s="8"/>
    </row>
    <row r="13" spans="1:9" x14ac:dyDescent="0.2">
      <c r="A13" s="126">
        <v>7</v>
      </c>
      <c r="B13" s="127" t="s">
        <v>435</v>
      </c>
      <c r="C13" s="127" t="s">
        <v>436</v>
      </c>
      <c r="D13" s="127" t="s">
        <v>28</v>
      </c>
      <c r="E13" s="128">
        <v>243881</v>
      </c>
      <c r="F13" s="129">
        <v>4852.1344355000001</v>
      </c>
      <c r="G13" s="130">
        <v>2.7087705E-2</v>
      </c>
      <c r="H13" s="156"/>
      <c r="I13" s="8"/>
    </row>
    <row r="14" spans="1:9" x14ac:dyDescent="0.2">
      <c r="A14" s="126">
        <v>8</v>
      </c>
      <c r="B14" s="127" t="s">
        <v>408</v>
      </c>
      <c r="C14" s="127" t="s">
        <v>409</v>
      </c>
      <c r="D14" s="127" t="s">
        <v>169</v>
      </c>
      <c r="E14" s="128">
        <v>139203</v>
      </c>
      <c r="F14" s="129">
        <v>4657.3843724999997</v>
      </c>
      <c r="G14" s="130">
        <v>2.6000486E-2</v>
      </c>
      <c r="H14" s="156"/>
      <c r="I14" s="8"/>
    </row>
    <row r="15" spans="1:9" x14ac:dyDescent="0.2">
      <c r="A15" s="126">
        <v>9</v>
      </c>
      <c r="B15" s="127" t="s">
        <v>319</v>
      </c>
      <c r="C15" s="127" t="s">
        <v>320</v>
      </c>
      <c r="D15" s="127" t="s">
        <v>73</v>
      </c>
      <c r="E15" s="128">
        <v>591097</v>
      </c>
      <c r="F15" s="129">
        <v>4312.6437120000001</v>
      </c>
      <c r="G15" s="130">
        <v>2.4075923999999999E-2</v>
      </c>
      <c r="H15" s="156"/>
      <c r="I15" s="8"/>
    </row>
    <row r="16" spans="1:9" x14ac:dyDescent="0.2">
      <c r="A16" s="126">
        <v>10</v>
      </c>
      <c r="B16" s="127" t="s">
        <v>400</v>
      </c>
      <c r="C16" s="127" t="s">
        <v>401</v>
      </c>
      <c r="D16" s="127" t="s">
        <v>166</v>
      </c>
      <c r="E16" s="128">
        <v>171620</v>
      </c>
      <c r="F16" s="129">
        <v>4248.02405</v>
      </c>
      <c r="G16" s="130">
        <v>2.3715176000000001E-2</v>
      </c>
      <c r="H16" s="156"/>
      <c r="I16" s="8"/>
    </row>
    <row r="17" spans="1:9" x14ac:dyDescent="0.2">
      <c r="A17" s="126">
        <v>11</v>
      </c>
      <c r="B17" s="127" t="s">
        <v>57</v>
      </c>
      <c r="C17" s="127" t="s">
        <v>58</v>
      </c>
      <c r="D17" s="127" t="s">
        <v>17</v>
      </c>
      <c r="E17" s="128">
        <v>867538</v>
      </c>
      <c r="F17" s="129">
        <v>4060.9453779999999</v>
      </c>
      <c r="G17" s="130">
        <v>2.2670783999999999E-2</v>
      </c>
      <c r="H17" s="156"/>
      <c r="I17" s="8"/>
    </row>
    <row r="18" spans="1:9" x14ac:dyDescent="0.2">
      <c r="A18" s="126">
        <v>12</v>
      </c>
      <c r="B18" s="127" t="s">
        <v>311</v>
      </c>
      <c r="C18" s="127" t="s">
        <v>312</v>
      </c>
      <c r="D18" s="127" t="s">
        <v>261</v>
      </c>
      <c r="E18" s="128">
        <v>136109</v>
      </c>
      <c r="F18" s="129">
        <v>3961.3163359999999</v>
      </c>
      <c r="G18" s="130">
        <v>2.2114590999999999E-2</v>
      </c>
      <c r="H18" s="156"/>
      <c r="I18" s="8"/>
    </row>
    <row r="19" spans="1:9" x14ac:dyDescent="0.2">
      <c r="A19" s="126">
        <v>13</v>
      </c>
      <c r="B19" s="127" t="s">
        <v>482</v>
      </c>
      <c r="C19" s="127" t="s">
        <v>483</v>
      </c>
      <c r="D19" s="127" t="s">
        <v>73</v>
      </c>
      <c r="E19" s="128">
        <v>567883</v>
      </c>
      <c r="F19" s="129">
        <v>3757.3978695000001</v>
      </c>
      <c r="G19" s="130">
        <v>2.0976188E-2</v>
      </c>
      <c r="H19" s="156"/>
      <c r="I19" s="8"/>
    </row>
    <row r="20" spans="1:9" x14ac:dyDescent="0.2">
      <c r="A20" s="126">
        <v>14</v>
      </c>
      <c r="B20" s="127" t="s">
        <v>335</v>
      </c>
      <c r="C20" s="127" t="s">
        <v>336</v>
      </c>
      <c r="D20" s="127" t="s">
        <v>196</v>
      </c>
      <c r="E20" s="128">
        <v>104775</v>
      </c>
      <c r="F20" s="129">
        <v>3587.8103249999999</v>
      </c>
      <c r="G20" s="130">
        <v>2.0029442000000001E-2</v>
      </c>
      <c r="H20" s="156"/>
      <c r="I20" s="8"/>
    </row>
    <row r="21" spans="1:9" x14ac:dyDescent="0.2">
      <c r="A21" s="126">
        <v>15</v>
      </c>
      <c r="B21" s="127" t="s">
        <v>356</v>
      </c>
      <c r="C21" s="127" t="s">
        <v>357</v>
      </c>
      <c r="D21" s="127" t="s">
        <v>22</v>
      </c>
      <c r="E21" s="128">
        <v>463925</v>
      </c>
      <c r="F21" s="129">
        <v>3471.5507750000002</v>
      </c>
      <c r="G21" s="130">
        <v>1.9380406999999999E-2</v>
      </c>
      <c r="H21" s="156"/>
      <c r="I21" s="8"/>
    </row>
    <row r="22" spans="1:9" x14ac:dyDescent="0.2">
      <c r="A22" s="126">
        <v>16</v>
      </c>
      <c r="B22" s="127" t="s">
        <v>103</v>
      </c>
      <c r="C22" s="127" t="s">
        <v>104</v>
      </c>
      <c r="D22" s="127" t="s">
        <v>78</v>
      </c>
      <c r="E22" s="128">
        <v>543670</v>
      </c>
      <c r="F22" s="129">
        <v>3032.3194250000001</v>
      </c>
      <c r="G22" s="130">
        <v>1.6928338000000001E-2</v>
      </c>
      <c r="H22" s="156"/>
      <c r="I22" s="8"/>
    </row>
    <row r="23" spans="1:9" x14ac:dyDescent="0.2">
      <c r="A23" s="126">
        <v>17</v>
      </c>
      <c r="B23" s="127" t="s">
        <v>368</v>
      </c>
      <c r="C23" s="127" t="s">
        <v>369</v>
      </c>
      <c r="D23" s="127" t="s">
        <v>169</v>
      </c>
      <c r="E23" s="128">
        <v>307173</v>
      </c>
      <c r="F23" s="129">
        <v>3021.0464550000002</v>
      </c>
      <c r="G23" s="130">
        <v>1.6865405E-2</v>
      </c>
      <c r="H23" s="156"/>
      <c r="I23" s="8"/>
    </row>
    <row r="24" spans="1:9" x14ac:dyDescent="0.2">
      <c r="A24" s="126">
        <v>18</v>
      </c>
      <c r="B24" s="127" t="s">
        <v>488</v>
      </c>
      <c r="C24" s="127" t="s">
        <v>489</v>
      </c>
      <c r="D24" s="127" t="s">
        <v>73</v>
      </c>
      <c r="E24" s="128">
        <v>22304</v>
      </c>
      <c r="F24" s="129">
        <v>2968.0155840000002</v>
      </c>
      <c r="G24" s="130">
        <v>1.6569352999999998E-2</v>
      </c>
      <c r="H24" s="156"/>
      <c r="I24" s="8"/>
    </row>
    <row r="25" spans="1:9" x14ac:dyDescent="0.2">
      <c r="A25" s="126">
        <v>19</v>
      </c>
      <c r="B25" s="127" t="s">
        <v>226</v>
      </c>
      <c r="C25" s="127" t="s">
        <v>227</v>
      </c>
      <c r="D25" s="127" t="s">
        <v>166</v>
      </c>
      <c r="E25" s="128">
        <v>515226</v>
      </c>
      <c r="F25" s="129">
        <v>2788.6607250000002</v>
      </c>
      <c r="G25" s="130">
        <v>1.556808E-2</v>
      </c>
      <c r="H25" s="156"/>
      <c r="I25" s="8"/>
    </row>
    <row r="26" spans="1:9" x14ac:dyDescent="0.2">
      <c r="A26" s="126">
        <v>20</v>
      </c>
      <c r="B26" s="127" t="s">
        <v>358</v>
      </c>
      <c r="C26" s="127" t="s">
        <v>359</v>
      </c>
      <c r="D26" s="127" t="s">
        <v>63</v>
      </c>
      <c r="E26" s="128">
        <v>62720</v>
      </c>
      <c r="F26" s="129">
        <v>2772.88256</v>
      </c>
      <c r="G26" s="130">
        <v>1.5479995999999999E-2</v>
      </c>
      <c r="H26" s="156"/>
      <c r="I26" s="8"/>
    </row>
    <row r="27" spans="1:9" x14ac:dyDescent="0.2">
      <c r="A27" s="126">
        <v>21</v>
      </c>
      <c r="B27" s="127" t="s">
        <v>264</v>
      </c>
      <c r="C27" s="127" t="s">
        <v>265</v>
      </c>
      <c r="D27" s="127" t="s">
        <v>975</v>
      </c>
      <c r="E27" s="128">
        <v>552800</v>
      </c>
      <c r="F27" s="129">
        <v>2761.7887999999998</v>
      </c>
      <c r="G27" s="130">
        <v>1.5418064E-2</v>
      </c>
      <c r="H27" s="156"/>
      <c r="I27" s="8"/>
    </row>
    <row r="28" spans="1:9" x14ac:dyDescent="0.2">
      <c r="A28" s="126">
        <v>22</v>
      </c>
      <c r="B28" s="127" t="s">
        <v>23</v>
      </c>
      <c r="C28" s="127" t="s">
        <v>24</v>
      </c>
      <c r="D28" s="127" t="s">
        <v>25</v>
      </c>
      <c r="E28" s="128">
        <v>492230</v>
      </c>
      <c r="F28" s="129">
        <v>2587.4069949999998</v>
      </c>
      <c r="G28" s="130">
        <v>1.4444554E-2</v>
      </c>
      <c r="H28" s="156"/>
      <c r="I28" s="8"/>
    </row>
    <row r="29" spans="1:9" x14ac:dyDescent="0.2">
      <c r="A29" s="126">
        <v>23</v>
      </c>
      <c r="B29" s="127" t="s">
        <v>15</v>
      </c>
      <c r="C29" s="127" t="s">
        <v>16</v>
      </c>
      <c r="D29" s="127" t="s">
        <v>17</v>
      </c>
      <c r="E29" s="128">
        <v>115219</v>
      </c>
      <c r="F29" s="129">
        <v>2431.8698235000002</v>
      </c>
      <c r="G29" s="130">
        <v>1.3576246E-2</v>
      </c>
      <c r="H29" s="156"/>
      <c r="I29" s="8"/>
    </row>
    <row r="30" spans="1:9" x14ac:dyDescent="0.2">
      <c r="A30" s="126">
        <v>24</v>
      </c>
      <c r="B30" s="127" t="s">
        <v>299</v>
      </c>
      <c r="C30" s="127" t="s">
        <v>300</v>
      </c>
      <c r="D30" s="127" t="s">
        <v>169</v>
      </c>
      <c r="E30" s="128">
        <v>92807</v>
      </c>
      <c r="F30" s="129">
        <v>2413.4460349999999</v>
      </c>
      <c r="G30" s="130">
        <v>1.3473393E-2</v>
      </c>
      <c r="H30" s="156"/>
      <c r="I30" s="8"/>
    </row>
    <row r="31" spans="1:9" x14ac:dyDescent="0.2">
      <c r="A31" s="126">
        <v>25</v>
      </c>
      <c r="B31" s="127" t="s">
        <v>362</v>
      </c>
      <c r="C31" s="127" t="s">
        <v>363</v>
      </c>
      <c r="D31" s="127" t="s">
        <v>166</v>
      </c>
      <c r="E31" s="128">
        <v>172249</v>
      </c>
      <c r="F31" s="129">
        <v>2312.7011984999999</v>
      </c>
      <c r="G31" s="130">
        <v>1.2910971E-2</v>
      </c>
      <c r="H31" s="156"/>
      <c r="I31" s="8"/>
    </row>
    <row r="32" spans="1:9" x14ac:dyDescent="0.2">
      <c r="A32" s="126">
        <v>26</v>
      </c>
      <c r="B32" s="127" t="s">
        <v>412</v>
      </c>
      <c r="C32" s="127" t="s">
        <v>413</v>
      </c>
      <c r="D32" s="127" t="s">
        <v>196</v>
      </c>
      <c r="E32" s="128">
        <v>317342</v>
      </c>
      <c r="F32" s="129">
        <v>2143.486539</v>
      </c>
      <c r="G32" s="130">
        <v>1.1966307000000001E-2</v>
      </c>
      <c r="H32" s="156"/>
      <c r="I32" s="8"/>
    </row>
    <row r="33" spans="1:9" x14ac:dyDescent="0.2">
      <c r="A33" s="126">
        <v>27</v>
      </c>
      <c r="B33" s="127" t="s">
        <v>36</v>
      </c>
      <c r="C33" s="127" t="s">
        <v>37</v>
      </c>
      <c r="D33" s="127" t="s">
        <v>972</v>
      </c>
      <c r="E33" s="128">
        <v>31126</v>
      </c>
      <c r="F33" s="129">
        <v>2109.0977600000001</v>
      </c>
      <c r="G33" s="130">
        <v>1.1774326999999999E-2</v>
      </c>
      <c r="H33" s="156"/>
      <c r="I33" s="8"/>
    </row>
    <row r="34" spans="1:9" x14ac:dyDescent="0.2">
      <c r="A34" s="126">
        <v>28</v>
      </c>
      <c r="B34" s="127" t="s">
        <v>208</v>
      </c>
      <c r="C34" s="127" t="s">
        <v>209</v>
      </c>
      <c r="D34" s="127" t="s">
        <v>976</v>
      </c>
      <c r="E34" s="128">
        <v>235038</v>
      </c>
      <c r="F34" s="129">
        <v>1922.4933209999999</v>
      </c>
      <c r="G34" s="130">
        <v>1.0732581999999999E-2</v>
      </c>
      <c r="H34" s="156"/>
      <c r="I34" s="8"/>
    </row>
    <row r="35" spans="1:9" x14ac:dyDescent="0.2">
      <c r="A35" s="126">
        <v>29</v>
      </c>
      <c r="B35" s="127" t="s">
        <v>378</v>
      </c>
      <c r="C35" s="127" t="s">
        <v>379</v>
      </c>
      <c r="D35" s="127" t="s">
        <v>73</v>
      </c>
      <c r="E35" s="128">
        <v>250803</v>
      </c>
      <c r="F35" s="129">
        <v>1892.057832</v>
      </c>
      <c r="G35" s="130">
        <v>1.0562672E-2</v>
      </c>
      <c r="H35" s="156"/>
      <c r="I35" s="8"/>
    </row>
    <row r="36" spans="1:9" x14ac:dyDescent="0.2">
      <c r="A36" s="126">
        <v>30</v>
      </c>
      <c r="B36" s="127" t="s">
        <v>224</v>
      </c>
      <c r="C36" s="127" t="s">
        <v>225</v>
      </c>
      <c r="D36" s="127" t="s">
        <v>40</v>
      </c>
      <c r="E36" s="128">
        <v>214665</v>
      </c>
      <c r="F36" s="129">
        <v>1749.8417475000001</v>
      </c>
      <c r="G36" s="130">
        <v>9.7687309999999992E-3</v>
      </c>
      <c r="H36" s="156"/>
      <c r="I36" s="8"/>
    </row>
    <row r="37" spans="1:9" x14ac:dyDescent="0.2">
      <c r="A37" s="126">
        <v>31</v>
      </c>
      <c r="B37" s="127" t="s">
        <v>90</v>
      </c>
      <c r="C37" s="127" t="s">
        <v>91</v>
      </c>
      <c r="D37" s="127" t="s">
        <v>92</v>
      </c>
      <c r="E37" s="128">
        <v>1396366</v>
      </c>
      <c r="F37" s="129">
        <v>1711.944716</v>
      </c>
      <c r="G37" s="130">
        <v>9.5571660000000006E-3</v>
      </c>
      <c r="H37" s="156"/>
      <c r="I37" s="8"/>
    </row>
    <row r="38" spans="1:9" x14ac:dyDescent="0.2">
      <c r="A38" s="126">
        <v>32</v>
      </c>
      <c r="B38" s="127" t="s">
        <v>95</v>
      </c>
      <c r="C38" s="127" t="s">
        <v>96</v>
      </c>
      <c r="D38" s="127" t="s">
        <v>40</v>
      </c>
      <c r="E38" s="128">
        <v>543806</v>
      </c>
      <c r="F38" s="129">
        <v>1574.590273</v>
      </c>
      <c r="G38" s="130">
        <v>8.7903660000000008E-3</v>
      </c>
      <c r="H38" s="156"/>
      <c r="I38" s="8"/>
    </row>
    <row r="39" spans="1:9" x14ac:dyDescent="0.2">
      <c r="A39" s="126">
        <v>33</v>
      </c>
      <c r="B39" s="127" t="s">
        <v>386</v>
      </c>
      <c r="C39" s="127" t="s">
        <v>387</v>
      </c>
      <c r="D39" s="127" t="s">
        <v>971</v>
      </c>
      <c r="E39" s="128">
        <v>12331</v>
      </c>
      <c r="F39" s="129">
        <v>1493.1669555000001</v>
      </c>
      <c r="G39" s="130">
        <v>8.3358089999999996E-3</v>
      </c>
      <c r="H39" s="156"/>
      <c r="I39" s="8"/>
    </row>
    <row r="40" spans="1:9" x14ac:dyDescent="0.2">
      <c r="A40" s="126">
        <v>34</v>
      </c>
      <c r="B40" s="127" t="s">
        <v>29</v>
      </c>
      <c r="C40" s="127" t="s">
        <v>30</v>
      </c>
      <c r="D40" s="127" t="s">
        <v>28</v>
      </c>
      <c r="E40" s="128">
        <v>68815</v>
      </c>
      <c r="F40" s="129">
        <v>1359.1306575000001</v>
      </c>
      <c r="G40" s="130">
        <v>7.5875329999999996E-3</v>
      </c>
      <c r="H40" s="156"/>
      <c r="I40" s="8"/>
    </row>
    <row r="41" spans="1:9" x14ac:dyDescent="0.2">
      <c r="A41" s="126">
        <v>35</v>
      </c>
      <c r="B41" s="127" t="s">
        <v>158</v>
      </c>
      <c r="C41" s="127" t="s">
        <v>159</v>
      </c>
      <c r="D41" s="127" t="s">
        <v>28</v>
      </c>
      <c r="E41" s="128">
        <v>187458</v>
      </c>
      <c r="F41" s="129">
        <v>1299.9275009999999</v>
      </c>
      <c r="G41" s="130">
        <v>7.2570229999999996E-3</v>
      </c>
      <c r="H41" s="156"/>
      <c r="I41" s="8"/>
    </row>
    <row r="42" spans="1:9" x14ac:dyDescent="0.2">
      <c r="A42" s="126">
        <v>36</v>
      </c>
      <c r="B42" s="127" t="s">
        <v>414</v>
      </c>
      <c r="C42" s="127" t="s">
        <v>415</v>
      </c>
      <c r="D42" s="127" t="s">
        <v>54</v>
      </c>
      <c r="E42" s="128">
        <v>95890</v>
      </c>
      <c r="F42" s="129">
        <v>1118.65274</v>
      </c>
      <c r="G42" s="130">
        <v>6.2450320000000002E-3</v>
      </c>
      <c r="H42" s="156"/>
      <c r="I42" s="8"/>
    </row>
    <row r="43" spans="1:9" x14ac:dyDescent="0.2">
      <c r="A43" s="126">
        <v>37</v>
      </c>
      <c r="B43" s="127" t="s">
        <v>162</v>
      </c>
      <c r="C43" s="127" t="s">
        <v>163</v>
      </c>
      <c r="D43" s="127" t="s">
        <v>169</v>
      </c>
      <c r="E43" s="128">
        <v>94750</v>
      </c>
      <c r="F43" s="129">
        <v>951.38475000000005</v>
      </c>
      <c r="G43" s="130">
        <v>5.3112360000000004E-3</v>
      </c>
      <c r="H43" s="156"/>
      <c r="I43" s="8"/>
    </row>
    <row r="44" spans="1:9" x14ac:dyDescent="0.2">
      <c r="A44" s="126">
        <v>38</v>
      </c>
      <c r="B44" s="127" t="s">
        <v>301</v>
      </c>
      <c r="C44" s="127" t="s">
        <v>302</v>
      </c>
      <c r="D44" s="127" t="s">
        <v>172</v>
      </c>
      <c r="E44" s="128">
        <v>25398</v>
      </c>
      <c r="F44" s="129">
        <v>919.36950300000001</v>
      </c>
      <c r="G44" s="130">
        <v>5.1325060000000002E-3</v>
      </c>
      <c r="H44" s="156"/>
      <c r="I44" s="8"/>
    </row>
    <row r="45" spans="1:9" x14ac:dyDescent="0.2">
      <c r="A45" s="126">
        <v>39</v>
      </c>
      <c r="B45" s="127" t="s">
        <v>430</v>
      </c>
      <c r="C45" s="127" t="s">
        <v>431</v>
      </c>
      <c r="D45" s="127" t="s">
        <v>432</v>
      </c>
      <c r="E45" s="128">
        <v>216487</v>
      </c>
      <c r="F45" s="129">
        <v>805.43988349999995</v>
      </c>
      <c r="G45" s="130">
        <v>4.4964779999999999E-3</v>
      </c>
      <c r="H45" s="156"/>
      <c r="I45" s="8"/>
    </row>
    <row r="46" spans="1:9" x14ac:dyDescent="0.2">
      <c r="A46" s="126">
        <v>40</v>
      </c>
      <c r="B46" s="127" t="s">
        <v>93</v>
      </c>
      <c r="C46" s="127" t="s">
        <v>94</v>
      </c>
      <c r="D46" s="127" t="s">
        <v>68</v>
      </c>
      <c r="E46" s="128">
        <v>109708</v>
      </c>
      <c r="F46" s="129">
        <v>772.01519599999995</v>
      </c>
      <c r="G46" s="130">
        <v>4.3098809999999998E-3</v>
      </c>
      <c r="H46" s="156"/>
      <c r="I46" s="8"/>
    </row>
    <row r="47" spans="1:9" x14ac:dyDescent="0.2">
      <c r="A47" s="126">
        <v>41</v>
      </c>
      <c r="B47" s="127" t="s">
        <v>437</v>
      </c>
      <c r="C47" s="127" t="s">
        <v>438</v>
      </c>
      <c r="D47" s="127" t="s">
        <v>196</v>
      </c>
      <c r="E47" s="128">
        <v>75252</v>
      </c>
      <c r="F47" s="129">
        <v>731.374188</v>
      </c>
      <c r="G47" s="130">
        <v>4.0829969999999997E-3</v>
      </c>
      <c r="H47" s="156"/>
      <c r="I47" s="8"/>
    </row>
    <row r="48" spans="1:9" x14ac:dyDescent="0.2">
      <c r="A48" s="126">
        <v>42</v>
      </c>
      <c r="B48" s="127" t="s">
        <v>101</v>
      </c>
      <c r="C48" s="127" t="s">
        <v>102</v>
      </c>
      <c r="D48" s="127" t="s">
        <v>972</v>
      </c>
      <c r="E48" s="128">
        <v>38000</v>
      </c>
      <c r="F48" s="129">
        <v>718.63699999999994</v>
      </c>
      <c r="G48" s="130">
        <v>4.0118890000000003E-3</v>
      </c>
      <c r="H48" s="156"/>
      <c r="I48" s="8"/>
    </row>
    <row r="49" spans="1:9" x14ac:dyDescent="0.2">
      <c r="A49" s="126">
        <v>43</v>
      </c>
      <c r="B49" s="127" t="s">
        <v>321</v>
      </c>
      <c r="C49" s="127" t="s">
        <v>322</v>
      </c>
      <c r="D49" s="127" t="s">
        <v>63</v>
      </c>
      <c r="E49" s="128">
        <v>134358</v>
      </c>
      <c r="F49" s="129">
        <v>583.91986799999995</v>
      </c>
      <c r="G49" s="130">
        <v>3.2598129999999999E-3</v>
      </c>
      <c r="H49" s="156"/>
      <c r="I49" s="8"/>
    </row>
    <row r="50" spans="1:9" x14ac:dyDescent="0.2">
      <c r="A50" s="126">
        <v>44</v>
      </c>
      <c r="B50" s="127" t="s">
        <v>584</v>
      </c>
      <c r="C50" s="127" t="s">
        <v>585</v>
      </c>
      <c r="D50" s="127" t="s">
        <v>172</v>
      </c>
      <c r="E50" s="128">
        <v>19603</v>
      </c>
      <c r="F50" s="129">
        <v>555.89207250000004</v>
      </c>
      <c r="G50" s="130">
        <v>3.1033440000000001E-3</v>
      </c>
      <c r="H50" s="156"/>
      <c r="I50" s="8"/>
    </row>
    <row r="51" spans="1:9" x14ac:dyDescent="0.2">
      <c r="A51" s="126">
        <v>45</v>
      </c>
      <c r="B51" s="127" t="s">
        <v>416</v>
      </c>
      <c r="C51" s="127" t="s">
        <v>417</v>
      </c>
      <c r="D51" s="127" t="s">
        <v>92</v>
      </c>
      <c r="E51" s="128">
        <v>62610</v>
      </c>
      <c r="F51" s="129">
        <v>486.91797000000003</v>
      </c>
      <c r="G51" s="130">
        <v>2.7182859999999999E-3</v>
      </c>
      <c r="H51" s="156"/>
      <c r="I51" s="8"/>
    </row>
    <row r="52" spans="1:9" x14ac:dyDescent="0.2">
      <c r="A52" s="126">
        <v>46</v>
      </c>
      <c r="B52" s="127" t="s">
        <v>491</v>
      </c>
      <c r="C52" s="127" t="s">
        <v>492</v>
      </c>
      <c r="D52" s="127" t="s">
        <v>92</v>
      </c>
      <c r="E52" s="128">
        <v>5824</v>
      </c>
      <c r="F52" s="129">
        <v>437.72601600000002</v>
      </c>
      <c r="G52" s="130">
        <v>2.4436649999999998E-3</v>
      </c>
      <c r="H52" s="156"/>
      <c r="I52" s="8"/>
    </row>
    <row r="53" spans="1:9" x14ac:dyDescent="0.2">
      <c r="A53" s="124" t="s">
        <v>9</v>
      </c>
      <c r="B53" s="124" t="s">
        <v>9</v>
      </c>
      <c r="C53" s="125" t="s">
        <v>105</v>
      </c>
      <c r="D53" s="124" t="s">
        <v>9</v>
      </c>
      <c r="E53" s="124" t="s">
        <v>9</v>
      </c>
      <c r="F53" s="131">
        <v>133972.96639099999</v>
      </c>
      <c r="G53" s="132">
        <v>0.74792242499999995</v>
      </c>
      <c r="H53" s="156"/>
      <c r="I53" s="8"/>
    </row>
    <row r="54" spans="1:9" x14ac:dyDescent="0.2">
      <c r="A54" s="124" t="s">
        <v>9</v>
      </c>
      <c r="B54" s="124" t="s">
        <v>9</v>
      </c>
      <c r="C54" s="133" t="s">
        <v>9</v>
      </c>
      <c r="D54" s="124" t="s">
        <v>9</v>
      </c>
      <c r="E54" s="124" t="s">
        <v>9</v>
      </c>
      <c r="F54" s="134" t="s">
        <v>9</v>
      </c>
      <c r="G54" s="134" t="s">
        <v>9</v>
      </c>
      <c r="H54" s="156"/>
      <c r="I54" s="8"/>
    </row>
    <row r="55" spans="1:9" x14ac:dyDescent="0.2">
      <c r="A55" s="124" t="s">
        <v>9</v>
      </c>
      <c r="B55" s="124" t="s">
        <v>9</v>
      </c>
      <c r="C55" s="125" t="s">
        <v>106</v>
      </c>
      <c r="D55" s="124" t="s">
        <v>9</v>
      </c>
      <c r="E55" s="124" t="s">
        <v>9</v>
      </c>
      <c r="F55" s="124" t="s">
        <v>9</v>
      </c>
      <c r="G55" s="124" t="s">
        <v>9</v>
      </c>
      <c r="H55" s="156"/>
      <c r="I55" s="8"/>
    </row>
    <row r="56" spans="1:9" x14ac:dyDescent="0.2">
      <c r="A56" s="124" t="s">
        <v>9</v>
      </c>
      <c r="B56" s="124" t="s">
        <v>9</v>
      </c>
      <c r="C56" s="125" t="s">
        <v>105</v>
      </c>
      <c r="D56" s="124" t="s">
        <v>9</v>
      </c>
      <c r="E56" s="124" t="s">
        <v>9</v>
      </c>
      <c r="F56" s="135">
        <v>0</v>
      </c>
      <c r="G56" s="136">
        <v>0</v>
      </c>
      <c r="H56" s="156"/>
      <c r="I56" s="8"/>
    </row>
    <row r="57" spans="1:9" x14ac:dyDescent="0.2">
      <c r="A57" s="124" t="s">
        <v>9</v>
      </c>
      <c r="B57" s="124" t="s">
        <v>9</v>
      </c>
      <c r="C57" s="133" t="s">
        <v>9</v>
      </c>
      <c r="D57" s="124" t="s">
        <v>9</v>
      </c>
      <c r="E57" s="124" t="s">
        <v>9</v>
      </c>
      <c r="F57" s="134" t="s">
        <v>9</v>
      </c>
      <c r="G57" s="134" t="s">
        <v>9</v>
      </c>
      <c r="H57" s="156"/>
      <c r="I57" s="8"/>
    </row>
    <row r="58" spans="1:9" x14ac:dyDescent="0.2">
      <c r="A58" s="124" t="s">
        <v>9</v>
      </c>
      <c r="B58" s="124" t="s">
        <v>9</v>
      </c>
      <c r="C58" s="125" t="s">
        <v>107</v>
      </c>
      <c r="D58" s="124" t="s">
        <v>9</v>
      </c>
      <c r="E58" s="124" t="s">
        <v>9</v>
      </c>
      <c r="F58" s="124" t="s">
        <v>9</v>
      </c>
      <c r="G58" s="124" t="s">
        <v>9</v>
      </c>
      <c r="H58" s="156"/>
      <c r="I58" s="8"/>
    </row>
    <row r="59" spans="1:9" x14ac:dyDescent="0.2">
      <c r="A59" s="124" t="s">
        <v>9</v>
      </c>
      <c r="B59" s="124" t="s">
        <v>9</v>
      </c>
      <c r="C59" s="125" t="s">
        <v>105</v>
      </c>
      <c r="D59" s="124" t="s">
        <v>9</v>
      </c>
      <c r="E59" s="124" t="s">
        <v>9</v>
      </c>
      <c r="F59" s="135">
        <v>0</v>
      </c>
      <c r="G59" s="136">
        <v>0</v>
      </c>
      <c r="H59" s="156"/>
      <c r="I59" s="8"/>
    </row>
    <row r="60" spans="1:9" x14ac:dyDescent="0.2">
      <c r="A60" s="124" t="s">
        <v>9</v>
      </c>
      <c r="B60" s="124" t="s">
        <v>9</v>
      </c>
      <c r="C60" s="133" t="s">
        <v>9</v>
      </c>
      <c r="D60" s="124" t="s">
        <v>9</v>
      </c>
      <c r="E60" s="124" t="s">
        <v>9</v>
      </c>
      <c r="F60" s="134" t="s">
        <v>9</v>
      </c>
      <c r="G60" s="134" t="s">
        <v>9</v>
      </c>
      <c r="H60" s="156"/>
      <c r="I60" s="8"/>
    </row>
    <row r="61" spans="1:9" x14ac:dyDescent="0.2">
      <c r="A61" s="124" t="s">
        <v>9</v>
      </c>
      <c r="B61" s="124" t="s">
        <v>9</v>
      </c>
      <c r="C61" s="125" t="s">
        <v>111</v>
      </c>
      <c r="D61" s="124" t="s">
        <v>9</v>
      </c>
      <c r="E61" s="124" t="s">
        <v>9</v>
      </c>
      <c r="F61" s="124" t="s">
        <v>9</v>
      </c>
      <c r="G61" s="124" t="s">
        <v>9</v>
      </c>
      <c r="H61" s="156"/>
      <c r="I61" s="8"/>
    </row>
    <row r="62" spans="1:9" x14ac:dyDescent="0.2">
      <c r="A62" s="124" t="s">
        <v>9</v>
      </c>
      <c r="B62" s="124" t="s">
        <v>9</v>
      </c>
      <c r="C62" s="125" t="s">
        <v>105</v>
      </c>
      <c r="D62" s="124" t="s">
        <v>9</v>
      </c>
      <c r="E62" s="124" t="s">
        <v>9</v>
      </c>
      <c r="F62" s="135">
        <v>0</v>
      </c>
      <c r="G62" s="136">
        <v>0</v>
      </c>
      <c r="H62" s="156"/>
      <c r="I62" s="8"/>
    </row>
    <row r="63" spans="1:9" x14ac:dyDescent="0.2">
      <c r="A63" s="124" t="s">
        <v>9</v>
      </c>
      <c r="B63" s="124" t="s">
        <v>9</v>
      </c>
      <c r="C63" s="133" t="s">
        <v>9</v>
      </c>
      <c r="D63" s="124" t="s">
        <v>9</v>
      </c>
      <c r="E63" s="124" t="s">
        <v>9</v>
      </c>
      <c r="F63" s="134" t="s">
        <v>9</v>
      </c>
      <c r="G63" s="134" t="s">
        <v>9</v>
      </c>
      <c r="H63" s="156"/>
      <c r="I63" s="8"/>
    </row>
    <row r="64" spans="1:9" x14ac:dyDescent="0.2">
      <c r="A64" s="124" t="s">
        <v>9</v>
      </c>
      <c r="B64" s="124" t="s">
        <v>9</v>
      </c>
      <c r="C64" s="125" t="s">
        <v>112</v>
      </c>
      <c r="D64" s="124" t="s">
        <v>9</v>
      </c>
      <c r="E64" s="124" t="s">
        <v>9</v>
      </c>
      <c r="F64" s="134" t="s">
        <v>9</v>
      </c>
      <c r="G64" s="134" t="s">
        <v>9</v>
      </c>
      <c r="H64" s="156"/>
      <c r="I64" s="8"/>
    </row>
    <row r="65" spans="1:9" x14ac:dyDescent="0.2">
      <c r="A65" s="124" t="s">
        <v>9</v>
      </c>
      <c r="B65" s="124" t="s">
        <v>9</v>
      </c>
      <c r="C65" s="125" t="s">
        <v>105</v>
      </c>
      <c r="D65" s="124" t="s">
        <v>9</v>
      </c>
      <c r="E65" s="124" t="s">
        <v>9</v>
      </c>
      <c r="F65" s="135">
        <v>0</v>
      </c>
      <c r="G65" s="136">
        <v>0</v>
      </c>
      <c r="H65" s="156"/>
      <c r="I65" s="8"/>
    </row>
    <row r="66" spans="1:9" x14ac:dyDescent="0.2">
      <c r="A66" s="124" t="s">
        <v>9</v>
      </c>
      <c r="B66" s="124" t="s">
        <v>9</v>
      </c>
      <c r="C66" s="133" t="s">
        <v>9</v>
      </c>
      <c r="D66" s="124" t="s">
        <v>9</v>
      </c>
      <c r="E66" s="124" t="s">
        <v>9</v>
      </c>
      <c r="F66" s="134" t="s">
        <v>9</v>
      </c>
      <c r="G66" s="134" t="s">
        <v>9</v>
      </c>
      <c r="H66" s="156"/>
      <c r="I66" s="8"/>
    </row>
    <row r="67" spans="1:9" x14ac:dyDescent="0.2">
      <c r="A67" s="124" t="s">
        <v>9</v>
      </c>
      <c r="B67" s="124" t="s">
        <v>9</v>
      </c>
      <c r="C67" s="125" t="s">
        <v>113</v>
      </c>
      <c r="D67" s="124" t="s">
        <v>9</v>
      </c>
      <c r="E67" s="124" t="s">
        <v>9</v>
      </c>
      <c r="F67" s="134" t="s">
        <v>9</v>
      </c>
      <c r="G67" s="134" t="s">
        <v>9</v>
      </c>
      <c r="H67" s="156"/>
      <c r="I67" s="8"/>
    </row>
    <row r="68" spans="1:9" x14ac:dyDescent="0.2">
      <c r="A68" s="124" t="s">
        <v>9</v>
      </c>
      <c r="B68" s="124" t="s">
        <v>9</v>
      </c>
      <c r="C68" s="125" t="s">
        <v>105</v>
      </c>
      <c r="D68" s="124" t="s">
        <v>9</v>
      </c>
      <c r="E68" s="124" t="s">
        <v>9</v>
      </c>
      <c r="F68" s="135">
        <v>0</v>
      </c>
      <c r="G68" s="136">
        <v>0</v>
      </c>
      <c r="H68" s="156"/>
      <c r="I68" s="8"/>
    </row>
    <row r="69" spans="1:9" x14ac:dyDescent="0.2">
      <c r="A69" s="124" t="s">
        <v>9</v>
      </c>
      <c r="B69" s="124" t="s">
        <v>9</v>
      </c>
      <c r="C69" s="133" t="s">
        <v>9</v>
      </c>
      <c r="D69" s="124" t="s">
        <v>9</v>
      </c>
      <c r="E69" s="124" t="s">
        <v>9</v>
      </c>
      <c r="F69" s="134" t="s">
        <v>9</v>
      </c>
      <c r="G69" s="134" t="s">
        <v>9</v>
      </c>
      <c r="H69" s="156"/>
      <c r="I69" s="8"/>
    </row>
    <row r="70" spans="1:9" x14ac:dyDescent="0.2">
      <c r="A70" s="124" t="s">
        <v>9</v>
      </c>
      <c r="B70" s="124" t="s">
        <v>9</v>
      </c>
      <c r="C70" s="125" t="s">
        <v>114</v>
      </c>
      <c r="D70" s="124" t="s">
        <v>9</v>
      </c>
      <c r="E70" s="124" t="s">
        <v>9</v>
      </c>
      <c r="F70" s="131">
        <v>133972.96639099999</v>
      </c>
      <c r="G70" s="132">
        <v>0.74792242499999995</v>
      </c>
      <c r="H70" s="156"/>
      <c r="I70" s="8"/>
    </row>
    <row r="71" spans="1:9" x14ac:dyDescent="0.2">
      <c r="A71" s="124" t="s">
        <v>9</v>
      </c>
      <c r="B71" s="124" t="s">
        <v>9</v>
      </c>
      <c r="C71" s="133" t="s">
        <v>9</v>
      </c>
      <c r="D71" s="124" t="s">
        <v>9</v>
      </c>
      <c r="E71" s="124" t="s">
        <v>9</v>
      </c>
      <c r="F71" s="134" t="s">
        <v>9</v>
      </c>
      <c r="G71" s="134" t="s">
        <v>9</v>
      </c>
      <c r="H71" s="156"/>
      <c r="I71" s="8"/>
    </row>
    <row r="72" spans="1:9" x14ac:dyDescent="0.2">
      <c r="A72" s="124" t="s">
        <v>9</v>
      </c>
      <c r="B72" s="124" t="s">
        <v>9</v>
      </c>
      <c r="C72" s="125" t="s">
        <v>115</v>
      </c>
      <c r="D72" s="124" t="s">
        <v>9</v>
      </c>
      <c r="E72" s="124" t="s">
        <v>9</v>
      </c>
      <c r="F72" s="134" t="s">
        <v>9</v>
      </c>
      <c r="G72" s="134" t="s">
        <v>9</v>
      </c>
      <c r="H72" s="156"/>
      <c r="I72" s="8"/>
    </row>
    <row r="73" spans="1:9" x14ac:dyDescent="0.2">
      <c r="A73" s="124" t="s">
        <v>9</v>
      </c>
      <c r="B73" s="124" t="s">
        <v>9</v>
      </c>
      <c r="C73" s="125" t="s">
        <v>11</v>
      </c>
      <c r="D73" s="124" t="s">
        <v>9</v>
      </c>
      <c r="E73" s="124" t="s">
        <v>9</v>
      </c>
      <c r="F73" s="134" t="s">
        <v>9</v>
      </c>
      <c r="G73" s="134" t="s">
        <v>9</v>
      </c>
      <c r="H73" s="156"/>
      <c r="I73" s="8"/>
    </row>
    <row r="74" spans="1:9" ht="25.5" x14ac:dyDescent="0.2">
      <c r="A74" s="126">
        <v>1</v>
      </c>
      <c r="B74" s="127" t="s">
        <v>881</v>
      </c>
      <c r="C74" s="127" t="s">
        <v>882</v>
      </c>
      <c r="D74" s="127" t="s">
        <v>699</v>
      </c>
      <c r="E74" s="128">
        <v>250</v>
      </c>
      <c r="F74" s="129">
        <v>2584.4749999999999</v>
      </c>
      <c r="G74" s="130">
        <v>1.4428185E-2</v>
      </c>
      <c r="H74" s="191">
        <v>4.79</v>
      </c>
      <c r="I74" s="8"/>
    </row>
    <row r="75" spans="1:9" ht="25.5" x14ac:dyDescent="0.2">
      <c r="A75" s="126">
        <v>2</v>
      </c>
      <c r="B75" s="127" t="s">
        <v>883</v>
      </c>
      <c r="C75" s="127" t="s">
        <v>884</v>
      </c>
      <c r="D75" s="127" t="s">
        <v>699</v>
      </c>
      <c r="E75" s="128">
        <v>250</v>
      </c>
      <c r="F75" s="129">
        <v>2579.4924999999998</v>
      </c>
      <c r="G75" s="130">
        <v>1.4400369999999999E-2</v>
      </c>
      <c r="H75" s="191">
        <v>4.9400000000000004</v>
      </c>
      <c r="I75" s="8"/>
    </row>
    <row r="76" spans="1:9" ht="25.5" x14ac:dyDescent="0.2">
      <c r="A76" s="126">
        <v>3</v>
      </c>
      <c r="B76" s="127" t="s">
        <v>885</v>
      </c>
      <c r="C76" s="127" t="s">
        <v>1004</v>
      </c>
      <c r="D76" s="127" t="s">
        <v>886</v>
      </c>
      <c r="E76" s="128">
        <v>250</v>
      </c>
      <c r="F76" s="129">
        <v>2550.6774999999998</v>
      </c>
      <c r="G76" s="130">
        <v>1.4239506000000001E-2</v>
      </c>
      <c r="H76" s="191">
        <v>7.8479999999999999</v>
      </c>
      <c r="I76" s="8">
        <v>6.1474330309500003</v>
      </c>
    </row>
    <row r="77" spans="1:9" x14ac:dyDescent="0.2">
      <c r="A77" s="126">
        <v>4</v>
      </c>
      <c r="B77" s="127" t="s">
        <v>887</v>
      </c>
      <c r="C77" s="127" t="s">
        <v>888</v>
      </c>
      <c r="D77" s="127" t="s">
        <v>699</v>
      </c>
      <c r="E77" s="128">
        <v>250</v>
      </c>
      <c r="F77" s="129">
        <v>2507.9699999999998</v>
      </c>
      <c r="G77" s="130">
        <v>1.4001085999999999E-2</v>
      </c>
      <c r="H77" s="191">
        <v>5.601</v>
      </c>
      <c r="I77" s="8"/>
    </row>
    <row r="78" spans="1:9" ht="25.5" x14ac:dyDescent="0.2">
      <c r="A78" s="126">
        <v>5</v>
      </c>
      <c r="B78" s="127" t="s">
        <v>889</v>
      </c>
      <c r="C78" s="127" t="s">
        <v>890</v>
      </c>
      <c r="D78" s="127" t="s">
        <v>1001</v>
      </c>
      <c r="E78" s="128">
        <v>250</v>
      </c>
      <c r="F78" s="129">
        <v>2505.1525000000001</v>
      </c>
      <c r="G78" s="130">
        <v>1.3985357E-2</v>
      </c>
      <c r="H78" s="191">
        <v>4.4000000000000004</v>
      </c>
      <c r="I78" s="8"/>
    </row>
    <row r="79" spans="1:9" ht="25.5" x14ac:dyDescent="0.2">
      <c r="A79" s="126">
        <v>6</v>
      </c>
      <c r="B79" s="127" t="s">
        <v>891</v>
      </c>
      <c r="C79" s="127" t="s">
        <v>1005</v>
      </c>
      <c r="D79" s="127" t="s">
        <v>886</v>
      </c>
      <c r="E79" s="128">
        <v>230</v>
      </c>
      <c r="F79" s="129">
        <v>2357.1113</v>
      </c>
      <c r="G79" s="130">
        <v>1.3158896999999999E-2</v>
      </c>
      <c r="H79" s="191">
        <v>8.468</v>
      </c>
      <c r="I79" s="8">
        <v>5.7599106460499998</v>
      </c>
    </row>
    <row r="80" spans="1:9" ht="25.5" x14ac:dyDescent="0.2">
      <c r="A80" s="126">
        <v>7</v>
      </c>
      <c r="B80" s="127" t="s">
        <v>892</v>
      </c>
      <c r="C80" s="127" t="s">
        <v>1006</v>
      </c>
      <c r="D80" s="127" t="s">
        <v>886</v>
      </c>
      <c r="E80" s="128">
        <v>200</v>
      </c>
      <c r="F80" s="129">
        <v>2031.39</v>
      </c>
      <c r="G80" s="130">
        <v>1.1340513E-2</v>
      </c>
      <c r="H80" s="191">
        <v>8.3569999999999993</v>
      </c>
      <c r="I80" s="8">
        <v>6.2749248550000001</v>
      </c>
    </row>
    <row r="81" spans="1:9" ht="25.5" x14ac:dyDescent="0.2">
      <c r="A81" s="126">
        <v>8</v>
      </c>
      <c r="B81" s="127" t="s">
        <v>893</v>
      </c>
      <c r="C81" s="127" t="s">
        <v>1007</v>
      </c>
      <c r="D81" s="127" t="s">
        <v>886</v>
      </c>
      <c r="E81" s="128">
        <v>200</v>
      </c>
      <c r="F81" s="129">
        <v>2014.566</v>
      </c>
      <c r="G81" s="130">
        <v>1.1246590000000001E-2</v>
      </c>
      <c r="H81" s="191">
        <v>8.2739999999999991</v>
      </c>
      <c r="I81" s="8">
        <v>5.72999593675</v>
      </c>
    </row>
    <row r="82" spans="1:9" ht="25.5" x14ac:dyDescent="0.2">
      <c r="A82" s="126">
        <v>9</v>
      </c>
      <c r="B82" s="127" t="s">
        <v>894</v>
      </c>
      <c r="C82" s="127" t="s">
        <v>1012</v>
      </c>
      <c r="D82" s="127" t="s">
        <v>895</v>
      </c>
      <c r="E82" s="128">
        <v>150</v>
      </c>
      <c r="F82" s="129">
        <v>1583.655</v>
      </c>
      <c r="G82" s="130">
        <v>8.8409709999999996E-3</v>
      </c>
      <c r="H82" s="191">
        <v>7.5490000000000004</v>
      </c>
      <c r="I82" s="8">
        <v>6.1590417090000003</v>
      </c>
    </row>
    <row r="83" spans="1:9" x14ac:dyDescent="0.2">
      <c r="A83" s="126">
        <v>10</v>
      </c>
      <c r="B83" s="127" t="s">
        <v>896</v>
      </c>
      <c r="C83" s="127" t="s">
        <v>897</v>
      </c>
      <c r="D83" s="127" t="s">
        <v>699</v>
      </c>
      <c r="E83" s="128">
        <v>150</v>
      </c>
      <c r="F83" s="129">
        <v>1573.2809999999999</v>
      </c>
      <c r="G83" s="130">
        <v>8.7830570000000004E-3</v>
      </c>
      <c r="H83" s="191">
        <v>5.45</v>
      </c>
      <c r="I83" s="8"/>
    </row>
    <row r="84" spans="1:9" ht="25.5" x14ac:dyDescent="0.2">
      <c r="A84" s="126">
        <v>11</v>
      </c>
      <c r="B84" s="127" t="s">
        <v>898</v>
      </c>
      <c r="C84" s="127" t="s">
        <v>1008</v>
      </c>
      <c r="D84" s="127" t="s">
        <v>886</v>
      </c>
      <c r="E84" s="128">
        <v>150</v>
      </c>
      <c r="F84" s="129">
        <v>1543.1835000000001</v>
      </c>
      <c r="G84" s="130">
        <v>8.6150329999999994E-3</v>
      </c>
      <c r="H84" s="191">
        <v>8.2140000000000004</v>
      </c>
      <c r="I84" s="8">
        <v>5.8774623303500002</v>
      </c>
    </row>
    <row r="85" spans="1:9" x14ac:dyDescent="0.2">
      <c r="A85" s="126">
        <v>12</v>
      </c>
      <c r="B85" s="127" t="s">
        <v>899</v>
      </c>
      <c r="C85" s="127" t="s">
        <v>900</v>
      </c>
      <c r="D85" s="127" t="s">
        <v>901</v>
      </c>
      <c r="E85" s="128">
        <v>150</v>
      </c>
      <c r="F85" s="129">
        <v>1503.4380000000001</v>
      </c>
      <c r="G85" s="130">
        <v>8.3931479999999996E-3</v>
      </c>
      <c r="H85" s="191">
        <v>4.1760000000000002</v>
      </c>
      <c r="I85" s="8"/>
    </row>
    <row r="86" spans="1:9" ht="25.5" x14ac:dyDescent="0.2">
      <c r="A86" s="126">
        <v>13</v>
      </c>
      <c r="B86" s="127" t="s">
        <v>902</v>
      </c>
      <c r="C86" s="127" t="s">
        <v>903</v>
      </c>
      <c r="D86" s="127" t="s">
        <v>699</v>
      </c>
      <c r="E86" s="128">
        <v>100</v>
      </c>
      <c r="F86" s="129">
        <v>1068.403</v>
      </c>
      <c r="G86" s="130">
        <v>5.9645059999999996E-3</v>
      </c>
      <c r="H86" s="191">
        <v>5.5</v>
      </c>
      <c r="I86" s="8"/>
    </row>
    <row r="87" spans="1:9" ht="25.5" x14ac:dyDescent="0.2">
      <c r="A87" s="126">
        <v>14</v>
      </c>
      <c r="B87" s="127" t="s">
        <v>904</v>
      </c>
      <c r="C87" s="127" t="s">
        <v>905</v>
      </c>
      <c r="D87" s="127" t="s">
        <v>699</v>
      </c>
      <c r="E87" s="128">
        <v>100</v>
      </c>
      <c r="F87" s="129">
        <v>1060.2809999999999</v>
      </c>
      <c r="G87" s="130">
        <v>5.9191640000000002E-3</v>
      </c>
      <c r="H87" s="191">
        <v>5.39</v>
      </c>
      <c r="I87" s="8"/>
    </row>
    <row r="88" spans="1:9" x14ac:dyDescent="0.2">
      <c r="A88" s="126">
        <v>15</v>
      </c>
      <c r="B88" s="127" t="s">
        <v>906</v>
      </c>
      <c r="C88" s="127" t="s">
        <v>907</v>
      </c>
      <c r="D88" s="127" t="s">
        <v>699</v>
      </c>
      <c r="E88" s="128">
        <v>100</v>
      </c>
      <c r="F88" s="129">
        <v>1034.8779999999999</v>
      </c>
      <c r="G88" s="130">
        <v>5.7773479999999999E-3</v>
      </c>
      <c r="H88" s="191">
        <v>5</v>
      </c>
      <c r="I88" s="8"/>
    </row>
    <row r="89" spans="1:9" ht="25.5" x14ac:dyDescent="0.2">
      <c r="A89" s="126">
        <v>16</v>
      </c>
      <c r="B89" s="127" t="s">
        <v>908</v>
      </c>
      <c r="C89" s="127" t="s">
        <v>1009</v>
      </c>
      <c r="D89" s="127" t="s">
        <v>1002</v>
      </c>
      <c r="E89" s="128">
        <v>100</v>
      </c>
      <c r="F89" s="129">
        <v>1024.7059999999999</v>
      </c>
      <c r="G89" s="130">
        <v>5.7205620000000002E-3</v>
      </c>
      <c r="H89" s="191">
        <v>8.8119999999999994</v>
      </c>
      <c r="I89" s="8">
        <v>5.4476999997500002</v>
      </c>
    </row>
    <row r="90" spans="1:9" ht="25.5" x14ac:dyDescent="0.2">
      <c r="A90" s="126">
        <v>17</v>
      </c>
      <c r="B90" s="127" t="s">
        <v>909</v>
      </c>
      <c r="C90" s="127" t="s">
        <v>1010</v>
      </c>
      <c r="D90" s="127" t="s">
        <v>886</v>
      </c>
      <c r="E90" s="128">
        <v>100</v>
      </c>
      <c r="F90" s="129">
        <v>1012.079</v>
      </c>
      <c r="G90" s="130">
        <v>5.6500700000000001E-3</v>
      </c>
      <c r="H90" s="191">
        <v>8.5649999999999995</v>
      </c>
      <c r="I90" s="8">
        <v>7.4372642556999997</v>
      </c>
    </row>
    <row r="91" spans="1:9" x14ac:dyDescent="0.2">
      <c r="A91" s="126">
        <v>18</v>
      </c>
      <c r="B91" s="127" t="s">
        <v>910</v>
      </c>
      <c r="C91" s="127" t="s">
        <v>911</v>
      </c>
      <c r="D91" s="127" t="s">
        <v>699</v>
      </c>
      <c r="E91" s="128">
        <v>50</v>
      </c>
      <c r="F91" s="129">
        <v>510.15249999999997</v>
      </c>
      <c r="G91" s="130">
        <v>2.8479960000000002E-3</v>
      </c>
      <c r="H91" s="191">
        <v>3.86</v>
      </c>
      <c r="I91" s="8"/>
    </row>
    <row r="92" spans="1:9" ht="25.5" x14ac:dyDescent="0.2">
      <c r="A92" s="126">
        <v>19</v>
      </c>
      <c r="B92" s="127" t="s">
        <v>912</v>
      </c>
      <c r="C92" s="127" t="s">
        <v>913</v>
      </c>
      <c r="D92" s="127" t="s">
        <v>699</v>
      </c>
      <c r="E92" s="128">
        <v>50</v>
      </c>
      <c r="F92" s="129">
        <v>505.887</v>
      </c>
      <c r="G92" s="130">
        <v>2.8241830000000001E-3</v>
      </c>
      <c r="H92" s="191">
        <v>3.86</v>
      </c>
      <c r="I92" s="8"/>
    </row>
    <row r="93" spans="1:9" x14ac:dyDescent="0.2">
      <c r="A93" s="126">
        <v>20</v>
      </c>
      <c r="B93" s="127" t="s">
        <v>914</v>
      </c>
      <c r="C93" s="127" t="s">
        <v>915</v>
      </c>
      <c r="D93" s="127" t="s">
        <v>1003</v>
      </c>
      <c r="E93" s="128">
        <v>20</v>
      </c>
      <c r="F93" s="129">
        <v>191.86420000000001</v>
      </c>
      <c r="G93" s="130">
        <v>1.0711080000000001E-3</v>
      </c>
      <c r="H93" s="191">
        <v>13.340999999999999</v>
      </c>
      <c r="I93" s="8"/>
    </row>
    <row r="94" spans="1:9" x14ac:dyDescent="0.2">
      <c r="A94" s="124" t="s">
        <v>9</v>
      </c>
      <c r="B94" s="124" t="s">
        <v>9</v>
      </c>
      <c r="C94" s="125" t="s">
        <v>105</v>
      </c>
      <c r="D94" s="124" t="s">
        <v>9</v>
      </c>
      <c r="E94" s="124" t="s">
        <v>9</v>
      </c>
      <c r="F94" s="131">
        <v>31742.643</v>
      </c>
      <c r="G94" s="132">
        <v>0.17720764999999999</v>
      </c>
      <c r="H94" s="191"/>
      <c r="I94" s="8"/>
    </row>
    <row r="95" spans="1:9" x14ac:dyDescent="0.2">
      <c r="A95" s="124" t="s">
        <v>9</v>
      </c>
      <c r="B95" s="124" t="s">
        <v>9</v>
      </c>
      <c r="C95" s="133" t="s">
        <v>9</v>
      </c>
      <c r="D95" s="124" t="s">
        <v>9</v>
      </c>
      <c r="E95" s="124" t="s">
        <v>9</v>
      </c>
      <c r="F95" s="134" t="s">
        <v>9</v>
      </c>
      <c r="G95" s="134" t="s">
        <v>9</v>
      </c>
      <c r="H95" s="191"/>
      <c r="I95" s="8"/>
    </row>
    <row r="96" spans="1:9" x14ac:dyDescent="0.2">
      <c r="A96" s="124" t="s">
        <v>9</v>
      </c>
      <c r="B96" s="124" t="s">
        <v>9</v>
      </c>
      <c r="C96" s="125" t="s">
        <v>116</v>
      </c>
      <c r="D96" s="124" t="s">
        <v>9</v>
      </c>
      <c r="E96" s="124" t="s">
        <v>9</v>
      </c>
      <c r="F96" s="124" t="s">
        <v>9</v>
      </c>
      <c r="G96" s="124" t="s">
        <v>9</v>
      </c>
      <c r="H96" s="191"/>
      <c r="I96" s="8"/>
    </row>
    <row r="97" spans="1:9" x14ac:dyDescent="0.2">
      <c r="A97" s="126">
        <v>1</v>
      </c>
      <c r="B97" s="127" t="s">
        <v>916</v>
      </c>
      <c r="C97" s="127" t="s">
        <v>917</v>
      </c>
      <c r="D97" s="127" t="s">
        <v>699</v>
      </c>
      <c r="E97" s="128">
        <v>50</v>
      </c>
      <c r="F97" s="129">
        <v>540.03499999999997</v>
      </c>
      <c r="G97" s="130">
        <v>3.0148190000000002E-3</v>
      </c>
      <c r="H97" s="191">
        <v>6.2549999999999999</v>
      </c>
      <c r="I97" s="8"/>
    </row>
    <row r="98" spans="1:9" x14ac:dyDescent="0.2">
      <c r="A98" s="124" t="s">
        <v>9</v>
      </c>
      <c r="B98" s="124" t="s">
        <v>9</v>
      </c>
      <c r="C98" s="125" t="s">
        <v>105</v>
      </c>
      <c r="D98" s="124" t="s">
        <v>9</v>
      </c>
      <c r="E98" s="124" t="s">
        <v>9</v>
      </c>
      <c r="F98" s="131">
        <v>540.03499999999997</v>
      </c>
      <c r="G98" s="132">
        <v>3.0148190000000002E-3</v>
      </c>
      <c r="H98" s="191"/>
      <c r="I98" s="8"/>
    </row>
    <row r="99" spans="1:9" x14ac:dyDescent="0.2">
      <c r="A99" s="124" t="s">
        <v>9</v>
      </c>
      <c r="B99" s="124" t="s">
        <v>9</v>
      </c>
      <c r="C99" s="133" t="s">
        <v>9</v>
      </c>
      <c r="D99" s="124" t="s">
        <v>9</v>
      </c>
      <c r="E99" s="124" t="s">
        <v>9</v>
      </c>
      <c r="F99" s="134" t="s">
        <v>9</v>
      </c>
      <c r="G99" s="134" t="s">
        <v>9</v>
      </c>
      <c r="H99" s="191"/>
      <c r="I99" s="8"/>
    </row>
    <row r="100" spans="1:9" x14ac:dyDescent="0.2">
      <c r="A100" s="124" t="s">
        <v>9</v>
      </c>
      <c r="B100" s="124" t="s">
        <v>9</v>
      </c>
      <c r="C100" s="125" t="s">
        <v>117</v>
      </c>
      <c r="D100" s="124" t="s">
        <v>9</v>
      </c>
      <c r="E100" s="124" t="s">
        <v>9</v>
      </c>
      <c r="F100" s="124" t="s">
        <v>9</v>
      </c>
      <c r="G100" s="124" t="s">
        <v>9</v>
      </c>
      <c r="H100" s="191"/>
      <c r="I100" s="8"/>
    </row>
    <row r="101" spans="1:9" x14ac:dyDescent="0.2">
      <c r="A101" s="126">
        <v>1</v>
      </c>
      <c r="B101" s="127" t="s">
        <v>724</v>
      </c>
      <c r="C101" s="127" t="s">
        <v>956</v>
      </c>
      <c r="D101" s="127" t="s">
        <v>725</v>
      </c>
      <c r="E101" s="128">
        <v>1800000</v>
      </c>
      <c r="F101" s="129">
        <v>1903.59</v>
      </c>
      <c r="G101" s="130">
        <v>1.0627052E-2</v>
      </c>
      <c r="H101" s="191">
        <v>4.9109999999999996</v>
      </c>
      <c r="I101" s="8"/>
    </row>
    <row r="102" spans="1:9" x14ac:dyDescent="0.2">
      <c r="A102" s="126">
        <v>2</v>
      </c>
      <c r="B102" s="127" t="s">
        <v>918</v>
      </c>
      <c r="C102" s="127" t="s">
        <v>955</v>
      </c>
      <c r="D102" s="127" t="s">
        <v>725</v>
      </c>
      <c r="E102" s="128">
        <v>1500000</v>
      </c>
      <c r="F102" s="129">
        <v>1568.4749999999999</v>
      </c>
      <c r="G102" s="130">
        <v>8.7562260000000006E-3</v>
      </c>
      <c r="H102" s="191">
        <v>4.601</v>
      </c>
      <c r="I102" s="8"/>
    </row>
    <row r="103" spans="1:9" x14ac:dyDescent="0.2">
      <c r="A103" s="124" t="s">
        <v>9</v>
      </c>
      <c r="B103" s="124" t="s">
        <v>9</v>
      </c>
      <c r="C103" s="125" t="s">
        <v>105</v>
      </c>
      <c r="D103" s="124" t="s">
        <v>9</v>
      </c>
      <c r="E103" s="124" t="s">
        <v>9</v>
      </c>
      <c r="F103" s="131">
        <v>3472.0650000000001</v>
      </c>
      <c r="G103" s="132">
        <v>1.9383278E-2</v>
      </c>
      <c r="H103" s="191"/>
      <c r="I103" s="8"/>
    </row>
    <row r="104" spans="1:9" x14ac:dyDescent="0.2">
      <c r="A104" s="124" t="s">
        <v>9</v>
      </c>
      <c r="B104" s="124" t="s">
        <v>9</v>
      </c>
      <c r="C104" s="133" t="s">
        <v>9</v>
      </c>
      <c r="D104" s="124" t="s">
        <v>9</v>
      </c>
      <c r="E104" s="124" t="s">
        <v>9</v>
      </c>
      <c r="F104" s="134" t="s">
        <v>9</v>
      </c>
      <c r="G104" s="134" t="s">
        <v>9</v>
      </c>
      <c r="H104" s="191"/>
      <c r="I104" s="8"/>
    </row>
    <row r="105" spans="1:9" x14ac:dyDescent="0.2">
      <c r="A105" s="124" t="s">
        <v>9</v>
      </c>
      <c r="B105" s="124" t="s">
        <v>9</v>
      </c>
      <c r="C105" s="125" t="s">
        <v>118</v>
      </c>
      <c r="D105" s="124" t="s">
        <v>9</v>
      </c>
      <c r="E105" s="124" t="s">
        <v>9</v>
      </c>
      <c r="F105" s="134" t="s">
        <v>9</v>
      </c>
      <c r="G105" s="134" t="s">
        <v>9</v>
      </c>
      <c r="H105" s="191"/>
      <c r="I105" s="8"/>
    </row>
    <row r="106" spans="1:9" x14ac:dyDescent="0.2">
      <c r="A106" s="124" t="s">
        <v>9</v>
      </c>
      <c r="B106" s="124" t="s">
        <v>9</v>
      </c>
      <c r="C106" s="125" t="s">
        <v>105</v>
      </c>
      <c r="D106" s="124" t="s">
        <v>9</v>
      </c>
      <c r="E106" s="124" t="s">
        <v>9</v>
      </c>
      <c r="F106" s="135">
        <v>0</v>
      </c>
      <c r="G106" s="136">
        <v>0</v>
      </c>
      <c r="H106" s="191"/>
      <c r="I106" s="8"/>
    </row>
    <row r="107" spans="1:9" x14ac:dyDescent="0.2">
      <c r="A107" s="124" t="s">
        <v>9</v>
      </c>
      <c r="B107" s="124" t="s">
        <v>9</v>
      </c>
      <c r="C107" s="133" t="s">
        <v>9</v>
      </c>
      <c r="D107" s="124" t="s">
        <v>9</v>
      </c>
      <c r="E107" s="124" t="s">
        <v>9</v>
      </c>
      <c r="F107" s="134" t="s">
        <v>9</v>
      </c>
      <c r="G107" s="134" t="s">
        <v>9</v>
      </c>
      <c r="H107" s="191"/>
      <c r="I107" s="8"/>
    </row>
    <row r="108" spans="1:9" x14ac:dyDescent="0.2">
      <c r="A108" s="124" t="s">
        <v>9</v>
      </c>
      <c r="B108" s="124" t="s">
        <v>9</v>
      </c>
      <c r="C108" s="125" t="s">
        <v>119</v>
      </c>
      <c r="D108" s="124" t="s">
        <v>9</v>
      </c>
      <c r="E108" s="124" t="s">
        <v>9</v>
      </c>
      <c r="F108" s="131">
        <v>35754.743000000002</v>
      </c>
      <c r="G108" s="132">
        <v>0.199605747</v>
      </c>
      <c r="H108" s="191"/>
      <c r="I108" s="8"/>
    </row>
    <row r="109" spans="1:9" x14ac:dyDescent="0.2">
      <c r="A109" s="124" t="s">
        <v>9</v>
      </c>
      <c r="B109" s="124" t="s">
        <v>9</v>
      </c>
      <c r="C109" s="133" t="s">
        <v>9</v>
      </c>
      <c r="D109" s="124" t="s">
        <v>9</v>
      </c>
      <c r="E109" s="124" t="s">
        <v>9</v>
      </c>
      <c r="F109" s="134" t="s">
        <v>9</v>
      </c>
      <c r="G109" s="134" t="s">
        <v>9</v>
      </c>
      <c r="H109" s="191"/>
      <c r="I109" s="8"/>
    </row>
    <row r="110" spans="1:9" x14ac:dyDescent="0.2">
      <c r="A110" s="124" t="s">
        <v>9</v>
      </c>
      <c r="B110" s="124" t="s">
        <v>9</v>
      </c>
      <c r="C110" s="125" t="s">
        <v>120</v>
      </c>
      <c r="D110" s="124" t="s">
        <v>9</v>
      </c>
      <c r="E110" s="124" t="s">
        <v>9</v>
      </c>
      <c r="F110" s="134" t="s">
        <v>9</v>
      </c>
      <c r="G110" s="134" t="s">
        <v>9</v>
      </c>
      <c r="H110" s="191"/>
      <c r="I110" s="8"/>
    </row>
    <row r="111" spans="1:9" x14ac:dyDescent="0.2">
      <c r="A111" s="124" t="s">
        <v>9</v>
      </c>
      <c r="B111" s="124" t="s">
        <v>9</v>
      </c>
      <c r="C111" s="125" t="s">
        <v>121</v>
      </c>
      <c r="D111" s="124" t="s">
        <v>9</v>
      </c>
      <c r="E111" s="124" t="s">
        <v>9</v>
      </c>
      <c r="F111" s="134" t="s">
        <v>9</v>
      </c>
      <c r="G111" s="134" t="s">
        <v>9</v>
      </c>
      <c r="H111" s="191"/>
      <c r="I111" s="8"/>
    </row>
    <row r="112" spans="1:9" x14ac:dyDescent="0.2">
      <c r="A112" s="124" t="s">
        <v>9</v>
      </c>
      <c r="B112" s="124" t="s">
        <v>9</v>
      </c>
      <c r="C112" s="125" t="s">
        <v>105</v>
      </c>
      <c r="D112" s="124" t="s">
        <v>9</v>
      </c>
      <c r="E112" s="124" t="s">
        <v>9</v>
      </c>
      <c r="F112" s="135">
        <v>0</v>
      </c>
      <c r="G112" s="136">
        <v>0</v>
      </c>
      <c r="H112" s="191"/>
      <c r="I112" s="8"/>
    </row>
    <row r="113" spans="1:9" x14ac:dyDescent="0.2">
      <c r="A113" s="124" t="s">
        <v>9</v>
      </c>
      <c r="B113" s="124" t="s">
        <v>9</v>
      </c>
      <c r="C113" s="133" t="s">
        <v>9</v>
      </c>
      <c r="D113" s="124" t="s">
        <v>9</v>
      </c>
      <c r="E113" s="124" t="s">
        <v>9</v>
      </c>
      <c r="F113" s="134" t="s">
        <v>9</v>
      </c>
      <c r="G113" s="134" t="s">
        <v>9</v>
      </c>
      <c r="H113" s="191"/>
      <c r="I113" s="8"/>
    </row>
    <row r="114" spans="1:9" x14ac:dyDescent="0.2">
      <c r="A114" s="124" t="s">
        <v>9</v>
      </c>
      <c r="B114" s="124" t="s">
        <v>9</v>
      </c>
      <c r="C114" s="125" t="s">
        <v>122</v>
      </c>
      <c r="D114" s="124" t="s">
        <v>9</v>
      </c>
      <c r="E114" s="124" t="s">
        <v>9</v>
      </c>
      <c r="F114" s="134" t="s">
        <v>9</v>
      </c>
      <c r="G114" s="134" t="s">
        <v>9</v>
      </c>
      <c r="H114" s="191"/>
      <c r="I114" s="8"/>
    </row>
    <row r="115" spans="1:9" x14ac:dyDescent="0.2">
      <c r="A115" s="124" t="s">
        <v>9</v>
      </c>
      <c r="B115" s="124" t="s">
        <v>9</v>
      </c>
      <c r="C115" s="125" t="s">
        <v>105</v>
      </c>
      <c r="D115" s="124" t="s">
        <v>9</v>
      </c>
      <c r="E115" s="124" t="s">
        <v>9</v>
      </c>
      <c r="F115" s="135">
        <v>0</v>
      </c>
      <c r="G115" s="136">
        <v>0</v>
      </c>
      <c r="H115" s="191"/>
      <c r="I115" s="8"/>
    </row>
    <row r="116" spans="1:9" x14ac:dyDescent="0.2">
      <c r="A116" s="124" t="s">
        <v>9</v>
      </c>
      <c r="B116" s="124" t="s">
        <v>9</v>
      </c>
      <c r="C116" s="133" t="s">
        <v>9</v>
      </c>
      <c r="D116" s="124" t="s">
        <v>9</v>
      </c>
      <c r="E116" s="124" t="s">
        <v>9</v>
      </c>
      <c r="F116" s="134" t="s">
        <v>9</v>
      </c>
      <c r="G116" s="134" t="s">
        <v>9</v>
      </c>
      <c r="H116" s="191"/>
      <c r="I116" s="8"/>
    </row>
    <row r="117" spans="1:9" x14ac:dyDescent="0.2">
      <c r="A117" s="124" t="s">
        <v>9</v>
      </c>
      <c r="B117" s="124" t="s">
        <v>9</v>
      </c>
      <c r="C117" s="125" t="s">
        <v>123</v>
      </c>
      <c r="D117" s="124" t="s">
        <v>9</v>
      </c>
      <c r="E117" s="124" t="s">
        <v>9</v>
      </c>
      <c r="F117" s="134" t="s">
        <v>9</v>
      </c>
      <c r="G117" s="134" t="s">
        <v>9</v>
      </c>
      <c r="H117" s="191"/>
      <c r="I117" s="8"/>
    </row>
    <row r="118" spans="1:9" x14ac:dyDescent="0.2">
      <c r="A118" s="126">
        <v>1</v>
      </c>
      <c r="B118" s="127" t="s">
        <v>919</v>
      </c>
      <c r="C118" s="127" t="s">
        <v>920</v>
      </c>
      <c r="D118" s="127" t="s">
        <v>725</v>
      </c>
      <c r="E118" s="128">
        <v>2500000</v>
      </c>
      <c r="F118" s="129">
        <v>2464.7125000000001</v>
      </c>
      <c r="G118" s="130">
        <v>1.3759594999999999E-2</v>
      </c>
      <c r="H118" s="191">
        <v>3.5550000000000002</v>
      </c>
      <c r="I118" s="8"/>
    </row>
    <row r="119" spans="1:9" x14ac:dyDescent="0.2">
      <c r="A119" s="124" t="s">
        <v>9</v>
      </c>
      <c r="B119" s="124" t="s">
        <v>9</v>
      </c>
      <c r="C119" s="125" t="s">
        <v>105</v>
      </c>
      <c r="D119" s="124" t="s">
        <v>9</v>
      </c>
      <c r="E119" s="124" t="s">
        <v>9</v>
      </c>
      <c r="F119" s="131">
        <v>2464.7125000000001</v>
      </c>
      <c r="G119" s="132">
        <v>1.3759594999999999E-2</v>
      </c>
      <c r="H119" s="191"/>
      <c r="I119" s="8"/>
    </row>
    <row r="120" spans="1:9" x14ac:dyDescent="0.2">
      <c r="A120" s="124" t="s">
        <v>9</v>
      </c>
      <c r="B120" s="124" t="s">
        <v>9</v>
      </c>
      <c r="C120" s="133" t="s">
        <v>9</v>
      </c>
      <c r="D120" s="124" t="s">
        <v>9</v>
      </c>
      <c r="E120" s="124" t="s">
        <v>9</v>
      </c>
      <c r="F120" s="134" t="s">
        <v>9</v>
      </c>
      <c r="G120" s="134" t="s">
        <v>9</v>
      </c>
      <c r="H120" s="156"/>
      <c r="I120" s="8"/>
    </row>
    <row r="121" spans="1:9" x14ac:dyDescent="0.2">
      <c r="A121" s="124" t="s">
        <v>9</v>
      </c>
      <c r="B121" s="124" t="s">
        <v>9</v>
      </c>
      <c r="C121" s="125" t="s">
        <v>124</v>
      </c>
      <c r="D121" s="124" t="s">
        <v>9</v>
      </c>
      <c r="E121" s="124" t="s">
        <v>9</v>
      </c>
      <c r="F121" s="134" t="s">
        <v>9</v>
      </c>
      <c r="G121" s="134" t="s">
        <v>9</v>
      </c>
      <c r="H121" s="156"/>
      <c r="I121" s="8"/>
    </row>
    <row r="122" spans="1:9" x14ac:dyDescent="0.2">
      <c r="A122" s="126">
        <v>1</v>
      </c>
      <c r="B122" s="127"/>
      <c r="C122" s="127" t="s">
        <v>125</v>
      </c>
      <c r="D122" s="127"/>
      <c r="E122" s="137" t="s">
        <v>9</v>
      </c>
      <c r="F122" s="129">
        <v>2554.8603503999998</v>
      </c>
      <c r="G122" s="130">
        <v>1.4262858E-2</v>
      </c>
      <c r="H122" s="8">
        <v>3.3326163573085874</v>
      </c>
      <c r="I122" s="8"/>
    </row>
    <row r="123" spans="1:9" x14ac:dyDescent="0.2">
      <c r="A123" s="126">
        <v>2</v>
      </c>
      <c r="B123" s="127"/>
      <c r="C123" s="127" t="s">
        <v>126</v>
      </c>
      <c r="D123" s="127"/>
      <c r="E123" s="137" t="s">
        <v>9</v>
      </c>
      <c r="F123" s="129">
        <v>1824.8061285000001</v>
      </c>
      <c r="G123" s="130">
        <v>1.018723E-2</v>
      </c>
      <c r="H123" s="8">
        <v>3.2337849550915885</v>
      </c>
      <c r="I123" s="8"/>
    </row>
    <row r="124" spans="1:9" x14ac:dyDescent="0.2">
      <c r="A124" s="124" t="s">
        <v>9</v>
      </c>
      <c r="B124" s="124" t="s">
        <v>9</v>
      </c>
      <c r="C124" s="125" t="s">
        <v>105</v>
      </c>
      <c r="D124" s="124" t="s">
        <v>9</v>
      </c>
      <c r="E124" s="124" t="s">
        <v>9</v>
      </c>
      <c r="F124" s="131">
        <v>4379.6664788999997</v>
      </c>
      <c r="G124" s="132">
        <v>2.4450087999999998E-2</v>
      </c>
      <c r="H124" s="156"/>
      <c r="I124" s="8"/>
    </row>
    <row r="125" spans="1:9" x14ac:dyDescent="0.2">
      <c r="A125" s="124" t="s">
        <v>9</v>
      </c>
      <c r="B125" s="124" t="s">
        <v>9</v>
      </c>
      <c r="C125" s="133" t="s">
        <v>9</v>
      </c>
      <c r="D125" s="124" t="s">
        <v>9</v>
      </c>
      <c r="E125" s="124" t="s">
        <v>9</v>
      </c>
      <c r="F125" s="134" t="s">
        <v>9</v>
      </c>
      <c r="G125" s="134" t="s">
        <v>9</v>
      </c>
      <c r="H125" s="156"/>
      <c r="I125" s="8"/>
    </row>
    <row r="126" spans="1:9" x14ac:dyDescent="0.2">
      <c r="A126" s="124" t="s">
        <v>9</v>
      </c>
      <c r="B126" s="124" t="s">
        <v>9</v>
      </c>
      <c r="C126" s="125" t="s">
        <v>127</v>
      </c>
      <c r="D126" s="124" t="s">
        <v>9</v>
      </c>
      <c r="E126" s="124" t="s">
        <v>9</v>
      </c>
      <c r="F126" s="131">
        <v>6844.3789789000002</v>
      </c>
      <c r="G126" s="132">
        <v>3.8209683000000001E-2</v>
      </c>
      <c r="H126" s="156"/>
      <c r="I126" s="8"/>
    </row>
    <row r="127" spans="1:9" x14ac:dyDescent="0.2">
      <c r="A127" s="124" t="s">
        <v>9</v>
      </c>
      <c r="B127" s="124" t="s">
        <v>9</v>
      </c>
      <c r="C127" s="134" t="s">
        <v>9</v>
      </c>
      <c r="D127" s="124" t="s">
        <v>9</v>
      </c>
      <c r="E127" s="124" t="s">
        <v>9</v>
      </c>
      <c r="F127" s="124" t="s">
        <v>9</v>
      </c>
      <c r="G127" s="124" t="s">
        <v>9</v>
      </c>
      <c r="H127" s="156"/>
      <c r="I127" s="8"/>
    </row>
    <row r="128" spans="1:9" x14ac:dyDescent="0.2">
      <c r="A128" s="124" t="s">
        <v>9</v>
      </c>
      <c r="B128" s="124" t="s">
        <v>9</v>
      </c>
      <c r="C128" s="125" t="s">
        <v>128</v>
      </c>
      <c r="D128" s="124" t="s">
        <v>9</v>
      </c>
      <c r="E128" s="124" t="s">
        <v>9</v>
      </c>
      <c r="F128" s="124" t="s">
        <v>9</v>
      </c>
      <c r="G128" s="124" t="s">
        <v>9</v>
      </c>
      <c r="H128" s="156"/>
      <c r="I128" s="8"/>
    </row>
    <row r="129" spans="1:9" x14ac:dyDescent="0.2">
      <c r="A129" s="124" t="s">
        <v>9</v>
      </c>
      <c r="B129" s="124" t="s">
        <v>9</v>
      </c>
      <c r="C129" s="125" t="s">
        <v>129</v>
      </c>
      <c r="D129" s="124" t="s">
        <v>9</v>
      </c>
      <c r="E129" s="124" t="s">
        <v>9</v>
      </c>
      <c r="F129" s="124" t="s">
        <v>9</v>
      </c>
      <c r="G129" s="124" t="s">
        <v>9</v>
      </c>
      <c r="H129" s="156"/>
      <c r="I129" s="8"/>
    </row>
    <row r="130" spans="1:9" x14ac:dyDescent="0.2">
      <c r="A130" s="124" t="s">
        <v>9</v>
      </c>
      <c r="B130" s="124" t="s">
        <v>9</v>
      </c>
      <c r="C130" s="125" t="s">
        <v>105</v>
      </c>
      <c r="D130" s="124" t="s">
        <v>9</v>
      </c>
      <c r="E130" s="124" t="s">
        <v>9</v>
      </c>
      <c r="F130" s="135">
        <v>0</v>
      </c>
      <c r="G130" s="136">
        <v>0</v>
      </c>
      <c r="H130" s="156"/>
      <c r="I130" s="8"/>
    </row>
    <row r="131" spans="1:9" x14ac:dyDescent="0.2">
      <c r="A131" s="124" t="s">
        <v>9</v>
      </c>
      <c r="B131" s="124" t="s">
        <v>9</v>
      </c>
      <c r="C131" s="133" t="s">
        <v>9</v>
      </c>
      <c r="D131" s="124" t="s">
        <v>9</v>
      </c>
      <c r="E131" s="124" t="s">
        <v>9</v>
      </c>
      <c r="F131" s="134" t="s">
        <v>9</v>
      </c>
      <c r="G131" s="134" t="s">
        <v>9</v>
      </c>
      <c r="H131" s="156"/>
      <c r="I131" s="8"/>
    </row>
    <row r="132" spans="1:9" x14ac:dyDescent="0.2">
      <c r="A132" s="124" t="s">
        <v>9</v>
      </c>
      <c r="B132" s="124" t="s">
        <v>9</v>
      </c>
      <c r="C132" s="125" t="s">
        <v>130</v>
      </c>
      <c r="D132" s="124" t="s">
        <v>9</v>
      </c>
      <c r="E132" s="124" t="s">
        <v>9</v>
      </c>
      <c r="F132" s="124" t="s">
        <v>9</v>
      </c>
      <c r="G132" s="124" t="s">
        <v>9</v>
      </c>
      <c r="H132" s="156"/>
      <c r="I132" s="8"/>
    </row>
    <row r="133" spans="1:9" x14ac:dyDescent="0.2">
      <c r="A133" s="124" t="s">
        <v>9</v>
      </c>
      <c r="B133" s="124" t="s">
        <v>9</v>
      </c>
      <c r="C133" s="125" t="s">
        <v>131</v>
      </c>
      <c r="D133" s="124" t="s">
        <v>9</v>
      </c>
      <c r="E133" s="124" t="s">
        <v>9</v>
      </c>
      <c r="F133" s="124" t="s">
        <v>9</v>
      </c>
      <c r="G133" s="124" t="s">
        <v>9</v>
      </c>
      <c r="H133" s="156"/>
      <c r="I133" s="8"/>
    </row>
    <row r="134" spans="1:9" x14ac:dyDescent="0.2">
      <c r="A134" s="124" t="s">
        <v>9</v>
      </c>
      <c r="B134" s="124" t="s">
        <v>9</v>
      </c>
      <c r="C134" s="125" t="s">
        <v>105</v>
      </c>
      <c r="D134" s="124" t="s">
        <v>9</v>
      </c>
      <c r="E134" s="124" t="s">
        <v>9</v>
      </c>
      <c r="F134" s="135">
        <v>0</v>
      </c>
      <c r="G134" s="136">
        <v>0</v>
      </c>
      <c r="H134" s="156"/>
      <c r="I134" s="8"/>
    </row>
    <row r="135" spans="1:9" x14ac:dyDescent="0.2">
      <c r="A135" s="124" t="s">
        <v>9</v>
      </c>
      <c r="B135" s="124" t="s">
        <v>9</v>
      </c>
      <c r="C135" s="133" t="s">
        <v>9</v>
      </c>
      <c r="D135" s="124" t="s">
        <v>9</v>
      </c>
      <c r="E135" s="124" t="s">
        <v>9</v>
      </c>
      <c r="F135" s="134" t="s">
        <v>9</v>
      </c>
      <c r="G135" s="134" t="s">
        <v>9</v>
      </c>
      <c r="H135" s="156"/>
      <c r="I135" s="8"/>
    </row>
    <row r="136" spans="1:9" x14ac:dyDescent="0.2">
      <c r="A136" s="124" t="s">
        <v>9</v>
      </c>
      <c r="B136" s="124" t="s">
        <v>9</v>
      </c>
      <c r="C136" s="125" t="s">
        <v>132</v>
      </c>
      <c r="D136" s="124" t="s">
        <v>9</v>
      </c>
      <c r="E136" s="124" t="s">
        <v>9</v>
      </c>
      <c r="F136" s="134" t="s">
        <v>9</v>
      </c>
      <c r="G136" s="134" t="s">
        <v>9</v>
      </c>
      <c r="H136" s="156"/>
      <c r="I136" s="8"/>
    </row>
    <row r="137" spans="1:9" x14ac:dyDescent="0.2">
      <c r="A137" s="124" t="s">
        <v>9</v>
      </c>
      <c r="B137" s="124" t="s">
        <v>9</v>
      </c>
      <c r="C137" s="125" t="s">
        <v>105</v>
      </c>
      <c r="D137" s="124" t="s">
        <v>9</v>
      </c>
      <c r="E137" s="124" t="s">
        <v>9</v>
      </c>
      <c r="F137" s="135">
        <v>0</v>
      </c>
      <c r="G137" s="136">
        <v>0</v>
      </c>
      <c r="H137" s="156"/>
      <c r="I137" s="8"/>
    </row>
    <row r="138" spans="1:9" x14ac:dyDescent="0.2">
      <c r="A138" s="124" t="s">
        <v>9</v>
      </c>
      <c r="B138" s="124" t="s">
        <v>9</v>
      </c>
      <c r="C138" s="133" t="s">
        <v>9</v>
      </c>
      <c r="D138" s="124" t="s">
        <v>9</v>
      </c>
      <c r="E138" s="124" t="s">
        <v>9</v>
      </c>
      <c r="F138" s="134" t="s">
        <v>9</v>
      </c>
      <c r="G138" s="134" t="s">
        <v>9</v>
      </c>
      <c r="H138" s="156"/>
      <c r="I138" s="8"/>
    </row>
    <row r="139" spans="1:9" x14ac:dyDescent="0.2">
      <c r="A139" s="124" t="s">
        <v>9</v>
      </c>
      <c r="B139" s="127" t="s">
        <v>9</v>
      </c>
      <c r="C139" s="127" t="s">
        <v>9</v>
      </c>
      <c r="D139" s="125" t="s">
        <v>9</v>
      </c>
      <c r="E139" s="124" t="s">
        <v>9</v>
      </c>
      <c r="F139" s="127" t="s">
        <v>9</v>
      </c>
      <c r="G139" s="137" t="s">
        <v>9</v>
      </c>
      <c r="H139" s="156"/>
      <c r="I139" s="8"/>
    </row>
    <row r="140" spans="1:9" x14ac:dyDescent="0.2">
      <c r="A140" s="137" t="s">
        <v>9</v>
      </c>
      <c r="B140" s="127" t="s">
        <v>9</v>
      </c>
      <c r="C140" s="127" t="s">
        <v>875</v>
      </c>
      <c r="D140" s="127" t="s">
        <v>9</v>
      </c>
      <c r="E140" s="137" t="s">
        <v>9</v>
      </c>
      <c r="F140" s="129">
        <v>2554.7325716999999</v>
      </c>
      <c r="G140" s="130">
        <v>1.4262143999999999E-2</v>
      </c>
      <c r="H140" s="156"/>
      <c r="I140" s="8"/>
    </row>
    <row r="141" spans="1:9" x14ac:dyDescent="0.2">
      <c r="A141" s="133" t="s">
        <v>9</v>
      </c>
      <c r="B141" s="133" t="s">
        <v>9</v>
      </c>
      <c r="C141" s="125" t="s">
        <v>134</v>
      </c>
      <c r="D141" s="134" t="s">
        <v>9</v>
      </c>
      <c r="E141" s="134" t="s">
        <v>9</v>
      </c>
      <c r="F141" s="131">
        <v>179126.82094159999</v>
      </c>
      <c r="G141" s="132">
        <v>0.99999999900000003</v>
      </c>
      <c r="H141" s="156"/>
      <c r="I141" s="8"/>
    </row>
    <row r="142" spans="1:9" ht="14.1" customHeight="1" x14ac:dyDescent="0.2">
      <c r="A142" s="138" t="s">
        <v>9</v>
      </c>
      <c r="B142" s="138" t="s">
        <v>9</v>
      </c>
      <c r="C142" s="138" t="s">
        <v>9</v>
      </c>
      <c r="D142" s="139" t="s">
        <v>9</v>
      </c>
      <c r="E142" s="139" t="s">
        <v>9</v>
      </c>
      <c r="F142" s="139" t="s">
        <v>9</v>
      </c>
      <c r="G142" s="139" t="s">
        <v>9</v>
      </c>
    </row>
    <row r="143" spans="1:9" ht="17.100000000000001" customHeight="1" x14ac:dyDescent="0.2">
      <c r="A143" s="140" t="s">
        <v>9</v>
      </c>
      <c r="B143" s="217" t="s">
        <v>876</v>
      </c>
      <c r="C143" s="217"/>
      <c r="D143" s="217"/>
      <c r="E143" s="217"/>
      <c r="F143" s="217"/>
      <c r="G143" s="141" t="s">
        <v>9</v>
      </c>
    </row>
    <row r="144" spans="1:9" ht="17.100000000000001" customHeight="1" x14ac:dyDescent="0.2">
      <c r="A144" s="140" t="s">
        <v>9</v>
      </c>
      <c r="B144" s="217" t="s">
        <v>877</v>
      </c>
      <c r="C144" s="217"/>
      <c r="D144" s="217"/>
      <c r="E144" s="217"/>
      <c r="F144" s="217"/>
      <c r="G144" s="141" t="s">
        <v>9</v>
      </c>
    </row>
    <row r="145" spans="1:8" ht="14.1" customHeight="1" x14ac:dyDescent="0.2">
      <c r="A145" s="140" t="s">
        <v>9</v>
      </c>
      <c r="B145" s="217" t="s">
        <v>9</v>
      </c>
      <c r="C145" s="217"/>
      <c r="D145" s="217"/>
      <c r="E145" s="217"/>
      <c r="F145" s="217"/>
      <c r="G145" s="141" t="s">
        <v>9</v>
      </c>
    </row>
    <row r="146" spans="1:8" ht="14.1" customHeight="1" x14ac:dyDescent="0.2">
      <c r="A146" s="140" t="s">
        <v>9</v>
      </c>
      <c r="B146" s="140" t="s">
        <v>9</v>
      </c>
      <c r="C146" s="140" t="s">
        <v>9</v>
      </c>
      <c r="D146" s="141" t="s">
        <v>9</v>
      </c>
      <c r="E146" s="141" t="s">
        <v>9</v>
      </c>
      <c r="F146" s="141" t="s">
        <v>9</v>
      </c>
      <c r="G146" s="141" t="s">
        <v>9</v>
      </c>
    </row>
    <row r="147" spans="1:8" ht="14.1" customHeight="1" x14ac:dyDescent="0.2">
      <c r="A147" s="140" t="s">
        <v>9</v>
      </c>
      <c r="B147" s="218" t="s">
        <v>136</v>
      </c>
      <c r="C147" s="219"/>
      <c r="D147" s="220"/>
      <c r="E147" s="142" t="s">
        <v>9</v>
      </c>
      <c r="F147" s="141" t="s">
        <v>9</v>
      </c>
      <c r="G147" s="141" t="s">
        <v>9</v>
      </c>
    </row>
    <row r="148" spans="1:8" ht="29.1" customHeight="1" x14ac:dyDescent="0.2">
      <c r="A148" s="140" t="s">
        <v>9</v>
      </c>
      <c r="B148" s="215" t="s">
        <v>137</v>
      </c>
      <c r="C148" s="216"/>
      <c r="D148" s="125" t="s">
        <v>138</v>
      </c>
      <c r="E148" s="142" t="s">
        <v>9</v>
      </c>
      <c r="F148" s="141" t="s">
        <v>9</v>
      </c>
      <c r="G148" s="141" t="s">
        <v>9</v>
      </c>
    </row>
    <row r="149" spans="1:8" ht="17.100000000000001" customHeight="1" x14ac:dyDescent="0.2">
      <c r="A149" s="140" t="s">
        <v>9</v>
      </c>
      <c r="B149" s="215" t="s">
        <v>139</v>
      </c>
      <c r="C149" s="216"/>
      <c r="D149" s="125" t="s">
        <v>138</v>
      </c>
      <c r="E149" s="142" t="s">
        <v>9</v>
      </c>
      <c r="F149" s="141" t="s">
        <v>9</v>
      </c>
      <c r="G149" s="141" t="s">
        <v>9</v>
      </c>
    </row>
    <row r="150" spans="1:8" ht="17.100000000000001" customHeight="1" x14ac:dyDescent="0.2">
      <c r="A150" s="140" t="s">
        <v>9</v>
      </c>
      <c r="B150" s="215" t="s">
        <v>140</v>
      </c>
      <c r="C150" s="216"/>
      <c r="D150" s="134" t="s">
        <v>9</v>
      </c>
      <c r="E150" s="142" t="s">
        <v>9</v>
      </c>
      <c r="F150" s="141" t="s">
        <v>9</v>
      </c>
      <c r="G150" s="141" t="s">
        <v>9</v>
      </c>
    </row>
    <row r="151" spans="1:8" ht="24" customHeight="1" x14ac:dyDescent="0.2">
      <c r="A151" s="143" t="s">
        <v>9</v>
      </c>
      <c r="B151" s="144" t="s">
        <v>9</v>
      </c>
      <c r="C151" s="144" t="s">
        <v>141</v>
      </c>
      <c r="D151" s="144" t="s">
        <v>142</v>
      </c>
      <c r="E151" s="143" t="s">
        <v>9</v>
      </c>
      <c r="F151" s="143" t="s">
        <v>9</v>
      </c>
      <c r="G151" s="143" t="s">
        <v>9</v>
      </c>
    </row>
    <row r="152" spans="1:8" ht="18" customHeight="1" x14ac:dyDescent="0.2">
      <c r="A152" s="143" t="s">
        <v>9</v>
      </c>
      <c r="B152" s="145" t="s">
        <v>143</v>
      </c>
      <c r="C152" s="144" t="s">
        <v>144</v>
      </c>
      <c r="D152" s="144" t="s">
        <v>145</v>
      </c>
      <c r="E152" s="143" t="s">
        <v>9</v>
      </c>
      <c r="F152" s="143" t="s">
        <v>9</v>
      </c>
      <c r="G152" s="143" t="s">
        <v>9</v>
      </c>
    </row>
    <row r="153" spans="1:8" ht="17.100000000000001" customHeight="1" x14ac:dyDescent="0.2">
      <c r="A153" s="143" t="s">
        <v>9</v>
      </c>
      <c r="B153" s="127" t="s">
        <v>146</v>
      </c>
      <c r="C153" s="146">
        <v>127.6187</v>
      </c>
      <c r="D153" s="146">
        <v>131.51689999999999</v>
      </c>
      <c r="E153" s="143" t="s">
        <v>9</v>
      </c>
      <c r="F153" s="147" t="s">
        <v>9</v>
      </c>
      <c r="G153" s="148" t="s">
        <v>9</v>
      </c>
    </row>
    <row r="154" spans="1:8" ht="17.100000000000001" customHeight="1" x14ac:dyDescent="0.2">
      <c r="A154" s="143" t="s">
        <v>9</v>
      </c>
      <c r="B154" s="127" t="s">
        <v>839</v>
      </c>
      <c r="C154" s="146">
        <v>17.307700000000001</v>
      </c>
      <c r="D154" s="146">
        <v>17.6755</v>
      </c>
      <c r="E154" s="143" t="s">
        <v>9</v>
      </c>
      <c r="F154" s="147" t="s">
        <v>9</v>
      </c>
      <c r="G154" s="148" t="s">
        <v>9</v>
      </c>
    </row>
    <row r="155" spans="1:8" ht="17.100000000000001" customHeight="1" x14ac:dyDescent="0.2">
      <c r="A155" s="143" t="s">
        <v>9</v>
      </c>
      <c r="B155" s="127" t="s">
        <v>147</v>
      </c>
      <c r="C155" s="146">
        <v>118.75830000000001</v>
      </c>
      <c r="D155" s="146">
        <v>122.25620000000001</v>
      </c>
      <c r="E155" s="143" t="s">
        <v>9</v>
      </c>
      <c r="F155" s="147" t="s">
        <v>9</v>
      </c>
      <c r="G155" s="148" t="s">
        <v>9</v>
      </c>
    </row>
    <row r="156" spans="1:8" ht="17.100000000000001" customHeight="1" x14ac:dyDescent="0.2">
      <c r="A156" s="143" t="s">
        <v>9</v>
      </c>
      <c r="B156" s="127" t="s">
        <v>840</v>
      </c>
      <c r="C156" s="146">
        <v>15.3278</v>
      </c>
      <c r="D156" s="146">
        <v>15.636699999999999</v>
      </c>
      <c r="E156" s="143" t="s">
        <v>9</v>
      </c>
      <c r="F156" s="147" t="s">
        <v>9</v>
      </c>
      <c r="G156" s="148" t="s">
        <v>9</v>
      </c>
    </row>
    <row r="157" spans="1:8" ht="14.1" customHeight="1" x14ac:dyDescent="0.2">
      <c r="A157" s="143" t="s">
        <v>9</v>
      </c>
      <c r="B157" s="143" t="s">
        <v>9</v>
      </c>
      <c r="C157" s="143" t="s">
        <v>9</v>
      </c>
      <c r="D157" s="143" t="s">
        <v>9</v>
      </c>
      <c r="E157" s="143" t="s">
        <v>9</v>
      </c>
      <c r="F157" s="143" t="s">
        <v>9</v>
      </c>
      <c r="G157" s="143" t="s">
        <v>9</v>
      </c>
    </row>
    <row r="158" spans="1:8" customFormat="1" ht="29.1" customHeight="1" x14ac:dyDescent="0.2">
      <c r="A158" s="167" t="s">
        <v>9</v>
      </c>
      <c r="B158" s="207" t="s">
        <v>986</v>
      </c>
      <c r="C158" s="207"/>
      <c r="D158" s="160"/>
      <c r="E158" s="167" t="s">
        <v>9</v>
      </c>
      <c r="F158" s="167" t="s">
        <v>9</v>
      </c>
      <c r="G158" s="167" t="s">
        <v>9</v>
      </c>
      <c r="H158" s="123"/>
    </row>
    <row r="159" spans="1:8" s="166" customFormat="1" ht="15" x14ac:dyDescent="0.2">
      <c r="A159" s="148" t="s">
        <v>9</v>
      </c>
      <c r="B159" s="161" t="s">
        <v>143</v>
      </c>
      <c r="C159" s="161" t="s">
        <v>878</v>
      </c>
      <c r="D159" s="161" t="s">
        <v>879</v>
      </c>
      <c r="E159" s="148" t="s">
        <v>9</v>
      </c>
      <c r="F159" s="148" t="s">
        <v>9</v>
      </c>
      <c r="G159" s="148" t="s">
        <v>9</v>
      </c>
      <c r="H159" s="123"/>
    </row>
    <row r="160" spans="1:8" customFormat="1" ht="17.100000000000001" customHeight="1" x14ac:dyDescent="0.2">
      <c r="A160" s="24" t="s">
        <v>9</v>
      </c>
      <c r="B160" s="162" t="s">
        <v>839</v>
      </c>
      <c r="C160" s="163">
        <v>0.16</v>
      </c>
      <c r="D160" s="163">
        <v>0.16</v>
      </c>
      <c r="E160" s="24" t="s">
        <v>9</v>
      </c>
      <c r="F160" s="31" t="s">
        <v>9</v>
      </c>
      <c r="G160" s="27" t="s">
        <v>9</v>
      </c>
      <c r="H160" s="123"/>
    </row>
    <row r="161" spans="1:8" customFormat="1" ht="29.1" customHeight="1" x14ac:dyDescent="0.2">
      <c r="A161" s="24" t="s">
        <v>9</v>
      </c>
      <c r="B161" s="162" t="s">
        <v>840</v>
      </c>
      <c r="C161" s="163">
        <v>0.14199999999999999</v>
      </c>
      <c r="D161" s="163">
        <v>0.14199999999999999</v>
      </c>
      <c r="E161" s="24" t="s">
        <v>9</v>
      </c>
      <c r="F161" s="31" t="s">
        <v>9</v>
      </c>
      <c r="G161" s="27" t="s">
        <v>9</v>
      </c>
      <c r="H161" s="123"/>
    </row>
    <row r="162" spans="1:8" ht="14.1" customHeight="1" x14ac:dyDescent="0.2">
      <c r="A162" s="143" t="s">
        <v>9</v>
      </c>
      <c r="B162" s="149" t="s">
        <v>9</v>
      </c>
      <c r="C162" s="149" t="s">
        <v>9</v>
      </c>
      <c r="D162" s="150" t="s">
        <v>9</v>
      </c>
      <c r="E162" s="143" t="s">
        <v>9</v>
      </c>
      <c r="F162" s="147" t="s">
        <v>9</v>
      </c>
      <c r="G162" s="148" t="s">
        <v>9</v>
      </c>
    </row>
    <row r="163" spans="1:8" s="197" customFormat="1" x14ac:dyDescent="0.2">
      <c r="B163" s="208" t="s">
        <v>841</v>
      </c>
      <c r="C163" s="208"/>
      <c r="D163" s="208"/>
      <c r="E163" s="208"/>
      <c r="F163" s="208"/>
    </row>
    <row r="164" spans="1:8" ht="14.1" customHeight="1" x14ac:dyDescent="0.2">
      <c r="A164" s="143"/>
      <c r="B164" s="183"/>
      <c r="C164" s="183"/>
      <c r="D164" s="143"/>
      <c r="E164" s="143"/>
      <c r="F164" s="143"/>
      <c r="G164" s="143"/>
    </row>
    <row r="165" spans="1:8" ht="29.1" customHeight="1" x14ac:dyDescent="0.2">
      <c r="A165" s="143" t="s">
        <v>9</v>
      </c>
      <c r="B165" s="215" t="s">
        <v>148</v>
      </c>
      <c r="C165" s="216"/>
      <c r="D165" s="125" t="s">
        <v>138</v>
      </c>
      <c r="E165" s="151" t="s">
        <v>9</v>
      </c>
      <c r="F165" s="143" t="s">
        <v>9</v>
      </c>
      <c r="G165" s="143" t="s">
        <v>9</v>
      </c>
    </row>
    <row r="166" spans="1:8" ht="29.1" customHeight="1" x14ac:dyDescent="0.2">
      <c r="A166" s="143" t="s">
        <v>9</v>
      </c>
      <c r="B166" s="215" t="s">
        <v>149</v>
      </c>
      <c r="C166" s="216"/>
      <c r="D166" s="125" t="s">
        <v>138</v>
      </c>
      <c r="E166" s="151" t="s">
        <v>9</v>
      </c>
      <c r="F166" s="143" t="s">
        <v>9</v>
      </c>
      <c r="G166" s="143" t="s">
        <v>9</v>
      </c>
    </row>
    <row r="167" spans="1:8" ht="17.100000000000001" customHeight="1" x14ac:dyDescent="0.2">
      <c r="A167" s="143" t="s">
        <v>9</v>
      </c>
      <c r="B167" s="212" t="s">
        <v>992</v>
      </c>
      <c r="C167" s="213"/>
      <c r="D167" s="152">
        <v>4.1683912210011762</v>
      </c>
      <c r="E167" s="151" t="s">
        <v>9</v>
      </c>
      <c r="F167" s="143" t="s">
        <v>9</v>
      </c>
      <c r="G167" s="143" t="s">
        <v>9</v>
      </c>
    </row>
    <row r="168" spans="1:8" ht="17.100000000000001" customHeight="1" x14ac:dyDescent="0.2">
      <c r="A168" s="143" t="s">
        <v>9</v>
      </c>
      <c r="B168" s="212" t="s">
        <v>993</v>
      </c>
      <c r="C168" s="213"/>
      <c r="D168" s="152">
        <v>3.1244670339645748</v>
      </c>
      <c r="E168" s="151" t="s">
        <v>9</v>
      </c>
      <c r="F168" s="143" t="s">
        <v>9</v>
      </c>
      <c r="G168" s="143" t="s">
        <v>9</v>
      </c>
    </row>
    <row r="169" spans="1:8" ht="17.100000000000001" customHeight="1" x14ac:dyDescent="0.2">
      <c r="A169" s="143" t="s">
        <v>9</v>
      </c>
      <c r="B169" s="215" t="s">
        <v>880</v>
      </c>
      <c r="C169" s="216"/>
      <c r="D169" s="125" t="s">
        <v>138</v>
      </c>
      <c r="E169" s="151" t="s">
        <v>9</v>
      </c>
      <c r="F169" s="143" t="s">
        <v>9</v>
      </c>
      <c r="G169" s="143" t="s">
        <v>9</v>
      </c>
    </row>
    <row r="170" spans="1:8" ht="17.100000000000001" customHeight="1" x14ac:dyDescent="0.2">
      <c r="A170" s="143" t="s">
        <v>9</v>
      </c>
      <c r="B170" s="215" t="s">
        <v>997</v>
      </c>
      <c r="C170" s="216"/>
      <c r="D170" s="153">
        <v>0.91706723038009397</v>
      </c>
      <c r="E170" s="143" t="s">
        <v>9</v>
      </c>
      <c r="F170" s="147" t="s">
        <v>9</v>
      </c>
      <c r="G170" s="148" t="s">
        <v>9</v>
      </c>
    </row>
    <row r="171" spans="1:8" ht="11.1" customHeight="1" x14ac:dyDescent="0.2">
      <c r="A171" s="154"/>
      <c r="B171" s="154"/>
      <c r="C171" s="154"/>
      <c r="D171" s="154"/>
      <c r="E171" s="154"/>
      <c r="F171" s="154"/>
      <c r="G171" s="154"/>
    </row>
  </sheetData>
  <mergeCells count="18">
    <mergeCell ref="B150:C150"/>
    <mergeCell ref="B158:C158"/>
    <mergeCell ref="B168:C168"/>
    <mergeCell ref="B169:C169"/>
    <mergeCell ref="B170:C170"/>
    <mergeCell ref="B167:C167"/>
    <mergeCell ref="A1:I1"/>
    <mergeCell ref="A2:I2"/>
    <mergeCell ref="A3:I3"/>
    <mergeCell ref="B163:F163"/>
    <mergeCell ref="B166:C166"/>
    <mergeCell ref="B165:C165"/>
    <mergeCell ref="B143:F143"/>
    <mergeCell ref="B144:F144"/>
    <mergeCell ref="B145:F145"/>
    <mergeCell ref="B147:D147"/>
    <mergeCell ref="B148:C148"/>
    <mergeCell ref="B149:C14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143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708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398</v>
      </c>
      <c r="C7" s="6" t="s">
        <v>399</v>
      </c>
      <c r="D7" s="6" t="s">
        <v>169</v>
      </c>
      <c r="E7" s="7">
        <v>577633</v>
      </c>
      <c r="F7" s="8">
        <v>9131.2224640000004</v>
      </c>
      <c r="G7" s="9">
        <v>8.2261131000000001E-2</v>
      </c>
      <c r="H7" s="156"/>
    </row>
    <row r="8" spans="1:8" x14ac:dyDescent="0.2">
      <c r="A8" s="5">
        <v>2</v>
      </c>
      <c r="B8" s="6" t="s">
        <v>20</v>
      </c>
      <c r="C8" s="6" t="s">
        <v>21</v>
      </c>
      <c r="D8" s="6" t="s">
        <v>22</v>
      </c>
      <c r="E8" s="7">
        <v>1267715</v>
      </c>
      <c r="F8" s="8">
        <v>7998.0139349999999</v>
      </c>
      <c r="G8" s="9">
        <v>7.2052309999999994E-2</v>
      </c>
      <c r="H8" s="156"/>
    </row>
    <row r="9" spans="1:8" x14ac:dyDescent="0.2">
      <c r="A9" s="5">
        <v>3</v>
      </c>
      <c r="B9" s="6" t="s">
        <v>50</v>
      </c>
      <c r="C9" s="6" t="s">
        <v>51</v>
      </c>
      <c r="D9" s="6" t="s">
        <v>22</v>
      </c>
      <c r="E9" s="7">
        <v>492852</v>
      </c>
      <c r="F9" s="8">
        <v>7382.4301079999996</v>
      </c>
      <c r="G9" s="9">
        <v>6.6506653999999998E-2</v>
      </c>
      <c r="H9" s="156"/>
    </row>
    <row r="10" spans="1:8" x14ac:dyDescent="0.2">
      <c r="A10" s="5">
        <v>4</v>
      </c>
      <c r="B10" s="6" t="s">
        <v>15</v>
      </c>
      <c r="C10" s="6" t="s">
        <v>16</v>
      </c>
      <c r="D10" s="6" t="s">
        <v>17</v>
      </c>
      <c r="E10" s="7">
        <v>295893</v>
      </c>
      <c r="F10" s="8">
        <v>6245.2656045000003</v>
      </c>
      <c r="G10" s="9">
        <v>5.6262194000000001E-2</v>
      </c>
      <c r="H10" s="156"/>
    </row>
    <row r="11" spans="1:8" x14ac:dyDescent="0.2">
      <c r="A11" s="5">
        <v>5</v>
      </c>
      <c r="B11" s="6" t="s">
        <v>402</v>
      </c>
      <c r="C11" s="6" t="s">
        <v>403</v>
      </c>
      <c r="D11" s="6" t="s">
        <v>22</v>
      </c>
      <c r="E11" s="7">
        <v>1276889</v>
      </c>
      <c r="F11" s="8">
        <v>5352.7186879999999</v>
      </c>
      <c r="G11" s="9">
        <v>4.8221439999999997E-2</v>
      </c>
      <c r="H11" s="156"/>
    </row>
    <row r="12" spans="1:8" x14ac:dyDescent="0.2">
      <c r="A12" s="5">
        <v>6</v>
      </c>
      <c r="B12" s="6" t="s">
        <v>408</v>
      </c>
      <c r="C12" s="6" t="s">
        <v>409</v>
      </c>
      <c r="D12" s="6" t="s">
        <v>169</v>
      </c>
      <c r="E12" s="7">
        <v>142864</v>
      </c>
      <c r="F12" s="8">
        <v>4779.8722799999996</v>
      </c>
      <c r="G12" s="9">
        <v>4.3060794999999999E-2</v>
      </c>
      <c r="H12" s="156"/>
    </row>
    <row r="13" spans="1:8" x14ac:dyDescent="0.2">
      <c r="A13" s="5">
        <v>7</v>
      </c>
      <c r="B13" s="6" t="s">
        <v>400</v>
      </c>
      <c r="C13" s="6" t="s">
        <v>401</v>
      </c>
      <c r="D13" s="6" t="s">
        <v>166</v>
      </c>
      <c r="E13" s="7">
        <v>188177</v>
      </c>
      <c r="F13" s="8">
        <v>4657.8511925000003</v>
      </c>
      <c r="G13" s="9">
        <v>4.1961535000000001E-2</v>
      </c>
      <c r="H13" s="156"/>
    </row>
    <row r="14" spans="1:8" x14ac:dyDescent="0.2">
      <c r="A14" s="5">
        <v>8</v>
      </c>
      <c r="B14" s="6" t="s">
        <v>356</v>
      </c>
      <c r="C14" s="6" t="s">
        <v>357</v>
      </c>
      <c r="D14" s="6" t="s">
        <v>22</v>
      </c>
      <c r="E14" s="7">
        <v>581534</v>
      </c>
      <c r="F14" s="8">
        <v>4351.6189219999997</v>
      </c>
      <c r="G14" s="9">
        <v>3.9202756999999998E-2</v>
      </c>
      <c r="H14" s="156"/>
    </row>
    <row r="15" spans="1:8" x14ac:dyDescent="0.2">
      <c r="A15" s="5">
        <v>9</v>
      </c>
      <c r="B15" s="6" t="s">
        <v>12</v>
      </c>
      <c r="C15" s="6" t="s">
        <v>13</v>
      </c>
      <c r="D15" s="6" t="s">
        <v>14</v>
      </c>
      <c r="E15" s="7">
        <v>277602</v>
      </c>
      <c r="F15" s="8">
        <v>4165.5568110000004</v>
      </c>
      <c r="G15" s="9">
        <v>3.7526564999999998E-2</v>
      </c>
      <c r="H15" s="156"/>
    </row>
    <row r="16" spans="1:8" x14ac:dyDescent="0.2">
      <c r="A16" s="5">
        <v>10</v>
      </c>
      <c r="B16" s="6" t="s">
        <v>335</v>
      </c>
      <c r="C16" s="6" t="s">
        <v>336</v>
      </c>
      <c r="D16" s="6" t="s">
        <v>196</v>
      </c>
      <c r="E16" s="7">
        <v>92081</v>
      </c>
      <c r="F16" s="8">
        <v>3153.1296830000001</v>
      </c>
      <c r="G16" s="9">
        <v>2.8405837E-2</v>
      </c>
      <c r="H16" s="156"/>
    </row>
    <row r="17" spans="1:8" x14ac:dyDescent="0.2">
      <c r="A17" s="5">
        <v>11</v>
      </c>
      <c r="B17" s="6" t="s">
        <v>362</v>
      </c>
      <c r="C17" s="6" t="s">
        <v>363</v>
      </c>
      <c r="D17" s="6" t="s">
        <v>166</v>
      </c>
      <c r="E17" s="7">
        <v>197266</v>
      </c>
      <c r="F17" s="8">
        <v>2648.5919490000001</v>
      </c>
      <c r="G17" s="9">
        <v>2.3860570000000001E-2</v>
      </c>
      <c r="H17" s="156"/>
    </row>
    <row r="18" spans="1:8" x14ac:dyDescent="0.2">
      <c r="A18" s="5">
        <v>12</v>
      </c>
      <c r="B18" s="6" t="s">
        <v>368</v>
      </c>
      <c r="C18" s="6" t="s">
        <v>369</v>
      </c>
      <c r="D18" s="6" t="s">
        <v>169</v>
      </c>
      <c r="E18" s="7">
        <v>263510</v>
      </c>
      <c r="F18" s="8">
        <v>2591.6208499999998</v>
      </c>
      <c r="G18" s="9">
        <v>2.3347329999999999E-2</v>
      </c>
      <c r="H18" s="156"/>
    </row>
    <row r="19" spans="1:8" x14ac:dyDescent="0.2">
      <c r="A19" s="5">
        <v>13</v>
      </c>
      <c r="B19" s="6" t="s">
        <v>299</v>
      </c>
      <c r="C19" s="6" t="s">
        <v>300</v>
      </c>
      <c r="D19" s="6" t="s">
        <v>169</v>
      </c>
      <c r="E19" s="7">
        <v>95146</v>
      </c>
      <c r="F19" s="8">
        <v>2474.2717299999999</v>
      </c>
      <c r="G19" s="9">
        <v>2.2290158000000001E-2</v>
      </c>
      <c r="H19" s="156"/>
    </row>
    <row r="20" spans="1:8" x14ac:dyDescent="0.2">
      <c r="A20" s="5">
        <v>14</v>
      </c>
      <c r="B20" s="6" t="s">
        <v>57</v>
      </c>
      <c r="C20" s="6" t="s">
        <v>58</v>
      </c>
      <c r="D20" s="6" t="s">
        <v>17</v>
      </c>
      <c r="E20" s="7">
        <v>487530</v>
      </c>
      <c r="F20" s="8">
        <v>2282.1279300000001</v>
      </c>
      <c r="G20" s="9">
        <v>2.0559178000000001E-2</v>
      </c>
      <c r="H20" s="156"/>
    </row>
    <row r="21" spans="1:8" x14ac:dyDescent="0.2">
      <c r="A21" s="5">
        <v>15</v>
      </c>
      <c r="B21" s="6" t="s">
        <v>23</v>
      </c>
      <c r="C21" s="6" t="s">
        <v>24</v>
      </c>
      <c r="D21" s="6" t="s">
        <v>25</v>
      </c>
      <c r="E21" s="7">
        <v>409068</v>
      </c>
      <c r="F21" s="8">
        <v>2150.265942</v>
      </c>
      <c r="G21" s="9">
        <v>1.9371263E-2</v>
      </c>
      <c r="H21" s="156"/>
    </row>
    <row r="22" spans="1:8" x14ac:dyDescent="0.2">
      <c r="A22" s="5">
        <v>16</v>
      </c>
      <c r="B22" s="6" t="s">
        <v>311</v>
      </c>
      <c r="C22" s="6" t="s">
        <v>312</v>
      </c>
      <c r="D22" s="6" t="s">
        <v>261</v>
      </c>
      <c r="E22" s="7">
        <v>69284</v>
      </c>
      <c r="F22" s="8">
        <v>2016.441536</v>
      </c>
      <c r="G22" s="9">
        <v>1.8165668999999999E-2</v>
      </c>
      <c r="H22" s="156"/>
    </row>
    <row r="23" spans="1:8" x14ac:dyDescent="0.2">
      <c r="A23" s="5">
        <v>17</v>
      </c>
      <c r="B23" s="6" t="s">
        <v>488</v>
      </c>
      <c r="C23" s="6" t="s">
        <v>489</v>
      </c>
      <c r="D23" s="6" t="s">
        <v>73</v>
      </c>
      <c r="E23" s="7">
        <v>14892</v>
      </c>
      <c r="F23" s="8">
        <v>1981.6933320000001</v>
      </c>
      <c r="G23" s="9">
        <v>1.7852630000000001E-2</v>
      </c>
      <c r="H23" s="156"/>
    </row>
    <row r="24" spans="1:8" x14ac:dyDescent="0.2">
      <c r="A24" s="5">
        <v>18</v>
      </c>
      <c r="B24" s="6" t="s">
        <v>406</v>
      </c>
      <c r="C24" s="6" t="s">
        <v>407</v>
      </c>
      <c r="D24" s="6" t="s">
        <v>73</v>
      </c>
      <c r="E24" s="7">
        <v>78561</v>
      </c>
      <c r="F24" s="8">
        <v>1941.477993</v>
      </c>
      <c r="G24" s="9">
        <v>1.7490339000000001E-2</v>
      </c>
      <c r="H24" s="156"/>
    </row>
    <row r="25" spans="1:8" x14ac:dyDescent="0.2">
      <c r="A25" s="5">
        <v>19</v>
      </c>
      <c r="B25" s="6" t="s">
        <v>103</v>
      </c>
      <c r="C25" s="6" t="s">
        <v>104</v>
      </c>
      <c r="D25" s="6" t="s">
        <v>78</v>
      </c>
      <c r="E25" s="7">
        <v>341151</v>
      </c>
      <c r="F25" s="8">
        <v>1902.7697025</v>
      </c>
      <c r="G25" s="9">
        <v>1.7141625000000001E-2</v>
      </c>
      <c r="H25" s="156"/>
    </row>
    <row r="26" spans="1:8" x14ac:dyDescent="0.2">
      <c r="A26" s="5">
        <v>20</v>
      </c>
      <c r="B26" s="6" t="s">
        <v>435</v>
      </c>
      <c r="C26" s="6" t="s">
        <v>436</v>
      </c>
      <c r="D26" s="6" t="s">
        <v>28</v>
      </c>
      <c r="E26" s="7">
        <v>93108</v>
      </c>
      <c r="F26" s="8">
        <v>1852.430214</v>
      </c>
      <c r="G26" s="9">
        <v>1.6688127000000001E-2</v>
      </c>
      <c r="H26" s="156"/>
    </row>
    <row r="27" spans="1:8" x14ac:dyDescent="0.2">
      <c r="A27" s="5">
        <v>21</v>
      </c>
      <c r="B27" s="6" t="s">
        <v>637</v>
      </c>
      <c r="C27" s="6" t="s">
        <v>638</v>
      </c>
      <c r="D27" s="6" t="s">
        <v>972</v>
      </c>
      <c r="E27" s="7">
        <v>511927</v>
      </c>
      <c r="F27" s="8">
        <v>1743.8793255</v>
      </c>
      <c r="G27" s="9">
        <v>1.5710216999999999E-2</v>
      </c>
      <c r="H27" s="156"/>
    </row>
    <row r="28" spans="1:8" x14ac:dyDescent="0.2">
      <c r="A28" s="5">
        <v>22</v>
      </c>
      <c r="B28" s="6" t="s">
        <v>386</v>
      </c>
      <c r="C28" s="6" t="s">
        <v>387</v>
      </c>
      <c r="D28" s="6" t="s">
        <v>971</v>
      </c>
      <c r="E28" s="7">
        <v>13401</v>
      </c>
      <c r="F28" s="8">
        <v>1622.7337904999999</v>
      </c>
      <c r="G28" s="9">
        <v>1.4618844000000001E-2</v>
      </c>
      <c r="H28" s="156"/>
    </row>
    <row r="29" spans="1:8" x14ac:dyDescent="0.2">
      <c r="A29" s="5">
        <v>23</v>
      </c>
      <c r="B29" s="6" t="s">
        <v>319</v>
      </c>
      <c r="C29" s="6" t="s">
        <v>320</v>
      </c>
      <c r="D29" s="6" t="s">
        <v>73</v>
      </c>
      <c r="E29" s="7">
        <v>200026</v>
      </c>
      <c r="F29" s="8">
        <v>1459.389696</v>
      </c>
      <c r="G29" s="9">
        <v>1.3147314E-2</v>
      </c>
      <c r="H29" s="156"/>
    </row>
    <row r="30" spans="1:8" x14ac:dyDescent="0.2">
      <c r="A30" s="5">
        <v>24</v>
      </c>
      <c r="B30" s="6" t="s">
        <v>445</v>
      </c>
      <c r="C30" s="6" t="s">
        <v>446</v>
      </c>
      <c r="D30" s="6" t="s">
        <v>191</v>
      </c>
      <c r="E30" s="7">
        <v>561545</v>
      </c>
      <c r="F30" s="8">
        <v>1359.5004449999999</v>
      </c>
      <c r="G30" s="9">
        <v>1.2247434E-2</v>
      </c>
      <c r="H30" s="156"/>
    </row>
    <row r="31" spans="1:8" x14ac:dyDescent="0.2">
      <c r="A31" s="5">
        <v>25</v>
      </c>
      <c r="B31" s="6" t="s">
        <v>36</v>
      </c>
      <c r="C31" s="6" t="s">
        <v>37</v>
      </c>
      <c r="D31" s="6" t="s">
        <v>972</v>
      </c>
      <c r="E31" s="7">
        <v>19363</v>
      </c>
      <c r="F31" s="8">
        <v>1312.0368800000001</v>
      </c>
      <c r="G31" s="9">
        <v>1.1819845000000001E-2</v>
      </c>
      <c r="H31" s="156"/>
    </row>
    <row r="32" spans="1:8" x14ac:dyDescent="0.2">
      <c r="A32" s="5">
        <v>26</v>
      </c>
      <c r="B32" s="6" t="s">
        <v>482</v>
      </c>
      <c r="C32" s="6" t="s">
        <v>483</v>
      </c>
      <c r="D32" s="6" t="s">
        <v>73</v>
      </c>
      <c r="E32" s="7">
        <v>197658</v>
      </c>
      <c r="F32" s="8">
        <v>1307.804157</v>
      </c>
      <c r="G32" s="9">
        <v>1.1781714E-2</v>
      </c>
      <c r="H32" s="156"/>
    </row>
    <row r="33" spans="1:8" x14ac:dyDescent="0.2">
      <c r="A33" s="5">
        <v>27</v>
      </c>
      <c r="B33" s="6" t="s">
        <v>412</v>
      </c>
      <c r="C33" s="6" t="s">
        <v>413</v>
      </c>
      <c r="D33" s="6" t="s">
        <v>196</v>
      </c>
      <c r="E33" s="7">
        <v>190664</v>
      </c>
      <c r="F33" s="8">
        <v>1287.8399879999999</v>
      </c>
      <c r="G33" s="9">
        <v>1.1601861E-2</v>
      </c>
      <c r="H33" s="156"/>
    </row>
    <row r="34" spans="1:8" x14ac:dyDescent="0.2">
      <c r="A34" s="5">
        <v>28</v>
      </c>
      <c r="B34" s="6" t="s">
        <v>655</v>
      </c>
      <c r="C34" s="6" t="s">
        <v>656</v>
      </c>
      <c r="D34" s="6" t="s">
        <v>73</v>
      </c>
      <c r="E34" s="7">
        <v>223886</v>
      </c>
      <c r="F34" s="8">
        <v>1273.351625</v>
      </c>
      <c r="G34" s="9">
        <v>1.1471339000000001E-2</v>
      </c>
      <c r="H34" s="156"/>
    </row>
    <row r="35" spans="1:8" x14ac:dyDescent="0.2">
      <c r="A35" s="5">
        <v>29</v>
      </c>
      <c r="B35" s="6" t="s">
        <v>378</v>
      </c>
      <c r="C35" s="6" t="s">
        <v>379</v>
      </c>
      <c r="D35" s="6" t="s">
        <v>73</v>
      </c>
      <c r="E35" s="7">
        <v>167408</v>
      </c>
      <c r="F35" s="8">
        <v>1262.9259520000001</v>
      </c>
      <c r="G35" s="9">
        <v>1.1377416E-2</v>
      </c>
      <c r="H35" s="156"/>
    </row>
    <row r="36" spans="1:8" x14ac:dyDescent="0.2">
      <c r="A36" s="5">
        <v>30</v>
      </c>
      <c r="B36" s="6" t="s">
        <v>414</v>
      </c>
      <c r="C36" s="6" t="s">
        <v>415</v>
      </c>
      <c r="D36" s="6" t="s">
        <v>54</v>
      </c>
      <c r="E36" s="7">
        <v>103672</v>
      </c>
      <c r="F36" s="8">
        <v>1209.4375520000001</v>
      </c>
      <c r="G36" s="9">
        <v>1.0895551E-2</v>
      </c>
      <c r="H36" s="156"/>
    </row>
    <row r="37" spans="1:8" x14ac:dyDescent="0.2">
      <c r="A37" s="5">
        <v>31</v>
      </c>
      <c r="B37" s="6" t="s">
        <v>667</v>
      </c>
      <c r="C37" s="6" t="s">
        <v>668</v>
      </c>
      <c r="D37" s="6" t="s">
        <v>22</v>
      </c>
      <c r="E37" s="7">
        <v>115885</v>
      </c>
      <c r="F37" s="8">
        <v>1177.7971975</v>
      </c>
      <c r="G37" s="9">
        <v>1.061051E-2</v>
      </c>
      <c r="H37" s="156"/>
    </row>
    <row r="38" spans="1:8" x14ac:dyDescent="0.2">
      <c r="A38" s="5">
        <v>32</v>
      </c>
      <c r="B38" s="6" t="s">
        <v>301</v>
      </c>
      <c r="C38" s="6" t="s">
        <v>302</v>
      </c>
      <c r="D38" s="6" t="s">
        <v>172</v>
      </c>
      <c r="E38" s="7">
        <v>32146</v>
      </c>
      <c r="F38" s="8">
        <v>1163.6369810000001</v>
      </c>
      <c r="G38" s="9">
        <v>1.0482943999999999E-2</v>
      </c>
      <c r="H38" s="156"/>
    </row>
    <row r="39" spans="1:8" x14ac:dyDescent="0.2">
      <c r="A39" s="5">
        <v>33</v>
      </c>
      <c r="B39" s="6" t="s">
        <v>364</v>
      </c>
      <c r="C39" s="6" t="s">
        <v>365</v>
      </c>
      <c r="D39" s="6" t="s">
        <v>63</v>
      </c>
      <c r="E39" s="7">
        <v>51545</v>
      </c>
      <c r="F39" s="8">
        <v>1152.2884750000001</v>
      </c>
      <c r="G39" s="9">
        <v>1.0380708000000001E-2</v>
      </c>
      <c r="H39" s="156"/>
    </row>
    <row r="40" spans="1:8" x14ac:dyDescent="0.2">
      <c r="A40" s="5">
        <v>34</v>
      </c>
      <c r="B40" s="6" t="s">
        <v>584</v>
      </c>
      <c r="C40" s="6" t="s">
        <v>585</v>
      </c>
      <c r="D40" s="6" t="s">
        <v>172</v>
      </c>
      <c r="E40" s="7">
        <v>38618</v>
      </c>
      <c r="F40" s="8">
        <v>1095.109935</v>
      </c>
      <c r="G40" s="9">
        <v>9.8655989999999992E-3</v>
      </c>
      <c r="H40" s="156"/>
    </row>
    <row r="41" spans="1:8" x14ac:dyDescent="0.2">
      <c r="A41" s="5">
        <v>35</v>
      </c>
      <c r="B41" s="6" t="s">
        <v>491</v>
      </c>
      <c r="C41" s="6" t="s">
        <v>492</v>
      </c>
      <c r="D41" s="6" t="s">
        <v>92</v>
      </c>
      <c r="E41" s="7">
        <v>13588</v>
      </c>
      <c r="F41" s="8">
        <v>1021.260492</v>
      </c>
      <c r="G41" s="9">
        <v>9.2003060000000001E-3</v>
      </c>
      <c r="H41" s="156"/>
    </row>
    <row r="42" spans="1:8" x14ac:dyDescent="0.2">
      <c r="A42" s="5">
        <v>36</v>
      </c>
      <c r="B42" s="6" t="s">
        <v>426</v>
      </c>
      <c r="C42" s="6" t="s">
        <v>427</v>
      </c>
      <c r="D42" s="6" t="s">
        <v>22</v>
      </c>
      <c r="E42" s="7">
        <v>58515</v>
      </c>
      <c r="F42" s="8">
        <v>998.17812749999996</v>
      </c>
      <c r="G42" s="9">
        <v>8.9923620000000003E-3</v>
      </c>
      <c r="H42" s="156"/>
    </row>
    <row r="43" spans="1:8" x14ac:dyDescent="0.2">
      <c r="A43" s="5">
        <v>37</v>
      </c>
      <c r="B43" s="6" t="s">
        <v>93</v>
      </c>
      <c r="C43" s="6" t="s">
        <v>94</v>
      </c>
      <c r="D43" s="6" t="s">
        <v>68</v>
      </c>
      <c r="E43" s="7">
        <v>139388</v>
      </c>
      <c r="F43" s="8">
        <v>980.87335599999994</v>
      </c>
      <c r="G43" s="9">
        <v>8.8364680000000001E-3</v>
      </c>
      <c r="H43" s="156"/>
    </row>
    <row r="44" spans="1:8" x14ac:dyDescent="0.2">
      <c r="A44" s="5">
        <v>38</v>
      </c>
      <c r="B44" s="6" t="s">
        <v>90</v>
      </c>
      <c r="C44" s="6" t="s">
        <v>91</v>
      </c>
      <c r="D44" s="6" t="s">
        <v>92</v>
      </c>
      <c r="E44" s="7">
        <v>745213</v>
      </c>
      <c r="F44" s="8">
        <v>913.63113799999996</v>
      </c>
      <c r="G44" s="9">
        <v>8.2306979999999998E-3</v>
      </c>
      <c r="H44" s="156"/>
    </row>
    <row r="45" spans="1:8" x14ac:dyDescent="0.2">
      <c r="A45" s="5">
        <v>39</v>
      </c>
      <c r="B45" s="6" t="s">
        <v>437</v>
      </c>
      <c r="C45" s="6" t="s">
        <v>438</v>
      </c>
      <c r="D45" s="6" t="s">
        <v>196</v>
      </c>
      <c r="E45" s="7">
        <v>91288</v>
      </c>
      <c r="F45" s="8">
        <v>887.228072</v>
      </c>
      <c r="G45" s="9">
        <v>7.9928380000000004E-3</v>
      </c>
      <c r="H45" s="156"/>
    </row>
    <row r="46" spans="1:8" x14ac:dyDescent="0.2">
      <c r="A46" s="5">
        <v>40</v>
      </c>
      <c r="B46" s="6" t="s">
        <v>430</v>
      </c>
      <c r="C46" s="6" t="s">
        <v>431</v>
      </c>
      <c r="D46" s="6" t="s">
        <v>432</v>
      </c>
      <c r="E46" s="7">
        <v>215871</v>
      </c>
      <c r="F46" s="8">
        <v>803.14805550000005</v>
      </c>
      <c r="G46" s="9">
        <v>7.2353799999999996E-3</v>
      </c>
      <c r="H46" s="156"/>
    </row>
    <row r="47" spans="1:8" x14ac:dyDescent="0.2">
      <c r="A47" s="5">
        <v>41</v>
      </c>
      <c r="B47" s="6" t="s">
        <v>571</v>
      </c>
      <c r="C47" s="6" t="s">
        <v>572</v>
      </c>
      <c r="D47" s="6" t="s">
        <v>166</v>
      </c>
      <c r="E47" s="7">
        <v>11390</v>
      </c>
      <c r="F47" s="8">
        <v>685.20531500000004</v>
      </c>
      <c r="G47" s="9">
        <v>6.172861E-3</v>
      </c>
      <c r="H47" s="156"/>
    </row>
    <row r="48" spans="1:8" x14ac:dyDescent="0.2">
      <c r="A48" s="5">
        <v>42</v>
      </c>
      <c r="B48" s="6" t="s">
        <v>501</v>
      </c>
      <c r="C48" s="6" t="s">
        <v>502</v>
      </c>
      <c r="D48" s="6" t="s">
        <v>63</v>
      </c>
      <c r="E48" s="7">
        <v>37350</v>
      </c>
      <c r="F48" s="8">
        <v>647.08875</v>
      </c>
      <c r="G48" s="9">
        <v>5.8294769999999996E-3</v>
      </c>
      <c r="H48" s="156"/>
    </row>
    <row r="49" spans="1:8" x14ac:dyDescent="0.2">
      <c r="A49" s="5">
        <v>43</v>
      </c>
      <c r="B49" s="6" t="s">
        <v>420</v>
      </c>
      <c r="C49" s="6" t="s">
        <v>421</v>
      </c>
      <c r="D49" s="6" t="s">
        <v>971</v>
      </c>
      <c r="E49" s="7">
        <v>40310</v>
      </c>
      <c r="F49" s="8">
        <v>631.65769999999998</v>
      </c>
      <c r="G49" s="9">
        <v>5.6904620000000003E-3</v>
      </c>
      <c r="H49" s="156"/>
    </row>
    <row r="50" spans="1:8" x14ac:dyDescent="0.2">
      <c r="A50" s="5">
        <v>44</v>
      </c>
      <c r="B50" s="6" t="s">
        <v>317</v>
      </c>
      <c r="C50" s="6" t="s">
        <v>318</v>
      </c>
      <c r="D50" s="6" t="s">
        <v>22</v>
      </c>
      <c r="E50" s="7">
        <v>695867</v>
      </c>
      <c r="F50" s="8">
        <v>606.10015699999997</v>
      </c>
      <c r="G50" s="9">
        <v>5.46022E-3</v>
      </c>
      <c r="H50" s="156"/>
    </row>
    <row r="51" spans="1:8" x14ac:dyDescent="0.2">
      <c r="A51" s="5">
        <v>45</v>
      </c>
      <c r="B51" s="6" t="s">
        <v>404</v>
      </c>
      <c r="C51" s="6" t="s">
        <v>405</v>
      </c>
      <c r="D51" s="6" t="s">
        <v>971</v>
      </c>
      <c r="E51" s="7">
        <v>59007</v>
      </c>
      <c r="F51" s="8">
        <v>594.87907050000001</v>
      </c>
      <c r="G51" s="9">
        <v>5.359132E-3</v>
      </c>
      <c r="H51" s="156"/>
    </row>
    <row r="52" spans="1:8" x14ac:dyDescent="0.2">
      <c r="A52" s="5">
        <v>46</v>
      </c>
      <c r="B52" s="6" t="s">
        <v>588</v>
      </c>
      <c r="C52" s="6" t="s">
        <v>589</v>
      </c>
      <c r="D52" s="6" t="s">
        <v>971</v>
      </c>
      <c r="E52" s="7">
        <v>82057</v>
      </c>
      <c r="F52" s="8">
        <v>563.15719100000001</v>
      </c>
      <c r="G52" s="9">
        <v>5.0733569999999997E-3</v>
      </c>
      <c r="H52" s="156"/>
    </row>
    <row r="53" spans="1:8" x14ac:dyDescent="0.2">
      <c r="A53" s="5">
        <v>47</v>
      </c>
      <c r="B53" s="6" t="s">
        <v>224</v>
      </c>
      <c r="C53" s="6" t="s">
        <v>225</v>
      </c>
      <c r="D53" s="6" t="s">
        <v>40</v>
      </c>
      <c r="E53" s="7">
        <v>67826</v>
      </c>
      <c r="F53" s="8">
        <v>552.88363900000002</v>
      </c>
      <c r="G53" s="9">
        <v>4.9808040000000001E-3</v>
      </c>
      <c r="H53" s="156"/>
    </row>
    <row r="54" spans="1:8" x14ac:dyDescent="0.2">
      <c r="A54" s="5">
        <v>48</v>
      </c>
      <c r="B54" s="6" t="s">
        <v>416</v>
      </c>
      <c r="C54" s="6" t="s">
        <v>417</v>
      </c>
      <c r="D54" s="6" t="s">
        <v>92</v>
      </c>
      <c r="E54" s="7">
        <v>53505</v>
      </c>
      <c r="F54" s="8">
        <v>416.108385</v>
      </c>
      <c r="G54" s="9">
        <v>3.748627E-3</v>
      </c>
      <c r="H54" s="156"/>
    </row>
    <row r="55" spans="1:8" x14ac:dyDescent="0.2">
      <c r="A55" s="3" t="s">
        <v>9</v>
      </c>
      <c r="B55" s="3" t="s">
        <v>9</v>
      </c>
      <c r="C55" s="4" t="s">
        <v>105</v>
      </c>
      <c r="D55" s="3" t="s">
        <v>9</v>
      </c>
      <c r="E55" s="3" t="s">
        <v>9</v>
      </c>
      <c r="F55" s="10">
        <v>107788.5023145</v>
      </c>
      <c r="G55" s="11">
        <v>0.971042395</v>
      </c>
      <c r="H55" s="156"/>
    </row>
    <row r="56" spans="1:8" x14ac:dyDescent="0.2">
      <c r="A56" s="3" t="s">
        <v>9</v>
      </c>
      <c r="B56" s="3" t="s">
        <v>9</v>
      </c>
      <c r="C56" s="12" t="s">
        <v>9</v>
      </c>
      <c r="D56" s="3" t="s">
        <v>9</v>
      </c>
      <c r="E56" s="3" t="s">
        <v>9</v>
      </c>
      <c r="F56" s="13" t="s">
        <v>9</v>
      </c>
      <c r="G56" s="13" t="s">
        <v>9</v>
      </c>
      <c r="H56" s="156"/>
    </row>
    <row r="57" spans="1:8" x14ac:dyDescent="0.2">
      <c r="A57" s="3" t="s">
        <v>9</v>
      </c>
      <c r="B57" s="3" t="s">
        <v>9</v>
      </c>
      <c r="C57" s="4" t="s">
        <v>106</v>
      </c>
      <c r="D57" s="3" t="s">
        <v>9</v>
      </c>
      <c r="E57" s="3" t="s">
        <v>9</v>
      </c>
      <c r="F57" s="3" t="s">
        <v>9</v>
      </c>
      <c r="G57" s="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105</v>
      </c>
      <c r="D58" s="3" t="s">
        <v>9</v>
      </c>
      <c r="E58" s="3" t="s">
        <v>9</v>
      </c>
      <c r="F58" s="14">
        <v>0</v>
      </c>
      <c r="G58" s="15">
        <v>0</v>
      </c>
      <c r="H58" s="156"/>
    </row>
    <row r="59" spans="1:8" x14ac:dyDescent="0.2">
      <c r="A59" s="3" t="s">
        <v>9</v>
      </c>
      <c r="B59" s="3" t="s">
        <v>9</v>
      </c>
      <c r="C59" s="12" t="s">
        <v>9</v>
      </c>
      <c r="D59" s="3" t="s">
        <v>9</v>
      </c>
      <c r="E59" s="3" t="s">
        <v>9</v>
      </c>
      <c r="F59" s="13" t="s">
        <v>9</v>
      </c>
      <c r="G59" s="1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107</v>
      </c>
      <c r="D60" s="3" t="s">
        <v>9</v>
      </c>
      <c r="E60" s="3" t="s">
        <v>9</v>
      </c>
      <c r="F60" s="3" t="s">
        <v>9</v>
      </c>
      <c r="G60" s="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105</v>
      </c>
      <c r="D61" s="3" t="s">
        <v>9</v>
      </c>
      <c r="E61" s="3" t="s">
        <v>9</v>
      </c>
      <c r="F61" s="14">
        <v>0</v>
      </c>
      <c r="G61" s="15">
        <v>0</v>
      </c>
      <c r="H61" s="156"/>
    </row>
    <row r="62" spans="1:8" x14ac:dyDescent="0.2">
      <c r="A62" s="3" t="s">
        <v>9</v>
      </c>
      <c r="B62" s="3" t="s">
        <v>9</v>
      </c>
      <c r="C62" s="12" t="s">
        <v>9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111</v>
      </c>
      <c r="D63" s="3" t="s">
        <v>9</v>
      </c>
      <c r="E63" s="3" t="s">
        <v>9</v>
      </c>
      <c r="F63" s="3" t="s">
        <v>9</v>
      </c>
      <c r="G63" s="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105</v>
      </c>
      <c r="D64" s="3" t="s">
        <v>9</v>
      </c>
      <c r="E64" s="3" t="s">
        <v>9</v>
      </c>
      <c r="F64" s="14">
        <v>0</v>
      </c>
      <c r="G64" s="15">
        <v>0</v>
      </c>
      <c r="H64" s="156"/>
    </row>
    <row r="65" spans="1:8" x14ac:dyDescent="0.2">
      <c r="A65" s="3" t="s">
        <v>9</v>
      </c>
      <c r="B65" s="3" t="s">
        <v>9</v>
      </c>
      <c r="C65" s="12" t="s">
        <v>9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112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105</v>
      </c>
      <c r="D67" s="3" t="s">
        <v>9</v>
      </c>
      <c r="E67" s="3" t="s">
        <v>9</v>
      </c>
      <c r="F67" s="14">
        <v>0</v>
      </c>
      <c r="G67" s="15">
        <v>0</v>
      </c>
      <c r="H67" s="156"/>
    </row>
    <row r="68" spans="1:8" x14ac:dyDescent="0.2">
      <c r="A68" s="3" t="s">
        <v>9</v>
      </c>
      <c r="B68" s="3" t="s">
        <v>9</v>
      </c>
      <c r="C68" s="12" t="s">
        <v>9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113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105</v>
      </c>
      <c r="D70" s="3" t="s">
        <v>9</v>
      </c>
      <c r="E70" s="3" t="s">
        <v>9</v>
      </c>
      <c r="F70" s="14">
        <v>0</v>
      </c>
      <c r="G70" s="15">
        <v>0</v>
      </c>
      <c r="H70" s="156"/>
    </row>
    <row r="71" spans="1:8" x14ac:dyDescent="0.2">
      <c r="A71" s="3" t="s">
        <v>9</v>
      </c>
      <c r="B71" s="3" t="s">
        <v>9</v>
      </c>
      <c r="C71" s="12" t="s">
        <v>9</v>
      </c>
      <c r="D71" s="3" t="s">
        <v>9</v>
      </c>
      <c r="E71" s="3" t="s">
        <v>9</v>
      </c>
      <c r="F71" s="13" t="s">
        <v>9</v>
      </c>
      <c r="G71" s="1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114</v>
      </c>
      <c r="D72" s="3" t="s">
        <v>9</v>
      </c>
      <c r="E72" s="3" t="s">
        <v>9</v>
      </c>
      <c r="F72" s="10">
        <v>107788.5023145</v>
      </c>
      <c r="G72" s="11">
        <v>0.971042395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115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11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105</v>
      </c>
      <c r="D76" s="3" t="s">
        <v>9</v>
      </c>
      <c r="E76" s="3" t="s">
        <v>9</v>
      </c>
      <c r="F76" s="14">
        <v>0</v>
      </c>
      <c r="G76" s="15">
        <v>0</v>
      </c>
      <c r="H76" s="156"/>
    </row>
    <row r="77" spans="1:8" x14ac:dyDescent="0.2">
      <c r="A77" s="3" t="s">
        <v>9</v>
      </c>
      <c r="B77" s="3" t="s">
        <v>9</v>
      </c>
      <c r="C77" s="12" t="s">
        <v>9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116</v>
      </c>
      <c r="D78" s="3" t="s">
        <v>9</v>
      </c>
      <c r="E78" s="3" t="s">
        <v>9</v>
      </c>
      <c r="F78" s="3" t="s">
        <v>9</v>
      </c>
      <c r="G78" s="3" t="s">
        <v>9</v>
      </c>
      <c r="H78" s="156"/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4">
        <v>0</v>
      </c>
      <c r="G79" s="15">
        <v>0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117</v>
      </c>
      <c r="D81" s="3" t="s">
        <v>9</v>
      </c>
      <c r="E81" s="3" t="s">
        <v>9</v>
      </c>
      <c r="F81" s="3" t="s">
        <v>9</v>
      </c>
      <c r="G81" s="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105</v>
      </c>
      <c r="D82" s="3" t="s">
        <v>9</v>
      </c>
      <c r="E82" s="3" t="s">
        <v>9</v>
      </c>
      <c r="F82" s="14">
        <v>0</v>
      </c>
      <c r="G82" s="15">
        <v>0</v>
      </c>
      <c r="H82" s="156"/>
    </row>
    <row r="83" spans="1:8" x14ac:dyDescent="0.2">
      <c r="A83" s="3" t="s">
        <v>9</v>
      </c>
      <c r="B83" s="3" t="s">
        <v>9</v>
      </c>
      <c r="C83" s="12" t="s">
        <v>9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118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119</v>
      </c>
      <c r="D87" s="3" t="s">
        <v>9</v>
      </c>
      <c r="E87" s="3" t="s">
        <v>9</v>
      </c>
      <c r="F87" s="10">
        <v>0</v>
      </c>
      <c r="G87" s="11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120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121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105</v>
      </c>
      <c r="D91" s="3" t="s">
        <v>9</v>
      </c>
      <c r="E91" s="3" t="s">
        <v>9</v>
      </c>
      <c r="F91" s="14">
        <v>0</v>
      </c>
      <c r="G91" s="15">
        <v>0</v>
      </c>
      <c r="H91" s="156"/>
    </row>
    <row r="92" spans="1:8" x14ac:dyDescent="0.2">
      <c r="A92" s="3" t="s">
        <v>9</v>
      </c>
      <c r="B92" s="3" t="s">
        <v>9</v>
      </c>
      <c r="C92" s="12" t="s">
        <v>9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122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105</v>
      </c>
      <c r="D94" s="3" t="s">
        <v>9</v>
      </c>
      <c r="E94" s="3" t="s">
        <v>9</v>
      </c>
      <c r="F94" s="14">
        <v>0</v>
      </c>
      <c r="G94" s="15">
        <v>0</v>
      </c>
      <c r="H94" s="156"/>
    </row>
    <row r="95" spans="1:8" x14ac:dyDescent="0.2">
      <c r="A95" s="3" t="s">
        <v>9</v>
      </c>
      <c r="B95" s="3" t="s">
        <v>9</v>
      </c>
      <c r="C95" s="12" t="s">
        <v>9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123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105</v>
      </c>
      <c r="D97" s="3" t="s">
        <v>9</v>
      </c>
      <c r="E97" s="3" t="s">
        <v>9</v>
      </c>
      <c r="F97" s="14">
        <v>0</v>
      </c>
      <c r="G97" s="15">
        <v>0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124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5">
        <v>1</v>
      </c>
      <c r="B100" s="6"/>
      <c r="C100" s="6" t="s">
        <v>125</v>
      </c>
      <c r="D100" s="6"/>
      <c r="E100" s="16" t="s">
        <v>9</v>
      </c>
      <c r="F100" s="8">
        <v>1098.7727342999999</v>
      </c>
      <c r="G100" s="9">
        <v>9.8985970000000003E-3</v>
      </c>
      <c r="H100" s="8">
        <v>3.3326163573085874</v>
      </c>
    </row>
    <row r="101" spans="1:8" x14ac:dyDescent="0.2">
      <c r="A101" s="5">
        <v>2</v>
      </c>
      <c r="B101" s="6"/>
      <c r="C101" s="6" t="s">
        <v>126</v>
      </c>
      <c r="D101" s="6"/>
      <c r="E101" s="16" t="s">
        <v>9</v>
      </c>
      <c r="F101" s="8">
        <v>784.79716970000004</v>
      </c>
      <c r="G101" s="9">
        <v>7.0700609999999999E-3</v>
      </c>
      <c r="H101" s="8">
        <v>3.2337849550915885</v>
      </c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0">
        <v>1883.569904</v>
      </c>
      <c r="G102" s="11">
        <v>1.6968658000000001E-2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127</v>
      </c>
      <c r="D104" s="3" t="s">
        <v>9</v>
      </c>
      <c r="E104" s="3" t="s">
        <v>9</v>
      </c>
      <c r="F104" s="10">
        <v>1883.569904</v>
      </c>
      <c r="G104" s="11">
        <v>1.6968658000000001E-2</v>
      </c>
      <c r="H104" s="156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3" t="s">
        <v>9</v>
      </c>
      <c r="G105" s="3" t="s">
        <v>9</v>
      </c>
      <c r="H105" s="156"/>
    </row>
    <row r="106" spans="1:8" x14ac:dyDescent="0.2">
      <c r="A106" s="3" t="s">
        <v>9</v>
      </c>
      <c r="B106" s="3" t="s">
        <v>9</v>
      </c>
      <c r="C106" s="4" t="s">
        <v>128</v>
      </c>
      <c r="D106" s="3" t="s">
        <v>9</v>
      </c>
      <c r="E106" s="3" t="s">
        <v>9</v>
      </c>
      <c r="F106" s="3" t="s">
        <v>9</v>
      </c>
      <c r="G106" s="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129</v>
      </c>
      <c r="D107" s="3" t="s">
        <v>9</v>
      </c>
      <c r="E107" s="3" t="s">
        <v>9</v>
      </c>
      <c r="F107" s="3" t="s">
        <v>9</v>
      </c>
      <c r="G107" s="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130</v>
      </c>
      <c r="D110" s="3" t="s">
        <v>9</v>
      </c>
      <c r="E110" s="3" t="s">
        <v>9</v>
      </c>
      <c r="F110" s="3" t="s">
        <v>9</v>
      </c>
      <c r="G110" s="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131</v>
      </c>
      <c r="D111" s="3" t="s">
        <v>9</v>
      </c>
      <c r="E111" s="3" t="s">
        <v>9</v>
      </c>
      <c r="F111" s="3" t="s">
        <v>9</v>
      </c>
      <c r="G111" s="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105</v>
      </c>
      <c r="D112" s="3" t="s">
        <v>9</v>
      </c>
      <c r="E112" s="3" t="s">
        <v>9</v>
      </c>
      <c r="F112" s="14">
        <v>0</v>
      </c>
      <c r="G112" s="15">
        <v>0</v>
      </c>
      <c r="H112" s="156"/>
    </row>
    <row r="113" spans="1:8" x14ac:dyDescent="0.2">
      <c r="A113" s="3" t="s">
        <v>9</v>
      </c>
      <c r="B113" s="3" t="s">
        <v>9</v>
      </c>
      <c r="C113" s="12" t="s">
        <v>9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132</v>
      </c>
      <c r="D115" s="3" t="s">
        <v>9</v>
      </c>
      <c r="E115" s="3" t="s">
        <v>9</v>
      </c>
      <c r="F115" s="13" t="s">
        <v>9</v>
      </c>
      <c r="G115" s="1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4">
        <v>0</v>
      </c>
      <c r="G116" s="15">
        <v>0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6" t="s">
        <v>9</v>
      </c>
      <c r="C118" s="6" t="s">
        <v>9</v>
      </c>
      <c r="D118" s="4" t="s">
        <v>9</v>
      </c>
      <c r="E118" s="3" t="s">
        <v>9</v>
      </c>
      <c r="F118" s="6" t="s">
        <v>9</v>
      </c>
      <c r="G118" s="16" t="s">
        <v>9</v>
      </c>
      <c r="H118" s="156"/>
    </row>
    <row r="119" spans="1:8" x14ac:dyDescent="0.2">
      <c r="A119" s="16" t="s">
        <v>9</v>
      </c>
      <c r="B119" s="6" t="s">
        <v>9</v>
      </c>
      <c r="C119" s="6" t="s">
        <v>133</v>
      </c>
      <c r="D119" s="6" t="s">
        <v>9</v>
      </c>
      <c r="E119" s="16" t="s">
        <v>9</v>
      </c>
      <c r="F119" s="8">
        <v>1330.8080917899999</v>
      </c>
      <c r="G119" s="9">
        <v>1.1988950999999999E-2</v>
      </c>
      <c r="H119" s="156"/>
    </row>
    <row r="120" spans="1:8" x14ac:dyDescent="0.2">
      <c r="A120" s="12" t="s">
        <v>9</v>
      </c>
      <c r="B120" s="12" t="s">
        <v>9</v>
      </c>
      <c r="C120" s="4" t="s">
        <v>134</v>
      </c>
      <c r="D120" s="17" t="s">
        <v>9</v>
      </c>
      <c r="E120" s="17" t="s">
        <v>9</v>
      </c>
      <c r="F120" s="10">
        <v>111002.88031029</v>
      </c>
      <c r="G120" s="11">
        <v>1.0000000040000001</v>
      </c>
      <c r="H120" s="156"/>
    </row>
    <row r="121" spans="1:8" ht="14.1" customHeight="1" x14ac:dyDescent="0.2">
      <c r="A121" s="18" t="s">
        <v>9</v>
      </c>
      <c r="B121" s="18" t="s">
        <v>9</v>
      </c>
      <c r="C121" s="18" t="s">
        <v>9</v>
      </c>
      <c r="D121" s="19" t="s">
        <v>9</v>
      </c>
      <c r="E121" s="19" t="s">
        <v>9</v>
      </c>
      <c r="F121" s="19" t="s">
        <v>9</v>
      </c>
      <c r="G121" s="19" t="s">
        <v>9</v>
      </c>
    </row>
    <row r="122" spans="1:8" ht="14.1" customHeight="1" x14ac:dyDescent="0.2">
      <c r="A122" s="20" t="s">
        <v>9</v>
      </c>
      <c r="B122" s="200" t="s">
        <v>9</v>
      </c>
      <c r="C122" s="200"/>
      <c r="D122" s="200"/>
      <c r="E122" s="200"/>
      <c r="F122" s="200"/>
      <c r="G122" s="22" t="s">
        <v>9</v>
      </c>
    </row>
    <row r="123" spans="1:8" ht="14.1" customHeight="1" x14ac:dyDescent="0.2">
      <c r="A123" s="20" t="s">
        <v>9</v>
      </c>
      <c r="B123" s="200" t="s">
        <v>9</v>
      </c>
      <c r="C123" s="200"/>
      <c r="D123" s="200"/>
      <c r="E123" s="200"/>
      <c r="F123" s="200"/>
      <c r="G123" s="22" t="s">
        <v>9</v>
      </c>
    </row>
    <row r="124" spans="1:8" ht="14.1" customHeight="1" x14ac:dyDescent="0.2">
      <c r="A124" s="20" t="s">
        <v>9</v>
      </c>
      <c r="B124" s="20" t="s">
        <v>9</v>
      </c>
      <c r="C124" s="20" t="s">
        <v>9</v>
      </c>
      <c r="D124" s="22" t="s">
        <v>9</v>
      </c>
      <c r="E124" s="22" t="s">
        <v>9</v>
      </c>
      <c r="F124" s="22" t="s">
        <v>9</v>
      </c>
      <c r="G124" s="22" t="s">
        <v>9</v>
      </c>
    </row>
    <row r="125" spans="1:8" ht="14.1" customHeight="1" x14ac:dyDescent="0.2">
      <c r="A125" s="20" t="s">
        <v>9</v>
      </c>
      <c r="B125" s="198" t="s">
        <v>136</v>
      </c>
      <c r="C125" s="199"/>
      <c r="D125" s="13" t="s">
        <v>9</v>
      </c>
      <c r="E125" s="23" t="s">
        <v>9</v>
      </c>
      <c r="F125" s="22" t="s">
        <v>9</v>
      </c>
      <c r="G125" s="22" t="s">
        <v>9</v>
      </c>
    </row>
    <row r="126" spans="1:8" ht="29.1" customHeight="1" x14ac:dyDescent="0.2">
      <c r="A126" s="20" t="s">
        <v>9</v>
      </c>
      <c r="B126" s="205" t="s">
        <v>137</v>
      </c>
      <c r="C126" s="206"/>
      <c r="D126" s="4" t="s">
        <v>138</v>
      </c>
      <c r="E126" s="23" t="s">
        <v>9</v>
      </c>
      <c r="F126" s="22" t="s">
        <v>9</v>
      </c>
      <c r="G126" s="22" t="s">
        <v>9</v>
      </c>
    </row>
    <row r="127" spans="1:8" ht="17.100000000000001" customHeight="1" x14ac:dyDescent="0.2">
      <c r="A127" s="20" t="s">
        <v>9</v>
      </c>
      <c r="B127" s="205" t="s">
        <v>139</v>
      </c>
      <c r="C127" s="206"/>
      <c r="D127" s="4" t="s">
        <v>138</v>
      </c>
      <c r="E127" s="23" t="s">
        <v>9</v>
      </c>
      <c r="F127" s="22" t="s">
        <v>9</v>
      </c>
      <c r="G127" s="22" t="s">
        <v>9</v>
      </c>
    </row>
    <row r="128" spans="1:8" ht="17.100000000000001" customHeight="1" x14ac:dyDescent="0.2">
      <c r="A128" s="20" t="s">
        <v>9</v>
      </c>
      <c r="B128" s="205" t="s">
        <v>140</v>
      </c>
      <c r="C128" s="206"/>
      <c r="D128" s="13" t="s">
        <v>9</v>
      </c>
      <c r="E128" s="23" t="s">
        <v>9</v>
      </c>
      <c r="F128" s="22" t="s">
        <v>9</v>
      </c>
      <c r="G128" s="22" t="s">
        <v>9</v>
      </c>
    </row>
    <row r="129" spans="1:7" ht="24" customHeight="1" x14ac:dyDescent="0.2">
      <c r="A129" s="24" t="s">
        <v>9</v>
      </c>
      <c r="B129" s="25" t="s">
        <v>9</v>
      </c>
      <c r="C129" s="25" t="s">
        <v>141</v>
      </c>
      <c r="D129" s="25" t="s">
        <v>142</v>
      </c>
      <c r="E129" s="24" t="s">
        <v>9</v>
      </c>
      <c r="F129" s="24" t="s">
        <v>9</v>
      </c>
      <c r="G129" s="24" t="s">
        <v>9</v>
      </c>
    </row>
    <row r="130" spans="1:7" ht="18" customHeight="1" x14ac:dyDescent="0.2">
      <c r="A130" s="24" t="s">
        <v>9</v>
      </c>
      <c r="B130" s="25" t="s">
        <v>143</v>
      </c>
      <c r="C130" s="25" t="s">
        <v>144</v>
      </c>
      <c r="D130" s="25" t="s">
        <v>145</v>
      </c>
      <c r="E130" s="24" t="s">
        <v>9</v>
      </c>
      <c r="F130" s="24" t="s">
        <v>9</v>
      </c>
      <c r="G130" s="24" t="s">
        <v>9</v>
      </c>
    </row>
    <row r="131" spans="1:7" ht="17.100000000000001" customHeight="1" x14ac:dyDescent="0.2">
      <c r="A131" s="24" t="s">
        <v>9</v>
      </c>
      <c r="B131" s="6" t="s">
        <v>146</v>
      </c>
      <c r="C131" s="26">
        <v>13.2187</v>
      </c>
      <c r="D131" s="26">
        <v>13.519500000000001</v>
      </c>
      <c r="E131" s="24" t="s">
        <v>9</v>
      </c>
      <c r="F131" s="21" t="s">
        <v>9</v>
      </c>
      <c r="G131" s="27" t="s">
        <v>9</v>
      </c>
    </row>
    <row r="132" spans="1:7" ht="17.100000000000001" customHeight="1" x14ac:dyDescent="0.2">
      <c r="A132" s="24" t="s">
        <v>9</v>
      </c>
      <c r="B132" s="6" t="s">
        <v>839</v>
      </c>
      <c r="C132" s="26">
        <v>13.2173</v>
      </c>
      <c r="D132" s="26">
        <v>13.5181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6" t="s">
        <v>147</v>
      </c>
      <c r="C133" s="26">
        <v>13.0519</v>
      </c>
      <c r="D133" s="26">
        <v>13.327400000000001</v>
      </c>
      <c r="E133" s="24" t="s">
        <v>9</v>
      </c>
      <c r="F133" s="21" t="s">
        <v>9</v>
      </c>
      <c r="G133" s="27" t="s">
        <v>9</v>
      </c>
    </row>
    <row r="134" spans="1:7" ht="17.100000000000001" customHeight="1" x14ac:dyDescent="0.2">
      <c r="A134" s="24" t="s">
        <v>9</v>
      </c>
      <c r="B134" s="6" t="s">
        <v>840</v>
      </c>
      <c r="C134" s="26">
        <v>13.051600000000001</v>
      </c>
      <c r="D134" s="26">
        <v>13.3271</v>
      </c>
      <c r="E134" s="24" t="s">
        <v>9</v>
      </c>
      <c r="F134" s="21" t="s">
        <v>9</v>
      </c>
      <c r="G134" s="27" t="s">
        <v>9</v>
      </c>
    </row>
    <row r="135" spans="1:7" ht="14.1" customHeight="1" x14ac:dyDescent="0.2">
      <c r="A135" s="24" t="s">
        <v>9</v>
      </c>
      <c r="B135" s="24" t="s">
        <v>9</v>
      </c>
      <c r="C135" s="24" t="s">
        <v>9</v>
      </c>
      <c r="D135" s="24" t="s">
        <v>9</v>
      </c>
      <c r="E135" s="24" t="s">
        <v>9</v>
      </c>
      <c r="F135" s="24" t="s">
        <v>9</v>
      </c>
      <c r="G135" s="24" t="s">
        <v>9</v>
      </c>
    </row>
    <row r="136" spans="1:7" ht="17.100000000000001" customHeight="1" x14ac:dyDescent="0.2">
      <c r="A136" s="24" t="s">
        <v>9</v>
      </c>
      <c r="B136" s="205" t="s">
        <v>1013</v>
      </c>
      <c r="C136" s="206"/>
      <c r="D136" s="4" t="s">
        <v>138</v>
      </c>
      <c r="E136" s="24" t="s">
        <v>9</v>
      </c>
      <c r="F136" s="24" t="s">
        <v>9</v>
      </c>
      <c r="G136" s="24" t="s">
        <v>9</v>
      </c>
    </row>
    <row r="137" spans="1:7" ht="18" customHeight="1" x14ac:dyDescent="0.2">
      <c r="A137" s="24" t="s">
        <v>9</v>
      </c>
      <c r="B137" s="30"/>
      <c r="C137" s="30"/>
      <c r="D137" s="28" t="s">
        <v>9</v>
      </c>
      <c r="E137" s="24" t="s">
        <v>9</v>
      </c>
      <c r="F137" s="24" t="s">
        <v>9</v>
      </c>
      <c r="G137" s="24" t="s">
        <v>9</v>
      </c>
    </row>
    <row r="138" spans="1:7" s="197" customFormat="1" x14ac:dyDescent="0.2">
      <c r="B138" s="208" t="s">
        <v>841</v>
      </c>
      <c r="C138" s="208"/>
      <c r="D138" s="208"/>
      <c r="E138" s="208"/>
      <c r="F138" s="208"/>
    </row>
    <row r="139" spans="1:7" ht="14.1" customHeight="1" x14ac:dyDescent="0.2">
      <c r="A139" s="24" t="s">
        <v>9</v>
      </c>
      <c r="B139" s="21" t="s">
        <v>9</v>
      </c>
      <c r="C139" s="21" t="s">
        <v>9</v>
      </c>
      <c r="D139" s="24" t="s">
        <v>9</v>
      </c>
      <c r="E139" s="24" t="s">
        <v>9</v>
      </c>
      <c r="F139" s="24" t="s">
        <v>9</v>
      </c>
      <c r="G139" s="24" t="s">
        <v>9</v>
      </c>
    </row>
    <row r="140" spans="1:7" ht="29.1" customHeight="1" x14ac:dyDescent="0.2">
      <c r="A140" s="24" t="s">
        <v>9</v>
      </c>
      <c r="B140" s="205" t="s">
        <v>148</v>
      </c>
      <c r="C140" s="206"/>
      <c r="D140" s="4" t="s">
        <v>138</v>
      </c>
      <c r="E140" s="24" t="s">
        <v>9</v>
      </c>
      <c r="F140" s="24" t="s">
        <v>9</v>
      </c>
      <c r="G140" s="24" t="s">
        <v>9</v>
      </c>
    </row>
    <row r="141" spans="1:7" ht="29.1" customHeight="1" x14ac:dyDescent="0.2">
      <c r="A141" s="24" t="s">
        <v>9</v>
      </c>
      <c r="B141" s="205" t="s">
        <v>149</v>
      </c>
      <c r="C141" s="206"/>
      <c r="D141" s="4" t="s">
        <v>138</v>
      </c>
      <c r="E141" s="24" t="s">
        <v>9</v>
      </c>
      <c r="F141" s="24" t="s">
        <v>9</v>
      </c>
      <c r="G141" s="24" t="s">
        <v>9</v>
      </c>
    </row>
    <row r="142" spans="1:7" ht="17.100000000000001" customHeight="1" x14ac:dyDescent="0.2">
      <c r="A142" s="24" t="s">
        <v>9</v>
      </c>
      <c r="B142" s="205" t="s">
        <v>150</v>
      </c>
      <c r="C142" s="206"/>
      <c r="D142" s="29">
        <v>0.74658890149283874</v>
      </c>
      <c r="E142" s="24" t="s">
        <v>9</v>
      </c>
      <c r="F142" s="21" t="s">
        <v>9</v>
      </c>
      <c r="G142" s="27" t="s">
        <v>9</v>
      </c>
    </row>
    <row r="143" spans="1:7" ht="17.100000000000001" customHeight="1" x14ac:dyDescent="0.2">
      <c r="A143" s="24" t="s">
        <v>9</v>
      </c>
      <c r="B143" s="205" t="s">
        <v>151</v>
      </c>
      <c r="C143" s="206"/>
      <c r="D143" s="4" t="s">
        <v>138</v>
      </c>
      <c r="E143" s="24" t="s">
        <v>9</v>
      </c>
      <c r="F143" s="24" t="s">
        <v>9</v>
      </c>
      <c r="G143" s="24" t="s">
        <v>9</v>
      </c>
    </row>
  </sheetData>
  <mergeCells count="15">
    <mergeCell ref="B142:C142"/>
    <mergeCell ref="B143:C143"/>
    <mergeCell ref="B126:C126"/>
    <mergeCell ref="B127:C127"/>
    <mergeCell ref="B128:C128"/>
    <mergeCell ref="B136:C136"/>
    <mergeCell ref="B140:C140"/>
    <mergeCell ref="B141:C141"/>
    <mergeCell ref="B138:F138"/>
    <mergeCell ref="B125:C125"/>
    <mergeCell ref="B122:F122"/>
    <mergeCell ref="B123:F12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160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709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15</v>
      </c>
      <c r="C7" s="6" t="s">
        <v>16</v>
      </c>
      <c r="D7" s="6" t="s">
        <v>17</v>
      </c>
      <c r="E7" s="7">
        <v>160000</v>
      </c>
      <c r="F7" s="8">
        <v>3377.04</v>
      </c>
      <c r="G7" s="9">
        <v>4.5108321999999999E-2</v>
      </c>
      <c r="H7" s="156"/>
    </row>
    <row r="8" spans="1:8" x14ac:dyDescent="0.2">
      <c r="A8" s="5">
        <v>2</v>
      </c>
      <c r="B8" s="6" t="s">
        <v>50</v>
      </c>
      <c r="C8" s="6" t="s">
        <v>51</v>
      </c>
      <c r="D8" s="6" t="s">
        <v>22</v>
      </c>
      <c r="E8" s="7">
        <v>201792</v>
      </c>
      <c r="F8" s="8">
        <v>3022.6423679999998</v>
      </c>
      <c r="G8" s="9">
        <v>4.0374506999999997E-2</v>
      </c>
      <c r="H8" s="156"/>
    </row>
    <row r="9" spans="1:8" x14ac:dyDescent="0.2">
      <c r="A9" s="5">
        <v>3</v>
      </c>
      <c r="B9" s="6" t="s">
        <v>153</v>
      </c>
      <c r="C9" s="6" t="s">
        <v>154</v>
      </c>
      <c r="D9" s="6" t="s">
        <v>155</v>
      </c>
      <c r="E9" s="7">
        <v>79943</v>
      </c>
      <c r="F9" s="8">
        <v>2997.2629274999999</v>
      </c>
      <c r="G9" s="9">
        <v>4.0035504999999999E-2</v>
      </c>
      <c r="H9" s="156"/>
    </row>
    <row r="10" spans="1:8" x14ac:dyDescent="0.2">
      <c r="A10" s="5">
        <v>4</v>
      </c>
      <c r="B10" s="6" t="s">
        <v>398</v>
      </c>
      <c r="C10" s="6" t="s">
        <v>399</v>
      </c>
      <c r="D10" s="6" t="s">
        <v>169</v>
      </c>
      <c r="E10" s="7">
        <v>154200</v>
      </c>
      <c r="F10" s="8">
        <v>2437.5936000000002</v>
      </c>
      <c r="G10" s="9">
        <v>3.2559802999999998E-2</v>
      </c>
      <c r="H10" s="156"/>
    </row>
    <row r="11" spans="1:8" x14ac:dyDescent="0.2">
      <c r="A11" s="5">
        <v>5</v>
      </c>
      <c r="B11" s="6" t="s">
        <v>20</v>
      </c>
      <c r="C11" s="6" t="s">
        <v>21</v>
      </c>
      <c r="D11" s="6" t="s">
        <v>22</v>
      </c>
      <c r="E11" s="7">
        <v>377738</v>
      </c>
      <c r="F11" s="8">
        <v>2383.149042</v>
      </c>
      <c r="G11" s="9">
        <v>3.1832567999999999E-2</v>
      </c>
      <c r="H11" s="156"/>
    </row>
    <row r="12" spans="1:8" x14ac:dyDescent="0.2">
      <c r="A12" s="5">
        <v>6</v>
      </c>
      <c r="B12" s="6" t="s">
        <v>400</v>
      </c>
      <c r="C12" s="6" t="s">
        <v>401</v>
      </c>
      <c r="D12" s="6" t="s">
        <v>166</v>
      </c>
      <c r="E12" s="7">
        <v>94000</v>
      </c>
      <c r="F12" s="8">
        <v>2326.7350000000001</v>
      </c>
      <c r="G12" s="9">
        <v>3.1079025999999999E-2</v>
      </c>
      <c r="H12" s="156"/>
    </row>
    <row r="13" spans="1:8" x14ac:dyDescent="0.2">
      <c r="A13" s="5">
        <v>7</v>
      </c>
      <c r="B13" s="6" t="s">
        <v>81</v>
      </c>
      <c r="C13" s="6" t="s">
        <v>82</v>
      </c>
      <c r="D13" s="6" t="s">
        <v>14</v>
      </c>
      <c r="E13" s="7">
        <v>2257921</v>
      </c>
      <c r="F13" s="8">
        <v>1961.0043885</v>
      </c>
      <c r="G13" s="9">
        <v>2.6193832E-2</v>
      </c>
      <c r="H13" s="156"/>
    </row>
    <row r="14" spans="1:8" x14ac:dyDescent="0.2">
      <c r="A14" s="5">
        <v>8</v>
      </c>
      <c r="B14" s="6" t="s">
        <v>299</v>
      </c>
      <c r="C14" s="6" t="s">
        <v>300</v>
      </c>
      <c r="D14" s="6" t="s">
        <v>169</v>
      </c>
      <c r="E14" s="7">
        <v>73000</v>
      </c>
      <c r="F14" s="8">
        <v>1898.365</v>
      </c>
      <c r="G14" s="9">
        <v>2.5357134999999999E-2</v>
      </c>
      <c r="H14" s="156"/>
    </row>
    <row r="15" spans="1:8" x14ac:dyDescent="0.2">
      <c r="A15" s="5">
        <v>9</v>
      </c>
      <c r="B15" s="6" t="s">
        <v>402</v>
      </c>
      <c r="C15" s="6" t="s">
        <v>403</v>
      </c>
      <c r="D15" s="6" t="s">
        <v>22</v>
      </c>
      <c r="E15" s="7">
        <v>416666</v>
      </c>
      <c r="F15" s="8">
        <v>1746.6638720000001</v>
      </c>
      <c r="G15" s="9">
        <v>2.333081E-2</v>
      </c>
      <c r="H15" s="156"/>
    </row>
    <row r="16" spans="1:8" x14ac:dyDescent="0.2">
      <c r="A16" s="5">
        <v>10</v>
      </c>
      <c r="B16" s="6" t="s">
        <v>208</v>
      </c>
      <c r="C16" s="6" t="s">
        <v>209</v>
      </c>
      <c r="D16" s="6" t="s">
        <v>976</v>
      </c>
      <c r="E16" s="7">
        <v>210048</v>
      </c>
      <c r="F16" s="8">
        <v>1718.087616</v>
      </c>
      <c r="G16" s="9">
        <v>2.2949106E-2</v>
      </c>
      <c r="H16" s="156"/>
    </row>
    <row r="17" spans="1:8" x14ac:dyDescent="0.2">
      <c r="A17" s="5">
        <v>11</v>
      </c>
      <c r="B17" s="6" t="s">
        <v>496</v>
      </c>
      <c r="C17" s="6" t="s">
        <v>497</v>
      </c>
      <c r="D17" s="6" t="s">
        <v>972</v>
      </c>
      <c r="E17" s="7">
        <v>139340</v>
      </c>
      <c r="F17" s="8">
        <v>1689.9851900000001</v>
      </c>
      <c r="G17" s="9">
        <v>2.2573731999999999E-2</v>
      </c>
      <c r="H17" s="156"/>
    </row>
    <row r="18" spans="1:8" x14ac:dyDescent="0.2">
      <c r="A18" s="5">
        <v>12</v>
      </c>
      <c r="B18" s="6" t="s">
        <v>23</v>
      </c>
      <c r="C18" s="6" t="s">
        <v>24</v>
      </c>
      <c r="D18" s="6" t="s">
        <v>25</v>
      </c>
      <c r="E18" s="7">
        <v>301200</v>
      </c>
      <c r="F18" s="8">
        <v>1583.2578000000001</v>
      </c>
      <c r="G18" s="9">
        <v>2.1148137000000001E-2</v>
      </c>
      <c r="H18" s="156"/>
    </row>
    <row r="19" spans="1:8" x14ac:dyDescent="0.2">
      <c r="A19" s="5">
        <v>13</v>
      </c>
      <c r="B19" s="6" t="s">
        <v>216</v>
      </c>
      <c r="C19" s="6" t="s">
        <v>217</v>
      </c>
      <c r="D19" s="6" t="s">
        <v>54</v>
      </c>
      <c r="E19" s="7">
        <v>141941</v>
      </c>
      <c r="F19" s="8">
        <v>1577.3193624999999</v>
      </c>
      <c r="G19" s="9">
        <v>2.1068815000000001E-2</v>
      </c>
      <c r="H19" s="156"/>
    </row>
    <row r="20" spans="1:8" x14ac:dyDescent="0.2">
      <c r="A20" s="5">
        <v>14</v>
      </c>
      <c r="B20" s="6" t="s">
        <v>526</v>
      </c>
      <c r="C20" s="6" t="s">
        <v>527</v>
      </c>
      <c r="D20" s="6" t="s">
        <v>22</v>
      </c>
      <c r="E20" s="7">
        <v>447355</v>
      </c>
      <c r="F20" s="8">
        <v>1552.9928825</v>
      </c>
      <c r="G20" s="9">
        <v>2.0743877000000001E-2</v>
      </c>
      <c r="H20" s="156"/>
    </row>
    <row r="21" spans="1:8" x14ac:dyDescent="0.2">
      <c r="A21" s="5">
        <v>15</v>
      </c>
      <c r="B21" s="6" t="s">
        <v>439</v>
      </c>
      <c r="C21" s="6" t="s">
        <v>440</v>
      </c>
      <c r="D21" s="6" t="s">
        <v>166</v>
      </c>
      <c r="E21" s="7">
        <v>224242</v>
      </c>
      <c r="F21" s="8">
        <v>1484.9305240000001</v>
      </c>
      <c r="G21" s="9">
        <v>1.9834744000000001E-2</v>
      </c>
      <c r="H21" s="156"/>
    </row>
    <row r="22" spans="1:8" x14ac:dyDescent="0.2">
      <c r="A22" s="5">
        <v>16</v>
      </c>
      <c r="B22" s="6" t="s">
        <v>12</v>
      </c>
      <c r="C22" s="6" t="s">
        <v>13</v>
      </c>
      <c r="D22" s="6" t="s">
        <v>14</v>
      </c>
      <c r="E22" s="7">
        <v>91037</v>
      </c>
      <c r="F22" s="8">
        <v>1366.0557034999999</v>
      </c>
      <c r="G22" s="9">
        <v>1.8246891000000001E-2</v>
      </c>
      <c r="H22" s="156"/>
    </row>
    <row r="23" spans="1:8" x14ac:dyDescent="0.2">
      <c r="A23" s="5">
        <v>17</v>
      </c>
      <c r="B23" s="6" t="s">
        <v>36</v>
      </c>
      <c r="C23" s="6" t="s">
        <v>37</v>
      </c>
      <c r="D23" s="6" t="s">
        <v>972</v>
      </c>
      <c r="E23" s="7">
        <v>19801</v>
      </c>
      <c r="F23" s="8">
        <v>1341.71576</v>
      </c>
      <c r="G23" s="9">
        <v>1.7921774000000001E-2</v>
      </c>
      <c r="H23" s="156"/>
    </row>
    <row r="24" spans="1:8" x14ac:dyDescent="0.2">
      <c r="A24" s="5">
        <v>18</v>
      </c>
      <c r="B24" s="6" t="s">
        <v>356</v>
      </c>
      <c r="C24" s="6" t="s">
        <v>357</v>
      </c>
      <c r="D24" s="6" t="s">
        <v>22</v>
      </c>
      <c r="E24" s="7">
        <v>178024</v>
      </c>
      <c r="F24" s="8">
        <v>1332.1535919999999</v>
      </c>
      <c r="G24" s="9">
        <v>1.7794048999999999E-2</v>
      </c>
      <c r="H24" s="156"/>
    </row>
    <row r="25" spans="1:8" x14ac:dyDescent="0.2">
      <c r="A25" s="5">
        <v>19</v>
      </c>
      <c r="B25" s="6" t="s">
        <v>313</v>
      </c>
      <c r="C25" s="6" t="s">
        <v>314</v>
      </c>
      <c r="D25" s="6" t="s">
        <v>73</v>
      </c>
      <c r="E25" s="7">
        <v>237070</v>
      </c>
      <c r="F25" s="8">
        <v>1328.4217450000001</v>
      </c>
      <c r="G25" s="9">
        <v>1.7744201000000001E-2</v>
      </c>
      <c r="H25" s="156"/>
    </row>
    <row r="26" spans="1:8" x14ac:dyDescent="0.2">
      <c r="A26" s="5">
        <v>20</v>
      </c>
      <c r="B26" s="6" t="s">
        <v>710</v>
      </c>
      <c r="C26" s="6" t="s">
        <v>711</v>
      </c>
      <c r="D26" s="6" t="s">
        <v>35</v>
      </c>
      <c r="E26" s="7">
        <v>19261</v>
      </c>
      <c r="F26" s="8">
        <v>1254.7000619999999</v>
      </c>
      <c r="G26" s="9">
        <v>1.6759474E-2</v>
      </c>
      <c r="H26" s="156"/>
    </row>
    <row r="27" spans="1:8" x14ac:dyDescent="0.2">
      <c r="A27" s="5">
        <v>21</v>
      </c>
      <c r="B27" s="6" t="s">
        <v>26</v>
      </c>
      <c r="C27" s="6" t="s">
        <v>27</v>
      </c>
      <c r="D27" s="6" t="s">
        <v>28</v>
      </c>
      <c r="E27" s="7">
        <v>100996</v>
      </c>
      <c r="F27" s="8">
        <v>1254.3198219999999</v>
      </c>
      <c r="G27" s="9">
        <v>1.6754394999999998E-2</v>
      </c>
      <c r="H27" s="156"/>
    </row>
    <row r="28" spans="1:8" x14ac:dyDescent="0.2">
      <c r="A28" s="5">
        <v>22</v>
      </c>
      <c r="B28" s="6" t="s">
        <v>346</v>
      </c>
      <c r="C28" s="6" t="s">
        <v>347</v>
      </c>
      <c r="D28" s="6" t="s">
        <v>22</v>
      </c>
      <c r="E28" s="7">
        <v>1431306</v>
      </c>
      <c r="F28" s="8">
        <v>1229.4918540000001</v>
      </c>
      <c r="G28" s="9">
        <v>1.6422758999999999E-2</v>
      </c>
      <c r="H28" s="156"/>
    </row>
    <row r="29" spans="1:8" x14ac:dyDescent="0.2">
      <c r="A29" s="5">
        <v>23</v>
      </c>
      <c r="B29" s="6" t="s">
        <v>57</v>
      </c>
      <c r="C29" s="6" t="s">
        <v>58</v>
      </c>
      <c r="D29" s="6" t="s">
        <v>17</v>
      </c>
      <c r="E29" s="7">
        <v>256895</v>
      </c>
      <c r="F29" s="8">
        <v>1202.5254950000001</v>
      </c>
      <c r="G29" s="9">
        <v>1.606256E-2</v>
      </c>
      <c r="H29" s="156"/>
    </row>
    <row r="30" spans="1:8" x14ac:dyDescent="0.2">
      <c r="A30" s="5">
        <v>24</v>
      </c>
      <c r="B30" s="6" t="s">
        <v>386</v>
      </c>
      <c r="C30" s="6" t="s">
        <v>387</v>
      </c>
      <c r="D30" s="6" t="s">
        <v>971</v>
      </c>
      <c r="E30" s="7">
        <v>9583</v>
      </c>
      <c r="F30" s="8">
        <v>1160.4102614999999</v>
      </c>
      <c r="G30" s="9">
        <v>1.5500012000000001E-2</v>
      </c>
      <c r="H30" s="156"/>
    </row>
    <row r="31" spans="1:8" x14ac:dyDescent="0.2">
      <c r="A31" s="5">
        <v>25</v>
      </c>
      <c r="B31" s="6" t="s">
        <v>242</v>
      </c>
      <c r="C31" s="6" t="s">
        <v>243</v>
      </c>
      <c r="D31" s="6" t="s">
        <v>196</v>
      </c>
      <c r="E31" s="7">
        <v>69458</v>
      </c>
      <c r="F31" s="8">
        <v>1156.6146160000001</v>
      </c>
      <c r="G31" s="9">
        <v>1.5449312E-2</v>
      </c>
      <c r="H31" s="156"/>
    </row>
    <row r="32" spans="1:8" x14ac:dyDescent="0.2">
      <c r="A32" s="5">
        <v>26</v>
      </c>
      <c r="B32" s="6" t="s">
        <v>323</v>
      </c>
      <c r="C32" s="6" t="s">
        <v>324</v>
      </c>
      <c r="D32" s="6" t="s">
        <v>239</v>
      </c>
      <c r="E32" s="7">
        <v>3790</v>
      </c>
      <c r="F32" s="8">
        <v>1118.8838000000001</v>
      </c>
      <c r="G32" s="9">
        <v>1.4945328000000001E-2</v>
      </c>
      <c r="H32" s="156"/>
    </row>
    <row r="33" spans="1:8" x14ac:dyDescent="0.2">
      <c r="A33" s="5">
        <v>27</v>
      </c>
      <c r="B33" s="6" t="s">
        <v>331</v>
      </c>
      <c r="C33" s="6" t="s">
        <v>332</v>
      </c>
      <c r="D33" s="6" t="s">
        <v>155</v>
      </c>
      <c r="E33" s="7">
        <v>14917</v>
      </c>
      <c r="F33" s="8">
        <v>1085.3161689999999</v>
      </c>
      <c r="G33" s="9">
        <v>1.4496953E-2</v>
      </c>
      <c r="H33" s="156"/>
    </row>
    <row r="34" spans="1:8" x14ac:dyDescent="0.2">
      <c r="A34" s="5">
        <v>28</v>
      </c>
      <c r="B34" s="6" t="s">
        <v>408</v>
      </c>
      <c r="C34" s="6" t="s">
        <v>409</v>
      </c>
      <c r="D34" s="6" t="s">
        <v>169</v>
      </c>
      <c r="E34" s="7">
        <v>32028</v>
      </c>
      <c r="F34" s="8">
        <v>1071.57681</v>
      </c>
      <c r="G34" s="9">
        <v>1.4313431999999999E-2</v>
      </c>
      <c r="H34" s="156"/>
    </row>
    <row r="35" spans="1:8" ht="25.5" x14ac:dyDescent="0.2">
      <c r="A35" s="5">
        <v>29</v>
      </c>
      <c r="B35" s="6" t="s">
        <v>214</v>
      </c>
      <c r="C35" s="6" t="s">
        <v>215</v>
      </c>
      <c r="D35" s="6" t="s">
        <v>63</v>
      </c>
      <c r="E35" s="7">
        <v>47943</v>
      </c>
      <c r="F35" s="8">
        <v>1068.7453559999999</v>
      </c>
      <c r="G35" s="9">
        <v>1.4275611000000001E-2</v>
      </c>
      <c r="H35" s="156"/>
    </row>
    <row r="36" spans="1:8" x14ac:dyDescent="0.2">
      <c r="A36" s="5">
        <v>30</v>
      </c>
      <c r="B36" s="6" t="s">
        <v>339</v>
      </c>
      <c r="C36" s="6" t="s">
        <v>340</v>
      </c>
      <c r="D36" s="6" t="s">
        <v>68</v>
      </c>
      <c r="E36" s="7">
        <v>147000</v>
      </c>
      <c r="F36" s="8">
        <v>1026.5744999999999</v>
      </c>
      <c r="G36" s="9">
        <v>1.371232E-2</v>
      </c>
      <c r="H36" s="156"/>
    </row>
    <row r="37" spans="1:8" x14ac:dyDescent="0.2">
      <c r="A37" s="5">
        <v>31</v>
      </c>
      <c r="B37" s="6" t="s">
        <v>404</v>
      </c>
      <c r="C37" s="6" t="s">
        <v>405</v>
      </c>
      <c r="D37" s="6" t="s">
        <v>971</v>
      </c>
      <c r="E37" s="7">
        <v>100100</v>
      </c>
      <c r="F37" s="8">
        <v>1009.15815</v>
      </c>
      <c r="G37" s="9">
        <v>1.3479684E-2</v>
      </c>
      <c r="H37" s="156"/>
    </row>
    <row r="38" spans="1:8" x14ac:dyDescent="0.2">
      <c r="A38" s="5">
        <v>32</v>
      </c>
      <c r="B38" s="6" t="s">
        <v>712</v>
      </c>
      <c r="C38" s="6" t="s">
        <v>713</v>
      </c>
      <c r="D38" s="6" t="s">
        <v>73</v>
      </c>
      <c r="E38" s="7">
        <v>132080</v>
      </c>
      <c r="F38" s="8">
        <v>1002.61928</v>
      </c>
      <c r="G38" s="9">
        <v>1.3392342E-2</v>
      </c>
      <c r="H38" s="156"/>
    </row>
    <row r="39" spans="1:8" x14ac:dyDescent="0.2">
      <c r="A39" s="5">
        <v>33</v>
      </c>
      <c r="B39" s="6" t="s">
        <v>368</v>
      </c>
      <c r="C39" s="6" t="s">
        <v>369</v>
      </c>
      <c r="D39" s="6" t="s">
        <v>169</v>
      </c>
      <c r="E39" s="7">
        <v>100000</v>
      </c>
      <c r="F39" s="8">
        <v>983.5</v>
      </c>
      <c r="G39" s="9">
        <v>1.3136959E-2</v>
      </c>
      <c r="H39" s="156"/>
    </row>
    <row r="40" spans="1:8" x14ac:dyDescent="0.2">
      <c r="A40" s="5">
        <v>34</v>
      </c>
      <c r="B40" s="6" t="s">
        <v>210</v>
      </c>
      <c r="C40" s="6" t="s">
        <v>211</v>
      </c>
      <c r="D40" s="6" t="s">
        <v>169</v>
      </c>
      <c r="E40" s="7">
        <v>114247</v>
      </c>
      <c r="F40" s="8">
        <v>982.06721200000004</v>
      </c>
      <c r="G40" s="9">
        <v>1.3117820000000001E-2</v>
      </c>
      <c r="H40" s="156"/>
    </row>
    <row r="41" spans="1:8" x14ac:dyDescent="0.2">
      <c r="A41" s="5">
        <v>35</v>
      </c>
      <c r="B41" s="6" t="s">
        <v>441</v>
      </c>
      <c r="C41" s="6" t="s">
        <v>442</v>
      </c>
      <c r="D41" s="6" t="s">
        <v>196</v>
      </c>
      <c r="E41" s="7">
        <v>17902</v>
      </c>
      <c r="F41" s="8">
        <v>970.83441100000005</v>
      </c>
      <c r="G41" s="9">
        <v>1.296778E-2</v>
      </c>
      <c r="H41" s="156"/>
    </row>
    <row r="42" spans="1:8" x14ac:dyDescent="0.2">
      <c r="A42" s="5">
        <v>36</v>
      </c>
      <c r="B42" s="6" t="s">
        <v>430</v>
      </c>
      <c r="C42" s="6" t="s">
        <v>431</v>
      </c>
      <c r="D42" s="6" t="s">
        <v>432</v>
      </c>
      <c r="E42" s="7">
        <v>250000</v>
      </c>
      <c r="F42" s="8">
        <v>930.125</v>
      </c>
      <c r="G42" s="9">
        <v>1.2424009999999999E-2</v>
      </c>
      <c r="H42" s="156"/>
    </row>
    <row r="43" spans="1:8" x14ac:dyDescent="0.2">
      <c r="A43" s="5">
        <v>37</v>
      </c>
      <c r="B43" s="6" t="s">
        <v>498</v>
      </c>
      <c r="C43" s="6" t="s">
        <v>499</v>
      </c>
      <c r="D43" s="6" t="s">
        <v>92</v>
      </c>
      <c r="E43" s="7">
        <v>267773</v>
      </c>
      <c r="F43" s="8">
        <v>909.35710800000004</v>
      </c>
      <c r="G43" s="9">
        <v>1.2146606000000001E-2</v>
      </c>
      <c r="H43" s="156"/>
    </row>
    <row r="44" spans="1:8" x14ac:dyDescent="0.2">
      <c r="A44" s="5">
        <v>38</v>
      </c>
      <c r="B44" s="6" t="s">
        <v>641</v>
      </c>
      <c r="C44" s="6" t="s">
        <v>642</v>
      </c>
      <c r="D44" s="6" t="s">
        <v>196</v>
      </c>
      <c r="E44" s="7">
        <v>90000</v>
      </c>
      <c r="F44" s="8">
        <v>868.68</v>
      </c>
      <c r="G44" s="9">
        <v>1.1603267E-2</v>
      </c>
      <c r="H44" s="156"/>
    </row>
    <row r="45" spans="1:8" x14ac:dyDescent="0.2">
      <c r="A45" s="5">
        <v>39</v>
      </c>
      <c r="B45" s="6" t="s">
        <v>74</v>
      </c>
      <c r="C45" s="6" t="s">
        <v>75</v>
      </c>
      <c r="D45" s="6" t="s">
        <v>28</v>
      </c>
      <c r="E45" s="7">
        <v>96041</v>
      </c>
      <c r="F45" s="8">
        <v>863.88879499999996</v>
      </c>
      <c r="G45" s="9">
        <v>1.1539269E-2</v>
      </c>
      <c r="H45" s="156"/>
    </row>
    <row r="46" spans="1:8" x14ac:dyDescent="0.2">
      <c r="A46" s="5">
        <v>40</v>
      </c>
      <c r="B46" s="6" t="s">
        <v>18</v>
      </c>
      <c r="C46" s="6" t="s">
        <v>19</v>
      </c>
      <c r="D46" s="6" t="s">
        <v>972</v>
      </c>
      <c r="E46" s="7">
        <v>84095</v>
      </c>
      <c r="F46" s="8">
        <v>862.60446249999995</v>
      </c>
      <c r="G46" s="9">
        <v>1.1522114E-2</v>
      </c>
      <c r="H46" s="156"/>
    </row>
    <row r="47" spans="1:8" x14ac:dyDescent="0.2">
      <c r="A47" s="5">
        <v>41</v>
      </c>
      <c r="B47" s="6" t="s">
        <v>335</v>
      </c>
      <c r="C47" s="6" t="s">
        <v>336</v>
      </c>
      <c r="D47" s="6" t="s">
        <v>196</v>
      </c>
      <c r="E47" s="7">
        <v>25000</v>
      </c>
      <c r="F47" s="8">
        <v>856.07500000000005</v>
      </c>
      <c r="G47" s="9">
        <v>1.1434898000000001E-2</v>
      </c>
      <c r="H47" s="156"/>
    </row>
    <row r="48" spans="1:8" x14ac:dyDescent="0.2">
      <c r="A48" s="5">
        <v>42</v>
      </c>
      <c r="B48" s="6" t="s">
        <v>97</v>
      </c>
      <c r="C48" s="6" t="s">
        <v>98</v>
      </c>
      <c r="D48" s="6" t="s">
        <v>28</v>
      </c>
      <c r="E48" s="7">
        <v>14578</v>
      </c>
      <c r="F48" s="8">
        <v>821.38283200000001</v>
      </c>
      <c r="G48" s="9">
        <v>1.0971501999999999E-2</v>
      </c>
      <c r="H48" s="156"/>
    </row>
    <row r="49" spans="1:8" x14ac:dyDescent="0.2">
      <c r="A49" s="5">
        <v>43</v>
      </c>
      <c r="B49" s="6" t="s">
        <v>350</v>
      </c>
      <c r="C49" s="6" t="s">
        <v>351</v>
      </c>
      <c r="D49" s="6" t="s">
        <v>974</v>
      </c>
      <c r="E49" s="7">
        <v>127230</v>
      </c>
      <c r="F49" s="8">
        <v>815.48068499999999</v>
      </c>
      <c r="G49" s="9">
        <v>1.0892664999999999E-2</v>
      </c>
      <c r="H49" s="156"/>
    </row>
    <row r="50" spans="1:8" x14ac:dyDescent="0.2">
      <c r="A50" s="5">
        <v>44</v>
      </c>
      <c r="B50" s="6" t="s">
        <v>179</v>
      </c>
      <c r="C50" s="6" t="s">
        <v>180</v>
      </c>
      <c r="D50" s="6" t="s">
        <v>169</v>
      </c>
      <c r="E50" s="7">
        <v>27269</v>
      </c>
      <c r="F50" s="8">
        <v>801.39500650000002</v>
      </c>
      <c r="G50" s="9">
        <v>1.0704518E-2</v>
      </c>
      <c r="H50" s="156"/>
    </row>
    <row r="51" spans="1:8" x14ac:dyDescent="0.2">
      <c r="A51" s="5">
        <v>45</v>
      </c>
      <c r="B51" s="6" t="s">
        <v>337</v>
      </c>
      <c r="C51" s="6" t="s">
        <v>338</v>
      </c>
      <c r="D51" s="6" t="s">
        <v>166</v>
      </c>
      <c r="E51" s="7">
        <v>169899</v>
      </c>
      <c r="F51" s="8">
        <v>798.52530000000002</v>
      </c>
      <c r="G51" s="9">
        <v>1.0666185999999999E-2</v>
      </c>
      <c r="H51" s="156"/>
    </row>
    <row r="52" spans="1:8" x14ac:dyDescent="0.2">
      <c r="A52" s="5">
        <v>46</v>
      </c>
      <c r="B52" s="6" t="s">
        <v>714</v>
      </c>
      <c r="C52" s="6" t="s">
        <v>715</v>
      </c>
      <c r="D52" s="6" t="s">
        <v>40</v>
      </c>
      <c r="E52" s="7">
        <v>124146</v>
      </c>
      <c r="F52" s="8">
        <v>781.74736199999995</v>
      </c>
      <c r="G52" s="9">
        <v>1.0442076999999999E-2</v>
      </c>
      <c r="H52" s="156"/>
    </row>
    <row r="53" spans="1:8" x14ac:dyDescent="0.2">
      <c r="A53" s="5">
        <v>47</v>
      </c>
      <c r="B53" s="6" t="s">
        <v>515</v>
      </c>
      <c r="C53" s="6" t="s">
        <v>516</v>
      </c>
      <c r="D53" s="6" t="s">
        <v>73</v>
      </c>
      <c r="E53" s="7">
        <v>3189</v>
      </c>
      <c r="F53" s="8">
        <v>775.93312949999995</v>
      </c>
      <c r="G53" s="9">
        <v>1.0364414000000001E-2</v>
      </c>
      <c r="H53" s="156"/>
    </row>
    <row r="54" spans="1:8" x14ac:dyDescent="0.2">
      <c r="A54" s="5">
        <v>48</v>
      </c>
      <c r="B54" s="6" t="s">
        <v>212</v>
      </c>
      <c r="C54" s="6" t="s">
        <v>213</v>
      </c>
      <c r="D54" s="6" t="s">
        <v>28</v>
      </c>
      <c r="E54" s="7">
        <v>52223</v>
      </c>
      <c r="F54" s="8">
        <v>767.33865049999997</v>
      </c>
      <c r="G54" s="9">
        <v>1.0249615E-2</v>
      </c>
      <c r="H54" s="156"/>
    </row>
    <row r="55" spans="1:8" x14ac:dyDescent="0.2">
      <c r="A55" s="5">
        <v>49</v>
      </c>
      <c r="B55" s="6" t="s">
        <v>437</v>
      </c>
      <c r="C55" s="6" t="s">
        <v>438</v>
      </c>
      <c r="D55" s="6" t="s">
        <v>196</v>
      </c>
      <c r="E55" s="7">
        <v>73768</v>
      </c>
      <c r="F55" s="8">
        <v>716.95119199999999</v>
      </c>
      <c r="G55" s="9">
        <v>9.5765720000000002E-3</v>
      </c>
      <c r="H55" s="156"/>
    </row>
    <row r="56" spans="1:8" x14ac:dyDescent="0.2">
      <c r="A56" s="5">
        <v>50</v>
      </c>
      <c r="B56" s="6" t="s">
        <v>279</v>
      </c>
      <c r="C56" s="6" t="s">
        <v>280</v>
      </c>
      <c r="D56" s="6" t="s">
        <v>974</v>
      </c>
      <c r="E56" s="7">
        <v>46064</v>
      </c>
      <c r="F56" s="8">
        <v>700.88679200000001</v>
      </c>
      <c r="G56" s="9">
        <v>9.3619940000000002E-3</v>
      </c>
      <c r="H56" s="156"/>
    </row>
    <row r="57" spans="1:8" x14ac:dyDescent="0.2">
      <c r="A57" s="5">
        <v>51</v>
      </c>
      <c r="B57" s="6" t="s">
        <v>103</v>
      </c>
      <c r="C57" s="6" t="s">
        <v>104</v>
      </c>
      <c r="D57" s="6" t="s">
        <v>78</v>
      </c>
      <c r="E57" s="7">
        <v>125000</v>
      </c>
      <c r="F57" s="8">
        <v>697.1875</v>
      </c>
      <c r="G57" s="9">
        <v>9.3125810000000003E-3</v>
      </c>
      <c r="H57" s="156"/>
    </row>
    <row r="58" spans="1:8" x14ac:dyDescent="0.2">
      <c r="A58" s="5">
        <v>52</v>
      </c>
      <c r="B58" s="6" t="s">
        <v>392</v>
      </c>
      <c r="C58" s="6" t="s">
        <v>393</v>
      </c>
      <c r="D58" s="6" t="s">
        <v>191</v>
      </c>
      <c r="E58" s="7">
        <v>10000</v>
      </c>
      <c r="F58" s="8">
        <v>689.84</v>
      </c>
      <c r="G58" s="9">
        <v>9.2144380000000001E-3</v>
      </c>
      <c r="H58" s="156"/>
    </row>
    <row r="59" spans="1:8" x14ac:dyDescent="0.2">
      <c r="A59" s="5">
        <v>53</v>
      </c>
      <c r="B59" s="6" t="s">
        <v>266</v>
      </c>
      <c r="C59" s="6" t="s">
        <v>267</v>
      </c>
      <c r="D59" s="6" t="s">
        <v>191</v>
      </c>
      <c r="E59" s="7">
        <v>104010</v>
      </c>
      <c r="F59" s="8">
        <v>667.64018999999996</v>
      </c>
      <c r="G59" s="9">
        <v>8.9179069999999992E-3</v>
      </c>
      <c r="H59" s="156"/>
    </row>
    <row r="60" spans="1:8" x14ac:dyDescent="0.2">
      <c r="A60" s="5">
        <v>54</v>
      </c>
      <c r="B60" s="6" t="s">
        <v>90</v>
      </c>
      <c r="C60" s="6" t="s">
        <v>91</v>
      </c>
      <c r="D60" s="6" t="s">
        <v>92</v>
      </c>
      <c r="E60" s="7">
        <v>543762</v>
      </c>
      <c r="F60" s="8">
        <v>666.65221199999996</v>
      </c>
      <c r="G60" s="9">
        <v>8.9047099999999997E-3</v>
      </c>
      <c r="H60" s="156"/>
    </row>
    <row r="61" spans="1:8" x14ac:dyDescent="0.2">
      <c r="A61" s="5">
        <v>55</v>
      </c>
      <c r="B61" s="6" t="s">
        <v>406</v>
      </c>
      <c r="C61" s="6" t="s">
        <v>407</v>
      </c>
      <c r="D61" s="6" t="s">
        <v>73</v>
      </c>
      <c r="E61" s="7">
        <v>25000</v>
      </c>
      <c r="F61" s="8">
        <v>617.82500000000005</v>
      </c>
      <c r="G61" s="9">
        <v>8.2525080000000004E-3</v>
      </c>
      <c r="H61" s="156"/>
    </row>
    <row r="62" spans="1:8" x14ac:dyDescent="0.2">
      <c r="A62" s="5">
        <v>56</v>
      </c>
      <c r="B62" s="6" t="s">
        <v>491</v>
      </c>
      <c r="C62" s="6" t="s">
        <v>492</v>
      </c>
      <c r="D62" s="6" t="s">
        <v>92</v>
      </c>
      <c r="E62" s="7">
        <v>8000</v>
      </c>
      <c r="F62" s="8">
        <v>601.27200000000005</v>
      </c>
      <c r="G62" s="9">
        <v>8.0314040000000007E-3</v>
      </c>
      <c r="H62" s="156"/>
    </row>
    <row r="63" spans="1:8" x14ac:dyDescent="0.2">
      <c r="A63" s="5">
        <v>57</v>
      </c>
      <c r="B63" s="6" t="s">
        <v>358</v>
      </c>
      <c r="C63" s="6" t="s">
        <v>359</v>
      </c>
      <c r="D63" s="6" t="s">
        <v>63</v>
      </c>
      <c r="E63" s="7">
        <v>13600</v>
      </c>
      <c r="F63" s="8">
        <v>601.26279999999997</v>
      </c>
      <c r="G63" s="9">
        <v>8.0312809999999995E-3</v>
      </c>
      <c r="H63" s="156"/>
    </row>
    <row r="64" spans="1:8" x14ac:dyDescent="0.2">
      <c r="A64" s="5">
        <v>58</v>
      </c>
      <c r="B64" s="6" t="s">
        <v>354</v>
      </c>
      <c r="C64" s="6" t="s">
        <v>355</v>
      </c>
      <c r="D64" s="6" t="s">
        <v>236</v>
      </c>
      <c r="E64" s="7">
        <v>60545</v>
      </c>
      <c r="F64" s="8">
        <v>545.44990499999994</v>
      </c>
      <c r="G64" s="9">
        <v>7.2857679999999998E-3</v>
      </c>
      <c r="H64" s="156"/>
    </row>
    <row r="65" spans="1:8" x14ac:dyDescent="0.2">
      <c r="A65" s="5">
        <v>59</v>
      </c>
      <c r="B65" s="6" t="s">
        <v>364</v>
      </c>
      <c r="C65" s="6" t="s">
        <v>365</v>
      </c>
      <c r="D65" s="6" t="s">
        <v>63</v>
      </c>
      <c r="E65" s="7">
        <v>21630</v>
      </c>
      <c r="F65" s="8">
        <v>483.53865000000002</v>
      </c>
      <c r="G65" s="9">
        <v>6.4587969999999996E-3</v>
      </c>
      <c r="H65" s="156"/>
    </row>
    <row r="66" spans="1:8" x14ac:dyDescent="0.2">
      <c r="A66" s="5">
        <v>60</v>
      </c>
      <c r="B66" s="6" t="s">
        <v>448</v>
      </c>
      <c r="C66" s="6" t="s">
        <v>449</v>
      </c>
      <c r="D66" s="6" t="s">
        <v>63</v>
      </c>
      <c r="E66" s="7">
        <v>141219</v>
      </c>
      <c r="F66" s="8">
        <v>442.79217449999999</v>
      </c>
      <c r="G66" s="9">
        <v>5.9145320000000001E-3</v>
      </c>
      <c r="H66" s="156"/>
    </row>
    <row r="67" spans="1:8" x14ac:dyDescent="0.2">
      <c r="A67" s="5">
        <v>61</v>
      </c>
      <c r="B67" s="6" t="s">
        <v>366</v>
      </c>
      <c r="C67" s="6" t="s">
        <v>367</v>
      </c>
      <c r="D67" s="6" t="s">
        <v>63</v>
      </c>
      <c r="E67" s="7">
        <v>350000</v>
      </c>
      <c r="F67" s="8">
        <v>273.875</v>
      </c>
      <c r="G67" s="9">
        <v>3.658246E-3</v>
      </c>
      <c r="H67" s="156"/>
    </row>
    <row r="68" spans="1:8" x14ac:dyDescent="0.2">
      <c r="A68" s="5">
        <v>62</v>
      </c>
      <c r="B68" s="6" t="s">
        <v>59</v>
      </c>
      <c r="C68" s="6" t="s">
        <v>60</v>
      </c>
      <c r="D68" s="6" t="s">
        <v>40</v>
      </c>
      <c r="E68" s="7">
        <v>140212</v>
      </c>
      <c r="F68" s="8">
        <v>272.01128</v>
      </c>
      <c r="G68" s="9">
        <v>3.6333509999999999E-3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0">
        <v>73532.432198499999</v>
      </c>
      <c r="G69" s="11">
        <v>0.98219880500000001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106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107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111</v>
      </c>
      <c r="D77" s="3" t="s">
        <v>9</v>
      </c>
      <c r="E77" s="3" t="s">
        <v>9</v>
      </c>
      <c r="F77" s="3" t="s">
        <v>9</v>
      </c>
      <c r="G77" s="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112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113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114</v>
      </c>
      <c r="D86" s="3" t="s">
        <v>9</v>
      </c>
      <c r="E86" s="3" t="s">
        <v>9</v>
      </c>
      <c r="F86" s="10">
        <v>73532.432198499999</v>
      </c>
      <c r="G86" s="11">
        <v>0.98219880500000001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115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116</v>
      </c>
      <c r="D92" s="3" t="s">
        <v>9</v>
      </c>
      <c r="E92" s="3" t="s">
        <v>9</v>
      </c>
      <c r="F92" s="3" t="s">
        <v>9</v>
      </c>
      <c r="G92" s="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117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118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119</v>
      </c>
      <c r="D101" s="3" t="s">
        <v>9</v>
      </c>
      <c r="E101" s="3" t="s">
        <v>9</v>
      </c>
      <c r="F101" s="10">
        <v>0</v>
      </c>
      <c r="G101" s="11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120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121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4" t="s">
        <v>122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105</v>
      </c>
      <c r="D108" s="3" t="s">
        <v>9</v>
      </c>
      <c r="E108" s="3" t="s">
        <v>9</v>
      </c>
      <c r="F108" s="14">
        <v>0</v>
      </c>
      <c r="G108" s="15">
        <v>0</v>
      </c>
      <c r="H108" s="156"/>
    </row>
    <row r="109" spans="1:8" x14ac:dyDescent="0.2">
      <c r="A109" s="3" t="s">
        <v>9</v>
      </c>
      <c r="B109" s="3" t="s">
        <v>9</v>
      </c>
      <c r="C109" s="12" t="s">
        <v>9</v>
      </c>
      <c r="D109" s="3" t="s">
        <v>9</v>
      </c>
      <c r="E109" s="3" t="s">
        <v>9</v>
      </c>
      <c r="F109" s="13" t="s">
        <v>9</v>
      </c>
      <c r="G109" s="13" t="s">
        <v>9</v>
      </c>
      <c r="H109" s="156"/>
    </row>
    <row r="110" spans="1:8" x14ac:dyDescent="0.2">
      <c r="A110" s="3" t="s">
        <v>9</v>
      </c>
      <c r="B110" s="3" t="s">
        <v>9</v>
      </c>
      <c r="C110" s="4" t="s">
        <v>123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105</v>
      </c>
      <c r="D111" s="3" t="s">
        <v>9</v>
      </c>
      <c r="E111" s="3" t="s">
        <v>9</v>
      </c>
      <c r="F111" s="14">
        <v>0</v>
      </c>
      <c r="G111" s="15">
        <v>0</v>
      </c>
      <c r="H111" s="156"/>
    </row>
    <row r="112" spans="1:8" x14ac:dyDescent="0.2">
      <c r="A112" s="3" t="s">
        <v>9</v>
      </c>
      <c r="B112" s="3" t="s">
        <v>9</v>
      </c>
      <c r="C112" s="12" t="s">
        <v>9</v>
      </c>
      <c r="D112" s="3" t="s">
        <v>9</v>
      </c>
      <c r="E112" s="3" t="s">
        <v>9</v>
      </c>
      <c r="F112" s="13" t="s">
        <v>9</v>
      </c>
      <c r="G112" s="1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124</v>
      </c>
      <c r="D113" s="3" t="s">
        <v>9</v>
      </c>
      <c r="E113" s="3" t="s">
        <v>9</v>
      </c>
      <c r="F113" s="13" t="s">
        <v>9</v>
      </c>
      <c r="G113" s="13" t="s">
        <v>9</v>
      </c>
      <c r="H113" s="156"/>
    </row>
    <row r="114" spans="1:8" x14ac:dyDescent="0.2">
      <c r="A114" s="5">
        <v>1</v>
      </c>
      <c r="B114" s="6"/>
      <c r="C114" s="6" t="s">
        <v>125</v>
      </c>
      <c r="D114" s="6"/>
      <c r="E114" s="16" t="s">
        <v>9</v>
      </c>
      <c r="F114" s="8">
        <v>444.79689719999999</v>
      </c>
      <c r="G114" s="9">
        <v>5.94131E-3</v>
      </c>
      <c r="H114" s="8">
        <v>3.3326163573085874</v>
      </c>
    </row>
    <row r="115" spans="1:8" x14ac:dyDescent="0.2">
      <c r="A115" s="5">
        <v>2</v>
      </c>
      <c r="B115" s="6"/>
      <c r="C115" s="6" t="s">
        <v>126</v>
      </c>
      <c r="D115" s="6"/>
      <c r="E115" s="16" t="s">
        <v>9</v>
      </c>
      <c r="F115" s="8">
        <v>317.6956533</v>
      </c>
      <c r="G115" s="9">
        <v>4.243574E-3</v>
      </c>
      <c r="H115" s="8">
        <v>3.2337849550915885</v>
      </c>
    </row>
    <row r="116" spans="1:8" x14ac:dyDescent="0.2">
      <c r="A116" s="3" t="s">
        <v>9</v>
      </c>
      <c r="B116" s="3" t="s">
        <v>9</v>
      </c>
      <c r="C116" s="4" t="s">
        <v>105</v>
      </c>
      <c r="D116" s="3" t="s">
        <v>9</v>
      </c>
      <c r="E116" s="3" t="s">
        <v>9</v>
      </c>
      <c r="F116" s="10">
        <v>762.49255049999999</v>
      </c>
      <c r="G116" s="11">
        <v>1.0184884E-2</v>
      </c>
      <c r="H116" s="156"/>
    </row>
    <row r="117" spans="1:8" x14ac:dyDescent="0.2">
      <c r="A117" s="3" t="s">
        <v>9</v>
      </c>
      <c r="B117" s="3" t="s">
        <v>9</v>
      </c>
      <c r="C117" s="12" t="s">
        <v>9</v>
      </c>
      <c r="D117" s="3" t="s">
        <v>9</v>
      </c>
      <c r="E117" s="3" t="s">
        <v>9</v>
      </c>
      <c r="F117" s="13" t="s">
        <v>9</v>
      </c>
      <c r="G117" s="13" t="s">
        <v>9</v>
      </c>
      <c r="H117" s="156"/>
    </row>
    <row r="118" spans="1:8" x14ac:dyDescent="0.2">
      <c r="A118" s="3" t="s">
        <v>9</v>
      </c>
      <c r="B118" s="3" t="s">
        <v>9</v>
      </c>
      <c r="C118" s="4" t="s">
        <v>127</v>
      </c>
      <c r="D118" s="3" t="s">
        <v>9</v>
      </c>
      <c r="E118" s="3" t="s">
        <v>9</v>
      </c>
      <c r="F118" s="10">
        <v>762.49255049999999</v>
      </c>
      <c r="G118" s="11">
        <v>1.0184884E-2</v>
      </c>
      <c r="H118" s="156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128</v>
      </c>
      <c r="D120" s="3" t="s">
        <v>9</v>
      </c>
      <c r="E120" s="3" t="s">
        <v>9</v>
      </c>
      <c r="F120" s="3" t="s">
        <v>9</v>
      </c>
      <c r="G120" s="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129</v>
      </c>
      <c r="D121" s="3" t="s">
        <v>9</v>
      </c>
      <c r="E121" s="3" t="s">
        <v>9</v>
      </c>
      <c r="F121" s="3" t="s">
        <v>9</v>
      </c>
      <c r="G121" s="3" t="s">
        <v>9</v>
      </c>
      <c r="H121" s="156"/>
    </row>
    <row r="122" spans="1:8" x14ac:dyDescent="0.2">
      <c r="A122" s="3" t="s">
        <v>9</v>
      </c>
      <c r="B122" s="3" t="s">
        <v>9</v>
      </c>
      <c r="C122" s="4" t="s">
        <v>105</v>
      </c>
      <c r="D122" s="3" t="s">
        <v>9</v>
      </c>
      <c r="E122" s="3" t="s">
        <v>9</v>
      </c>
      <c r="F122" s="14">
        <v>0</v>
      </c>
      <c r="G122" s="15">
        <v>0</v>
      </c>
      <c r="H122" s="156"/>
    </row>
    <row r="123" spans="1:8" x14ac:dyDescent="0.2">
      <c r="A123" s="3" t="s">
        <v>9</v>
      </c>
      <c r="B123" s="3" t="s">
        <v>9</v>
      </c>
      <c r="C123" s="12" t="s">
        <v>9</v>
      </c>
      <c r="D123" s="3" t="s">
        <v>9</v>
      </c>
      <c r="E123" s="3" t="s">
        <v>9</v>
      </c>
      <c r="F123" s="13" t="s">
        <v>9</v>
      </c>
      <c r="G123" s="13" t="s">
        <v>9</v>
      </c>
      <c r="H123" s="156"/>
    </row>
    <row r="124" spans="1:8" x14ac:dyDescent="0.2">
      <c r="A124" s="3" t="s">
        <v>9</v>
      </c>
      <c r="B124" s="3" t="s">
        <v>9</v>
      </c>
      <c r="C124" s="4" t="s">
        <v>130</v>
      </c>
      <c r="D124" s="3" t="s">
        <v>9</v>
      </c>
      <c r="E124" s="3" t="s">
        <v>9</v>
      </c>
      <c r="F124" s="3" t="s">
        <v>9</v>
      </c>
      <c r="G124" s="3" t="s">
        <v>9</v>
      </c>
      <c r="H124" s="156"/>
    </row>
    <row r="125" spans="1:8" x14ac:dyDescent="0.2">
      <c r="A125" s="3" t="s">
        <v>9</v>
      </c>
      <c r="B125" s="3" t="s">
        <v>9</v>
      </c>
      <c r="C125" s="4" t="s">
        <v>131</v>
      </c>
      <c r="D125" s="3" t="s">
        <v>9</v>
      </c>
      <c r="E125" s="3" t="s">
        <v>9</v>
      </c>
      <c r="F125" s="3" t="s">
        <v>9</v>
      </c>
      <c r="G125" s="3" t="s">
        <v>9</v>
      </c>
      <c r="H125" s="156"/>
    </row>
    <row r="126" spans="1:8" x14ac:dyDescent="0.2">
      <c r="A126" s="3" t="s">
        <v>9</v>
      </c>
      <c r="B126" s="3" t="s">
        <v>9</v>
      </c>
      <c r="C126" s="4" t="s">
        <v>105</v>
      </c>
      <c r="D126" s="3" t="s">
        <v>9</v>
      </c>
      <c r="E126" s="3" t="s">
        <v>9</v>
      </c>
      <c r="F126" s="14">
        <v>0</v>
      </c>
      <c r="G126" s="15">
        <v>0</v>
      </c>
      <c r="H126" s="156"/>
    </row>
    <row r="127" spans="1:8" x14ac:dyDescent="0.2">
      <c r="A127" s="3" t="s">
        <v>9</v>
      </c>
      <c r="B127" s="3" t="s">
        <v>9</v>
      </c>
      <c r="C127" s="12" t="s">
        <v>9</v>
      </c>
      <c r="D127" s="3" t="s">
        <v>9</v>
      </c>
      <c r="E127" s="3" t="s">
        <v>9</v>
      </c>
      <c r="F127" s="13" t="s">
        <v>9</v>
      </c>
      <c r="G127" s="13" t="s">
        <v>9</v>
      </c>
      <c r="H127" s="156"/>
    </row>
    <row r="128" spans="1:8" x14ac:dyDescent="0.2">
      <c r="A128" s="3" t="s">
        <v>9</v>
      </c>
      <c r="B128" s="3" t="s">
        <v>9</v>
      </c>
      <c r="C128" s="12" t="s">
        <v>9</v>
      </c>
      <c r="D128" s="3" t="s">
        <v>9</v>
      </c>
      <c r="E128" s="3" t="s">
        <v>9</v>
      </c>
      <c r="F128" s="13" t="s">
        <v>9</v>
      </c>
      <c r="G128" s="13" t="s">
        <v>9</v>
      </c>
      <c r="H128" s="156"/>
    </row>
    <row r="129" spans="1:8" x14ac:dyDescent="0.2">
      <c r="A129" s="3" t="s">
        <v>9</v>
      </c>
      <c r="B129" s="3" t="s">
        <v>9</v>
      </c>
      <c r="C129" s="4" t="s">
        <v>132</v>
      </c>
      <c r="D129" s="3" t="s">
        <v>9</v>
      </c>
      <c r="E129" s="3" t="s">
        <v>9</v>
      </c>
      <c r="F129" s="13" t="s">
        <v>9</v>
      </c>
      <c r="G129" s="13" t="s">
        <v>9</v>
      </c>
      <c r="H129" s="156"/>
    </row>
    <row r="130" spans="1:8" x14ac:dyDescent="0.2">
      <c r="A130" s="3" t="s">
        <v>9</v>
      </c>
      <c r="B130" s="3" t="s">
        <v>9</v>
      </c>
      <c r="C130" s="4" t="s">
        <v>105</v>
      </c>
      <c r="D130" s="3" t="s">
        <v>9</v>
      </c>
      <c r="E130" s="3" t="s">
        <v>9</v>
      </c>
      <c r="F130" s="14">
        <v>0</v>
      </c>
      <c r="G130" s="15">
        <v>0</v>
      </c>
      <c r="H130" s="156"/>
    </row>
    <row r="131" spans="1:8" x14ac:dyDescent="0.2">
      <c r="A131" s="3" t="s">
        <v>9</v>
      </c>
      <c r="B131" s="3" t="s">
        <v>9</v>
      </c>
      <c r="C131" s="12" t="s">
        <v>9</v>
      </c>
      <c r="D131" s="3" t="s">
        <v>9</v>
      </c>
      <c r="E131" s="3" t="s">
        <v>9</v>
      </c>
      <c r="F131" s="13" t="s">
        <v>9</v>
      </c>
      <c r="G131" s="13" t="s">
        <v>9</v>
      </c>
      <c r="H131" s="156"/>
    </row>
    <row r="132" spans="1:8" x14ac:dyDescent="0.2">
      <c r="A132" s="3" t="s">
        <v>9</v>
      </c>
      <c r="B132" s="6" t="s">
        <v>9</v>
      </c>
      <c r="C132" s="6" t="s">
        <v>9</v>
      </c>
      <c r="D132" s="4" t="s">
        <v>9</v>
      </c>
      <c r="E132" s="3" t="s">
        <v>9</v>
      </c>
      <c r="F132" s="6" t="s">
        <v>9</v>
      </c>
      <c r="G132" s="16" t="s">
        <v>9</v>
      </c>
      <c r="H132" s="156"/>
    </row>
    <row r="133" spans="1:8" x14ac:dyDescent="0.2">
      <c r="A133" s="16" t="s">
        <v>9</v>
      </c>
      <c r="B133" s="6" t="s">
        <v>9</v>
      </c>
      <c r="C133" s="6" t="s">
        <v>133</v>
      </c>
      <c r="D133" s="6" t="s">
        <v>9</v>
      </c>
      <c r="E133" s="16" t="s">
        <v>9</v>
      </c>
      <c r="F133" s="8">
        <v>570.19597659999999</v>
      </c>
      <c r="G133" s="9">
        <v>7.6163100000000003E-3</v>
      </c>
      <c r="H133" s="156"/>
    </row>
    <row r="134" spans="1:8" x14ac:dyDescent="0.2">
      <c r="A134" s="12" t="s">
        <v>9</v>
      </c>
      <c r="B134" s="12" t="s">
        <v>9</v>
      </c>
      <c r="C134" s="4" t="s">
        <v>134</v>
      </c>
      <c r="D134" s="17" t="s">
        <v>9</v>
      </c>
      <c r="E134" s="17" t="s">
        <v>9</v>
      </c>
      <c r="F134" s="10">
        <v>74865.120725599991</v>
      </c>
      <c r="G134" s="11">
        <v>0.99999999899999992</v>
      </c>
      <c r="H134" s="156"/>
    </row>
    <row r="135" spans="1:8" ht="14.1" customHeight="1" x14ac:dyDescent="0.2">
      <c r="A135" s="18" t="s">
        <v>9</v>
      </c>
      <c r="B135" s="18" t="s">
        <v>9</v>
      </c>
      <c r="C135" s="18" t="s">
        <v>9</v>
      </c>
      <c r="D135" s="19" t="s">
        <v>9</v>
      </c>
      <c r="E135" s="19" t="s">
        <v>9</v>
      </c>
      <c r="F135" s="19" t="s">
        <v>9</v>
      </c>
      <c r="G135" s="19" t="s">
        <v>9</v>
      </c>
    </row>
    <row r="136" spans="1:8" ht="14.1" customHeight="1" x14ac:dyDescent="0.2">
      <c r="A136" s="20" t="s">
        <v>9</v>
      </c>
      <c r="B136" s="200" t="s">
        <v>9</v>
      </c>
      <c r="C136" s="200"/>
      <c r="D136" s="200"/>
      <c r="E136" s="200"/>
      <c r="F136" s="200"/>
      <c r="G136" s="22" t="s">
        <v>9</v>
      </c>
    </row>
    <row r="137" spans="1:8" ht="14.1" customHeight="1" x14ac:dyDescent="0.2">
      <c r="A137" s="20" t="s">
        <v>9</v>
      </c>
      <c r="B137" s="200" t="s">
        <v>9</v>
      </c>
      <c r="C137" s="200"/>
      <c r="D137" s="200"/>
      <c r="E137" s="200"/>
      <c r="F137" s="200"/>
      <c r="G137" s="22" t="s">
        <v>9</v>
      </c>
    </row>
    <row r="138" spans="1:8" ht="14.1" customHeight="1" x14ac:dyDescent="0.2">
      <c r="A138" s="20" t="s">
        <v>9</v>
      </c>
      <c r="B138" s="20" t="s">
        <v>9</v>
      </c>
      <c r="C138" s="20" t="s">
        <v>9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pans="1:8" ht="14.1" customHeight="1" x14ac:dyDescent="0.2">
      <c r="A139" s="20" t="s">
        <v>9</v>
      </c>
      <c r="B139" s="198" t="s">
        <v>136</v>
      </c>
      <c r="C139" s="199"/>
      <c r="D139" s="13" t="s">
        <v>9</v>
      </c>
      <c r="E139" s="23" t="s">
        <v>9</v>
      </c>
      <c r="F139" s="22" t="s">
        <v>9</v>
      </c>
      <c r="G139" s="22" t="s">
        <v>9</v>
      </c>
    </row>
    <row r="140" spans="1:8" ht="29.1" customHeight="1" x14ac:dyDescent="0.2">
      <c r="A140" s="20" t="s">
        <v>9</v>
      </c>
      <c r="B140" s="205" t="s">
        <v>137</v>
      </c>
      <c r="C140" s="206"/>
      <c r="D140" s="4" t="s">
        <v>138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05" t="s">
        <v>139</v>
      </c>
      <c r="C141" s="206"/>
      <c r="D141" s="4" t="s">
        <v>138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05" t="s">
        <v>140</v>
      </c>
      <c r="C142" s="206"/>
      <c r="D142" s="13" t="s">
        <v>9</v>
      </c>
      <c r="E142" s="23" t="s">
        <v>9</v>
      </c>
      <c r="F142" s="22" t="s">
        <v>9</v>
      </c>
      <c r="G142" s="22" t="s">
        <v>9</v>
      </c>
    </row>
    <row r="143" spans="1:8" ht="24" customHeight="1" x14ac:dyDescent="0.2">
      <c r="A143" s="24" t="s">
        <v>9</v>
      </c>
      <c r="B143" s="25" t="s">
        <v>9</v>
      </c>
      <c r="C143" s="25" t="s">
        <v>141</v>
      </c>
      <c r="D143" s="25" t="s">
        <v>142</v>
      </c>
      <c r="E143" s="24" t="s">
        <v>9</v>
      </c>
      <c r="F143" s="24" t="s">
        <v>9</v>
      </c>
      <c r="G143" s="24" t="s">
        <v>9</v>
      </c>
    </row>
    <row r="144" spans="1:8" ht="18" customHeight="1" x14ac:dyDescent="0.2">
      <c r="A144" s="24" t="s">
        <v>9</v>
      </c>
      <c r="B144" s="25" t="s">
        <v>143</v>
      </c>
      <c r="C144" s="25" t="s">
        <v>144</v>
      </c>
      <c r="D144" s="25" t="s">
        <v>145</v>
      </c>
      <c r="E144" s="24" t="s">
        <v>9</v>
      </c>
      <c r="F144" s="24" t="s">
        <v>9</v>
      </c>
      <c r="G144" s="24" t="s">
        <v>9</v>
      </c>
    </row>
    <row r="145" spans="1:8" ht="17.100000000000001" customHeight="1" x14ac:dyDescent="0.2">
      <c r="A145" s="24" t="s">
        <v>9</v>
      </c>
      <c r="B145" s="6" t="s">
        <v>146</v>
      </c>
      <c r="C145" s="26">
        <v>14.703099999999999</v>
      </c>
      <c r="D145" s="26">
        <v>15.291</v>
      </c>
      <c r="E145" s="24" t="s">
        <v>9</v>
      </c>
      <c r="F145" s="21" t="s">
        <v>9</v>
      </c>
      <c r="G145" s="27" t="s">
        <v>9</v>
      </c>
    </row>
    <row r="146" spans="1:8" ht="17.100000000000001" customHeight="1" x14ac:dyDescent="0.2">
      <c r="A146" s="24" t="s">
        <v>9</v>
      </c>
      <c r="B146" s="6" t="s">
        <v>839</v>
      </c>
      <c r="C146" s="26">
        <v>14.688700000000001</v>
      </c>
      <c r="D146" s="26">
        <v>15.276</v>
      </c>
      <c r="E146" s="24" t="s">
        <v>9</v>
      </c>
      <c r="F146" s="21" t="s">
        <v>9</v>
      </c>
      <c r="G146" s="27" t="s">
        <v>9</v>
      </c>
    </row>
    <row r="147" spans="1:8" ht="17.100000000000001" customHeight="1" x14ac:dyDescent="0.2">
      <c r="A147" s="24" t="s">
        <v>9</v>
      </c>
      <c r="B147" s="6" t="s">
        <v>147</v>
      </c>
      <c r="C147" s="26">
        <v>14.223699999999999</v>
      </c>
      <c r="D147" s="26">
        <v>14.772600000000001</v>
      </c>
      <c r="E147" s="24" t="s">
        <v>9</v>
      </c>
      <c r="F147" s="21" t="s">
        <v>9</v>
      </c>
      <c r="G147" s="27" t="s">
        <v>9</v>
      </c>
    </row>
    <row r="148" spans="1:8" ht="17.100000000000001" customHeight="1" x14ac:dyDescent="0.2">
      <c r="A148" s="24" t="s">
        <v>9</v>
      </c>
      <c r="B148" s="6" t="s">
        <v>840</v>
      </c>
      <c r="C148" s="26">
        <v>14.2242</v>
      </c>
      <c r="D148" s="26">
        <v>14.773099999999999</v>
      </c>
      <c r="E148" s="24" t="s">
        <v>9</v>
      </c>
      <c r="F148" s="21" t="s">
        <v>9</v>
      </c>
      <c r="G148" s="27" t="s">
        <v>9</v>
      </c>
    </row>
    <row r="149" spans="1:8" ht="14.1" customHeight="1" x14ac:dyDescent="0.2">
      <c r="A149" s="24" t="s">
        <v>9</v>
      </c>
      <c r="B149" s="24" t="s">
        <v>9</v>
      </c>
      <c r="C149" s="24" t="s">
        <v>9</v>
      </c>
      <c r="D149" s="24" t="s">
        <v>9</v>
      </c>
      <c r="E149" s="24" t="s">
        <v>9</v>
      </c>
      <c r="F149" s="24" t="s">
        <v>9</v>
      </c>
      <c r="G149" s="24" t="s">
        <v>9</v>
      </c>
    </row>
    <row r="150" spans="1:8" ht="29.1" customHeight="1" x14ac:dyDescent="0.2">
      <c r="A150" s="167" t="s">
        <v>9</v>
      </c>
      <c r="B150" s="207" t="s">
        <v>986</v>
      </c>
      <c r="C150" s="207"/>
      <c r="D150" s="160"/>
      <c r="E150" s="167" t="s">
        <v>9</v>
      </c>
      <c r="F150" s="167" t="s">
        <v>9</v>
      </c>
      <c r="G150" s="167" t="s">
        <v>9</v>
      </c>
    </row>
    <row r="151" spans="1:8" s="166" customFormat="1" ht="15" x14ac:dyDescent="0.2">
      <c r="A151" s="148" t="s">
        <v>9</v>
      </c>
      <c r="B151" s="161" t="s">
        <v>143</v>
      </c>
      <c r="C151" s="161" t="s">
        <v>878</v>
      </c>
      <c r="D151" s="161" t="s">
        <v>879</v>
      </c>
      <c r="E151" s="148" t="s">
        <v>9</v>
      </c>
      <c r="F151" s="148" t="s">
        <v>9</v>
      </c>
      <c r="G151" s="148" t="s">
        <v>9</v>
      </c>
      <c r="H151" s="165"/>
    </row>
    <row r="152" spans="1:8" ht="17.100000000000001" customHeight="1" x14ac:dyDescent="0.2">
      <c r="A152" s="24" t="s">
        <v>9</v>
      </c>
      <c r="B152" s="162" t="s">
        <v>839</v>
      </c>
      <c r="C152" s="163">
        <v>1.046</v>
      </c>
      <c r="D152" s="163">
        <v>0</v>
      </c>
      <c r="E152" s="24" t="s">
        <v>9</v>
      </c>
      <c r="F152" s="31" t="s">
        <v>9</v>
      </c>
      <c r="G152" s="27" t="s">
        <v>9</v>
      </c>
    </row>
    <row r="153" spans="1:8" ht="29.1" customHeight="1" x14ac:dyDescent="0.2">
      <c r="A153" s="24" t="s">
        <v>9</v>
      </c>
      <c r="B153" s="162" t="s">
        <v>840</v>
      </c>
      <c r="C153" s="163">
        <v>1.0129999999999999</v>
      </c>
      <c r="D153" s="163">
        <v>1.0129999999999999</v>
      </c>
      <c r="E153" s="24" t="s">
        <v>9</v>
      </c>
      <c r="F153" s="31" t="s">
        <v>9</v>
      </c>
      <c r="G153" s="27" t="s">
        <v>9</v>
      </c>
    </row>
    <row r="154" spans="1:8" ht="14.1" customHeight="1" x14ac:dyDescent="0.2">
      <c r="A154" s="24" t="s">
        <v>9</v>
      </c>
      <c r="B154" s="21" t="s">
        <v>9</v>
      </c>
      <c r="C154" s="21" t="s">
        <v>9</v>
      </c>
      <c r="D154" s="24" t="s">
        <v>9</v>
      </c>
      <c r="E154" s="24" t="s">
        <v>9</v>
      </c>
      <c r="F154" s="24" t="s">
        <v>9</v>
      </c>
      <c r="G154" s="24" t="s">
        <v>9</v>
      </c>
    </row>
    <row r="155" spans="1:8" s="197" customFormat="1" x14ac:dyDescent="0.2">
      <c r="B155" s="208" t="s">
        <v>841</v>
      </c>
      <c r="C155" s="208"/>
      <c r="D155" s="208"/>
      <c r="E155" s="208"/>
      <c r="F155" s="208"/>
    </row>
    <row r="156" spans="1:8" ht="14.1" customHeight="1" x14ac:dyDescent="0.2">
      <c r="A156" s="24"/>
      <c r="B156" s="182"/>
      <c r="C156" s="182"/>
      <c r="D156" s="24"/>
      <c r="E156" s="24"/>
      <c r="F156" s="24"/>
      <c r="G156" s="24"/>
    </row>
    <row r="157" spans="1:8" ht="29.1" customHeight="1" x14ac:dyDescent="0.2">
      <c r="A157" s="24" t="s">
        <v>9</v>
      </c>
      <c r="B157" s="205" t="s">
        <v>148</v>
      </c>
      <c r="C157" s="206"/>
      <c r="D157" s="4" t="s">
        <v>138</v>
      </c>
      <c r="E157" s="24" t="s">
        <v>9</v>
      </c>
      <c r="F157" s="24" t="s">
        <v>9</v>
      </c>
      <c r="G157" s="24" t="s">
        <v>9</v>
      </c>
    </row>
    <row r="158" spans="1:8" ht="29.1" customHeight="1" x14ac:dyDescent="0.2">
      <c r="A158" s="24" t="s">
        <v>9</v>
      </c>
      <c r="B158" s="205" t="s">
        <v>149</v>
      </c>
      <c r="C158" s="206"/>
      <c r="D158" s="4" t="s">
        <v>138</v>
      </c>
      <c r="E158" s="24" t="s">
        <v>9</v>
      </c>
      <c r="F158" s="24" t="s">
        <v>9</v>
      </c>
      <c r="G158" s="24" t="s">
        <v>9</v>
      </c>
    </row>
    <row r="159" spans="1:8" ht="17.100000000000001" customHeight="1" x14ac:dyDescent="0.2">
      <c r="A159" s="24" t="s">
        <v>9</v>
      </c>
      <c r="B159" s="205" t="s">
        <v>150</v>
      </c>
      <c r="C159" s="206"/>
      <c r="D159" s="29">
        <v>0.99562470562886829</v>
      </c>
      <c r="E159" s="24" t="s">
        <v>9</v>
      </c>
      <c r="F159" s="21" t="s">
        <v>9</v>
      </c>
      <c r="G159" s="27" t="s">
        <v>9</v>
      </c>
    </row>
    <row r="160" spans="1:8" ht="17.100000000000001" customHeight="1" x14ac:dyDescent="0.2">
      <c r="A160" s="24" t="s">
        <v>9</v>
      </c>
      <c r="B160" s="205" t="s">
        <v>151</v>
      </c>
      <c r="C160" s="206"/>
      <c r="D160" s="4" t="s">
        <v>138</v>
      </c>
      <c r="E160" s="24" t="s">
        <v>9</v>
      </c>
      <c r="F160" s="24" t="s">
        <v>9</v>
      </c>
      <c r="G160" s="24" t="s">
        <v>9</v>
      </c>
    </row>
  </sheetData>
  <mergeCells count="15">
    <mergeCell ref="B159:C159"/>
    <mergeCell ref="B160:C160"/>
    <mergeCell ref="B140:C140"/>
    <mergeCell ref="B141:C141"/>
    <mergeCell ref="B142:C142"/>
    <mergeCell ref="B150:C150"/>
    <mergeCell ref="B157:C157"/>
    <mergeCell ref="B158:C158"/>
    <mergeCell ref="B155:F155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J150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41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  <col min="9" max="9" width="10.140625" customWidth="1"/>
    <col min="10" max="10" width="14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716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406</v>
      </c>
      <c r="C7" s="6" t="s">
        <v>407</v>
      </c>
      <c r="D7" s="6" t="s">
        <v>73</v>
      </c>
      <c r="E7" s="7">
        <v>34000</v>
      </c>
      <c r="F7" s="8">
        <v>840.24199999999996</v>
      </c>
      <c r="G7" s="9">
        <v>8.1365292000000006E-2</v>
      </c>
      <c r="H7" s="156"/>
    </row>
    <row r="8" spans="1:8" x14ac:dyDescent="0.2">
      <c r="A8" s="5">
        <v>2</v>
      </c>
      <c r="B8" s="6" t="s">
        <v>400</v>
      </c>
      <c r="C8" s="6" t="s">
        <v>401</v>
      </c>
      <c r="D8" s="6" t="s">
        <v>166</v>
      </c>
      <c r="E8" s="7">
        <v>32000</v>
      </c>
      <c r="F8" s="8">
        <v>792.08</v>
      </c>
      <c r="G8" s="9">
        <v>7.6701499000000006E-2</v>
      </c>
      <c r="H8" s="156"/>
    </row>
    <row r="9" spans="1:8" x14ac:dyDescent="0.2">
      <c r="A9" s="5">
        <v>3</v>
      </c>
      <c r="B9" s="6" t="s">
        <v>20</v>
      </c>
      <c r="C9" s="6" t="s">
        <v>21</v>
      </c>
      <c r="D9" s="6" t="s">
        <v>22</v>
      </c>
      <c r="E9" s="7">
        <v>103000</v>
      </c>
      <c r="F9" s="8">
        <v>649.827</v>
      </c>
      <c r="G9" s="9">
        <v>6.2926352000000005E-2</v>
      </c>
      <c r="H9" s="156"/>
    </row>
    <row r="10" spans="1:8" x14ac:dyDescent="0.2">
      <c r="A10" s="5">
        <v>4</v>
      </c>
      <c r="B10" s="6" t="s">
        <v>15</v>
      </c>
      <c r="C10" s="6" t="s">
        <v>16</v>
      </c>
      <c r="D10" s="6" t="s">
        <v>17</v>
      </c>
      <c r="E10" s="7">
        <v>26000</v>
      </c>
      <c r="F10" s="8">
        <v>548.76900000000001</v>
      </c>
      <c r="G10" s="9">
        <v>5.3140344999999999E-2</v>
      </c>
      <c r="H10" s="156"/>
    </row>
    <row r="11" spans="1:8" x14ac:dyDescent="0.2">
      <c r="A11" s="5">
        <v>5</v>
      </c>
      <c r="B11" s="6" t="s">
        <v>50</v>
      </c>
      <c r="C11" s="6" t="s">
        <v>51</v>
      </c>
      <c r="D11" s="6" t="s">
        <v>22</v>
      </c>
      <c r="E11" s="7">
        <v>30800</v>
      </c>
      <c r="F11" s="8">
        <v>461.35320000000002</v>
      </c>
      <c r="G11" s="9">
        <v>4.4675389000000003E-2</v>
      </c>
      <c r="H11" s="156"/>
    </row>
    <row r="12" spans="1:8" x14ac:dyDescent="0.2">
      <c r="A12" s="5">
        <v>6</v>
      </c>
      <c r="B12" s="6" t="s">
        <v>645</v>
      </c>
      <c r="C12" s="6" t="s">
        <v>646</v>
      </c>
      <c r="D12" s="6" t="s">
        <v>169</v>
      </c>
      <c r="E12" s="7">
        <v>40000</v>
      </c>
      <c r="F12" s="8">
        <v>438.18</v>
      </c>
      <c r="G12" s="9">
        <v>4.2431399000000002E-2</v>
      </c>
      <c r="H12" s="156"/>
    </row>
    <row r="13" spans="1:8" x14ac:dyDescent="0.2">
      <c r="A13" s="5">
        <v>7</v>
      </c>
      <c r="B13" s="6" t="s">
        <v>398</v>
      </c>
      <c r="C13" s="6" t="s">
        <v>399</v>
      </c>
      <c r="D13" s="6" t="s">
        <v>169</v>
      </c>
      <c r="E13" s="7">
        <v>27000</v>
      </c>
      <c r="F13" s="8">
        <v>426.81599999999997</v>
      </c>
      <c r="G13" s="9">
        <v>4.133096E-2</v>
      </c>
      <c r="H13" s="156"/>
    </row>
    <row r="14" spans="1:8" x14ac:dyDescent="0.2">
      <c r="A14" s="5">
        <v>8</v>
      </c>
      <c r="B14" s="6" t="s">
        <v>333</v>
      </c>
      <c r="C14" s="6" t="s">
        <v>334</v>
      </c>
      <c r="D14" s="6" t="s">
        <v>54</v>
      </c>
      <c r="E14" s="7">
        <v>84500</v>
      </c>
      <c r="F14" s="8">
        <v>335.84525000000002</v>
      </c>
      <c r="G14" s="9">
        <v>3.2521757999999998E-2</v>
      </c>
      <c r="H14" s="156"/>
    </row>
    <row r="15" spans="1:8" x14ac:dyDescent="0.2">
      <c r="A15" s="5">
        <v>9</v>
      </c>
      <c r="B15" s="6" t="s">
        <v>23</v>
      </c>
      <c r="C15" s="6" t="s">
        <v>24</v>
      </c>
      <c r="D15" s="6" t="s">
        <v>25</v>
      </c>
      <c r="E15" s="7">
        <v>58871</v>
      </c>
      <c r="F15" s="8">
        <v>309.45541150000003</v>
      </c>
      <c r="G15" s="9">
        <v>2.9966283999999999E-2</v>
      </c>
      <c r="H15" s="156"/>
    </row>
    <row r="16" spans="1:8" x14ac:dyDescent="0.2">
      <c r="A16" s="5">
        <v>10</v>
      </c>
      <c r="B16" s="6" t="s">
        <v>378</v>
      </c>
      <c r="C16" s="6" t="s">
        <v>379</v>
      </c>
      <c r="D16" s="6" t="s">
        <v>73</v>
      </c>
      <c r="E16" s="7">
        <v>39000</v>
      </c>
      <c r="F16" s="8">
        <v>294.21600000000001</v>
      </c>
      <c r="G16" s="9">
        <v>2.8490567000000001E-2</v>
      </c>
      <c r="H16" s="156"/>
    </row>
    <row r="17" spans="1:8" x14ac:dyDescent="0.2">
      <c r="A17" s="5">
        <v>11</v>
      </c>
      <c r="B17" s="6" t="s">
        <v>482</v>
      </c>
      <c r="C17" s="6" t="s">
        <v>483</v>
      </c>
      <c r="D17" s="6" t="s">
        <v>73</v>
      </c>
      <c r="E17" s="7">
        <v>40000</v>
      </c>
      <c r="F17" s="8">
        <v>264.66000000000003</v>
      </c>
      <c r="G17" s="9">
        <v>2.5628495000000001E-2</v>
      </c>
      <c r="H17" s="156"/>
    </row>
    <row r="18" spans="1:8" x14ac:dyDescent="0.2">
      <c r="A18" s="5">
        <v>12</v>
      </c>
      <c r="B18" s="6" t="s">
        <v>498</v>
      </c>
      <c r="C18" s="6" t="s">
        <v>499</v>
      </c>
      <c r="D18" s="6" t="s">
        <v>92</v>
      </c>
      <c r="E18" s="7">
        <v>75100</v>
      </c>
      <c r="F18" s="8">
        <v>255.03960000000001</v>
      </c>
      <c r="G18" s="9">
        <v>2.4696899000000001E-2</v>
      </c>
      <c r="H18" s="156"/>
    </row>
    <row r="19" spans="1:8" s="157" customFormat="1" x14ac:dyDescent="0.2">
      <c r="A19" s="5">
        <v>13</v>
      </c>
      <c r="B19" s="6" t="s">
        <v>979</v>
      </c>
      <c r="C19" s="6" t="s">
        <v>980</v>
      </c>
      <c r="D19" s="6" t="s">
        <v>40</v>
      </c>
      <c r="E19" s="7">
        <v>57000</v>
      </c>
      <c r="F19" s="8">
        <v>199.7166</v>
      </c>
      <c r="G19" s="9">
        <v>1.9300000000000001E-2</v>
      </c>
      <c r="H19" s="156"/>
    </row>
    <row r="20" spans="1:8" x14ac:dyDescent="0.2">
      <c r="A20" s="5">
        <v>14</v>
      </c>
      <c r="B20" s="6" t="s">
        <v>579</v>
      </c>
      <c r="C20" s="6" t="s">
        <v>580</v>
      </c>
      <c r="D20" s="6" t="s">
        <v>92</v>
      </c>
      <c r="E20" s="7">
        <v>4750</v>
      </c>
      <c r="F20" s="8">
        <v>196.35787500000001</v>
      </c>
      <c r="G20" s="9">
        <v>1.9014422E-2</v>
      </c>
      <c r="H20" s="156"/>
    </row>
    <row r="21" spans="1:8" x14ac:dyDescent="0.2">
      <c r="A21" s="5">
        <v>15</v>
      </c>
      <c r="B21" s="6" t="s">
        <v>402</v>
      </c>
      <c r="C21" s="6" t="s">
        <v>403</v>
      </c>
      <c r="D21" s="6" t="s">
        <v>22</v>
      </c>
      <c r="E21" s="7">
        <v>40000</v>
      </c>
      <c r="F21" s="8">
        <v>167.68</v>
      </c>
      <c r="G21" s="9">
        <v>1.6237384000000001E-2</v>
      </c>
      <c r="H21" s="156"/>
    </row>
    <row r="22" spans="1:8" x14ac:dyDescent="0.2">
      <c r="A22" s="5">
        <v>16</v>
      </c>
      <c r="B22" s="6" t="s">
        <v>408</v>
      </c>
      <c r="C22" s="6" t="s">
        <v>409</v>
      </c>
      <c r="D22" s="6" t="s">
        <v>169</v>
      </c>
      <c r="E22" s="7">
        <v>4639</v>
      </c>
      <c r="F22" s="8">
        <v>155.20934249999999</v>
      </c>
      <c r="G22" s="9">
        <v>1.5029781000000001E-2</v>
      </c>
      <c r="H22" s="156"/>
    </row>
    <row r="23" spans="1:8" x14ac:dyDescent="0.2">
      <c r="A23" s="5">
        <v>17</v>
      </c>
      <c r="B23" s="6" t="s">
        <v>356</v>
      </c>
      <c r="C23" s="6" t="s">
        <v>357</v>
      </c>
      <c r="D23" s="6" t="s">
        <v>22</v>
      </c>
      <c r="E23" s="7">
        <v>18600</v>
      </c>
      <c r="F23" s="8">
        <v>139.18379999999999</v>
      </c>
      <c r="G23" s="9">
        <v>1.3477939E-2</v>
      </c>
      <c r="H23" s="156"/>
    </row>
    <row r="24" spans="1:8" x14ac:dyDescent="0.2">
      <c r="A24" s="5">
        <v>18</v>
      </c>
      <c r="B24" s="6" t="s">
        <v>36</v>
      </c>
      <c r="C24" s="6" t="s">
        <v>37</v>
      </c>
      <c r="D24" s="6" t="s">
        <v>972</v>
      </c>
      <c r="E24" s="7">
        <v>2000</v>
      </c>
      <c r="F24" s="8">
        <v>135.52000000000001</v>
      </c>
      <c r="G24" s="9">
        <v>1.3123153E-2</v>
      </c>
      <c r="H24" s="156"/>
    </row>
    <row r="25" spans="1:8" x14ac:dyDescent="0.2">
      <c r="A25" s="5">
        <v>19</v>
      </c>
      <c r="B25" s="6" t="s">
        <v>317</v>
      </c>
      <c r="C25" s="6" t="s">
        <v>318</v>
      </c>
      <c r="D25" s="6" t="s">
        <v>22</v>
      </c>
      <c r="E25" s="7">
        <v>150000</v>
      </c>
      <c r="F25" s="8">
        <v>130.65</v>
      </c>
      <c r="G25" s="9">
        <v>1.2651564000000001E-2</v>
      </c>
      <c r="H25" s="156"/>
    </row>
    <row r="26" spans="1:8" x14ac:dyDescent="0.2">
      <c r="A26" s="5">
        <v>20</v>
      </c>
      <c r="B26" s="6" t="s">
        <v>12</v>
      </c>
      <c r="C26" s="6" t="s">
        <v>13</v>
      </c>
      <c r="D26" s="6" t="s">
        <v>14</v>
      </c>
      <c r="E26" s="7">
        <v>8400</v>
      </c>
      <c r="F26" s="8">
        <v>126.0462</v>
      </c>
      <c r="G26" s="9">
        <v>1.2205753E-2</v>
      </c>
      <c r="H26" s="156"/>
    </row>
    <row r="27" spans="1:8" x14ac:dyDescent="0.2">
      <c r="A27" s="5">
        <v>21</v>
      </c>
      <c r="B27" s="6" t="s">
        <v>426</v>
      </c>
      <c r="C27" s="6" t="s">
        <v>427</v>
      </c>
      <c r="D27" s="6" t="s">
        <v>22</v>
      </c>
      <c r="E27" s="7">
        <v>6000</v>
      </c>
      <c r="F27" s="8">
        <v>102.351</v>
      </c>
      <c r="G27" s="9">
        <v>9.9112149999999993E-3</v>
      </c>
      <c r="H27" s="156"/>
    </row>
    <row r="28" spans="1:8" x14ac:dyDescent="0.2">
      <c r="A28" s="5">
        <v>22</v>
      </c>
      <c r="B28" s="6" t="s">
        <v>297</v>
      </c>
      <c r="C28" s="6" t="s">
        <v>298</v>
      </c>
      <c r="D28" s="6" t="s">
        <v>971</v>
      </c>
      <c r="E28" s="7">
        <v>8000</v>
      </c>
      <c r="F28" s="8">
        <v>84.831999999999994</v>
      </c>
      <c r="G28" s="9">
        <v>8.214753E-3</v>
      </c>
      <c r="H28" s="156"/>
    </row>
    <row r="29" spans="1:8" x14ac:dyDescent="0.2">
      <c r="A29" s="5">
        <v>23</v>
      </c>
      <c r="B29" s="6" t="s">
        <v>18</v>
      </c>
      <c r="C29" s="6" t="s">
        <v>19</v>
      </c>
      <c r="D29" s="6" t="s">
        <v>972</v>
      </c>
      <c r="E29" s="7">
        <v>7000</v>
      </c>
      <c r="F29" s="8">
        <v>71.802499999999995</v>
      </c>
      <c r="G29" s="9">
        <v>6.9530340000000003E-3</v>
      </c>
      <c r="H29" s="156"/>
    </row>
    <row r="30" spans="1:8" x14ac:dyDescent="0.2">
      <c r="A30" s="5">
        <v>24</v>
      </c>
      <c r="B30" s="6" t="s">
        <v>418</v>
      </c>
      <c r="C30" s="6" t="s">
        <v>419</v>
      </c>
      <c r="D30" s="6" t="s">
        <v>196</v>
      </c>
      <c r="E30" s="7">
        <v>1600</v>
      </c>
      <c r="F30" s="8">
        <v>70.531999999999996</v>
      </c>
      <c r="G30" s="9">
        <v>6.8300050000000001E-3</v>
      </c>
      <c r="H30" s="156"/>
    </row>
    <row r="31" spans="1:8" x14ac:dyDescent="0.2">
      <c r="A31" s="5">
        <v>25</v>
      </c>
      <c r="B31" s="6" t="s">
        <v>368</v>
      </c>
      <c r="C31" s="6" t="s">
        <v>369</v>
      </c>
      <c r="D31" s="6" t="s">
        <v>169</v>
      </c>
      <c r="E31" s="7">
        <v>7000</v>
      </c>
      <c r="F31" s="8">
        <v>68.844999999999999</v>
      </c>
      <c r="G31" s="9">
        <v>6.6666429999999999E-3</v>
      </c>
      <c r="H31" s="156"/>
    </row>
    <row r="32" spans="1:8" x14ac:dyDescent="0.2">
      <c r="A32" s="5">
        <v>26</v>
      </c>
      <c r="B32" s="6" t="s">
        <v>588</v>
      </c>
      <c r="C32" s="6" t="s">
        <v>589</v>
      </c>
      <c r="D32" s="6" t="s">
        <v>971</v>
      </c>
      <c r="E32" s="7">
        <v>10000</v>
      </c>
      <c r="F32" s="8">
        <v>68.63</v>
      </c>
      <c r="G32" s="9">
        <v>6.6458230000000004E-3</v>
      </c>
      <c r="H32" s="156"/>
    </row>
    <row r="33" spans="1:10" x14ac:dyDescent="0.2">
      <c r="A33" s="5">
        <v>27</v>
      </c>
      <c r="B33" s="6" t="s">
        <v>76</v>
      </c>
      <c r="C33" s="6" t="s">
        <v>77</v>
      </c>
      <c r="D33" s="6" t="s">
        <v>78</v>
      </c>
      <c r="E33" s="7">
        <v>40000</v>
      </c>
      <c r="F33" s="8">
        <v>59.86</v>
      </c>
      <c r="G33" s="9">
        <v>5.7965760000000003E-3</v>
      </c>
      <c r="H33" s="156"/>
    </row>
    <row r="34" spans="1:10" x14ac:dyDescent="0.2">
      <c r="A34" s="5">
        <v>28</v>
      </c>
      <c r="B34" s="6" t="s">
        <v>259</v>
      </c>
      <c r="C34" s="6" t="s">
        <v>260</v>
      </c>
      <c r="D34" s="6" t="s">
        <v>261</v>
      </c>
      <c r="E34" s="7">
        <v>7000</v>
      </c>
      <c r="F34" s="8">
        <v>55.499499999999998</v>
      </c>
      <c r="G34" s="9">
        <v>5.3743239999999998E-3</v>
      </c>
      <c r="H34" s="156"/>
    </row>
    <row r="35" spans="1:10" x14ac:dyDescent="0.2">
      <c r="A35" s="5">
        <v>29</v>
      </c>
      <c r="B35" s="6" t="s">
        <v>416</v>
      </c>
      <c r="C35" s="6" t="s">
        <v>417</v>
      </c>
      <c r="D35" s="6" t="s">
        <v>92</v>
      </c>
      <c r="E35" s="7">
        <v>6500</v>
      </c>
      <c r="F35" s="8">
        <v>50.5505</v>
      </c>
      <c r="G35" s="9">
        <v>4.8950850000000004E-3</v>
      </c>
      <c r="H35" s="156"/>
    </row>
    <row r="36" spans="1:10" s="157" customFormat="1" x14ac:dyDescent="0.2">
      <c r="A36" s="5">
        <v>30</v>
      </c>
      <c r="B36" s="6" t="s">
        <v>981</v>
      </c>
      <c r="C36" s="6" t="s">
        <v>982</v>
      </c>
      <c r="D36" s="6" t="s">
        <v>983</v>
      </c>
      <c r="E36" s="7">
        <v>40000</v>
      </c>
      <c r="F36" s="8">
        <v>45.316000000000003</v>
      </c>
      <c r="G36" s="9">
        <v>4.3882000000000001E-3</v>
      </c>
      <c r="H36" s="156"/>
    </row>
    <row r="37" spans="1:10" x14ac:dyDescent="0.2">
      <c r="A37" s="5">
        <v>31</v>
      </c>
      <c r="B37" s="6" t="s">
        <v>354</v>
      </c>
      <c r="C37" s="6" t="s">
        <v>355</v>
      </c>
      <c r="D37" s="6" t="s">
        <v>236</v>
      </c>
      <c r="E37" s="7">
        <v>5000</v>
      </c>
      <c r="F37" s="8">
        <v>45.045000000000002</v>
      </c>
      <c r="G37" s="9">
        <v>4.3619569999999996E-3</v>
      </c>
      <c r="H37" s="156"/>
    </row>
    <row r="38" spans="1:10" x14ac:dyDescent="0.2">
      <c r="A38" s="5">
        <v>32</v>
      </c>
      <c r="B38" s="6" t="s">
        <v>57</v>
      </c>
      <c r="C38" s="6" t="s">
        <v>58</v>
      </c>
      <c r="D38" s="6" t="s">
        <v>17</v>
      </c>
      <c r="E38" s="7">
        <v>9200</v>
      </c>
      <c r="F38" s="8">
        <v>43.065199999999997</v>
      </c>
      <c r="G38" s="9">
        <v>4.1702420000000002E-3</v>
      </c>
      <c r="H38" s="156"/>
    </row>
    <row r="39" spans="1:10" x14ac:dyDescent="0.2">
      <c r="A39" s="5">
        <v>33</v>
      </c>
      <c r="B39" s="6" t="s">
        <v>346</v>
      </c>
      <c r="C39" s="6" t="s">
        <v>347</v>
      </c>
      <c r="D39" s="6" t="s">
        <v>22</v>
      </c>
      <c r="E39" s="7">
        <v>50000</v>
      </c>
      <c r="F39" s="8">
        <v>42.95</v>
      </c>
      <c r="G39" s="9">
        <v>4.1590869999999997E-3</v>
      </c>
      <c r="H39" s="156"/>
    </row>
    <row r="40" spans="1:10" x14ac:dyDescent="0.2">
      <c r="A40" s="5">
        <v>34</v>
      </c>
      <c r="B40" s="6" t="s">
        <v>335</v>
      </c>
      <c r="C40" s="6" t="s">
        <v>336</v>
      </c>
      <c r="D40" s="6" t="s">
        <v>196</v>
      </c>
      <c r="E40" s="7">
        <v>1000</v>
      </c>
      <c r="F40" s="8">
        <v>34.243000000000002</v>
      </c>
      <c r="G40" s="9">
        <v>3.3159399999999999E-3</v>
      </c>
      <c r="H40" s="156"/>
    </row>
    <row r="41" spans="1:10" x14ac:dyDescent="0.2">
      <c r="A41" s="5">
        <v>35</v>
      </c>
      <c r="B41" s="6" t="s">
        <v>410</v>
      </c>
      <c r="C41" s="6" t="s">
        <v>411</v>
      </c>
      <c r="D41" s="6" t="s">
        <v>169</v>
      </c>
      <c r="E41" s="7">
        <v>6000</v>
      </c>
      <c r="F41" s="8">
        <v>32.738999999999997</v>
      </c>
      <c r="G41" s="9">
        <v>3.1702990000000001E-3</v>
      </c>
      <c r="H41" s="156"/>
    </row>
    <row r="42" spans="1:10" x14ac:dyDescent="0.2">
      <c r="A42" s="5">
        <v>36</v>
      </c>
      <c r="B42" s="6" t="s">
        <v>441</v>
      </c>
      <c r="C42" s="6" t="s">
        <v>442</v>
      </c>
      <c r="D42" s="6" t="s">
        <v>196</v>
      </c>
      <c r="E42" s="7">
        <v>600</v>
      </c>
      <c r="F42" s="8">
        <v>32.5383</v>
      </c>
      <c r="G42" s="9">
        <v>3.1508640000000002E-3</v>
      </c>
      <c r="H42" s="156"/>
    </row>
    <row r="43" spans="1:10" x14ac:dyDescent="0.2">
      <c r="A43" s="5">
        <v>37</v>
      </c>
      <c r="B43" s="6" t="s">
        <v>422</v>
      </c>
      <c r="C43" s="6" t="s">
        <v>423</v>
      </c>
      <c r="D43" s="6" t="s">
        <v>73</v>
      </c>
      <c r="E43" s="7">
        <v>16000</v>
      </c>
      <c r="F43" s="8">
        <v>32.432000000000002</v>
      </c>
      <c r="G43" s="9">
        <v>3.1405700000000001E-3</v>
      </c>
      <c r="H43" s="156"/>
    </row>
    <row r="44" spans="1:10" x14ac:dyDescent="0.2">
      <c r="A44" s="3" t="s">
        <v>9</v>
      </c>
      <c r="B44" s="3" t="s">
        <v>9</v>
      </c>
      <c r="C44" s="4" t="s">
        <v>105</v>
      </c>
      <c r="D44" s="3" t="s">
        <v>9</v>
      </c>
      <c r="E44" s="3" t="s">
        <v>9</v>
      </c>
      <c r="F44" s="10">
        <v>7808.0782790000003</v>
      </c>
      <c r="G44" s="11">
        <v>0.75605985200000025</v>
      </c>
      <c r="H44" s="156"/>
      <c r="I44" s="159"/>
      <c r="J44" s="159"/>
    </row>
    <row r="45" spans="1:10" x14ac:dyDescent="0.2">
      <c r="A45" s="3" t="s">
        <v>9</v>
      </c>
      <c r="B45" s="3" t="s">
        <v>9</v>
      </c>
      <c r="C45" s="12" t="s">
        <v>9</v>
      </c>
      <c r="D45" s="3" t="s">
        <v>9</v>
      </c>
      <c r="E45" s="3" t="s">
        <v>9</v>
      </c>
      <c r="F45" s="13" t="s">
        <v>9</v>
      </c>
      <c r="G45" s="13" t="s">
        <v>9</v>
      </c>
      <c r="H45" s="156"/>
    </row>
    <row r="46" spans="1:10" x14ac:dyDescent="0.2">
      <c r="A46" s="3" t="s">
        <v>9</v>
      </c>
      <c r="B46" s="3" t="s">
        <v>9</v>
      </c>
      <c r="C46" s="4" t="s">
        <v>106</v>
      </c>
      <c r="D46" s="3" t="s">
        <v>9</v>
      </c>
      <c r="E46" s="3" t="s">
        <v>9</v>
      </c>
      <c r="F46" s="3" t="s">
        <v>9</v>
      </c>
      <c r="G46" s="3" t="s">
        <v>9</v>
      </c>
      <c r="H46" s="156"/>
    </row>
    <row r="47" spans="1:10" x14ac:dyDescent="0.2">
      <c r="A47" s="3" t="s">
        <v>9</v>
      </c>
      <c r="B47" s="3" t="s">
        <v>9</v>
      </c>
      <c r="C47" s="4" t="s">
        <v>105</v>
      </c>
      <c r="D47" s="3" t="s">
        <v>9</v>
      </c>
      <c r="E47" s="3" t="s">
        <v>9</v>
      </c>
      <c r="F47" s="14">
        <v>0</v>
      </c>
      <c r="G47" s="15">
        <v>0</v>
      </c>
      <c r="H47" s="156"/>
    </row>
    <row r="48" spans="1:10" x14ac:dyDescent="0.2">
      <c r="A48" s="3" t="s">
        <v>9</v>
      </c>
      <c r="B48" s="3" t="s">
        <v>9</v>
      </c>
      <c r="C48" s="12" t="s">
        <v>9</v>
      </c>
      <c r="D48" s="3" t="s">
        <v>9</v>
      </c>
      <c r="E48" s="3" t="s">
        <v>9</v>
      </c>
      <c r="F48" s="13" t="s">
        <v>9</v>
      </c>
      <c r="G48" s="1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107</v>
      </c>
      <c r="D49" s="3" t="s">
        <v>9</v>
      </c>
      <c r="E49" s="3" t="s">
        <v>9</v>
      </c>
      <c r="F49" s="3" t="s">
        <v>9</v>
      </c>
      <c r="G49" s="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105</v>
      </c>
      <c r="D50" s="3" t="s">
        <v>9</v>
      </c>
      <c r="E50" s="3" t="s">
        <v>9</v>
      </c>
      <c r="F50" s="14">
        <v>0</v>
      </c>
      <c r="G50" s="15">
        <v>0</v>
      </c>
      <c r="H50" s="156"/>
    </row>
    <row r="51" spans="1:8" x14ac:dyDescent="0.2">
      <c r="A51" s="3" t="s">
        <v>9</v>
      </c>
      <c r="B51" s="3" t="s">
        <v>9</v>
      </c>
      <c r="C51" s="12" t="s">
        <v>9</v>
      </c>
      <c r="D51" s="3" t="s">
        <v>9</v>
      </c>
      <c r="E51" s="3" t="s">
        <v>9</v>
      </c>
      <c r="F51" s="13" t="s">
        <v>9</v>
      </c>
      <c r="G51" s="13" t="s">
        <v>9</v>
      </c>
      <c r="H51" s="156"/>
    </row>
    <row r="52" spans="1:8" x14ac:dyDescent="0.2">
      <c r="A52" s="3" t="s">
        <v>9</v>
      </c>
      <c r="B52" s="3" t="s">
        <v>9</v>
      </c>
      <c r="C52" s="4" t="s">
        <v>111</v>
      </c>
      <c r="D52" s="3" t="s">
        <v>9</v>
      </c>
      <c r="E52" s="3" t="s">
        <v>9</v>
      </c>
      <c r="F52" s="3" t="s">
        <v>9</v>
      </c>
      <c r="G52" s="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4">
        <v>0</v>
      </c>
      <c r="G53" s="15">
        <v>0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112</v>
      </c>
      <c r="D55" s="3" t="s">
        <v>9</v>
      </c>
      <c r="E55" s="3" t="s">
        <v>9</v>
      </c>
      <c r="F55" s="13" t="s">
        <v>9</v>
      </c>
      <c r="G55" s="1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105</v>
      </c>
      <c r="D56" s="3" t="s">
        <v>9</v>
      </c>
      <c r="E56" s="3" t="s">
        <v>9</v>
      </c>
      <c r="F56" s="14">
        <v>0</v>
      </c>
      <c r="G56" s="15">
        <v>0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113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5">
        <v>1</v>
      </c>
      <c r="B59" s="6"/>
      <c r="C59" s="6" t="s">
        <v>937</v>
      </c>
      <c r="D59" s="6" t="s">
        <v>705</v>
      </c>
      <c r="E59" s="7">
        <v>-150000</v>
      </c>
      <c r="F59" s="8">
        <v>-129.97499999999999</v>
      </c>
      <c r="G59" s="130">
        <v>-1.2586200000000001E-2</v>
      </c>
      <c r="H59" s="156"/>
    </row>
    <row r="60" spans="1:8" x14ac:dyDescent="0.2">
      <c r="A60" s="5">
        <v>2</v>
      </c>
      <c r="B60" s="6"/>
      <c r="C60" s="6" t="s">
        <v>952</v>
      </c>
      <c r="D60" s="6" t="s">
        <v>705</v>
      </c>
      <c r="E60" s="7">
        <v>-3250</v>
      </c>
      <c r="F60" s="8">
        <v>-130.58337499999999</v>
      </c>
      <c r="G60" s="130">
        <v>-1.2645109999999999E-2</v>
      </c>
      <c r="H60" s="156"/>
    </row>
    <row r="61" spans="1:8" x14ac:dyDescent="0.2">
      <c r="A61" s="5">
        <v>3</v>
      </c>
      <c r="B61" s="6"/>
      <c r="C61" s="6" t="s">
        <v>938</v>
      </c>
      <c r="D61" s="6" t="s">
        <v>705</v>
      </c>
      <c r="E61" s="7">
        <v>-27000</v>
      </c>
      <c r="F61" s="8">
        <v>-204.51150000000001</v>
      </c>
      <c r="G61" s="130">
        <v>-1.9803979999999999E-2</v>
      </c>
      <c r="H61" s="156"/>
    </row>
    <row r="62" spans="1:8" x14ac:dyDescent="0.2">
      <c r="A62" s="5">
        <v>4</v>
      </c>
      <c r="B62" s="6"/>
      <c r="C62" s="6" t="s">
        <v>939</v>
      </c>
      <c r="D62" s="6" t="s">
        <v>705</v>
      </c>
      <c r="E62" s="7">
        <v>-38871</v>
      </c>
      <c r="F62" s="8">
        <v>-205.29718650000001</v>
      </c>
      <c r="G62" s="130">
        <v>-1.988007E-2</v>
      </c>
      <c r="H62" s="156"/>
    </row>
    <row r="63" spans="1:8" x14ac:dyDescent="0.2">
      <c r="A63" s="5">
        <v>5</v>
      </c>
      <c r="B63" s="6"/>
      <c r="C63" s="6" t="s">
        <v>954</v>
      </c>
      <c r="D63" s="6" t="s">
        <v>705</v>
      </c>
      <c r="E63" s="7">
        <v>-10000</v>
      </c>
      <c r="F63" s="8">
        <v>-211.64500000000001</v>
      </c>
      <c r="G63" s="130">
        <v>-2.0494760000000001E-2</v>
      </c>
      <c r="H63" s="156"/>
    </row>
    <row r="64" spans="1:8" x14ac:dyDescent="0.2">
      <c r="A64" s="5">
        <v>6</v>
      </c>
      <c r="B64" s="6"/>
      <c r="C64" s="6" t="s">
        <v>940</v>
      </c>
      <c r="D64" s="6" t="s">
        <v>705</v>
      </c>
      <c r="E64" s="7">
        <v>-62700</v>
      </c>
      <c r="F64" s="8">
        <v>-213.77565000000001</v>
      </c>
      <c r="G64" s="130">
        <v>-2.070108E-2</v>
      </c>
      <c r="H64" s="156"/>
    </row>
    <row r="65" spans="1:8" x14ac:dyDescent="0.2">
      <c r="A65" s="5">
        <v>7</v>
      </c>
      <c r="B65" s="6"/>
      <c r="C65" s="6" t="s">
        <v>933</v>
      </c>
      <c r="D65" s="6" t="s">
        <v>705</v>
      </c>
      <c r="E65" s="7">
        <v>-60000</v>
      </c>
      <c r="F65" s="8">
        <v>-239.13</v>
      </c>
      <c r="G65" s="130">
        <v>-2.3156280000000001E-2</v>
      </c>
      <c r="H65" s="156"/>
    </row>
    <row r="66" spans="1:8" x14ac:dyDescent="0.2">
      <c r="A66" s="5">
        <v>8</v>
      </c>
      <c r="B66" s="6"/>
      <c r="C66" s="6" t="s">
        <v>941</v>
      </c>
      <c r="D66" s="6" t="s">
        <v>705</v>
      </c>
      <c r="E66" s="7">
        <v>-40000</v>
      </c>
      <c r="F66" s="8">
        <v>-265.8</v>
      </c>
      <c r="G66" s="130">
        <v>-2.573889E-2</v>
      </c>
      <c r="H66" s="156"/>
    </row>
    <row r="67" spans="1:8" x14ac:dyDescent="0.2">
      <c r="A67" s="5">
        <v>9</v>
      </c>
      <c r="B67" s="6"/>
      <c r="C67" s="6" t="s">
        <v>932</v>
      </c>
      <c r="D67" s="6" t="s">
        <v>705</v>
      </c>
      <c r="E67" s="7">
        <v>-55000</v>
      </c>
      <c r="F67" s="8">
        <v>-348.48</v>
      </c>
      <c r="G67" s="130">
        <v>-3.3745249999999997E-2</v>
      </c>
      <c r="H67" s="156"/>
    </row>
    <row r="68" spans="1:8" x14ac:dyDescent="0.2">
      <c r="A68" s="5">
        <v>10</v>
      </c>
      <c r="B68" s="6"/>
      <c r="C68" s="6" t="s">
        <v>942</v>
      </c>
      <c r="D68" s="6" t="s">
        <v>705</v>
      </c>
      <c r="E68" s="7">
        <v>-36000</v>
      </c>
      <c r="F68" s="8">
        <v>-385.27199999999999</v>
      </c>
      <c r="G68" s="130">
        <v>-3.7308019999999997E-2</v>
      </c>
      <c r="H68" s="156"/>
    </row>
    <row r="69" spans="1:8" x14ac:dyDescent="0.2">
      <c r="A69" s="5">
        <v>11</v>
      </c>
      <c r="B69" s="6"/>
      <c r="C69" s="6" t="s">
        <v>943</v>
      </c>
      <c r="D69" s="6" t="s">
        <v>705</v>
      </c>
      <c r="E69" s="7">
        <v>-21000</v>
      </c>
      <c r="F69" s="8">
        <v>-522.78449999999998</v>
      </c>
      <c r="G69" s="130">
        <v>-5.0624120000000002E-2</v>
      </c>
      <c r="H69" s="156"/>
    </row>
    <row r="70" spans="1:8" x14ac:dyDescent="0.2">
      <c r="A70" s="5">
        <v>12</v>
      </c>
      <c r="B70" s="6"/>
      <c r="C70" s="6" t="s">
        <v>928</v>
      </c>
      <c r="D70" s="6" t="s">
        <v>705</v>
      </c>
      <c r="E70" s="7">
        <v>-30000</v>
      </c>
      <c r="F70" s="8">
        <v>-744.64499999999998</v>
      </c>
      <c r="G70" s="130">
        <v>-7.2108099999999994E-2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0">
        <v>-3601.8992115000001</v>
      </c>
      <c r="G71" s="11">
        <v>-0.34879187499999997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114</v>
      </c>
      <c r="D73" s="3" t="s">
        <v>9</v>
      </c>
      <c r="E73" s="3" t="s">
        <v>9</v>
      </c>
      <c r="F73" s="10">
        <v>7808.0782790000003</v>
      </c>
      <c r="G73" s="11">
        <v>0.75605985200000025</v>
      </c>
      <c r="H73" s="156"/>
    </row>
    <row r="74" spans="1:8" x14ac:dyDescent="0.2">
      <c r="A74" s="3" t="s">
        <v>9</v>
      </c>
      <c r="B74" s="3" t="s">
        <v>9</v>
      </c>
      <c r="C74" s="12" t="s">
        <v>9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115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11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5">
        <v>1</v>
      </c>
      <c r="B77" s="6" t="s">
        <v>718</v>
      </c>
      <c r="C77" s="6" t="s">
        <v>719</v>
      </c>
      <c r="D77" s="6" t="s">
        <v>699</v>
      </c>
      <c r="E77" s="7">
        <v>50</v>
      </c>
      <c r="F77" s="8">
        <v>515.54949999999997</v>
      </c>
      <c r="G77" s="9">
        <v>4.9923517000000001E-2</v>
      </c>
      <c r="H77" s="191">
        <v>4.07</v>
      </c>
    </row>
    <row r="78" spans="1:8" ht="25.5" x14ac:dyDescent="0.2">
      <c r="A78" s="5">
        <v>2</v>
      </c>
      <c r="B78" s="6" t="s">
        <v>720</v>
      </c>
      <c r="C78" s="6" t="s">
        <v>721</v>
      </c>
      <c r="D78" s="6" t="s">
        <v>699</v>
      </c>
      <c r="E78" s="7">
        <v>30</v>
      </c>
      <c r="F78" s="8">
        <v>309.01260000000002</v>
      </c>
      <c r="G78" s="9">
        <v>2.9923404000000001E-2</v>
      </c>
      <c r="H78" s="191">
        <v>4.1360000000000001</v>
      </c>
    </row>
    <row r="79" spans="1:8" x14ac:dyDescent="0.2">
      <c r="A79" s="5">
        <v>3</v>
      </c>
      <c r="B79" s="6" t="s">
        <v>722</v>
      </c>
      <c r="C79" s="6" t="s">
        <v>723</v>
      </c>
      <c r="D79" s="6" t="s">
        <v>699</v>
      </c>
      <c r="E79" s="7">
        <v>20</v>
      </c>
      <c r="F79" s="8">
        <v>209.5626</v>
      </c>
      <c r="G79" s="9">
        <v>2.0293109E-2</v>
      </c>
      <c r="H79" s="191">
        <v>4.875</v>
      </c>
    </row>
    <row r="80" spans="1:8" x14ac:dyDescent="0.2">
      <c r="A80" s="3" t="s">
        <v>9</v>
      </c>
      <c r="B80" s="3" t="s">
        <v>9</v>
      </c>
      <c r="C80" s="4" t="s">
        <v>105</v>
      </c>
      <c r="D80" s="3" t="s">
        <v>9</v>
      </c>
      <c r="E80" s="3" t="s">
        <v>9</v>
      </c>
      <c r="F80" s="10">
        <v>1034.1247000000001</v>
      </c>
      <c r="G80" s="11">
        <v>0.10014003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116</v>
      </c>
      <c r="D82" s="3" t="s">
        <v>9</v>
      </c>
      <c r="E82" s="3" t="s">
        <v>9</v>
      </c>
      <c r="F82" s="3" t="s">
        <v>9</v>
      </c>
      <c r="G82" s="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105</v>
      </c>
      <c r="D83" s="3" t="s">
        <v>9</v>
      </c>
      <c r="E83" s="3" t="s">
        <v>9</v>
      </c>
      <c r="F83" s="14">
        <v>0</v>
      </c>
      <c r="G83" s="15">
        <v>0</v>
      </c>
      <c r="H83" s="156"/>
    </row>
    <row r="84" spans="1:8" x14ac:dyDescent="0.2">
      <c r="A84" s="3" t="s">
        <v>9</v>
      </c>
      <c r="B84" s="3" t="s">
        <v>9</v>
      </c>
      <c r="C84" s="12" t="s">
        <v>9</v>
      </c>
      <c r="D84" s="3" t="s">
        <v>9</v>
      </c>
      <c r="E84" s="3" t="s">
        <v>9</v>
      </c>
      <c r="F84" s="13" t="s">
        <v>9</v>
      </c>
      <c r="G84" s="1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117</v>
      </c>
      <c r="D85" s="3" t="s">
        <v>9</v>
      </c>
      <c r="E85" s="3" t="s">
        <v>9</v>
      </c>
      <c r="F85" s="3" t="s">
        <v>9</v>
      </c>
      <c r="G85" s="3" t="s">
        <v>9</v>
      </c>
      <c r="H85" s="156"/>
    </row>
    <row r="86" spans="1:8" x14ac:dyDescent="0.2">
      <c r="A86" s="5">
        <v>1</v>
      </c>
      <c r="B86" s="6" t="s">
        <v>724</v>
      </c>
      <c r="C86" s="6" t="s">
        <v>956</v>
      </c>
      <c r="D86" s="6" t="s">
        <v>725</v>
      </c>
      <c r="E86" s="7">
        <v>200000</v>
      </c>
      <c r="F86" s="8">
        <v>211.51</v>
      </c>
      <c r="G86" s="9">
        <v>2.0481685999999999E-2</v>
      </c>
      <c r="H86" s="191">
        <v>4.9109999999999996</v>
      </c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0">
        <v>211.51</v>
      </c>
      <c r="G87" s="11">
        <v>2.0481685999999999E-2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118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119</v>
      </c>
      <c r="D92" s="3" t="s">
        <v>9</v>
      </c>
      <c r="E92" s="3" t="s">
        <v>9</v>
      </c>
      <c r="F92" s="10">
        <v>1245.6347000000001</v>
      </c>
      <c r="G92" s="11">
        <v>0.120621716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120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121</v>
      </c>
      <c r="D95" s="3" t="s">
        <v>9</v>
      </c>
      <c r="E95" s="3" t="s">
        <v>9</v>
      </c>
      <c r="F95" s="13" t="s">
        <v>9</v>
      </c>
      <c r="G95" s="1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4" t="s">
        <v>122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105</v>
      </c>
      <c r="D99" s="3" t="s">
        <v>9</v>
      </c>
      <c r="E99" s="3" t="s">
        <v>9</v>
      </c>
      <c r="F99" s="14">
        <v>0</v>
      </c>
      <c r="G99" s="15">
        <v>0</v>
      </c>
      <c r="H99" s="156"/>
    </row>
    <row r="100" spans="1:8" x14ac:dyDescent="0.2">
      <c r="A100" s="3" t="s">
        <v>9</v>
      </c>
      <c r="B100" s="3" t="s">
        <v>9</v>
      </c>
      <c r="C100" s="12" t="s">
        <v>9</v>
      </c>
      <c r="D100" s="3" t="s">
        <v>9</v>
      </c>
      <c r="E100" s="3" t="s">
        <v>9</v>
      </c>
      <c r="F100" s="13" t="s">
        <v>9</v>
      </c>
      <c r="G100" s="1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123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3" t="s">
        <v>9</v>
      </c>
      <c r="C102" s="4" t="s">
        <v>105</v>
      </c>
      <c r="D102" s="3" t="s">
        <v>9</v>
      </c>
      <c r="E102" s="3" t="s">
        <v>9</v>
      </c>
      <c r="F102" s="14">
        <v>0</v>
      </c>
      <c r="G102" s="15">
        <v>0</v>
      </c>
      <c r="H102" s="156"/>
    </row>
    <row r="103" spans="1:8" x14ac:dyDescent="0.2">
      <c r="A103" s="3" t="s">
        <v>9</v>
      </c>
      <c r="B103" s="3" t="s">
        <v>9</v>
      </c>
      <c r="C103" s="12" t="s">
        <v>9</v>
      </c>
      <c r="D103" s="3" t="s">
        <v>9</v>
      </c>
      <c r="E103" s="3" t="s">
        <v>9</v>
      </c>
      <c r="F103" s="13" t="s">
        <v>9</v>
      </c>
      <c r="G103" s="1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124</v>
      </c>
      <c r="D104" s="3" t="s">
        <v>9</v>
      </c>
      <c r="E104" s="3" t="s">
        <v>9</v>
      </c>
      <c r="F104" s="13" t="s">
        <v>9</v>
      </c>
      <c r="G104" s="13" t="s">
        <v>9</v>
      </c>
      <c r="H104" s="156"/>
    </row>
    <row r="105" spans="1:8" x14ac:dyDescent="0.2">
      <c r="A105" s="5">
        <v>1</v>
      </c>
      <c r="B105" s="6"/>
      <c r="C105" s="6" t="s">
        <v>125</v>
      </c>
      <c r="D105" s="6"/>
      <c r="E105" s="16" t="s">
        <v>9</v>
      </c>
      <c r="F105" s="8">
        <v>82.239678499999997</v>
      </c>
      <c r="G105" s="9">
        <v>7.9637240000000001E-3</v>
      </c>
      <c r="H105" s="8">
        <v>3.3326163573085874</v>
      </c>
    </row>
    <row r="106" spans="1:8" x14ac:dyDescent="0.2">
      <c r="A106" s="5">
        <v>2</v>
      </c>
      <c r="B106" s="6"/>
      <c r="C106" s="6" t="s">
        <v>126</v>
      </c>
      <c r="D106" s="6"/>
      <c r="E106" s="16" t="s">
        <v>9</v>
      </c>
      <c r="F106" s="8">
        <v>58.739595899999998</v>
      </c>
      <c r="G106" s="9">
        <v>5.6880810000000002E-3</v>
      </c>
      <c r="H106" s="8">
        <v>3.2337849550915885</v>
      </c>
    </row>
    <row r="107" spans="1:8" x14ac:dyDescent="0.2">
      <c r="A107" s="3" t="s">
        <v>9</v>
      </c>
      <c r="B107" s="3" t="s">
        <v>9</v>
      </c>
      <c r="C107" s="4" t="s">
        <v>105</v>
      </c>
      <c r="D107" s="3" t="s">
        <v>9</v>
      </c>
      <c r="E107" s="3" t="s">
        <v>9</v>
      </c>
      <c r="F107" s="10">
        <v>140.97927440000001</v>
      </c>
      <c r="G107" s="11">
        <v>1.3651804999999999E-2</v>
      </c>
      <c r="H107" s="156"/>
    </row>
    <row r="108" spans="1:8" x14ac:dyDescent="0.2">
      <c r="A108" s="3" t="s">
        <v>9</v>
      </c>
      <c r="B108" s="3" t="s">
        <v>9</v>
      </c>
      <c r="C108" s="12" t="s">
        <v>9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127</v>
      </c>
      <c r="D109" s="3" t="s">
        <v>9</v>
      </c>
      <c r="E109" s="3" t="s">
        <v>9</v>
      </c>
      <c r="F109" s="10">
        <v>140.97927440000001</v>
      </c>
      <c r="G109" s="11">
        <v>1.3651804999999999E-2</v>
      </c>
      <c r="H109" s="156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3" t="s">
        <v>9</v>
      </c>
      <c r="G110" s="3" t="s">
        <v>9</v>
      </c>
      <c r="H110" s="156"/>
    </row>
    <row r="111" spans="1:8" x14ac:dyDescent="0.2">
      <c r="A111" s="3" t="s">
        <v>9</v>
      </c>
      <c r="B111" s="3" t="s">
        <v>9</v>
      </c>
      <c r="C111" s="4" t="s">
        <v>128</v>
      </c>
      <c r="D111" s="3" t="s">
        <v>9</v>
      </c>
      <c r="E111" s="3" t="s">
        <v>9</v>
      </c>
      <c r="F111" s="3" t="s">
        <v>9</v>
      </c>
      <c r="G111" s="3" t="s">
        <v>9</v>
      </c>
      <c r="H111" s="156"/>
    </row>
    <row r="112" spans="1:8" x14ac:dyDescent="0.2">
      <c r="A112" s="3" t="s">
        <v>9</v>
      </c>
      <c r="B112" s="3" t="s">
        <v>9</v>
      </c>
      <c r="C112" s="4" t="s">
        <v>129</v>
      </c>
      <c r="D112" s="3" t="s">
        <v>9</v>
      </c>
      <c r="E112" s="3" t="s">
        <v>9</v>
      </c>
      <c r="F112" s="3" t="s">
        <v>9</v>
      </c>
      <c r="G112" s="3" t="s">
        <v>9</v>
      </c>
      <c r="H112" s="156"/>
    </row>
    <row r="113" spans="1:8" x14ac:dyDescent="0.2">
      <c r="A113" s="3" t="s">
        <v>9</v>
      </c>
      <c r="B113" s="3" t="s">
        <v>9</v>
      </c>
      <c r="C113" s="4" t="s">
        <v>105</v>
      </c>
      <c r="D113" s="3" t="s">
        <v>9</v>
      </c>
      <c r="E113" s="3" t="s">
        <v>9</v>
      </c>
      <c r="F113" s="14">
        <v>0</v>
      </c>
      <c r="G113" s="15">
        <v>0</v>
      </c>
      <c r="H113" s="156"/>
    </row>
    <row r="114" spans="1:8" x14ac:dyDescent="0.2">
      <c r="A114" s="3" t="s">
        <v>9</v>
      </c>
      <c r="B114" s="3" t="s">
        <v>9</v>
      </c>
      <c r="C114" s="12" t="s">
        <v>9</v>
      </c>
      <c r="D114" s="3" t="s">
        <v>9</v>
      </c>
      <c r="E114" s="3" t="s">
        <v>9</v>
      </c>
      <c r="F114" s="13" t="s">
        <v>9</v>
      </c>
      <c r="G114" s="13" t="s">
        <v>9</v>
      </c>
      <c r="H114" s="156"/>
    </row>
    <row r="115" spans="1:8" x14ac:dyDescent="0.2">
      <c r="A115" s="3" t="s">
        <v>9</v>
      </c>
      <c r="B115" s="3" t="s">
        <v>9</v>
      </c>
      <c r="C115" s="4" t="s">
        <v>130</v>
      </c>
      <c r="D115" s="3" t="s">
        <v>9</v>
      </c>
      <c r="E115" s="3" t="s">
        <v>9</v>
      </c>
      <c r="F115" s="3" t="s">
        <v>9</v>
      </c>
      <c r="G115" s="3" t="s">
        <v>9</v>
      </c>
      <c r="H115" s="156"/>
    </row>
    <row r="116" spans="1:8" x14ac:dyDescent="0.2">
      <c r="A116" s="3" t="s">
        <v>9</v>
      </c>
      <c r="B116" s="3" t="s">
        <v>9</v>
      </c>
      <c r="C116" s="4" t="s">
        <v>131</v>
      </c>
      <c r="D116" s="3" t="s">
        <v>9</v>
      </c>
      <c r="E116" s="3" t="s">
        <v>9</v>
      </c>
      <c r="F116" s="3" t="s">
        <v>9</v>
      </c>
      <c r="G116" s="3" t="s">
        <v>9</v>
      </c>
      <c r="H116" s="156"/>
    </row>
    <row r="117" spans="1:8" x14ac:dyDescent="0.2">
      <c r="A117" s="3" t="s">
        <v>9</v>
      </c>
      <c r="B117" s="3" t="s">
        <v>9</v>
      </c>
      <c r="C117" s="4" t="s">
        <v>105</v>
      </c>
      <c r="D117" s="3" t="s">
        <v>9</v>
      </c>
      <c r="E117" s="3" t="s">
        <v>9</v>
      </c>
      <c r="F117" s="14">
        <v>0</v>
      </c>
      <c r="G117" s="15">
        <v>0</v>
      </c>
      <c r="H117" s="156"/>
    </row>
    <row r="118" spans="1:8" x14ac:dyDescent="0.2">
      <c r="A118" s="3" t="s">
        <v>9</v>
      </c>
      <c r="B118" s="3" t="s">
        <v>9</v>
      </c>
      <c r="C118" s="12" t="s">
        <v>9</v>
      </c>
      <c r="D118" s="3" t="s">
        <v>9</v>
      </c>
      <c r="E118" s="3" t="s">
        <v>9</v>
      </c>
      <c r="F118" s="13" t="s">
        <v>9</v>
      </c>
      <c r="G118" s="13" t="s">
        <v>9</v>
      </c>
      <c r="H118" s="156"/>
    </row>
    <row r="119" spans="1:8" x14ac:dyDescent="0.2">
      <c r="A119" s="3" t="s">
        <v>9</v>
      </c>
      <c r="B119" s="3" t="s">
        <v>9</v>
      </c>
      <c r="C119" s="12" t="s">
        <v>9</v>
      </c>
      <c r="D119" s="3" t="s">
        <v>9</v>
      </c>
      <c r="E119" s="3" t="s">
        <v>9</v>
      </c>
      <c r="F119" s="13" t="s">
        <v>9</v>
      </c>
      <c r="G119" s="13" t="s">
        <v>9</v>
      </c>
      <c r="H119" s="156"/>
    </row>
    <row r="120" spans="1:8" x14ac:dyDescent="0.2">
      <c r="A120" s="3" t="s">
        <v>9</v>
      </c>
      <c r="B120" s="3" t="s">
        <v>9</v>
      </c>
      <c r="C120" s="4" t="s">
        <v>132</v>
      </c>
      <c r="D120" s="3" t="s">
        <v>9</v>
      </c>
      <c r="E120" s="3" t="s">
        <v>9</v>
      </c>
      <c r="F120" s="13" t="s">
        <v>9</v>
      </c>
      <c r="G120" s="13" t="s">
        <v>9</v>
      </c>
      <c r="H120" s="156"/>
    </row>
    <row r="121" spans="1:8" x14ac:dyDescent="0.2">
      <c r="A121" s="3" t="s">
        <v>9</v>
      </c>
      <c r="B121" s="3" t="s">
        <v>9</v>
      </c>
      <c r="C121" s="4" t="s">
        <v>105</v>
      </c>
      <c r="D121" s="3" t="s">
        <v>9</v>
      </c>
      <c r="E121" s="3" t="s">
        <v>9</v>
      </c>
      <c r="F121" s="14">
        <v>0</v>
      </c>
      <c r="G121" s="15">
        <v>0</v>
      </c>
      <c r="H121" s="156"/>
    </row>
    <row r="122" spans="1:8" x14ac:dyDescent="0.2">
      <c r="A122" s="3" t="s">
        <v>9</v>
      </c>
      <c r="B122" s="3" t="s">
        <v>9</v>
      </c>
      <c r="C122" s="12" t="s">
        <v>9</v>
      </c>
      <c r="D122" s="3" t="s">
        <v>9</v>
      </c>
      <c r="E122" s="3" t="s">
        <v>9</v>
      </c>
      <c r="F122" s="13" t="s">
        <v>9</v>
      </c>
      <c r="G122" s="13" t="s">
        <v>9</v>
      </c>
      <c r="H122" s="156"/>
    </row>
    <row r="123" spans="1:8" x14ac:dyDescent="0.2">
      <c r="A123" s="16" t="s">
        <v>9</v>
      </c>
      <c r="B123" s="6" t="s">
        <v>9</v>
      </c>
      <c r="C123" s="6" t="s">
        <v>707</v>
      </c>
      <c r="D123" s="6" t="s">
        <v>9</v>
      </c>
      <c r="E123" s="16" t="s">
        <v>9</v>
      </c>
      <c r="F123" s="8">
        <v>1188.451996</v>
      </c>
      <c r="G123" s="9">
        <v>0.115084397</v>
      </c>
      <c r="H123" s="156"/>
    </row>
    <row r="124" spans="1:8" x14ac:dyDescent="0.2">
      <c r="A124" s="16" t="s">
        <v>9</v>
      </c>
      <c r="B124" s="6" t="s">
        <v>9</v>
      </c>
      <c r="C124" s="6" t="s">
        <v>133</v>
      </c>
      <c r="D124" s="6" t="s">
        <v>9</v>
      </c>
      <c r="E124" s="16" t="s">
        <v>9</v>
      </c>
      <c r="F124" s="8">
        <v>-56.357782020000741</v>
      </c>
      <c r="G124" s="9">
        <v>-5.4574365605430429E-3</v>
      </c>
      <c r="H124" s="156"/>
    </row>
    <row r="125" spans="1:8" x14ac:dyDescent="0.2">
      <c r="A125" s="12" t="s">
        <v>9</v>
      </c>
      <c r="B125" s="12" t="s">
        <v>9</v>
      </c>
      <c r="C125" s="4" t="s">
        <v>134</v>
      </c>
      <c r="D125" s="17" t="s">
        <v>9</v>
      </c>
      <c r="E125" s="17" t="s">
        <v>9</v>
      </c>
      <c r="F125" s="177">
        <v>10326.78646738</v>
      </c>
      <c r="G125" s="178">
        <v>0.99996033343945712</v>
      </c>
      <c r="H125" s="156"/>
    </row>
    <row r="126" spans="1:8" ht="14.1" customHeight="1" x14ac:dyDescent="0.2">
      <c r="A126" s="18" t="s">
        <v>9</v>
      </c>
      <c r="B126" s="18" t="s">
        <v>9</v>
      </c>
      <c r="C126" s="18" t="s">
        <v>9</v>
      </c>
      <c r="D126" s="19" t="s">
        <v>9</v>
      </c>
      <c r="E126" s="19" t="s">
        <v>9</v>
      </c>
      <c r="F126" s="19" t="s">
        <v>9</v>
      </c>
      <c r="G126" s="19" t="s">
        <v>9</v>
      </c>
    </row>
    <row r="127" spans="1:8" ht="17.100000000000001" customHeight="1" x14ac:dyDescent="0.2">
      <c r="A127" s="20" t="s">
        <v>9</v>
      </c>
      <c r="B127" s="200" t="s">
        <v>700</v>
      </c>
      <c r="C127" s="200"/>
      <c r="D127" s="200"/>
      <c r="E127" s="200"/>
      <c r="F127" s="200"/>
      <c r="G127" s="22" t="s">
        <v>9</v>
      </c>
    </row>
    <row r="128" spans="1:8" ht="17.100000000000001" customHeight="1" x14ac:dyDescent="0.2">
      <c r="A128" s="20" t="s">
        <v>9</v>
      </c>
      <c r="B128" s="200" t="s">
        <v>135</v>
      </c>
      <c r="C128" s="200"/>
      <c r="D128" s="200"/>
      <c r="E128" s="200"/>
      <c r="F128" s="200"/>
      <c r="G128" s="22" t="s">
        <v>9</v>
      </c>
    </row>
    <row r="129" spans="1:7" ht="14.1" customHeight="1" x14ac:dyDescent="0.2">
      <c r="A129" s="20" t="s">
        <v>9</v>
      </c>
      <c r="B129" s="20" t="s">
        <v>9</v>
      </c>
      <c r="C129" s="20" t="s">
        <v>9</v>
      </c>
      <c r="D129" s="22" t="s">
        <v>9</v>
      </c>
      <c r="E129" s="22" t="s">
        <v>9</v>
      </c>
      <c r="F129" s="22" t="s">
        <v>9</v>
      </c>
      <c r="G129" s="22" t="s">
        <v>9</v>
      </c>
    </row>
    <row r="130" spans="1:7" ht="14.1" customHeight="1" x14ac:dyDescent="0.2">
      <c r="A130" s="20" t="s">
        <v>9</v>
      </c>
      <c r="B130" s="198" t="s">
        <v>136</v>
      </c>
      <c r="C130" s="199"/>
      <c r="D130" s="13" t="s">
        <v>9</v>
      </c>
      <c r="E130" s="23" t="s">
        <v>9</v>
      </c>
      <c r="F130" s="22" t="s">
        <v>9</v>
      </c>
      <c r="G130" s="22" t="s">
        <v>9</v>
      </c>
    </row>
    <row r="131" spans="1:7" ht="29.1" customHeight="1" x14ac:dyDescent="0.2">
      <c r="A131" s="20" t="s">
        <v>9</v>
      </c>
      <c r="B131" s="205" t="s">
        <v>137</v>
      </c>
      <c r="C131" s="206"/>
      <c r="D131" s="4" t="s">
        <v>138</v>
      </c>
      <c r="E131" s="23" t="s">
        <v>9</v>
      </c>
      <c r="F131" s="22" t="s">
        <v>9</v>
      </c>
      <c r="G131" s="22" t="s">
        <v>9</v>
      </c>
    </row>
    <row r="132" spans="1:7" ht="17.100000000000001" customHeight="1" x14ac:dyDescent="0.2">
      <c r="A132" s="20" t="s">
        <v>9</v>
      </c>
      <c r="B132" s="205" t="s">
        <v>139</v>
      </c>
      <c r="C132" s="206"/>
      <c r="D132" s="4" t="s">
        <v>138</v>
      </c>
      <c r="E132" s="23" t="s">
        <v>9</v>
      </c>
      <c r="F132" s="22" t="s">
        <v>9</v>
      </c>
      <c r="G132" s="22" t="s">
        <v>9</v>
      </c>
    </row>
    <row r="133" spans="1:7" ht="17.100000000000001" customHeight="1" x14ac:dyDescent="0.2">
      <c r="A133" s="20" t="s">
        <v>9</v>
      </c>
      <c r="B133" s="205" t="s">
        <v>140</v>
      </c>
      <c r="C133" s="206"/>
      <c r="D133" s="13" t="s">
        <v>9</v>
      </c>
      <c r="E133" s="23" t="s">
        <v>9</v>
      </c>
      <c r="F133" s="22" t="s">
        <v>9</v>
      </c>
      <c r="G133" s="22" t="s">
        <v>9</v>
      </c>
    </row>
    <row r="134" spans="1:7" ht="24" customHeight="1" x14ac:dyDescent="0.2">
      <c r="A134" s="24" t="s">
        <v>9</v>
      </c>
      <c r="B134" s="25" t="s">
        <v>9</v>
      </c>
      <c r="C134" s="25" t="s">
        <v>141</v>
      </c>
      <c r="D134" s="25" t="s">
        <v>142</v>
      </c>
      <c r="E134" s="24" t="s">
        <v>9</v>
      </c>
      <c r="F134" s="24" t="s">
        <v>9</v>
      </c>
      <c r="G134" s="24" t="s">
        <v>9</v>
      </c>
    </row>
    <row r="135" spans="1:7" ht="18" customHeight="1" x14ac:dyDescent="0.2">
      <c r="A135" s="24" t="s">
        <v>9</v>
      </c>
      <c r="B135" s="25" t="s">
        <v>143</v>
      </c>
      <c r="C135" s="25" t="s">
        <v>144</v>
      </c>
      <c r="D135" s="25" t="s">
        <v>145</v>
      </c>
      <c r="E135" s="24" t="s">
        <v>9</v>
      </c>
      <c r="F135" s="24" t="s">
        <v>9</v>
      </c>
      <c r="G135" s="24" t="s">
        <v>9</v>
      </c>
    </row>
    <row r="136" spans="1:7" ht="17.100000000000001" customHeight="1" x14ac:dyDescent="0.2">
      <c r="A136" s="24" t="s">
        <v>9</v>
      </c>
      <c r="B136" s="6" t="s">
        <v>146</v>
      </c>
      <c r="C136" s="26">
        <v>12.5419</v>
      </c>
      <c r="D136" s="26">
        <v>12.652200000000001</v>
      </c>
      <c r="E136" s="24" t="s">
        <v>9</v>
      </c>
      <c r="F136" s="21" t="s">
        <v>9</v>
      </c>
      <c r="G136" s="27" t="s">
        <v>9</v>
      </c>
    </row>
    <row r="137" spans="1:7" ht="17.100000000000001" customHeight="1" x14ac:dyDescent="0.2">
      <c r="A137" s="24" t="s">
        <v>9</v>
      </c>
      <c r="B137" s="6" t="s">
        <v>839</v>
      </c>
      <c r="C137" s="26">
        <v>12.5418</v>
      </c>
      <c r="D137" s="26">
        <v>12.652200000000001</v>
      </c>
      <c r="E137" s="24" t="s">
        <v>9</v>
      </c>
      <c r="F137" s="21" t="s">
        <v>9</v>
      </c>
      <c r="G137" s="27" t="s">
        <v>9</v>
      </c>
    </row>
    <row r="138" spans="1:7" ht="17.100000000000001" customHeight="1" x14ac:dyDescent="0.2">
      <c r="A138" s="24" t="s">
        <v>9</v>
      </c>
      <c r="B138" s="6" t="s">
        <v>147</v>
      </c>
      <c r="C138" s="26">
        <v>12.008800000000001</v>
      </c>
      <c r="D138" s="26">
        <v>12.097300000000001</v>
      </c>
      <c r="E138" s="24" t="s">
        <v>9</v>
      </c>
      <c r="F138" s="21" t="s">
        <v>9</v>
      </c>
      <c r="G138" s="27" t="s">
        <v>9</v>
      </c>
    </row>
    <row r="139" spans="1:7" ht="17.100000000000001" customHeight="1" x14ac:dyDescent="0.2">
      <c r="A139" s="24" t="s">
        <v>9</v>
      </c>
      <c r="B139" s="6" t="s">
        <v>840</v>
      </c>
      <c r="C139" s="26">
        <v>12.0085</v>
      </c>
      <c r="D139" s="26">
        <v>12.097099999999999</v>
      </c>
      <c r="E139" s="24" t="s">
        <v>9</v>
      </c>
      <c r="F139" s="21" t="s">
        <v>9</v>
      </c>
      <c r="G139" s="27" t="s">
        <v>9</v>
      </c>
    </row>
    <row r="140" spans="1:7" ht="14.1" customHeight="1" x14ac:dyDescent="0.2">
      <c r="A140" s="24" t="s">
        <v>9</v>
      </c>
      <c r="B140" s="24" t="s">
        <v>9</v>
      </c>
      <c r="C140" s="24" t="s">
        <v>9</v>
      </c>
      <c r="D140" s="24" t="s">
        <v>9</v>
      </c>
      <c r="E140" s="24" t="s">
        <v>9</v>
      </c>
      <c r="F140" s="24" t="s">
        <v>9</v>
      </c>
      <c r="G140" s="24" t="s">
        <v>9</v>
      </c>
    </row>
    <row r="141" spans="1:7" ht="17.100000000000001" customHeight="1" x14ac:dyDescent="0.2">
      <c r="A141" s="24" t="s">
        <v>9</v>
      </c>
      <c r="B141" s="205" t="s">
        <v>1013</v>
      </c>
      <c r="C141" s="206"/>
      <c r="D141" s="4" t="s">
        <v>138</v>
      </c>
      <c r="E141" s="24" t="s">
        <v>9</v>
      </c>
      <c r="F141" s="24" t="s">
        <v>9</v>
      </c>
      <c r="G141" s="24" t="s">
        <v>9</v>
      </c>
    </row>
    <row r="142" spans="1:7" ht="18" customHeight="1" x14ac:dyDescent="0.2">
      <c r="A142" s="24" t="s">
        <v>9</v>
      </c>
      <c r="B142" s="30"/>
      <c r="C142" s="30"/>
      <c r="D142" s="28" t="s">
        <v>9</v>
      </c>
      <c r="E142" s="24" t="s">
        <v>9</v>
      </c>
      <c r="F142" s="24" t="s">
        <v>9</v>
      </c>
      <c r="G142" s="24" t="s">
        <v>9</v>
      </c>
    </row>
    <row r="143" spans="1:7" s="197" customFormat="1" x14ac:dyDescent="0.2">
      <c r="B143" s="208" t="s">
        <v>841</v>
      </c>
      <c r="C143" s="208"/>
      <c r="D143" s="208"/>
      <c r="E143" s="208"/>
      <c r="F143" s="208"/>
    </row>
    <row r="144" spans="1:7" ht="14.1" customHeight="1" x14ac:dyDescent="0.2">
      <c r="A144" s="24" t="s">
        <v>9</v>
      </c>
      <c r="B144" s="21" t="s">
        <v>9</v>
      </c>
      <c r="C144" s="21" t="s">
        <v>9</v>
      </c>
      <c r="D144" s="24" t="s">
        <v>9</v>
      </c>
      <c r="E144" s="24" t="s">
        <v>9</v>
      </c>
      <c r="F144" s="24" t="s">
        <v>9</v>
      </c>
      <c r="G144" s="24" t="s">
        <v>9</v>
      </c>
    </row>
    <row r="145" spans="1:7" ht="29.1" customHeight="1" x14ac:dyDescent="0.2">
      <c r="A145" s="24" t="s">
        <v>9</v>
      </c>
      <c r="B145" s="205" t="s">
        <v>148</v>
      </c>
      <c r="C145" s="206"/>
      <c r="D145" s="4" t="s">
        <v>994</v>
      </c>
      <c r="E145" s="24" t="s">
        <v>9</v>
      </c>
      <c r="F145" s="24" t="s">
        <v>9</v>
      </c>
      <c r="G145" s="24" t="s">
        <v>9</v>
      </c>
    </row>
    <row r="146" spans="1:7" ht="29.1" customHeight="1" x14ac:dyDescent="0.2">
      <c r="A146" s="24" t="s">
        <v>9</v>
      </c>
      <c r="B146" s="205" t="s">
        <v>149</v>
      </c>
      <c r="C146" s="206"/>
      <c r="D146" s="4" t="s">
        <v>138</v>
      </c>
      <c r="E146" s="24" t="s">
        <v>9</v>
      </c>
      <c r="F146" s="24" t="s">
        <v>9</v>
      </c>
      <c r="G146" s="24" t="s">
        <v>9</v>
      </c>
    </row>
    <row r="147" spans="1:7" ht="17.100000000000001" customHeight="1" x14ac:dyDescent="0.2">
      <c r="A147" s="24" t="s">
        <v>9</v>
      </c>
      <c r="B147" s="212" t="s">
        <v>992</v>
      </c>
      <c r="C147" s="213"/>
      <c r="D147" s="181">
        <v>0.85751878881969856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212" t="s">
        <v>993</v>
      </c>
      <c r="C148" s="213"/>
      <c r="D148" s="181">
        <v>0.80791375781549579</v>
      </c>
      <c r="E148" s="24" t="s">
        <v>9</v>
      </c>
      <c r="F148" s="24" t="s">
        <v>9</v>
      </c>
      <c r="G148" s="24" t="s">
        <v>9</v>
      </c>
    </row>
    <row r="149" spans="1:7" x14ac:dyDescent="0.2">
      <c r="B149" s="205" t="s">
        <v>995</v>
      </c>
      <c r="C149" s="206"/>
      <c r="D149" s="29">
        <v>4.5498130663486913</v>
      </c>
    </row>
    <row r="150" spans="1:7" x14ac:dyDescent="0.2">
      <c r="B150" s="205" t="s">
        <v>996</v>
      </c>
      <c r="C150" s="206"/>
      <c r="D150" s="4" t="s">
        <v>138</v>
      </c>
    </row>
  </sheetData>
  <mergeCells count="17">
    <mergeCell ref="B150:C150"/>
    <mergeCell ref="B130:C130"/>
    <mergeCell ref="B127:F127"/>
    <mergeCell ref="B128:F128"/>
    <mergeCell ref="B147:C147"/>
    <mergeCell ref="B148:C148"/>
    <mergeCell ref="B131:C131"/>
    <mergeCell ref="B132:C132"/>
    <mergeCell ref="B133:C133"/>
    <mergeCell ref="B141:C141"/>
    <mergeCell ref="B145:C145"/>
    <mergeCell ref="B146:C146"/>
    <mergeCell ref="B143:F143"/>
    <mergeCell ref="A1:H1"/>
    <mergeCell ref="A2:H2"/>
    <mergeCell ref="A3:H3"/>
    <mergeCell ref="B149:C14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126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23.28515625" bestFit="1" customWidth="1"/>
    <col min="3" max="3" width="39.140625" bestFit="1" customWidth="1"/>
    <col min="4" max="4" width="13.710937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726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50</v>
      </c>
      <c r="C7" s="6" t="s">
        <v>51</v>
      </c>
      <c r="D7" s="6" t="s">
        <v>22</v>
      </c>
      <c r="E7" s="7">
        <v>506324</v>
      </c>
      <c r="F7" s="8">
        <v>7584.2271959999998</v>
      </c>
      <c r="G7" s="9">
        <v>0.20323866600000001</v>
      </c>
      <c r="H7" s="156"/>
    </row>
    <row r="8" spans="1:8" x14ac:dyDescent="0.2">
      <c r="A8" s="5">
        <v>2</v>
      </c>
      <c r="B8" s="6" t="s">
        <v>20</v>
      </c>
      <c r="C8" s="6" t="s">
        <v>21</v>
      </c>
      <c r="D8" s="6" t="s">
        <v>22</v>
      </c>
      <c r="E8" s="7">
        <v>886497</v>
      </c>
      <c r="F8" s="8">
        <v>5592.9095729999999</v>
      </c>
      <c r="G8" s="9">
        <v>0.14987624299999999</v>
      </c>
      <c r="H8" s="156"/>
    </row>
    <row r="9" spans="1:8" x14ac:dyDescent="0.2">
      <c r="A9" s="5">
        <v>3</v>
      </c>
      <c r="B9" s="6" t="s">
        <v>400</v>
      </c>
      <c r="C9" s="6" t="s">
        <v>401</v>
      </c>
      <c r="D9" s="6" t="s">
        <v>166</v>
      </c>
      <c r="E9" s="7">
        <v>161518</v>
      </c>
      <c r="F9" s="8">
        <v>3997.974295</v>
      </c>
      <c r="G9" s="9">
        <v>0.107135894</v>
      </c>
      <c r="H9" s="156"/>
    </row>
    <row r="10" spans="1:8" x14ac:dyDescent="0.2">
      <c r="A10" s="5">
        <v>4</v>
      </c>
      <c r="B10" s="6" t="s">
        <v>356</v>
      </c>
      <c r="C10" s="6" t="s">
        <v>357</v>
      </c>
      <c r="D10" s="6" t="s">
        <v>22</v>
      </c>
      <c r="E10" s="7">
        <v>466660</v>
      </c>
      <c r="F10" s="8">
        <v>3492.0167799999999</v>
      </c>
      <c r="G10" s="9">
        <v>9.3577474999999993E-2</v>
      </c>
      <c r="H10" s="156"/>
    </row>
    <row r="11" spans="1:8" x14ac:dyDescent="0.2">
      <c r="A11" s="5">
        <v>5</v>
      </c>
      <c r="B11" s="6" t="s">
        <v>402</v>
      </c>
      <c r="C11" s="6" t="s">
        <v>403</v>
      </c>
      <c r="D11" s="6" t="s">
        <v>22</v>
      </c>
      <c r="E11" s="7">
        <v>782092</v>
      </c>
      <c r="F11" s="8">
        <v>3278.5296640000001</v>
      </c>
      <c r="G11" s="9">
        <v>8.7856544999999994E-2</v>
      </c>
      <c r="H11" s="156"/>
    </row>
    <row r="12" spans="1:8" x14ac:dyDescent="0.2">
      <c r="A12" s="5">
        <v>6</v>
      </c>
      <c r="B12" s="6" t="s">
        <v>526</v>
      </c>
      <c r="C12" s="6" t="s">
        <v>527</v>
      </c>
      <c r="D12" s="6" t="s">
        <v>22</v>
      </c>
      <c r="E12" s="7">
        <v>517173</v>
      </c>
      <c r="F12" s="8">
        <v>1795.3660695000001</v>
      </c>
      <c r="G12" s="9">
        <v>4.8111401999999998E-2</v>
      </c>
      <c r="H12" s="156"/>
    </row>
    <row r="13" spans="1:8" x14ac:dyDescent="0.2">
      <c r="A13" s="5">
        <v>7</v>
      </c>
      <c r="B13" s="6" t="s">
        <v>386</v>
      </c>
      <c r="C13" s="6" t="s">
        <v>387</v>
      </c>
      <c r="D13" s="6" t="s">
        <v>971</v>
      </c>
      <c r="E13" s="7">
        <v>9946</v>
      </c>
      <c r="F13" s="8">
        <v>1204.366113</v>
      </c>
      <c r="G13" s="9">
        <v>3.2274055000000003E-2</v>
      </c>
      <c r="H13" s="156"/>
    </row>
    <row r="14" spans="1:8" x14ac:dyDescent="0.2">
      <c r="A14" s="5">
        <v>8</v>
      </c>
      <c r="B14" s="6" t="s">
        <v>667</v>
      </c>
      <c r="C14" s="6" t="s">
        <v>668</v>
      </c>
      <c r="D14" s="6" t="s">
        <v>22</v>
      </c>
      <c r="E14" s="7">
        <v>108562</v>
      </c>
      <c r="F14" s="8">
        <v>1103.3698870000001</v>
      </c>
      <c r="G14" s="9">
        <v>2.9567604000000001E-2</v>
      </c>
      <c r="H14" s="156"/>
    </row>
    <row r="15" spans="1:8" x14ac:dyDescent="0.2">
      <c r="A15" s="5">
        <v>9</v>
      </c>
      <c r="B15" s="6" t="s">
        <v>426</v>
      </c>
      <c r="C15" s="6" t="s">
        <v>427</v>
      </c>
      <c r="D15" s="6" t="s">
        <v>22</v>
      </c>
      <c r="E15" s="7">
        <v>62105</v>
      </c>
      <c r="F15" s="8">
        <v>1059.4181424999999</v>
      </c>
      <c r="G15" s="9">
        <v>2.8389805000000001E-2</v>
      </c>
      <c r="H15" s="156"/>
    </row>
    <row r="16" spans="1:8" x14ac:dyDescent="0.2">
      <c r="A16" s="5">
        <v>10</v>
      </c>
      <c r="B16" s="6" t="s">
        <v>226</v>
      </c>
      <c r="C16" s="6" t="s">
        <v>227</v>
      </c>
      <c r="D16" s="6" t="s">
        <v>166</v>
      </c>
      <c r="E16" s="7">
        <v>163989</v>
      </c>
      <c r="F16" s="8">
        <v>887.59046249999994</v>
      </c>
      <c r="G16" s="9">
        <v>2.3785245E-2</v>
      </c>
      <c r="H16" s="156"/>
    </row>
    <row r="17" spans="1:8" x14ac:dyDescent="0.2">
      <c r="A17" s="5">
        <v>11</v>
      </c>
      <c r="B17" s="6" t="s">
        <v>307</v>
      </c>
      <c r="C17" s="6" t="s">
        <v>308</v>
      </c>
      <c r="D17" s="6" t="s">
        <v>22</v>
      </c>
      <c r="E17" s="7">
        <v>70067</v>
      </c>
      <c r="F17" s="8">
        <v>725.78901949999999</v>
      </c>
      <c r="G17" s="9">
        <v>1.9449364E-2</v>
      </c>
      <c r="H17" s="156"/>
    </row>
    <row r="18" spans="1:8" ht="25.5" x14ac:dyDescent="0.2">
      <c r="A18" s="5">
        <v>12</v>
      </c>
      <c r="B18" s="6" t="s">
        <v>303</v>
      </c>
      <c r="C18" s="6" t="s">
        <v>304</v>
      </c>
      <c r="D18" s="6" t="s">
        <v>166</v>
      </c>
      <c r="E18" s="7">
        <v>141241</v>
      </c>
      <c r="F18" s="8">
        <v>724.91943249999997</v>
      </c>
      <c r="G18" s="9">
        <v>1.9426061000000001E-2</v>
      </c>
      <c r="H18" s="156"/>
    </row>
    <row r="19" spans="1:8" x14ac:dyDescent="0.2">
      <c r="A19" s="5">
        <v>13</v>
      </c>
      <c r="B19" s="6" t="s">
        <v>362</v>
      </c>
      <c r="C19" s="6" t="s">
        <v>363</v>
      </c>
      <c r="D19" s="6" t="s">
        <v>166</v>
      </c>
      <c r="E19" s="7">
        <v>48923</v>
      </c>
      <c r="F19" s="8">
        <v>656.86465950000002</v>
      </c>
      <c r="G19" s="9">
        <v>1.7602360000000001E-2</v>
      </c>
      <c r="H19" s="156"/>
    </row>
    <row r="20" spans="1:8" x14ac:dyDescent="0.2">
      <c r="A20" s="5">
        <v>14</v>
      </c>
      <c r="B20" s="6" t="s">
        <v>317</v>
      </c>
      <c r="C20" s="6" t="s">
        <v>318</v>
      </c>
      <c r="D20" s="6" t="s">
        <v>22</v>
      </c>
      <c r="E20" s="7">
        <v>627218</v>
      </c>
      <c r="F20" s="8">
        <v>546.30687799999998</v>
      </c>
      <c r="G20" s="9">
        <v>1.4639683000000001E-2</v>
      </c>
      <c r="H20" s="156"/>
    </row>
    <row r="21" spans="1:8" x14ac:dyDescent="0.2">
      <c r="A21" s="5">
        <v>15</v>
      </c>
      <c r="B21" s="6" t="s">
        <v>727</v>
      </c>
      <c r="C21" s="6" t="s">
        <v>728</v>
      </c>
      <c r="D21" s="6" t="s">
        <v>166</v>
      </c>
      <c r="E21" s="7">
        <v>414772</v>
      </c>
      <c r="F21" s="8">
        <v>486.32017000000002</v>
      </c>
      <c r="G21" s="9">
        <v>1.3032185999999999E-2</v>
      </c>
      <c r="H21" s="156"/>
    </row>
    <row r="22" spans="1:8" x14ac:dyDescent="0.2">
      <c r="A22" s="5">
        <v>16</v>
      </c>
      <c r="B22" s="6" t="s">
        <v>571</v>
      </c>
      <c r="C22" s="6" t="s">
        <v>572</v>
      </c>
      <c r="D22" s="6" t="s">
        <v>166</v>
      </c>
      <c r="E22" s="7">
        <v>7202</v>
      </c>
      <c r="F22" s="8">
        <v>433.26151700000003</v>
      </c>
      <c r="G22" s="9">
        <v>1.1610344999999999E-2</v>
      </c>
      <c r="H22" s="156"/>
    </row>
    <row r="23" spans="1:8" x14ac:dyDescent="0.2">
      <c r="A23" s="5">
        <v>17</v>
      </c>
      <c r="B23" s="6" t="s">
        <v>404</v>
      </c>
      <c r="C23" s="6" t="s">
        <v>405</v>
      </c>
      <c r="D23" s="6" t="s">
        <v>971</v>
      </c>
      <c r="E23" s="7">
        <v>37738</v>
      </c>
      <c r="F23" s="8">
        <v>380.455647</v>
      </c>
      <c r="G23" s="9">
        <v>1.0195277000000001E-2</v>
      </c>
      <c r="H23" s="156"/>
    </row>
    <row r="24" spans="1:8" x14ac:dyDescent="0.2">
      <c r="A24" s="5">
        <v>18</v>
      </c>
      <c r="B24" s="6" t="s">
        <v>297</v>
      </c>
      <c r="C24" s="6" t="s">
        <v>298</v>
      </c>
      <c r="D24" s="6" t="s">
        <v>971</v>
      </c>
      <c r="E24" s="7">
        <v>31042</v>
      </c>
      <c r="F24" s="8">
        <v>329.16936800000002</v>
      </c>
      <c r="G24" s="9">
        <v>8.8209310000000006E-3</v>
      </c>
      <c r="H24" s="156"/>
    </row>
    <row r="25" spans="1:8" x14ac:dyDescent="0.2">
      <c r="A25" s="5">
        <v>19</v>
      </c>
      <c r="B25" s="6" t="s">
        <v>420</v>
      </c>
      <c r="C25" s="6" t="s">
        <v>421</v>
      </c>
      <c r="D25" s="6" t="s">
        <v>971</v>
      </c>
      <c r="E25" s="7">
        <v>19277</v>
      </c>
      <c r="F25" s="8">
        <v>302.07058999999998</v>
      </c>
      <c r="G25" s="9">
        <v>8.0947499999999995E-3</v>
      </c>
      <c r="H25" s="156"/>
    </row>
    <row r="26" spans="1:8" x14ac:dyDescent="0.2">
      <c r="A26" s="5">
        <v>20</v>
      </c>
      <c r="B26" s="6" t="s">
        <v>337</v>
      </c>
      <c r="C26" s="6" t="s">
        <v>338</v>
      </c>
      <c r="D26" s="6" t="s">
        <v>166</v>
      </c>
      <c r="E26" s="7">
        <v>59054</v>
      </c>
      <c r="F26" s="8">
        <v>277.55380000000002</v>
      </c>
      <c r="G26" s="9">
        <v>7.4377599999999999E-3</v>
      </c>
      <c r="H26" s="156"/>
    </row>
    <row r="27" spans="1:8" x14ac:dyDescent="0.2">
      <c r="A27" s="5">
        <v>21</v>
      </c>
      <c r="B27" s="6" t="s">
        <v>588</v>
      </c>
      <c r="C27" s="6" t="s">
        <v>589</v>
      </c>
      <c r="D27" s="6" t="s">
        <v>971</v>
      </c>
      <c r="E27" s="7">
        <v>39000</v>
      </c>
      <c r="F27" s="8">
        <v>267.65699999999998</v>
      </c>
      <c r="G27" s="9">
        <v>7.1725499999999998E-3</v>
      </c>
      <c r="H27" s="156"/>
    </row>
    <row r="28" spans="1:8" x14ac:dyDescent="0.2">
      <c r="A28" s="5">
        <v>22</v>
      </c>
      <c r="B28" s="6" t="s">
        <v>519</v>
      </c>
      <c r="C28" s="6" t="s">
        <v>520</v>
      </c>
      <c r="D28" s="6" t="s">
        <v>166</v>
      </c>
      <c r="E28" s="7">
        <v>184713</v>
      </c>
      <c r="F28" s="8">
        <v>163.47100499999999</v>
      </c>
      <c r="G28" s="9">
        <v>4.3806219999999998E-3</v>
      </c>
      <c r="H28" s="156"/>
    </row>
    <row r="29" spans="1:8" x14ac:dyDescent="0.2">
      <c r="A29" s="5">
        <v>23</v>
      </c>
      <c r="B29" s="6" t="s">
        <v>592</v>
      </c>
      <c r="C29" s="6" t="s">
        <v>593</v>
      </c>
      <c r="D29" s="6" t="s">
        <v>974</v>
      </c>
      <c r="E29" s="7">
        <v>16200</v>
      </c>
      <c r="F29" s="8">
        <v>138.29130000000001</v>
      </c>
      <c r="G29" s="9">
        <v>3.7058669999999998E-3</v>
      </c>
      <c r="H29" s="156"/>
    </row>
    <row r="30" spans="1:8" x14ac:dyDescent="0.2">
      <c r="A30" s="5">
        <v>24</v>
      </c>
      <c r="B30" s="6" t="s">
        <v>388</v>
      </c>
      <c r="C30" s="6" t="s">
        <v>389</v>
      </c>
      <c r="D30" s="6" t="s">
        <v>166</v>
      </c>
      <c r="E30" s="7">
        <v>61804</v>
      </c>
      <c r="F30" s="8">
        <v>97.094083999999995</v>
      </c>
      <c r="G30" s="9">
        <v>2.6018830000000001E-3</v>
      </c>
      <c r="H30" s="156"/>
    </row>
    <row r="31" spans="1:8" x14ac:dyDescent="0.2">
      <c r="A31" s="5">
        <v>25</v>
      </c>
      <c r="B31" s="6" t="s">
        <v>350</v>
      </c>
      <c r="C31" s="6" t="s">
        <v>351</v>
      </c>
      <c r="D31" s="6" t="s">
        <v>974</v>
      </c>
      <c r="E31" s="7">
        <v>15113</v>
      </c>
      <c r="F31" s="8">
        <v>96.866773499999994</v>
      </c>
      <c r="G31" s="9">
        <v>2.595792E-3</v>
      </c>
      <c r="H31" s="156"/>
    </row>
    <row r="32" spans="1:8" x14ac:dyDescent="0.2">
      <c r="A32" s="3" t="s">
        <v>9</v>
      </c>
      <c r="B32" s="3" t="s">
        <v>9</v>
      </c>
      <c r="C32" s="4" t="s">
        <v>105</v>
      </c>
      <c r="D32" s="3" t="s">
        <v>9</v>
      </c>
      <c r="E32" s="3" t="s">
        <v>9</v>
      </c>
      <c r="F32" s="10">
        <v>35621.859426499999</v>
      </c>
      <c r="G32" s="11">
        <v>0.95457836500000004</v>
      </c>
      <c r="H32" s="156"/>
    </row>
    <row r="33" spans="1:8" x14ac:dyDescent="0.2">
      <c r="A33" s="3" t="s">
        <v>9</v>
      </c>
      <c r="B33" s="3" t="s">
        <v>9</v>
      </c>
      <c r="C33" s="12" t="s">
        <v>9</v>
      </c>
      <c r="D33" s="3" t="s">
        <v>9</v>
      </c>
      <c r="E33" s="3" t="s">
        <v>9</v>
      </c>
      <c r="F33" s="13" t="s">
        <v>9</v>
      </c>
      <c r="G33" s="13" t="s">
        <v>9</v>
      </c>
      <c r="H33" s="156"/>
    </row>
    <row r="34" spans="1:8" x14ac:dyDescent="0.2">
      <c r="A34" s="3" t="s">
        <v>9</v>
      </c>
      <c r="B34" s="3" t="s">
        <v>9</v>
      </c>
      <c r="C34" s="4" t="s">
        <v>106</v>
      </c>
      <c r="D34" s="3" t="s">
        <v>9</v>
      </c>
      <c r="E34" s="3" t="s">
        <v>9</v>
      </c>
      <c r="F34" s="3" t="s">
        <v>9</v>
      </c>
      <c r="G34" s="3" t="s">
        <v>9</v>
      </c>
      <c r="H34" s="156"/>
    </row>
    <row r="35" spans="1:8" x14ac:dyDescent="0.2">
      <c r="A35" s="3" t="s">
        <v>9</v>
      </c>
      <c r="B35" s="3" t="s">
        <v>9</v>
      </c>
      <c r="C35" s="4" t="s">
        <v>105</v>
      </c>
      <c r="D35" s="3" t="s">
        <v>9</v>
      </c>
      <c r="E35" s="3" t="s">
        <v>9</v>
      </c>
      <c r="F35" s="14">
        <v>0</v>
      </c>
      <c r="G35" s="15">
        <v>0</v>
      </c>
      <c r="H35" s="156"/>
    </row>
    <row r="36" spans="1:8" x14ac:dyDescent="0.2">
      <c r="A36" s="3" t="s">
        <v>9</v>
      </c>
      <c r="B36" s="3" t="s">
        <v>9</v>
      </c>
      <c r="C36" s="12" t="s">
        <v>9</v>
      </c>
      <c r="D36" s="3" t="s">
        <v>9</v>
      </c>
      <c r="E36" s="3" t="s">
        <v>9</v>
      </c>
      <c r="F36" s="13" t="s">
        <v>9</v>
      </c>
      <c r="G36" s="13" t="s">
        <v>9</v>
      </c>
      <c r="H36" s="156"/>
    </row>
    <row r="37" spans="1:8" x14ac:dyDescent="0.2">
      <c r="A37" s="3" t="s">
        <v>9</v>
      </c>
      <c r="B37" s="3" t="s">
        <v>9</v>
      </c>
      <c r="C37" s="4" t="s">
        <v>107</v>
      </c>
      <c r="D37" s="3" t="s">
        <v>9</v>
      </c>
      <c r="E37" s="3" t="s">
        <v>9</v>
      </c>
      <c r="F37" s="3" t="s">
        <v>9</v>
      </c>
      <c r="G37" s="3" t="s">
        <v>9</v>
      </c>
      <c r="H37" s="156"/>
    </row>
    <row r="38" spans="1:8" x14ac:dyDescent="0.2">
      <c r="A38" s="3" t="s">
        <v>9</v>
      </c>
      <c r="B38" s="3" t="s">
        <v>9</v>
      </c>
      <c r="C38" s="4" t="s">
        <v>105</v>
      </c>
      <c r="D38" s="3" t="s">
        <v>9</v>
      </c>
      <c r="E38" s="3" t="s">
        <v>9</v>
      </c>
      <c r="F38" s="14">
        <v>0</v>
      </c>
      <c r="G38" s="15">
        <v>0</v>
      </c>
      <c r="H38" s="156"/>
    </row>
    <row r="39" spans="1:8" x14ac:dyDescent="0.2">
      <c r="A39" s="3" t="s">
        <v>9</v>
      </c>
      <c r="B39" s="3" t="s">
        <v>9</v>
      </c>
      <c r="C39" s="12" t="s">
        <v>9</v>
      </c>
      <c r="D39" s="3" t="s">
        <v>9</v>
      </c>
      <c r="E39" s="3" t="s">
        <v>9</v>
      </c>
      <c r="F39" s="13" t="s">
        <v>9</v>
      </c>
      <c r="G39" s="13" t="s">
        <v>9</v>
      </c>
      <c r="H39" s="156"/>
    </row>
    <row r="40" spans="1:8" x14ac:dyDescent="0.2">
      <c r="A40" s="3" t="s">
        <v>9</v>
      </c>
      <c r="B40" s="3" t="s">
        <v>9</v>
      </c>
      <c r="C40" s="4" t="s">
        <v>111</v>
      </c>
      <c r="D40" s="3" t="s">
        <v>9</v>
      </c>
      <c r="E40" s="3" t="s">
        <v>9</v>
      </c>
      <c r="F40" s="3" t="s">
        <v>9</v>
      </c>
      <c r="G40" s="3" t="s">
        <v>9</v>
      </c>
      <c r="H40" s="156"/>
    </row>
    <row r="41" spans="1:8" x14ac:dyDescent="0.2">
      <c r="A41" s="3" t="s">
        <v>9</v>
      </c>
      <c r="B41" s="3" t="s">
        <v>9</v>
      </c>
      <c r="C41" s="4" t="s">
        <v>105</v>
      </c>
      <c r="D41" s="3" t="s">
        <v>9</v>
      </c>
      <c r="E41" s="3" t="s">
        <v>9</v>
      </c>
      <c r="F41" s="14">
        <v>0</v>
      </c>
      <c r="G41" s="15">
        <v>0</v>
      </c>
      <c r="H41" s="156"/>
    </row>
    <row r="42" spans="1:8" x14ac:dyDescent="0.2">
      <c r="A42" s="3" t="s">
        <v>9</v>
      </c>
      <c r="B42" s="3" t="s">
        <v>9</v>
      </c>
      <c r="C42" s="12" t="s">
        <v>9</v>
      </c>
      <c r="D42" s="3" t="s">
        <v>9</v>
      </c>
      <c r="E42" s="3" t="s">
        <v>9</v>
      </c>
      <c r="F42" s="13" t="s">
        <v>9</v>
      </c>
      <c r="G42" s="13" t="s">
        <v>9</v>
      </c>
      <c r="H42" s="156"/>
    </row>
    <row r="43" spans="1:8" x14ac:dyDescent="0.2">
      <c r="A43" s="3" t="s">
        <v>9</v>
      </c>
      <c r="B43" s="3" t="s">
        <v>9</v>
      </c>
      <c r="C43" s="4" t="s">
        <v>112</v>
      </c>
      <c r="D43" s="3" t="s">
        <v>9</v>
      </c>
      <c r="E43" s="3" t="s">
        <v>9</v>
      </c>
      <c r="F43" s="13" t="s">
        <v>9</v>
      </c>
      <c r="G43" s="13" t="s">
        <v>9</v>
      </c>
      <c r="H43" s="156"/>
    </row>
    <row r="44" spans="1:8" x14ac:dyDescent="0.2">
      <c r="A44" s="3" t="s">
        <v>9</v>
      </c>
      <c r="B44" s="3" t="s">
        <v>9</v>
      </c>
      <c r="C44" s="4" t="s">
        <v>105</v>
      </c>
      <c r="D44" s="3" t="s">
        <v>9</v>
      </c>
      <c r="E44" s="3" t="s">
        <v>9</v>
      </c>
      <c r="F44" s="14">
        <v>0</v>
      </c>
      <c r="G44" s="15">
        <v>0</v>
      </c>
      <c r="H44" s="156"/>
    </row>
    <row r="45" spans="1:8" x14ac:dyDescent="0.2">
      <c r="A45" s="3" t="s">
        <v>9</v>
      </c>
      <c r="B45" s="3" t="s">
        <v>9</v>
      </c>
      <c r="C45" s="12" t="s">
        <v>9</v>
      </c>
      <c r="D45" s="3" t="s">
        <v>9</v>
      </c>
      <c r="E45" s="3" t="s">
        <v>9</v>
      </c>
      <c r="F45" s="13" t="s">
        <v>9</v>
      </c>
      <c r="G45" s="13" t="s">
        <v>9</v>
      </c>
      <c r="H45" s="156"/>
    </row>
    <row r="46" spans="1:8" x14ac:dyDescent="0.2">
      <c r="A46" s="3" t="s">
        <v>9</v>
      </c>
      <c r="B46" s="3" t="s">
        <v>9</v>
      </c>
      <c r="C46" s="4" t="s">
        <v>113</v>
      </c>
      <c r="D46" s="3" t="s">
        <v>9</v>
      </c>
      <c r="E46" s="3" t="s">
        <v>9</v>
      </c>
      <c r="F46" s="13" t="s">
        <v>9</v>
      </c>
      <c r="G46" s="13" t="s">
        <v>9</v>
      </c>
      <c r="H46" s="156"/>
    </row>
    <row r="47" spans="1:8" x14ac:dyDescent="0.2">
      <c r="A47" s="3" t="s">
        <v>9</v>
      </c>
      <c r="B47" s="3" t="s">
        <v>9</v>
      </c>
      <c r="C47" s="4" t="s">
        <v>105</v>
      </c>
      <c r="D47" s="3" t="s">
        <v>9</v>
      </c>
      <c r="E47" s="3" t="s">
        <v>9</v>
      </c>
      <c r="F47" s="14">
        <v>0</v>
      </c>
      <c r="G47" s="15">
        <v>0</v>
      </c>
      <c r="H47" s="156"/>
    </row>
    <row r="48" spans="1:8" x14ac:dyDescent="0.2">
      <c r="A48" s="3" t="s">
        <v>9</v>
      </c>
      <c r="B48" s="3" t="s">
        <v>9</v>
      </c>
      <c r="C48" s="12" t="s">
        <v>9</v>
      </c>
      <c r="D48" s="3" t="s">
        <v>9</v>
      </c>
      <c r="E48" s="3" t="s">
        <v>9</v>
      </c>
      <c r="F48" s="13" t="s">
        <v>9</v>
      </c>
      <c r="G48" s="1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114</v>
      </c>
      <c r="D49" s="3" t="s">
        <v>9</v>
      </c>
      <c r="E49" s="3" t="s">
        <v>9</v>
      </c>
      <c r="F49" s="10">
        <v>35621.859426499999</v>
      </c>
      <c r="G49" s="11">
        <v>0.95457836500000004</v>
      </c>
      <c r="H49" s="156"/>
    </row>
    <row r="50" spans="1:8" x14ac:dyDescent="0.2">
      <c r="A50" s="3" t="s">
        <v>9</v>
      </c>
      <c r="B50" s="3" t="s">
        <v>9</v>
      </c>
      <c r="C50" s="12" t="s">
        <v>9</v>
      </c>
      <c r="D50" s="3" t="s">
        <v>9</v>
      </c>
      <c r="E50" s="3" t="s">
        <v>9</v>
      </c>
      <c r="F50" s="13" t="s">
        <v>9</v>
      </c>
      <c r="G50" s="13" t="s">
        <v>9</v>
      </c>
      <c r="H50" s="156"/>
    </row>
    <row r="51" spans="1:8" x14ac:dyDescent="0.2">
      <c r="A51" s="3" t="s">
        <v>9</v>
      </c>
      <c r="B51" s="3" t="s">
        <v>9</v>
      </c>
      <c r="C51" s="4" t="s">
        <v>115</v>
      </c>
      <c r="D51" s="3" t="s">
        <v>9</v>
      </c>
      <c r="E51" s="3" t="s">
        <v>9</v>
      </c>
      <c r="F51" s="13" t="s">
        <v>9</v>
      </c>
      <c r="G51" s="13" t="s">
        <v>9</v>
      </c>
      <c r="H51" s="156"/>
    </row>
    <row r="52" spans="1:8" x14ac:dyDescent="0.2">
      <c r="A52" s="3" t="s">
        <v>9</v>
      </c>
      <c r="B52" s="3" t="s">
        <v>9</v>
      </c>
      <c r="C52" s="4" t="s">
        <v>11</v>
      </c>
      <c r="D52" s="3" t="s">
        <v>9</v>
      </c>
      <c r="E52" s="3" t="s">
        <v>9</v>
      </c>
      <c r="F52" s="13" t="s">
        <v>9</v>
      </c>
      <c r="G52" s="1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4">
        <v>0</v>
      </c>
      <c r="G53" s="15">
        <v>0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116</v>
      </c>
      <c r="D55" s="3" t="s">
        <v>9</v>
      </c>
      <c r="E55" s="3" t="s">
        <v>9</v>
      </c>
      <c r="F55" s="3" t="s">
        <v>9</v>
      </c>
      <c r="G55" s="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105</v>
      </c>
      <c r="D56" s="3" t="s">
        <v>9</v>
      </c>
      <c r="E56" s="3" t="s">
        <v>9</v>
      </c>
      <c r="F56" s="14">
        <v>0</v>
      </c>
      <c r="G56" s="15">
        <v>0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117</v>
      </c>
      <c r="D58" s="3" t="s">
        <v>9</v>
      </c>
      <c r="E58" s="3" t="s">
        <v>9</v>
      </c>
      <c r="F58" s="3" t="s">
        <v>9</v>
      </c>
      <c r="G58" s="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105</v>
      </c>
      <c r="D59" s="3" t="s">
        <v>9</v>
      </c>
      <c r="E59" s="3" t="s">
        <v>9</v>
      </c>
      <c r="F59" s="14">
        <v>0</v>
      </c>
      <c r="G59" s="15">
        <v>0</v>
      </c>
      <c r="H59" s="156"/>
    </row>
    <row r="60" spans="1:8" x14ac:dyDescent="0.2">
      <c r="A60" s="3" t="s">
        <v>9</v>
      </c>
      <c r="B60" s="3" t="s">
        <v>9</v>
      </c>
      <c r="C60" s="12" t="s">
        <v>9</v>
      </c>
      <c r="D60" s="3" t="s">
        <v>9</v>
      </c>
      <c r="E60" s="3" t="s">
        <v>9</v>
      </c>
      <c r="F60" s="13" t="s">
        <v>9</v>
      </c>
      <c r="G60" s="13" t="s">
        <v>9</v>
      </c>
      <c r="H60" s="156"/>
    </row>
    <row r="61" spans="1:8" x14ac:dyDescent="0.2">
      <c r="A61" s="3" t="s">
        <v>9</v>
      </c>
      <c r="B61" s="3" t="s">
        <v>9</v>
      </c>
      <c r="C61" s="4" t="s">
        <v>118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105</v>
      </c>
      <c r="D62" s="3" t="s">
        <v>9</v>
      </c>
      <c r="E62" s="3" t="s">
        <v>9</v>
      </c>
      <c r="F62" s="14">
        <v>0</v>
      </c>
      <c r="G62" s="15">
        <v>0</v>
      </c>
      <c r="H62" s="156"/>
    </row>
    <row r="63" spans="1:8" x14ac:dyDescent="0.2">
      <c r="A63" s="3" t="s">
        <v>9</v>
      </c>
      <c r="B63" s="3" t="s">
        <v>9</v>
      </c>
      <c r="C63" s="12" t="s">
        <v>9</v>
      </c>
      <c r="D63" s="3" t="s">
        <v>9</v>
      </c>
      <c r="E63" s="3" t="s">
        <v>9</v>
      </c>
      <c r="F63" s="13" t="s">
        <v>9</v>
      </c>
      <c r="G63" s="13" t="s">
        <v>9</v>
      </c>
      <c r="H63" s="156"/>
    </row>
    <row r="64" spans="1:8" x14ac:dyDescent="0.2">
      <c r="A64" s="3" t="s">
        <v>9</v>
      </c>
      <c r="B64" s="3" t="s">
        <v>9</v>
      </c>
      <c r="C64" s="4" t="s">
        <v>119</v>
      </c>
      <c r="D64" s="3" t="s">
        <v>9</v>
      </c>
      <c r="E64" s="3" t="s">
        <v>9</v>
      </c>
      <c r="F64" s="10">
        <v>0</v>
      </c>
      <c r="G64" s="11">
        <v>0</v>
      </c>
      <c r="H64" s="156"/>
    </row>
    <row r="65" spans="1:8" x14ac:dyDescent="0.2">
      <c r="A65" s="3" t="s">
        <v>9</v>
      </c>
      <c r="B65" s="3" t="s">
        <v>9</v>
      </c>
      <c r="C65" s="12" t="s">
        <v>9</v>
      </c>
      <c r="D65" s="3" t="s">
        <v>9</v>
      </c>
      <c r="E65" s="3" t="s">
        <v>9</v>
      </c>
      <c r="F65" s="13" t="s">
        <v>9</v>
      </c>
      <c r="G65" s="1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120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121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105</v>
      </c>
      <c r="D68" s="3" t="s">
        <v>9</v>
      </c>
      <c r="E68" s="3" t="s">
        <v>9</v>
      </c>
      <c r="F68" s="14">
        <v>0</v>
      </c>
      <c r="G68" s="15">
        <v>0</v>
      </c>
      <c r="H68" s="156"/>
    </row>
    <row r="69" spans="1:8" x14ac:dyDescent="0.2">
      <c r="A69" s="3" t="s">
        <v>9</v>
      </c>
      <c r="B69" s="3" t="s">
        <v>9</v>
      </c>
      <c r="C69" s="12" t="s">
        <v>9</v>
      </c>
      <c r="D69" s="3" t="s">
        <v>9</v>
      </c>
      <c r="E69" s="3" t="s">
        <v>9</v>
      </c>
      <c r="F69" s="13" t="s">
        <v>9</v>
      </c>
      <c r="G69" s="13" t="s">
        <v>9</v>
      </c>
      <c r="H69" s="156"/>
    </row>
    <row r="70" spans="1:8" x14ac:dyDescent="0.2">
      <c r="A70" s="3" t="s">
        <v>9</v>
      </c>
      <c r="B70" s="3" t="s">
        <v>9</v>
      </c>
      <c r="C70" s="4" t="s">
        <v>122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105</v>
      </c>
      <c r="D71" s="3" t="s">
        <v>9</v>
      </c>
      <c r="E71" s="3" t="s">
        <v>9</v>
      </c>
      <c r="F71" s="14">
        <v>0</v>
      </c>
      <c r="G71" s="15">
        <v>0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123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105</v>
      </c>
      <c r="D74" s="3" t="s">
        <v>9</v>
      </c>
      <c r="E74" s="3" t="s">
        <v>9</v>
      </c>
      <c r="F74" s="14">
        <v>0</v>
      </c>
      <c r="G74" s="15">
        <v>0</v>
      </c>
      <c r="H74" s="156"/>
    </row>
    <row r="75" spans="1:8" x14ac:dyDescent="0.2">
      <c r="A75" s="3" t="s">
        <v>9</v>
      </c>
      <c r="B75" s="3" t="s">
        <v>9</v>
      </c>
      <c r="C75" s="12" t="s">
        <v>9</v>
      </c>
      <c r="D75" s="3" t="s">
        <v>9</v>
      </c>
      <c r="E75" s="3" t="s">
        <v>9</v>
      </c>
      <c r="F75" s="13" t="s">
        <v>9</v>
      </c>
      <c r="G75" s="13" t="s">
        <v>9</v>
      </c>
      <c r="H75" s="156"/>
    </row>
    <row r="76" spans="1:8" x14ac:dyDescent="0.2">
      <c r="A76" s="3" t="s">
        <v>9</v>
      </c>
      <c r="B76" s="3" t="s">
        <v>9</v>
      </c>
      <c r="C76" s="4" t="s">
        <v>124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5">
        <v>1</v>
      </c>
      <c r="B77" s="6"/>
      <c r="C77" s="6" t="s">
        <v>125</v>
      </c>
      <c r="D77" s="6"/>
      <c r="E77" s="16" t="s">
        <v>9</v>
      </c>
      <c r="F77" s="8">
        <v>1245.47228</v>
      </c>
      <c r="G77" s="9">
        <v>3.3375598999999999E-2</v>
      </c>
      <c r="H77" s="8">
        <v>3.3326163573085874</v>
      </c>
    </row>
    <row r="78" spans="1:8" x14ac:dyDescent="0.2">
      <c r="A78" s="5">
        <v>2</v>
      </c>
      <c r="B78" s="6"/>
      <c r="C78" s="6" t="s">
        <v>126</v>
      </c>
      <c r="D78" s="6"/>
      <c r="E78" s="16" t="s">
        <v>9</v>
      </c>
      <c r="F78" s="8">
        <v>889.5771866</v>
      </c>
      <c r="G78" s="9">
        <v>2.3838484E-2</v>
      </c>
      <c r="H78" s="8">
        <v>3.2337849550915885</v>
      </c>
    </row>
    <row r="79" spans="1:8" x14ac:dyDescent="0.2">
      <c r="A79" s="3" t="s">
        <v>9</v>
      </c>
      <c r="B79" s="3" t="s">
        <v>9</v>
      </c>
      <c r="C79" s="4" t="s">
        <v>105</v>
      </c>
      <c r="D79" s="3" t="s">
        <v>9</v>
      </c>
      <c r="E79" s="3" t="s">
        <v>9</v>
      </c>
      <c r="F79" s="10">
        <v>2135.0494666</v>
      </c>
      <c r="G79" s="11">
        <v>5.7214082999999999E-2</v>
      </c>
      <c r="H79" s="156"/>
    </row>
    <row r="80" spans="1:8" x14ac:dyDescent="0.2">
      <c r="A80" s="3" t="s">
        <v>9</v>
      </c>
      <c r="B80" s="3" t="s">
        <v>9</v>
      </c>
      <c r="C80" s="12" t="s">
        <v>9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127</v>
      </c>
      <c r="D81" s="3" t="s">
        <v>9</v>
      </c>
      <c r="E81" s="3" t="s">
        <v>9</v>
      </c>
      <c r="F81" s="10">
        <v>2135.0494666</v>
      </c>
      <c r="G81" s="11">
        <v>5.7214082999999999E-2</v>
      </c>
      <c r="H81" s="156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3" t="s">
        <v>9</v>
      </c>
      <c r="G82" s="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128</v>
      </c>
      <c r="D83" s="3" t="s">
        <v>9</v>
      </c>
      <c r="E83" s="3" t="s">
        <v>9</v>
      </c>
      <c r="F83" s="3" t="s">
        <v>9</v>
      </c>
      <c r="G83" s="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129</v>
      </c>
      <c r="D84" s="3" t="s">
        <v>9</v>
      </c>
      <c r="E84" s="3" t="s">
        <v>9</v>
      </c>
      <c r="F84" s="3" t="s">
        <v>9</v>
      </c>
      <c r="G84" s="3" t="s">
        <v>9</v>
      </c>
      <c r="H84" s="156"/>
    </row>
    <row r="85" spans="1:8" x14ac:dyDescent="0.2">
      <c r="A85" s="3" t="s">
        <v>9</v>
      </c>
      <c r="B85" s="3" t="s">
        <v>9</v>
      </c>
      <c r="C85" s="4" t="s">
        <v>105</v>
      </c>
      <c r="D85" s="3" t="s">
        <v>9</v>
      </c>
      <c r="E85" s="3" t="s">
        <v>9</v>
      </c>
      <c r="F85" s="14">
        <v>0</v>
      </c>
      <c r="G85" s="15">
        <v>0</v>
      </c>
      <c r="H85" s="156"/>
    </row>
    <row r="86" spans="1:8" x14ac:dyDescent="0.2">
      <c r="A86" s="3" t="s">
        <v>9</v>
      </c>
      <c r="B86" s="3" t="s">
        <v>9</v>
      </c>
      <c r="C86" s="12" t="s">
        <v>9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130</v>
      </c>
      <c r="D87" s="3" t="s">
        <v>9</v>
      </c>
      <c r="E87" s="3" t="s">
        <v>9</v>
      </c>
      <c r="F87" s="3" t="s">
        <v>9</v>
      </c>
      <c r="G87" s="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131</v>
      </c>
      <c r="D88" s="3" t="s">
        <v>9</v>
      </c>
      <c r="E88" s="3" t="s">
        <v>9</v>
      </c>
      <c r="F88" s="3" t="s">
        <v>9</v>
      </c>
      <c r="G88" s="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105</v>
      </c>
      <c r="D89" s="3" t="s">
        <v>9</v>
      </c>
      <c r="E89" s="3" t="s">
        <v>9</v>
      </c>
      <c r="F89" s="14">
        <v>0</v>
      </c>
      <c r="G89" s="15">
        <v>0</v>
      </c>
      <c r="H89" s="156"/>
    </row>
    <row r="90" spans="1:8" x14ac:dyDescent="0.2">
      <c r="A90" s="3" t="s">
        <v>9</v>
      </c>
      <c r="B90" s="3" t="s">
        <v>9</v>
      </c>
      <c r="C90" s="12" t="s">
        <v>9</v>
      </c>
      <c r="D90" s="3" t="s">
        <v>9</v>
      </c>
      <c r="E90" s="3" t="s">
        <v>9</v>
      </c>
      <c r="F90" s="13" t="s">
        <v>9</v>
      </c>
      <c r="G90" s="13" t="s">
        <v>9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132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3" t="s">
        <v>9</v>
      </c>
      <c r="B93" s="3" t="s">
        <v>9</v>
      </c>
      <c r="C93" s="4" t="s">
        <v>105</v>
      </c>
      <c r="D93" s="3" t="s">
        <v>9</v>
      </c>
      <c r="E93" s="3" t="s">
        <v>9</v>
      </c>
      <c r="F93" s="14">
        <v>0</v>
      </c>
      <c r="G93" s="15">
        <v>0</v>
      </c>
      <c r="H93" s="156"/>
    </row>
    <row r="94" spans="1:8" x14ac:dyDescent="0.2">
      <c r="A94" s="3" t="s">
        <v>9</v>
      </c>
      <c r="B94" s="3" t="s">
        <v>9</v>
      </c>
      <c r="C94" s="12" t="s">
        <v>9</v>
      </c>
      <c r="D94" s="3" t="s">
        <v>9</v>
      </c>
      <c r="E94" s="3" t="s">
        <v>9</v>
      </c>
      <c r="F94" s="13" t="s">
        <v>9</v>
      </c>
      <c r="G94" s="13" t="s">
        <v>9</v>
      </c>
      <c r="H94" s="156"/>
    </row>
    <row r="95" spans="1:8" x14ac:dyDescent="0.2">
      <c r="A95" s="3" t="s">
        <v>9</v>
      </c>
      <c r="B95" s="6" t="s">
        <v>9</v>
      </c>
      <c r="C95" s="6" t="s">
        <v>9</v>
      </c>
      <c r="D95" s="4" t="s">
        <v>9</v>
      </c>
      <c r="E95" s="3" t="s">
        <v>9</v>
      </c>
      <c r="F95" s="6" t="s">
        <v>9</v>
      </c>
      <c r="G95" s="16" t="s">
        <v>9</v>
      </c>
      <c r="H95" s="156"/>
    </row>
    <row r="96" spans="1:8" x14ac:dyDescent="0.2">
      <c r="A96" s="16" t="s">
        <v>9</v>
      </c>
      <c r="B96" s="6" t="s">
        <v>9</v>
      </c>
      <c r="C96" s="6" t="s">
        <v>133</v>
      </c>
      <c r="D96" s="6" t="s">
        <v>9</v>
      </c>
      <c r="E96" s="16" t="s">
        <v>9</v>
      </c>
      <c r="F96" s="8">
        <v>-440.05704788999998</v>
      </c>
      <c r="G96" s="9">
        <v>-1.1792448000000001E-2</v>
      </c>
      <c r="H96" s="156"/>
    </row>
    <row r="97" spans="1:8" x14ac:dyDescent="0.2">
      <c r="A97" s="12" t="s">
        <v>9</v>
      </c>
      <c r="B97" s="12" t="s">
        <v>9</v>
      </c>
      <c r="C97" s="4" t="s">
        <v>134</v>
      </c>
      <c r="D97" s="17" t="s">
        <v>9</v>
      </c>
      <c r="E97" s="17" t="s">
        <v>9</v>
      </c>
      <c r="F97" s="10">
        <v>37316.851845210003</v>
      </c>
      <c r="G97" s="11">
        <v>1</v>
      </c>
      <c r="H97" s="156"/>
    </row>
    <row r="98" spans="1:8" ht="14.1" customHeight="1" x14ac:dyDescent="0.2">
      <c r="A98" s="18" t="s">
        <v>9</v>
      </c>
      <c r="B98" s="18" t="s">
        <v>9</v>
      </c>
      <c r="C98" s="18" t="s">
        <v>9</v>
      </c>
      <c r="D98" s="19" t="s">
        <v>9</v>
      </c>
      <c r="E98" s="19" t="s">
        <v>9</v>
      </c>
      <c r="F98" s="19" t="s">
        <v>9</v>
      </c>
      <c r="G98" s="19" t="s">
        <v>9</v>
      </c>
    </row>
    <row r="99" spans="1:8" ht="14.1" customHeight="1" x14ac:dyDescent="0.2">
      <c r="A99" s="20" t="s">
        <v>9</v>
      </c>
      <c r="B99" s="200" t="s">
        <v>9</v>
      </c>
      <c r="C99" s="200"/>
      <c r="D99" s="200"/>
      <c r="E99" s="200"/>
      <c r="F99" s="200"/>
      <c r="G99" s="22" t="s">
        <v>9</v>
      </c>
    </row>
    <row r="100" spans="1:8" ht="14.1" customHeight="1" x14ac:dyDescent="0.2">
      <c r="A100" s="20" t="s">
        <v>9</v>
      </c>
      <c r="B100" s="200" t="s">
        <v>9</v>
      </c>
      <c r="C100" s="200"/>
      <c r="D100" s="200"/>
      <c r="E100" s="200"/>
      <c r="F100" s="200"/>
      <c r="G100" s="22" t="s">
        <v>9</v>
      </c>
    </row>
    <row r="101" spans="1:8" ht="14.1" customHeight="1" x14ac:dyDescent="0.2">
      <c r="A101" s="20" t="s">
        <v>9</v>
      </c>
      <c r="B101" s="20" t="s">
        <v>9</v>
      </c>
      <c r="C101" s="20" t="s">
        <v>9</v>
      </c>
      <c r="D101" s="22" t="s">
        <v>9</v>
      </c>
      <c r="E101" s="22" t="s">
        <v>9</v>
      </c>
      <c r="F101" s="22" t="s">
        <v>9</v>
      </c>
      <c r="G101" s="22" t="s">
        <v>9</v>
      </c>
    </row>
    <row r="102" spans="1:8" ht="14.1" customHeight="1" x14ac:dyDescent="0.2">
      <c r="A102" s="20" t="s">
        <v>9</v>
      </c>
      <c r="B102" s="198" t="s">
        <v>136</v>
      </c>
      <c r="C102" s="199"/>
      <c r="D102" s="13" t="s">
        <v>9</v>
      </c>
      <c r="E102" s="23" t="s">
        <v>9</v>
      </c>
      <c r="F102" s="22" t="s">
        <v>9</v>
      </c>
      <c r="G102" s="22" t="s">
        <v>9</v>
      </c>
    </row>
    <row r="103" spans="1:8" ht="29.1" customHeight="1" x14ac:dyDescent="0.2">
      <c r="A103" s="20" t="s">
        <v>9</v>
      </c>
      <c r="B103" s="205" t="s">
        <v>137</v>
      </c>
      <c r="C103" s="206"/>
      <c r="D103" s="4" t="s">
        <v>138</v>
      </c>
      <c r="E103" s="23" t="s">
        <v>9</v>
      </c>
      <c r="F103" s="22" t="s">
        <v>9</v>
      </c>
      <c r="G103" s="22" t="s">
        <v>9</v>
      </c>
    </row>
    <row r="104" spans="1:8" ht="17.100000000000001" customHeight="1" x14ac:dyDescent="0.2">
      <c r="A104" s="20" t="s">
        <v>9</v>
      </c>
      <c r="B104" s="205" t="s">
        <v>139</v>
      </c>
      <c r="C104" s="206"/>
      <c r="D104" s="4" t="s">
        <v>138</v>
      </c>
      <c r="E104" s="23" t="s">
        <v>9</v>
      </c>
      <c r="F104" s="22" t="s">
        <v>9</v>
      </c>
      <c r="G104" s="22" t="s">
        <v>9</v>
      </c>
    </row>
    <row r="105" spans="1:8" ht="17.100000000000001" customHeight="1" x14ac:dyDescent="0.2">
      <c r="A105" s="20" t="s">
        <v>9</v>
      </c>
      <c r="B105" s="205" t="s">
        <v>140</v>
      </c>
      <c r="C105" s="206"/>
      <c r="D105" s="13" t="s">
        <v>9</v>
      </c>
      <c r="E105" s="23" t="s">
        <v>9</v>
      </c>
      <c r="F105" s="22" t="s">
        <v>9</v>
      </c>
      <c r="G105" s="22" t="s">
        <v>9</v>
      </c>
    </row>
    <row r="106" spans="1:8" ht="24" customHeight="1" x14ac:dyDescent="0.2">
      <c r="A106" s="24" t="s">
        <v>9</v>
      </c>
      <c r="B106" s="25" t="s">
        <v>9</v>
      </c>
      <c r="C106" s="25" t="s">
        <v>141</v>
      </c>
      <c r="D106" s="25" t="s">
        <v>142</v>
      </c>
      <c r="E106" s="24" t="s">
        <v>9</v>
      </c>
      <c r="F106" s="24" t="s">
        <v>9</v>
      </c>
      <c r="G106" s="24" t="s">
        <v>9</v>
      </c>
    </row>
    <row r="107" spans="1:8" ht="18" customHeight="1" x14ac:dyDescent="0.2">
      <c r="A107" s="24" t="s">
        <v>9</v>
      </c>
      <c r="B107" s="25" t="s">
        <v>143</v>
      </c>
      <c r="C107" s="25" t="s">
        <v>144</v>
      </c>
      <c r="D107" s="25" t="s">
        <v>145</v>
      </c>
      <c r="E107" s="24" t="s">
        <v>9</v>
      </c>
      <c r="F107" s="24" t="s">
        <v>9</v>
      </c>
      <c r="G107" s="24" t="s">
        <v>9</v>
      </c>
    </row>
    <row r="108" spans="1:8" ht="17.100000000000001" customHeight="1" x14ac:dyDescent="0.2">
      <c r="A108" s="24" t="s">
        <v>9</v>
      </c>
      <c r="B108" s="6" t="s">
        <v>146</v>
      </c>
      <c r="C108" s="26">
        <v>59.863100000000003</v>
      </c>
      <c r="D108" s="26">
        <v>59.363300000000002</v>
      </c>
      <c r="E108" s="24" t="s">
        <v>9</v>
      </c>
      <c r="F108" s="21" t="s">
        <v>9</v>
      </c>
      <c r="G108" s="27" t="s">
        <v>9</v>
      </c>
    </row>
    <row r="109" spans="1:8" ht="17.100000000000001" customHeight="1" x14ac:dyDescent="0.2">
      <c r="A109" s="24" t="s">
        <v>9</v>
      </c>
      <c r="B109" s="6" t="s">
        <v>839</v>
      </c>
      <c r="C109" s="26">
        <v>25.261800000000001</v>
      </c>
      <c r="D109" s="26">
        <v>23.3142</v>
      </c>
      <c r="E109" s="24" t="s">
        <v>9</v>
      </c>
      <c r="F109" s="21" t="s">
        <v>9</v>
      </c>
      <c r="G109" s="27" t="s">
        <v>9</v>
      </c>
    </row>
    <row r="110" spans="1:8" ht="29.1" customHeight="1" x14ac:dyDescent="0.2">
      <c r="A110" s="24" t="s">
        <v>9</v>
      </c>
      <c r="B110" s="6" t="s">
        <v>396</v>
      </c>
      <c r="C110" s="26">
        <v>61.550400000000003</v>
      </c>
      <c r="D110" s="26">
        <v>61.036499999999997</v>
      </c>
      <c r="E110" s="24" t="s">
        <v>9</v>
      </c>
      <c r="F110" s="21" t="s">
        <v>9</v>
      </c>
      <c r="G110" s="27" t="s">
        <v>9</v>
      </c>
    </row>
    <row r="111" spans="1:8" ht="29.1" customHeight="1" x14ac:dyDescent="0.2">
      <c r="A111" s="24" t="s">
        <v>9</v>
      </c>
      <c r="B111" s="6" t="s">
        <v>1014</v>
      </c>
      <c r="C111" s="26">
        <v>25.709399999999999</v>
      </c>
      <c r="D111" s="26">
        <v>23.726500000000001</v>
      </c>
      <c r="E111" s="24" t="s">
        <v>9</v>
      </c>
      <c r="F111" s="21" t="s">
        <v>9</v>
      </c>
      <c r="G111" s="27" t="s">
        <v>9</v>
      </c>
    </row>
    <row r="112" spans="1:8" ht="17.100000000000001" customHeight="1" x14ac:dyDescent="0.2">
      <c r="A112" s="24" t="s">
        <v>9</v>
      </c>
      <c r="B112" s="6" t="s">
        <v>147</v>
      </c>
      <c r="C112" s="26">
        <v>56.271000000000001</v>
      </c>
      <c r="D112" s="26">
        <v>55.736499999999999</v>
      </c>
      <c r="E112" s="24" t="s">
        <v>9</v>
      </c>
      <c r="F112" s="21" t="s">
        <v>9</v>
      </c>
      <c r="G112" s="27" t="s">
        <v>9</v>
      </c>
    </row>
    <row r="113" spans="1:8" ht="17.100000000000001" customHeight="1" x14ac:dyDescent="0.2">
      <c r="A113" s="24" t="s">
        <v>9</v>
      </c>
      <c r="B113" s="6" t="s">
        <v>840</v>
      </c>
      <c r="C113" s="26">
        <v>23.360399999999998</v>
      </c>
      <c r="D113" s="26">
        <v>21.533799999999999</v>
      </c>
      <c r="E113" s="24" t="s">
        <v>9</v>
      </c>
      <c r="F113" s="21" t="s">
        <v>9</v>
      </c>
      <c r="G113" s="27" t="s">
        <v>9</v>
      </c>
    </row>
    <row r="114" spans="1:8" ht="14.1" customHeight="1" x14ac:dyDescent="0.2">
      <c r="A114" s="24" t="s">
        <v>9</v>
      </c>
      <c r="B114" s="24" t="s">
        <v>9</v>
      </c>
      <c r="C114" s="24" t="s">
        <v>9</v>
      </c>
      <c r="D114" s="24" t="s">
        <v>9</v>
      </c>
      <c r="E114" s="24" t="s">
        <v>9</v>
      </c>
      <c r="F114" s="24" t="s">
        <v>9</v>
      </c>
      <c r="G114" s="24" t="s">
        <v>9</v>
      </c>
    </row>
    <row r="115" spans="1:8" ht="29.1" customHeight="1" x14ac:dyDescent="0.2">
      <c r="A115" s="167" t="s">
        <v>9</v>
      </c>
      <c r="B115" s="207" t="s">
        <v>986</v>
      </c>
      <c r="C115" s="207"/>
      <c r="D115" s="160"/>
      <c r="E115" s="167" t="s">
        <v>9</v>
      </c>
      <c r="F115" s="167" t="s">
        <v>9</v>
      </c>
      <c r="G115" s="167" t="s">
        <v>9</v>
      </c>
    </row>
    <row r="116" spans="1:8" s="166" customFormat="1" ht="15" x14ac:dyDescent="0.2">
      <c r="A116" s="148" t="s">
        <v>9</v>
      </c>
      <c r="B116" s="161" t="s">
        <v>143</v>
      </c>
      <c r="C116" s="161" t="s">
        <v>878</v>
      </c>
      <c r="D116" s="161" t="s">
        <v>879</v>
      </c>
      <c r="E116" s="148" t="s">
        <v>9</v>
      </c>
      <c r="F116" s="148" t="s">
        <v>9</v>
      </c>
      <c r="G116" s="148" t="s">
        <v>9</v>
      </c>
      <c r="H116" s="165"/>
    </row>
    <row r="117" spans="1:8" ht="17.100000000000001" customHeight="1" x14ac:dyDescent="0.2">
      <c r="A117" s="24" t="s">
        <v>9</v>
      </c>
      <c r="B117" s="162" t="s">
        <v>839</v>
      </c>
      <c r="C117" s="163">
        <v>1.7370000000000001</v>
      </c>
      <c r="D117" s="163">
        <v>0</v>
      </c>
      <c r="E117" s="24" t="s">
        <v>9</v>
      </c>
      <c r="F117" s="31" t="s">
        <v>9</v>
      </c>
      <c r="G117" s="27" t="s">
        <v>9</v>
      </c>
    </row>
    <row r="118" spans="1:8" ht="17.100000000000001" customHeight="1" x14ac:dyDescent="0.2">
      <c r="A118" s="24" t="s">
        <v>9</v>
      </c>
      <c r="B118" s="162" t="s">
        <v>1014</v>
      </c>
      <c r="C118" s="163">
        <v>1.768</v>
      </c>
      <c r="D118" s="163">
        <v>0</v>
      </c>
      <c r="E118" s="24" t="s">
        <v>9</v>
      </c>
      <c r="F118" s="31" t="s">
        <v>9</v>
      </c>
      <c r="G118" s="27" t="s">
        <v>9</v>
      </c>
    </row>
    <row r="119" spans="1:8" ht="17.100000000000001" customHeight="1" x14ac:dyDescent="0.2">
      <c r="A119" s="24" t="s">
        <v>9</v>
      </c>
      <c r="B119" s="162" t="s">
        <v>840</v>
      </c>
      <c r="C119" s="163">
        <v>1.605</v>
      </c>
      <c r="D119" s="163">
        <v>1.605</v>
      </c>
      <c r="E119" s="24" t="s">
        <v>9</v>
      </c>
      <c r="F119" s="31" t="s">
        <v>9</v>
      </c>
      <c r="G119" s="27" t="s">
        <v>9</v>
      </c>
    </row>
    <row r="120" spans="1:8" ht="14.1" customHeight="1" x14ac:dyDescent="0.2">
      <c r="A120" s="24" t="s">
        <v>9</v>
      </c>
      <c r="B120" s="21" t="s">
        <v>9</v>
      </c>
      <c r="C120" s="21" t="s">
        <v>9</v>
      </c>
      <c r="D120" s="24" t="s">
        <v>9</v>
      </c>
      <c r="E120" s="24" t="s">
        <v>9</v>
      </c>
      <c r="F120" s="24" t="s">
        <v>9</v>
      </c>
      <c r="G120" s="24" t="s">
        <v>9</v>
      </c>
    </row>
    <row r="121" spans="1:8" s="197" customFormat="1" x14ac:dyDescent="0.2">
      <c r="B121" s="208" t="s">
        <v>841</v>
      </c>
      <c r="C121" s="208"/>
      <c r="D121" s="208"/>
      <c r="E121" s="208"/>
      <c r="F121" s="208"/>
    </row>
    <row r="122" spans="1:8" ht="14.1" customHeight="1" x14ac:dyDescent="0.2">
      <c r="A122" s="24"/>
      <c r="B122" s="182"/>
      <c r="C122" s="182"/>
      <c r="D122" s="24"/>
      <c r="E122" s="24"/>
      <c r="F122" s="24"/>
      <c r="G122" s="24"/>
    </row>
    <row r="123" spans="1:8" ht="29.1" customHeight="1" x14ac:dyDescent="0.2">
      <c r="A123" s="24" t="s">
        <v>9</v>
      </c>
      <c r="B123" s="205" t="s">
        <v>148</v>
      </c>
      <c r="C123" s="206"/>
      <c r="D123" s="4" t="s">
        <v>138</v>
      </c>
      <c r="E123" s="24" t="s">
        <v>9</v>
      </c>
      <c r="F123" s="24" t="s">
        <v>9</v>
      </c>
      <c r="G123" s="24" t="s">
        <v>9</v>
      </c>
    </row>
    <row r="124" spans="1:8" ht="29.1" customHeight="1" x14ac:dyDescent="0.2">
      <c r="A124" s="24" t="s">
        <v>9</v>
      </c>
      <c r="B124" s="205" t="s">
        <v>149</v>
      </c>
      <c r="C124" s="206"/>
      <c r="D124" s="4" t="s">
        <v>138</v>
      </c>
      <c r="E124" s="24" t="s">
        <v>9</v>
      </c>
      <c r="F124" s="24" t="s">
        <v>9</v>
      </c>
      <c r="G124" s="24" t="s">
        <v>9</v>
      </c>
    </row>
    <row r="125" spans="1:8" ht="17.100000000000001" customHeight="1" x14ac:dyDescent="0.2">
      <c r="A125" s="24" t="s">
        <v>9</v>
      </c>
      <c r="B125" s="205" t="s">
        <v>150</v>
      </c>
      <c r="C125" s="206"/>
      <c r="D125" s="29">
        <v>0.24182527934239334</v>
      </c>
      <c r="E125" s="24" t="s">
        <v>9</v>
      </c>
      <c r="F125" s="21" t="s">
        <v>9</v>
      </c>
      <c r="G125" s="27" t="s">
        <v>9</v>
      </c>
    </row>
    <row r="126" spans="1:8" ht="17.100000000000001" customHeight="1" x14ac:dyDescent="0.2">
      <c r="A126" s="24" t="s">
        <v>9</v>
      </c>
      <c r="B126" s="205" t="s">
        <v>151</v>
      </c>
      <c r="C126" s="206"/>
      <c r="D126" s="4" t="s">
        <v>138</v>
      </c>
      <c r="E126" s="24" t="s">
        <v>9</v>
      </c>
      <c r="F126" s="24" t="s">
        <v>9</v>
      </c>
      <c r="G126" s="24" t="s">
        <v>9</v>
      </c>
    </row>
  </sheetData>
  <mergeCells count="15">
    <mergeCell ref="B125:C125"/>
    <mergeCell ref="B126:C126"/>
    <mergeCell ref="B103:C103"/>
    <mergeCell ref="B104:C104"/>
    <mergeCell ref="B105:C105"/>
    <mergeCell ref="B115:C115"/>
    <mergeCell ref="B123:C123"/>
    <mergeCell ref="B124:C124"/>
    <mergeCell ref="B121:F121"/>
    <mergeCell ref="B102:C102"/>
    <mergeCell ref="B99:F99"/>
    <mergeCell ref="B100:F10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139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729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102145</v>
      </c>
      <c r="F7" s="8">
        <v>644.43280500000003</v>
      </c>
      <c r="G7" s="9">
        <v>7.5343065000000001E-2</v>
      </c>
      <c r="H7" s="156"/>
    </row>
    <row r="8" spans="1:8" x14ac:dyDescent="0.2">
      <c r="A8" s="5">
        <v>2</v>
      </c>
      <c r="B8" s="6" t="s">
        <v>402</v>
      </c>
      <c r="C8" s="6" t="s">
        <v>403</v>
      </c>
      <c r="D8" s="6" t="s">
        <v>22</v>
      </c>
      <c r="E8" s="7">
        <v>150297</v>
      </c>
      <c r="F8" s="8">
        <v>630.04502400000001</v>
      </c>
      <c r="G8" s="9">
        <v>7.3660935999999996E-2</v>
      </c>
      <c r="H8" s="156"/>
    </row>
    <row r="9" spans="1:8" x14ac:dyDescent="0.2">
      <c r="A9" s="5">
        <v>3</v>
      </c>
      <c r="B9" s="6" t="s">
        <v>356</v>
      </c>
      <c r="C9" s="6" t="s">
        <v>357</v>
      </c>
      <c r="D9" s="6" t="s">
        <v>22</v>
      </c>
      <c r="E9" s="7">
        <v>68473</v>
      </c>
      <c r="F9" s="8">
        <v>512.38345900000002</v>
      </c>
      <c r="G9" s="9">
        <v>5.9904679000000002E-2</v>
      </c>
      <c r="H9" s="156"/>
    </row>
    <row r="10" spans="1:8" x14ac:dyDescent="0.2">
      <c r="A10" s="5">
        <v>4</v>
      </c>
      <c r="B10" s="6" t="s">
        <v>12</v>
      </c>
      <c r="C10" s="6" t="s">
        <v>13</v>
      </c>
      <c r="D10" s="6" t="s">
        <v>14</v>
      </c>
      <c r="E10" s="7">
        <v>28039</v>
      </c>
      <c r="F10" s="8">
        <v>420.7392145</v>
      </c>
      <c r="G10" s="9">
        <v>4.9190206E-2</v>
      </c>
      <c r="H10" s="156"/>
    </row>
    <row r="11" spans="1:8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66285</v>
      </c>
      <c r="F11" s="8">
        <v>348.42710249999999</v>
      </c>
      <c r="G11" s="9">
        <v>4.0735924E-2</v>
      </c>
      <c r="H11" s="156"/>
    </row>
    <row r="12" spans="1:8" x14ac:dyDescent="0.2">
      <c r="A12" s="5">
        <v>6</v>
      </c>
      <c r="B12" s="6" t="s">
        <v>346</v>
      </c>
      <c r="C12" s="6" t="s">
        <v>347</v>
      </c>
      <c r="D12" s="6" t="s">
        <v>22</v>
      </c>
      <c r="E12" s="7">
        <v>367875</v>
      </c>
      <c r="F12" s="8">
        <v>316.00462499999998</v>
      </c>
      <c r="G12" s="9">
        <v>3.6945289999999999E-2</v>
      </c>
      <c r="H12" s="156"/>
    </row>
    <row r="13" spans="1:8" x14ac:dyDescent="0.2">
      <c r="A13" s="5">
        <v>7</v>
      </c>
      <c r="B13" s="6" t="s">
        <v>216</v>
      </c>
      <c r="C13" s="6" t="s">
        <v>217</v>
      </c>
      <c r="D13" s="6" t="s">
        <v>54</v>
      </c>
      <c r="E13" s="7">
        <v>27548</v>
      </c>
      <c r="F13" s="8">
        <v>306.12714999999997</v>
      </c>
      <c r="G13" s="9">
        <v>3.5790478000000001E-2</v>
      </c>
      <c r="H13" s="156"/>
    </row>
    <row r="14" spans="1:8" x14ac:dyDescent="0.2">
      <c r="A14" s="5">
        <v>8</v>
      </c>
      <c r="B14" s="6" t="s">
        <v>57</v>
      </c>
      <c r="C14" s="6" t="s">
        <v>58</v>
      </c>
      <c r="D14" s="6" t="s">
        <v>17</v>
      </c>
      <c r="E14" s="7">
        <v>60850</v>
      </c>
      <c r="F14" s="8">
        <v>284.83884999999998</v>
      </c>
      <c r="G14" s="9">
        <v>3.3301582000000003E-2</v>
      </c>
      <c r="H14" s="156"/>
    </row>
    <row r="15" spans="1:8" x14ac:dyDescent="0.2">
      <c r="A15" s="5">
        <v>9</v>
      </c>
      <c r="B15" s="6" t="s">
        <v>400</v>
      </c>
      <c r="C15" s="6" t="s">
        <v>401</v>
      </c>
      <c r="D15" s="6" t="s">
        <v>166</v>
      </c>
      <c r="E15" s="7">
        <v>10962</v>
      </c>
      <c r="F15" s="8">
        <v>271.336905</v>
      </c>
      <c r="G15" s="9">
        <v>3.1723018999999998E-2</v>
      </c>
      <c r="H15" s="156"/>
    </row>
    <row r="16" spans="1:8" x14ac:dyDescent="0.2">
      <c r="A16" s="5">
        <v>10</v>
      </c>
      <c r="B16" s="6" t="s">
        <v>631</v>
      </c>
      <c r="C16" s="6" t="s">
        <v>632</v>
      </c>
      <c r="D16" s="6" t="s">
        <v>17</v>
      </c>
      <c r="E16" s="7">
        <v>236958</v>
      </c>
      <c r="F16" s="8">
        <v>255.677682</v>
      </c>
      <c r="G16" s="9">
        <v>2.989224E-2</v>
      </c>
      <c r="H16" s="156"/>
    </row>
    <row r="17" spans="1:8" x14ac:dyDescent="0.2">
      <c r="A17" s="5">
        <v>11</v>
      </c>
      <c r="B17" s="6" t="s">
        <v>317</v>
      </c>
      <c r="C17" s="6" t="s">
        <v>318</v>
      </c>
      <c r="D17" s="6" t="s">
        <v>22</v>
      </c>
      <c r="E17" s="7">
        <v>289203</v>
      </c>
      <c r="F17" s="8">
        <v>251.895813</v>
      </c>
      <c r="G17" s="9">
        <v>2.9450087999999999E-2</v>
      </c>
      <c r="H17" s="156"/>
    </row>
    <row r="18" spans="1:8" x14ac:dyDescent="0.2">
      <c r="A18" s="5">
        <v>12</v>
      </c>
      <c r="B18" s="6" t="s">
        <v>55</v>
      </c>
      <c r="C18" s="6" t="s">
        <v>56</v>
      </c>
      <c r="D18" s="6" t="s">
        <v>35</v>
      </c>
      <c r="E18" s="7">
        <v>32080</v>
      </c>
      <c r="F18" s="8">
        <v>246.214</v>
      </c>
      <c r="G18" s="9">
        <v>2.8785806000000001E-2</v>
      </c>
      <c r="H18" s="156"/>
    </row>
    <row r="19" spans="1:8" x14ac:dyDescent="0.2">
      <c r="A19" s="5">
        <v>13</v>
      </c>
      <c r="B19" s="6" t="s">
        <v>76</v>
      </c>
      <c r="C19" s="6" t="s">
        <v>77</v>
      </c>
      <c r="D19" s="6" t="s">
        <v>78</v>
      </c>
      <c r="E19" s="7">
        <v>159785</v>
      </c>
      <c r="F19" s="8">
        <v>239.11825250000001</v>
      </c>
      <c r="G19" s="9">
        <v>2.7956215E-2</v>
      </c>
      <c r="H19" s="156"/>
    </row>
    <row r="20" spans="1:8" x14ac:dyDescent="0.2">
      <c r="A20" s="5">
        <v>14</v>
      </c>
      <c r="B20" s="6" t="s">
        <v>224</v>
      </c>
      <c r="C20" s="6" t="s">
        <v>225</v>
      </c>
      <c r="D20" s="6" t="s">
        <v>40</v>
      </c>
      <c r="E20" s="7">
        <v>25232</v>
      </c>
      <c r="F20" s="8">
        <v>205.67864800000001</v>
      </c>
      <c r="G20" s="9">
        <v>2.4046664999999998E-2</v>
      </c>
      <c r="H20" s="156"/>
    </row>
    <row r="21" spans="1:8" x14ac:dyDescent="0.2">
      <c r="A21" s="5">
        <v>15</v>
      </c>
      <c r="B21" s="6" t="s">
        <v>388</v>
      </c>
      <c r="C21" s="6" t="s">
        <v>389</v>
      </c>
      <c r="D21" s="6" t="s">
        <v>166</v>
      </c>
      <c r="E21" s="7">
        <v>130130</v>
      </c>
      <c r="F21" s="8">
        <v>204.43423000000001</v>
      </c>
      <c r="G21" s="9">
        <v>2.3901175E-2</v>
      </c>
      <c r="H21" s="156"/>
    </row>
    <row r="22" spans="1:8" x14ac:dyDescent="0.2">
      <c r="A22" s="5">
        <v>16</v>
      </c>
      <c r="B22" s="6" t="s">
        <v>498</v>
      </c>
      <c r="C22" s="6" t="s">
        <v>499</v>
      </c>
      <c r="D22" s="6" t="s">
        <v>92</v>
      </c>
      <c r="E22" s="7">
        <v>54538</v>
      </c>
      <c r="F22" s="8">
        <v>185.21104800000001</v>
      </c>
      <c r="G22" s="9">
        <v>2.1653721000000001E-2</v>
      </c>
      <c r="H22" s="156"/>
    </row>
    <row r="23" spans="1:8" x14ac:dyDescent="0.2">
      <c r="A23" s="5">
        <v>17</v>
      </c>
      <c r="B23" s="6" t="s">
        <v>500</v>
      </c>
      <c r="C23" s="6" t="s">
        <v>395</v>
      </c>
      <c r="D23" s="6" t="s">
        <v>345</v>
      </c>
      <c r="E23" s="7">
        <v>83497</v>
      </c>
      <c r="F23" s="8">
        <v>180.1447775</v>
      </c>
      <c r="G23" s="9">
        <v>2.1061403999999999E-2</v>
      </c>
      <c r="H23" s="156"/>
    </row>
    <row r="24" spans="1:8" x14ac:dyDescent="0.2">
      <c r="A24" s="5">
        <v>18</v>
      </c>
      <c r="B24" s="6" t="s">
        <v>222</v>
      </c>
      <c r="C24" s="6" t="s">
        <v>223</v>
      </c>
      <c r="D24" s="6" t="s">
        <v>972</v>
      </c>
      <c r="E24" s="7">
        <v>92600</v>
      </c>
      <c r="F24" s="8">
        <v>177.7457</v>
      </c>
      <c r="G24" s="9">
        <v>2.0780918999999998E-2</v>
      </c>
      <c r="H24" s="156"/>
    </row>
    <row r="25" spans="1:8" x14ac:dyDescent="0.2">
      <c r="A25" s="5">
        <v>19</v>
      </c>
      <c r="B25" s="6" t="s">
        <v>48</v>
      </c>
      <c r="C25" s="6" t="s">
        <v>49</v>
      </c>
      <c r="D25" s="6" t="s">
        <v>28</v>
      </c>
      <c r="E25" s="7">
        <v>17344</v>
      </c>
      <c r="F25" s="8">
        <v>175.47792000000001</v>
      </c>
      <c r="G25" s="9">
        <v>2.0515783999999999E-2</v>
      </c>
      <c r="H25" s="156"/>
    </row>
    <row r="26" spans="1:8" x14ac:dyDescent="0.2">
      <c r="A26" s="5">
        <v>20</v>
      </c>
      <c r="B26" s="6" t="s">
        <v>414</v>
      </c>
      <c r="C26" s="6" t="s">
        <v>415</v>
      </c>
      <c r="D26" s="6" t="s">
        <v>54</v>
      </c>
      <c r="E26" s="7">
        <v>13719</v>
      </c>
      <c r="F26" s="8">
        <v>160.04585399999999</v>
      </c>
      <c r="G26" s="9">
        <v>1.8711563000000001E-2</v>
      </c>
      <c r="H26" s="156"/>
    </row>
    <row r="27" spans="1:8" x14ac:dyDescent="0.2">
      <c r="A27" s="5">
        <v>21</v>
      </c>
      <c r="B27" s="6" t="s">
        <v>606</v>
      </c>
      <c r="C27" s="6" t="s">
        <v>607</v>
      </c>
      <c r="D27" s="6" t="s">
        <v>608</v>
      </c>
      <c r="E27" s="7">
        <v>82736</v>
      </c>
      <c r="F27" s="8">
        <v>152.31697600000001</v>
      </c>
      <c r="G27" s="9">
        <v>1.7807950999999999E-2</v>
      </c>
      <c r="H27" s="156"/>
    </row>
    <row r="28" spans="1:8" x14ac:dyDescent="0.2">
      <c r="A28" s="5">
        <v>22</v>
      </c>
      <c r="B28" s="6" t="s">
        <v>519</v>
      </c>
      <c r="C28" s="6" t="s">
        <v>520</v>
      </c>
      <c r="D28" s="6" t="s">
        <v>166</v>
      </c>
      <c r="E28" s="7">
        <v>163916</v>
      </c>
      <c r="F28" s="8">
        <v>145.06566000000001</v>
      </c>
      <c r="G28" s="9">
        <v>1.6960171999999999E-2</v>
      </c>
      <c r="H28" s="156"/>
    </row>
    <row r="29" spans="1:8" x14ac:dyDescent="0.2">
      <c r="A29" s="5">
        <v>23</v>
      </c>
      <c r="B29" s="6" t="s">
        <v>730</v>
      </c>
      <c r="C29" s="6" t="s">
        <v>731</v>
      </c>
      <c r="D29" s="6" t="s">
        <v>345</v>
      </c>
      <c r="E29" s="7">
        <v>98000</v>
      </c>
      <c r="F29" s="8">
        <v>134.554</v>
      </c>
      <c r="G29" s="9">
        <v>1.5731215E-2</v>
      </c>
      <c r="H29" s="156"/>
    </row>
    <row r="30" spans="1:8" x14ac:dyDescent="0.2">
      <c r="A30" s="5">
        <v>24</v>
      </c>
      <c r="B30" s="6" t="s">
        <v>647</v>
      </c>
      <c r="C30" s="6" t="s">
        <v>648</v>
      </c>
      <c r="D30" s="6" t="s">
        <v>43</v>
      </c>
      <c r="E30" s="7">
        <v>115235</v>
      </c>
      <c r="F30" s="8">
        <v>134.13354000000001</v>
      </c>
      <c r="G30" s="9">
        <v>1.5682056999999999E-2</v>
      </c>
      <c r="H30" s="156"/>
    </row>
    <row r="31" spans="1:8" x14ac:dyDescent="0.2">
      <c r="A31" s="5">
        <v>25</v>
      </c>
      <c r="B31" s="6" t="s">
        <v>333</v>
      </c>
      <c r="C31" s="6" t="s">
        <v>334</v>
      </c>
      <c r="D31" s="6" t="s">
        <v>54</v>
      </c>
      <c r="E31" s="7">
        <v>33343</v>
      </c>
      <c r="F31" s="8">
        <v>132.52175349999999</v>
      </c>
      <c r="G31" s="9">
        <v>1.5493616999999999E-2</v>
      </c>
      <c r="H31" s="156"/>
    </row>
    <row r="32" spans="1:8" x14ac:dyDescent="0.2">
      <c r="A32" s="5">
        <v>26</v>
      </c>
      <c r="B32" s="6" t="s">
        <v>667</v>
      </c>
      <c r="C32" s="6" t="s">
        <v>668</v>
      </c>
      <c r="D32" s="6" t="s">
        <v>22</v>
      </c>
      <c r="E32" s="7">
        <v>12805</v>
      </c>
      <c r="F32" s="8">
        <v>130.1436175</v>
      </c>
      <c r="G32" s="9">
        <v>1.5215579999999999E-2</v>
      </c>
      <c r="H32" s="156"/>
    </row>
    <row r="33" spans="1:8" x14ac:dyDescent="0.2">
      <c r="A33" s="5">
        <v>27</v>
      </c>
      <c r="B33" s="6" t="s">
        <v>732</v>
      </c>
      <c r="C33" s="6" t="s">
        <v>733</v>
      </c>
      <c r="D33" s="6" t="s">
        <v>205</v>
      </c>
      <c r="E33" s="7">
        <v>9286</v>
      </c>
      <c r="F33" s="8">
        <v>126.976764</v>
      </c>
      <c r="G33" s="9">
        <v>1.4845331999999999E-2</v>
      </c>
      <c r="H33" s="156"/>
    </row>
    <row r="34" spans="1:8" x14ac:dyDescent="0.2">
      <c r="A34" s="5">
        <v>28</v>
      </c>
      <c r="B34" s="6" t="s">
        <v>422</v>
      </c>
      <c r="C34" s="6" t="s">
        <v>423</v>
      </c>
      <c r="D34" s="6" t="s">
        <v>73</v>
      </c>
      <c r="E34" s="7">
        <v>61749</v>
      </c>
      <c r="F34" s="8">
        <v>125.165223</v>
      </c>
      <c r="G34" s="9">
        <v>1.4633537E-2</v>
      </c>
      <c r="H34" s="156"/>
    </row>
    <row r="35" spans="1:8" x14ac:dyDescent="0.2">
      <c r="A35" s="5">
        <v>29</v>
      </c>
      <c r="B35" s="6" t="s">
        <v>74</v>
      </c>
      <c r="C35" s="6" t="s">
        <v>75</v>
      </c>
      <c r="D35" s="6" t="s">
        <v>28</v>
      </c>
      <c r="E35" s="7">
        <v>13730</v>
      </c>
      <c r="F35" s="8">
        <v>123.50135</v>
      </c>
      <c r="G35" s="9">
        <v>1.4439008E-2</v>
      </c>
      <c r="H35" s="156"/>
    </row>
    <row r="36" spans="1:8" x14ac:dyDescent="0.2">
      <c r="A36" s="5">
        <v>30</v>
      </c>
      <c r="B36" s="6" t="s">
        <v>339</v>
      </c>
      <c r="C36" s="6" t="s">
        <v>340</v>
      </c>
      <c r="D36" s="6" t="s">
        <v>68</v>
      </c>
      <c r="E36" s="7">
        <v>17663</v>
      </c>
      <c r="F36" s="8">
        <v>123.3495605</v>
      </c>
      <c r="G36" s="9">
        <v>1.4421260999999999E-2</v>
      </c>
      <c r="H36" s="156"/>
    </row>
    <row r="37" spans="1:8" x14ac:dyDescent="0.2">
      <c r="A37" s="5">
        <v>31</v>
      </c>
      <c r="B37" s="6" t="s">
        <v>639</v>
      </c>
      <c r="C37" s="6" t="s">
        <v>640</v>
      </c>
      <c r="D37" s="6" t="s">
        <v>196</v>
      </c>
      <c r="E37" s="7">
        <v>9147</v>
      </c>
      <c r="F37" s="8">
        <v>105.108177</v>
      </c>
      <c r="G37" s="9">
        <v>1.2288593E-2</v>
      </c>
      <c r="H37" s="156"/>
    </row>
    <row r="38" spans="1:8" x14ac:dyDescent="0.2">
      <c r="A38" s="5">
        <v>32</v>
      </c>
      <c r="B38" s="6" t="s">
        <v>259</v>
      </c>
      <c r="C38" s="6" t="s">
        <v>260</v>
      </c>
      <c r="D38" s="6" t="s">
        <v>261</v>
      </c>
      <c r="E38" s="7">
        <v>12900</v>
      </c>
      <c r="F38" s="8">
        <v>102.27764999999999</v>
      </c>
      <c r="G38" s="9">
        <v>1.1957664999999999E-2</v>
      </c>
      <c r="H38" s="156"/>
    </row>
    <row r="39" spans="1:8" x14ac:dyDescent="0.2">
      <c r="A39" s="5">
        <v>33</v>
      </c>
      <c r="B39" s="6" t="s">
        <v>390</v>
      </c>
      <c r="C39" s="6" t="s">
        <v>391</v>
      </c>
      <c r="D39" s="6" t="s">
        <v>78</v>
      </c>
      <c r="E39" s="7">
        <v>30000</v>
      </c>
      <c r="F39" s="8">
        <v>100.02</v>
      </c>
      <c r="G39" s="9">
        <v>1.1693715E-2</v>
      </c>
      <c r="H39" s="156"/>
    </row>
    <row r="40" spans="1:8" x14ac:dyDescent="0.2">
      <c r="A40" s="5">
        <v>34</v>
      </c>
      <c r="B40" s="6" t="s">
        <v>734</v>
      </c>
      <c r="C40" s="6" t="s">
        <v>735</v>
      </c>
      <c r="D40" s="6" t="s">
        <v>972</v>
      </c>
      <c r="E40" s="7">
        <v>33930</v>
      </c>
      <c r="F40" s="8">
        <v>91.390455000000003</v>
      </c>
      <c r="G40" s="9">
        <v>1.0684802E-2</v>
      </c>
      <c r="H40" s="156"/>
    </row>
    <row r="41" spans="1:8" x14ac:dyDescent="0.2">
      <c r="A41" s="5">
        <v>35</v>
      </c>
      <c r="B41" s="6" t="s">
        <v>562</v>
      </c>
      <c r="C41" s="6" t="s">
        <v>563</v>
      </c>
      <c r="D41" s="6" t="s">
        <v>22</v>
      </c>
      <c r="E41" s="7">
        <v>62204</v>
      </c>
      <c r="F41" s="8">
        <v>90.009187999999995</v>
      </c>
      <c r="G41" s="9">
        <v>1.0523312999999999E-2</v>
      </c>
      <c r="H41" s="156"/>
    </row>
    <row r="42" spans="1:8" x14ac:dyDescent="0.2">
      <c r="A42" s="5">
        <v>36</v>
      </c>
      <c r="B42" s="6" t="s">
        <v>509</v>
      </c>
      <c r="C42" s="6" t="s">
        <v>510</v>
      </c>
      <c r="D42" s="6" t="s">
        <v>35</v>
      </c>
      <c r="E42" s="7">
        <v>4451</v>
      </c>
      <c r="F42" s="8">
        <v>89.9569355</v>
      </c>
      <c r="G42" s="9">
        <v>1.0517204E-2</v>
      </c>
      <c r="H42" s="156"/>
    </row>
    <row r="43" spans="1:8" x14ac:dyDescent="0.2">
      <c r="A43" s="5">
        <v>37</v>
      </c>
      <c r="B43" s="6" t="s">
        <v>480</v>
      </c>
      <c r="C43" s="6" t="s">
        <v>481</v>
      </c>
      <c r="D43" s="6" t="s">
        <v>17</v>
      </c>
      <c r="E43" s="7">
        <v>62325</v>
      </c>
      <c r="F43" s="8">
        <v>89.187074999999993</v>
      </c>
      <c r="G43" s="9">
        <v>1.0427196999999999E-2</v>
      </c>
      <c r="H43" s="156"/>
    </row>
    <row r="44" spans="1:8" x14ac:dyDescent="0.2">
      <c r="A44" s="5">
        <v>38</v>
      </c>
      <c r="B44" s="6" t="s">
        <v>294</v>
      </c>
      <c r="C44" s="6" t="s">
        <v>295</v>
      </c>
      <c r="D44" s="6" t="s">
        <v>975</v>
      </c>
      <c r="E44" s="7">
        <v>230444</v>
      </c>
      <c r="F44" s="8">
        <v>87.683942000000002</v>
      </c>
      <c r="G44" s="9">
        <v>1.025146E-2</v>
      </c>
      <c r="H44" s="156"/>
    </row>
    <row r="45" spans="1:8" x14ac:dyDescent="0.2">
      <c r="A45" s="5">
        <v>39</v>
      </c>
      <c r="B45" s="6" t="s">
        <v>412</v>
      </c>
      <c r="C45" s="6" t="s">
        <v>413</v>
      </c>
      <c r="D45" s="6" t="s">
        <v>196</v>
      </c>
      <c r="E45" s="7">
        <v>12805</v>
      </c>
      <c r="F45" s="8">
        <v>86.491372499999997</v>
      </c>
      <c r="G45" s="9">
        <v>1.0112032E-2</v>
      </c>
      <c r="H45" s="156"/>
    </row>
    <row r="46" spans="1:8" x14ac:dyDescent="0.2">
      <c r="A46" s="5">
        <v>40</v>
      </c>
      <c r="B46" s="6" t="s">
        <v>736</v>
      </c>
      <c r="C46" s="6" t="s">
        <v>737</v>
      </c>
      <c r="D46" s="6" t="s">
        <v>22</v>
      </c>
      <c r="E46" s="7">
        <v>178000</v>
      </c>
      <c r="F46" s="8">
        <v>67.462000000000003</v>
      </c>
      <c r="G46" s="9">
        <v>7.8872360000000006E-3</v>
      </c>
      <c r="H46" s="156"/>
    </row>
    <row r="47" spans="1:8" x14ac:dyDescent="0.2">
      <c r="A47" s="3" t="s">
        <v>9</v>
      </c>
      <c r="B47" s="3" t="s">
        <v>9</v>
      </c>
      <c r="C47" s="4" t="s">
        <v>105</v>
      </c>
      <c r="D47" s="3" t="s">
        <v>9</v>
      </c>
      <c r="E47" s="3" t="s">
        <v>9</v>
      </c>
      <c r="F47" s="10">
        <v>8253.2942994999994</v>
      </c>
      <c r="G47" s="11">
        <v>0.96492370599999999</v>
      </c>
      <c r="H47" s="156"/>
    </row>
    <row r="48" spans="1:8" x14ac:dyDescent="0.2">
      <c r="A48" s="3" t="s">
        <v>9</v>
      </c>
      <c r="B48" s="3" t="s">
        <v>9</v>
      </c>
      <c r="C48" s="12" t="s">
        <v>9</v>
      </c>
      <c r="D48" s="3" t="s">
        <v>9</v>
      </c>
      <c r="E48" s="3" t="s">
        <v>9</v>
      </c>
      <c r="F48" s="13" t="s">
        <v>9</v>
      </c>
      <c r="G48" s="1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106</v>
      </c>
      <c r="D49" s="3" t="s">
        <v>9</v>
      </c>
      <c r="E49" s="3" t="s">
        <v>9</v>
      </c>
      <c r="F49" s="3" t="s">
        <v>9</v>
      </c>
      <c r="G49" s="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105</v>
      </c>
      <c r="D50" s="3" t="s">
        <v>9</v>
      </c>
      <c r="E50" s="3" t="s">
        <v>9</v>
      </c>
      <c r="F50" s="14">
        <v>0</v>
      </c>
      <c r="G50" s="15">
        <v>0</v>
      </c>
      <c r="H50" s="156"/>
    </row>
    <row r="51" spans="1:8" x14ac:dyDescent="0.2">
      <c r="A51" s="3" t="s">
        <v>9</v>
      </c>
      <c r="B51" s="3" t="s">
        <v>9</v>
      </c>
      <c r="C51" s="12" t="s">
        <v>9</v>
      </c>
      <c r="D51" s="3" t="s">
        <v>9</v>
      </c>
      <c r="E51" s="3" t="s">
        <v>9</v>
      </c>
      <c r="F51" s="13" t="s">
        <v>9</v>
      </c>
      <c r="G51" s="13" t="s">
        <v>9</v>
      </c>
      <c r="H51" s="156"/>
    </row>
    <row r="52" spans="1:8" x14ac:dyDescent="0.2">
      <c r="A52" s="3" t="s">
        <v>9</v>
      </c>
      <c r="B52" s="3" t="s">
        <v>9</v>
      </c>
      <c r="C52" s="4" t="s">
        <v>107</v>
      </c>
      <c r="D52" s="3" t="s">
        <v>9</v>
      </c>
      <c r="E52" s="3" t="s">
        <v>9</v>
      </c>
      <c r="F52" s="3" t="s">
        <v>9</v>
      </c>
      <c r="G52" s="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4">
        <v>0</v>
      </c>
      <c r="G53" s="15">
        <v>0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111</v>
      </c>
      <c r="D55" s="3" t="s">
        <v>9</v>
      </c>
      <c r="E55" s="3" t="s">
        <v>9</v>
      </c>
      <c r="F55" s="3" t="s">
        <v>9</v>
      </c>
      <c r="G55" s="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105</v>
      </c>
      <c r="D56" s="3" t="s">
        <v>9</v>
      </c>
      <c r="E56" s="3" t="s">
        <v>9</v>
      </c>
      <c r="F56" s="14">
        <v>0</v>
      </c>
      <c r="G56" s="15">
        <v>0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112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s="175" customFormat="1" ht="25.5" x14ac:dyDescent="0.2">
      <c r="A59" s="5">
        <v>1</v>
      </c>
      <c r="B59" s="6" t="s">
        <v>990</v>
      </c>
      <c r="C59" s="6" t="s">
        <v>991</v>
      </c>
      <c r="D59" s="6" t="s">
        <v>166</v>
      </c>
      <c r="E59" s="7">
        <v>12000</v>
      </c>
      <c r="F59" s="8">
        <v>85.362000000000009</v>
      </c>
      <c r="G59" s="9">
        <v>9.9799899999999993E-3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85.362000000000009</v>
      </c>
      <c r="G60" s="15">
        <v>9.9799899999999993E-3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113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105</v>
      </c>
      <c r="D63" s="3" t="s">
        <v>9</v>
      </c>
      <c r="E63" s="3" t="s">
        <v>9</v>
      </c>
      <c r="F63" s="14">
        <v>0</v>
      </c>
      <c r="G63" s="15">
        <v>0</v>
      </c>
      <c r="H63" s="156"/>
    </row>
    <row r="64" spans="1:8" x14ac:dyDescent="0.2">
      <c r="A64" s="3" t="s">
        <v>9</v>
      </c>
      <c r="B64" s="3" t="s">
        <v>9</v>
      </c>
      <c r="C64" s="12" t="s">
        <v>9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114</v>
      </c>
      <c r="D65" s="3" t="s">
        <v>9</v>
      </c>
      <c r="E65" s="3" t="s">
        <v>9</v>
      </c>
      <c r="F65" s="10">
        <v>8338.6562994999986</v>
      </c>
      <c r="G65" s="11">
        <v>0.97490369600000004</v>
      </c>
      <c r="H65" s="156"/>
    </row>
    <row r="66" spans="1:8" x14ac:dyDescent="0.2">
      <c r="A66" s="3" t="s">
        <v>9</v>
      </c>
      <c r="B66" s="3" t="s">
        <v>9</v>
      </c>
      <c r="C66" s="12" t="s">
        <v>9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115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116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117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118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119</v>
      </c>
      <c r="D80" s="3" t="s">
        <v>9</v>
      </c>
      <c r="E80" s="3" t="s">
        <v>9</v>
      </c>
      <c r="F80" s="10">
        <v>0</v>
      </c>
      <c r="G80" s="11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120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121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122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123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124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5">
        <v>1</v>
      </c>
      <c r="B93" s="6"/>
      <c r="C93" s="6" t="s">
        <v>125</v>
      </c>
      <c r="D93" s="6"/>
      <c r="E93" s="16" t="s">
        <v>9</v>
      </c>
      <c r="F93" s="8">
        <v>211.13313890000001</v>
      </c>
      <c r="G93" s="9">
        <v>2.4684370000000001E-2</v>
      </c>
      <c r="H93" s="8">
        <v>3.3326163573085874</v>
      </c>
    </row>
    <row r="94" spans="1:8" x14ac:dyDescent="0.2">
      <c r="A94" s="5">
        <v>2</v>
      </c>
      <c r="B94" s="6"/>
      <c r="C94" s="6" t="s">
        <v>126</v>
      </c>
      <c r="D94" s="6"/>
      <c r="E94" s="16" t="s">
        <v>9</v>
      </c>
      <c r="F94" s="8">
        <v>150.80163949999999</v>
      </c>
      <c r="G94" s="9">
        <v>1.7630786999999998E-2</v>
      </c>
      <c r="H94" s="8">
        <v>3.2337849550915885</v>
      </c>
    </row>
    <row r="95" spans="1:8" x14ac:dyDescent="0.2">
      <c r="A95" s="3" t="s">
        <v>9</v>
      </c>
      <c r="B95" s="3" t="s">
        <v>9</v>
      </c>
      <c r="C95" s="4" t="s">
        <v>105</v>
      </c>
      <c r="D95" s="3" t="s">
        <v>9</v>
      </c>
      <c r="E95" s="3" t="s">
        <v>9</v>
      </c>
      <c r="F95" s="10">
        <v>361.93477840000003</v>
      </c>
      <c r="G95" s="11">
        <v>4.2315156999999999E-2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127</v>
      </c>
      <c r="D97" s="3" t="s">
        <v>9</v>
      </c>
      <c r="E97" s="3" t="s">
        <v>9</v>
      </c>
      <c r="F97" s="10">
        <v>361.93477840000003</v>
      </c>
      <c r="G97" s="11">
        <v>4.2315156999999999E-2</v>
      </c>
      <c r="H97" s="156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128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129</v>
      </c>
      <c r="D100" s="3" t="s">
        <v>9</v>
      </c>
      <c r="E100" s="3" t="s">
        <v>9</v>
      </c>
      <c r="F100" s="3" t="s">
        <v>9</v>
      </c>
      <c r="G100" s="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4">
        <v>0</v>
      </c>
      <c r="G101" s="15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130</v>
      </c>
      <c r="D103" s="3" t="s">
        <v>9</v>
      </c>
      <c r="E103" s="3" t="s">
        <v>9</v>
      </c>
      <c r="F103" s="3" t="s">
        <v>9</v>
      </c>
      <c r="G103" s="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131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132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105</v>
      </c>
      <c r="D109" s="3" t="s">
        <v>9</v>
      </c>
      <c r="E109" s="3" t="s">
        <v>9</v>
      </c>
      <c r="F109" s="14">
        <v>0</v>
      </c>
      <c r="G109" s="15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6" t="s">
        <v>9</v>
      </c>
      <c r="C111" s="6" t="s">
        <v>9</v>
      </c>
      <c r="D111" s="4" t="s">
        <v>9</v>
      </c>
      <c r="E111" s="3" t="s">
        <v>9</v>
      </c>
      <c r="F111" s="6" t="s">
        <v>9</v>
      </c>
      <c r="G111" s="16" t="s">
        <v>9</v>
      </c>
      <c r="H111" s="156"/>
    </row>
    <row r="112" spans="1:8" x14ac:dyDescent="0.2">
      <c r="A112" s="16" t="s">
        <v>9</v>
      </c>
      <c r="B112" s="6" t="s">
        <v>9</v>
      </c>
      <c r="C112" s="6" t="s">
        <v>133</v>
      </c>
      <c r="D112" s="6" t="s">
        <v>9</v>
      </c>
      <c r="E112" s="16" t="s">
        <v>9</v>
      </c>
      <c r="F112" s="8">
        <v>-147.2782795</v>
      </c>
      <c r="G112" s="9">
        <v>-1.7218858E-2</v>
      </c>
      <c r="H112" s="156"/>
    </row>
    <row r="113" spans="1:8" x14ac:dyDescent="0.2">
      <c r="A113" s="12" t="s">
        <v>9</v>
      </c>
      <c r="B113" s="12" t="s">
        <v>9</v>
      </c>
      <c r="C113" s="4" t="s">
        <v>134</v>
      </c>
      <c r="D113" s="17" t="s">
        <v>9</v>
      </c>
      <c r="E113" s="17" t="s">
        <v>9</v>
      </c>
      <c r="F113" s="10">
        <v>8553.3127983999984</v>
      </c>
      <c r="G113" s="11">
        <v>0.99999999500000014</v>
      </c>
      <c r="H113" s="156"/>
    </row>
    <row r="114" spans="1:8" ht="14.1" customHeight="1" x14ac:dyDescent="0.2">
      <c r="A114" s="18" t="s">
        <v>9</v>
      </c>
      <c r="B114" s="18" t="s">
        <v>9</v>
      </c>
      <c r="C114" s="18" t="s">
        <v>9</v>
      </c>
      <c r="D114" s="19" t="s">
        <v>9</v>
      </c>
      <c r="E114" s="19" t="s">
        <v>9</v>
      </c>
      <c r="F114" s="19" t="s">
        <v>9</v>
      </c>
      <c r="G114" s="19" t="s">
        <v>9</v>
      </c>
    </row>
    <row r="115" spans="1:8" ht="14.1" customHeight="1" x14ac:dyDescent="0.2">
      <c r="A115" s="20" t="s">
        <v>9</v>
      </c>
      <c r="B115" s="200" t="s">
        <v>9</v>
      </c>
      <c r="C115" s="200"/>
      <c r="D115" s="200"/>
      <c r="E115" s="200"/>
      <c r="F115" s="200"/>
      <c r="G115" s="22" t="s">
        <v>9</v>
      </c>
    </row>
    <row r="116" spans="1:8" ht="14.1" customHeight="1" x14ac:dyDescent="0.2">
      <c r="A116" s="20" t="s">
        <v>9</v>
      </c>
      <c r="B116" s="200" t="s">
        <v>9</v>
      </c>
      <c r="C116" s="200"/>
      <c r="D116" s="200"/>
      <c r="E116" s="200"/>
      <c r="F116" s="200"/>
      <c r="G116" s="22" t="s">
        <v>9</v>
      </c>
    </row>
    <row r="117" spans="1:8" ht="14.1" customHeight="1" x14ac:dyDescent="0.2">
      <c r="A117" s="20" t="s">
        <v>9</v>
      </c>
      <c r="B117" s="20" t="s">
        <v>9</v>
      </c>
      <c r="C117" s="20" t="s">
        <v>9</v>
      </c>
      <c r="D117" s="22" t="s">
        <v>9</v>
      </c>
      <c r="E117" s="22" t="s">
        <v>9</v>
      </c>
      <c r="F117" s="22" t="s">
        <v>9</v>
      </c>
      <c r="G117" s="22" t="s">
        <v>9</v>
      </c>
    </row>
    <row r="118" spans="1:8" ht="14.1" customHeight="1" x14ac:dyDescent="0.2">
      <c r="A118" s="20" t="s">
        <v>9</v>
      </c>
      <c r="B118" s="198" t="s">
        <v>136</v>
      </c>
      <c r="C118" s="199"/>
      <c r="D118" s="13" t="s">
        <v>9</v>
      </c>
      <c r="E118" s="23" t="s">
        <v>9</v>
      </c>
      <c r="F118" s="22" t="s">
        <v>9</v>
      </c>
      <c r="G118" s="22" t="s">
        <v>9</v>
      </c>
    </row>
    <row r="119" spans="1:8" ht="29.1" customHeight="1" x14ac:dyDescent="0.2">
      <c r="A119" s="20" t="s">
        <v>9</v>
      </c>
      <c r="B119" s="205" t="s">
        <v>137</v>
      </c>
      <c r="C119" s="206"/>
      <c r="D119" s="4" t="s">
        <v>138</v>
      </c>
      <c r="E119" s="23" t="s">
        <v>9</v>
      </c>
      <c r="F119" s="22" t="s">
        <v>9</v>
      </c>
      <c r="G119" s="22" t="s">
        <v>9</v>
      </c>
    </row>
    <row r="120" spans="1:8" ht="17.100000000000001" customHeight="1" x14ac:dyDescent="0.2">
      <c r="A120" s="20" t="s">
        <v>9</v>
      </c>
      <c r="B120" s="205" t="s">
        <v>139</v>
      </c>
      <c r="C120" s="206"/>
      <c r="D120" s="4" t="s">
        <v>138</v>
      </c>
      <c r="E120" s="23" t="s">
        <v>9</v>
      </c>
      <c r="F120" s="22" t="s">
        <v>9</v>
      </c>
      <c r="G120" s="22" t="s">
        <v>9</v>
      </c>
    </row>
    <row r="121" spans="1:8" ht="17.100000000000001" customHeight="1" x14ac:dyDescent="0.2">
      <c r="A121" s="20" t="s">
        <v>9</v>
      </c>
      <c r="B121" s="205" t="s">
        <v>140</v>
      </c>
      <c r="C121" s="206"/>
      <c r="D121" s="13" t="s">
        <v>9</v>
      </c>
      <c r="E121" s="23" t="s">
        <v>9</v>
      </c>
      <c r="F121" s="22" t="s">
        <v>9</v>
      </c>
      <c r="G121" s="22" t="s">
        <v>9</v>
      </c>
    </row>
    <row r="122" spans="1:8" ht="24" customHeight="1" x14ac:dyDescent="0.2">
      <c r="A122" s="24" t="s">
        <v>9</v>
      </c>
      <c r="B122" s="25" t="s">
        <v>9</v>
      </c>
      <c r="C122" s="25" t="s">
        <v>141</v>
      </c>
      <c r="D122" s="25" t="s">
        <v>142</v>
      </c>
      <c r="E122" s="24" t="s">
        <v>9</v>
      </c>
      <c r="F122" s="24" t="s">
        <v>9</v>
      </c>
      <c r="G122" s="24" t="s">
        <v>9</v>
      </c>
    </row>
    <row r="123" spans="1:8" ht="18" customHeight="1" x14ac:dyDescent="0.2">
      <c r="A123" s="24" t="s">
        <v>9</v>
      </c>
      <c r="B123" s="25" t="s">
        <v>143</v>
      </c>
      <c r="C123" s="25" t="s">
        <v>144</v>
      </c>
      <c r="D123" s="25" t="s">
        <v>145</v>
      </c>
      <c r="E123" s="24" t="s">
        <v>9</v>
      </c>
      <c r="F123" s="24" t="s">
        <v>9</v>
      </c>
      <c r="G123" s="24" t="s">
        <v>9</v>
      </c>
    </row>
    <row r="124" spans="1:8" ht="17.100000000000001" customHeight="1" x14ac:dyDescent="0.2">
      <c r="A124" s="24" t="s">
        <v>9</v>
      </c>
      <c r="B124" s="6" t="s">
        <v>146</v>
      </c>
      <c r="C124" s="26">
        <v>15.0481</v>
      </c>
      <c r="D124" s="26">
        <v>15.191599999999999</v>
      </c>
      <c r="E124" s="24" t="s">
        <v>9</v>
      </c>
      <c r="F124" s="21" t="s">
        <v>9</v>
      </c>
      <c r="G124" s="27" t="s">
        <v>9</v>
      </c>
    </row>
    <row r="125" spans="1:8" ht="17.100000000000001" customHeight="1" x14ac:dyDescent="0.2">
      <c r="A125" s="24" t="s">
        <v>9</v>
      </c>
      <c r="B125" s="6" t="s">
        <v>839</v>
      </c>
      <c r="C125" s="26">
        <v>15.0481</v>
      </c>
      <c r="D125" s="26">
        <v>13.301600000000001</v>
      </c>
      <c r="E125" s="24" t="s">
        <v>9</v>
      </c>
      <c r="F125" s="21" t="s">
        <v>9</v>
      </c>
      <c r="G125" s="27" t="s">
        <v>9</v>
      </c>
    </row>
    <row r="126" spans="1:8" ht="17.100000000000001" customHeight="1" x14ac:dyDescent="0.2">
      <c r="A126" s="24" t="s">
        <v>9</v>
      </c>
      <c r="B126" s="6" t="s">
        <v>147</v>
      </c>
      <c r="C126" s="26">
        <v>14.5159</v>
      </c>
      <c r="D126" s="26">
        <v>14.647</v>
      </c>
      <c r="E126" s="24" t="s">
        <v>9</v>
      </c>
      <c r="F126" s="21" t="s">
        <v>9</v>
      </c>
      <c r="G126" s="27" t="s">
        <v>9</v>
      </c>
    </row>
    <row r="127" spans="1:8" ht="17.100000000000001" customHeight="1" x14ac:dyDescent="0.2">
      <c r="A127" s="24" t="s">
        <v>9</v>
      </c>
      <c r="B127" s="6" t="s">
        <v>840</v>
      </c>
      <c r="C127" s="26">
        <v>14.5159</v>
      </c>
      <c r="D127" s="26">
        <v>13.167</v>
      </c>
      <c r="E127" s="24" t="s">
        <v>9</v>
      </c>
      <c r="F127" s="21" t="s">
        <v>9</v>
      </c>
      <c r="G127" s="27" t="s">
        <v>9</v>
      </c>
    </row>
    <row r="128" spans="1:8" ht="14.1" customHeight="1" x14ac:dyDescent="0.2">
      <c r="A128" s="24" t="s">
        <v>9</v>
      </c>
      <c r="B128" s="24" t="s">
        <v>9</v>
      </c>
      <c r="C128" s="24" t="s">
        <v>9</v>
      </c>
      <c r="D128" s="24" t="s">
        <v>9</v>
      </c>
      <c r="E128" s="24" t="s">
        <v>9</v>
      </c>
      <c r="F128" s="24" t="s">
        <v>9</v>
      </c>
      <c r="G128" s="24" t="s">
        <v>9</v>
      </c>
    </row>
    <row r="129" spans="1:8" ht="29.1" customHeight="1" x14ac:dyDescent="0.2">
      <c r="A129" s="167" t="s">
        <v>9</v>
      </c>
      <c r="B129" s="207" t="s">
        <v>986</v>
      </c>
      <c r="C129" s="207"/>
      <c r="D129" s="160"/>
      <c r="E129" s="167" t="s">
        <v>9</v>
      </c>
      <c r="F129" s="167" t="s">
        <v>9</v>
      </c>
      <c r="G129" s="167" t="s">
        <v>9</v>
      </c>
    </row>
    <row r="130" spans="1:8" s="166" customFormat="1" ht="15" x14ac:dyDescent="0.2">
      <c r="A130" s="148" t="s">
        <v>9</v>
      </c>
      <c r="B130" s="161" t="s">
        <v>143</v>
      </c>
      <c r="C130" s="161" t="s">
        <v>878</v>
      </c>
      <c r="D130" s="161" t="s">
        <v>879</v>
      </c>
      <c r="E130" s="148" t="s">
        <v>9</v>
      </c>
      <c r="F130" s="148" t="s">
        <v>9</v>
      </c>
      <c r="G130" s="148" t="s">
        <v>9</v>
      </c>
      <c r="H130" s="165"/>
    </row>
    <row r="131" spans="1:8" ht="17.100000000000001" customHeight="1" x14ac:dyDescent="0.2">
      <c r="A131" s="167" t="s">
        <v>9</v>
      </c>
      <c r="B131" s="162" t="s">
        <v>839</v>
      </c>
      <c r="C131" s="163">
        <v>1.89</v>
      </c>
      <c r="D131" s="164">
        <v>0</v>
      </c>
      <c r="E131" s="24" t="s">
        <v>9</v>
      </c>
      <c r="F131" s="21" t="s">
        <v>9</v>
      </c>
      <c r="G131" s="27" t="s">
        <v>9</v>
      </c>
    </row>
    <row r="132" spans="1:8" ht="17.100000000000001" customHeight="1" x14ac:dyDescent="0.2">
      <c r="A132" s="167" t="s">
        <v>9</v>
      </c>
      <c r="B132" s="162" t="s">
        <v>840</v>
      </c>
      <c r="C132" s="163">
        <v>1.48</v>
      </c>
      <c r="D132" s="164">
        <v>1.48</v>
      </c>
      <c r="E132" s="24" t="s">
        <v>9</v>
      </c>
      <c r="F132" s="21" t="s">
        <v>9</v>
      </c>
      <c r="G132" s="27" t="s">
        <v>9</v>
      </c>
    </row>
    <row r="133" spans="1:8" ht="14.1" customHeight="1" x14ac:dyDescent="0.2">
      <c r="A133" s="24" t="s">
        <v>9</v>
      </c>
      <c r="B133" s="21" t="s">
        <v>9</v>
      </c>
      <c r="C133" s="21" t="s">
        <v>9</v>
      </c>
      <c r="D133" s="24" t="s">
        <v>9</v>
      </c>
      <c r="E133" s="24" t="s">
        <v>9</v>
      </c>
      <c r="F133" s="24" t="s">
        <v>9</v>
      </c>
      <c r="G133" s="24" t="s">
        <v>9</v>
      </c>
    </row>
    <row r="134" spans="1:8" s="197" customFormat="1" x14ac:dyDescent="0.2">
      <c r="B134" s="208" t="s">
        <v>841</v>
      </c>
      <c r="C134" s="208"/>
      <c r="D134" s="208"/>
      <c r="E134" s="208"/>
      <c r="F134" s="208"/>
    </row>
    <row r="135" spans="1:8" ht="14.1" customHeight="1" x14ac:dyDescent="0.2">
      <c r="A135" s="24"/>
      <c r="B135" s="182"/>
      <c r="C135" s="182"/>
      <c r="D135" s="24"/>
      <c r="E135" s="24"/>
      <c r="F135" s="24"/>
      <c r="G135" s="24"/>
    </row>
    <row r="136" spans="1:8" ht="29.1" customHeight="1" x14ac:dyDescent="0.2">
      <c r="A136" s="24" t="s">
        <v>9</v>
      </c>
      <c r="B136" s="205" t="s">
        <v>148</v>
      </c>
      <c r="C136" s="206"/>
      <c r="D136" s="4" t="s">
        <v>138</v>
      </c>
      <c r="E136" s="24" t="s">
        <v>9</v>
      </c>
      <c r="F136" s="24" t="s">
        <v>9</v>
      </c>
      <c r="G136" s="24" t="s">
        <v>9</v>
      </c>
    </row>
    <row r="137" spans="1:8" ht="29.1" customHeight="1" x14ac:dyDescent="0.2">
      <c r="A137" s="24" t="s">
        <v>9</v>
      </c>
      <c r="B137" s="205" t="s">
        <v>149</v>
      </c>
      <c r="C137" s="206"/>
      <c r="D137" s="4" t="s">
        <v>138</v>
      </c>
      <c r="E137" s="24" t="s">
        <v>9</v>
      </c>
      <c r="F137" s="24" t="s">
        <v>9</v>
      </c>
      <c r="G137" s="24" t="s">
        <v>9</v>
      </c>
    </row>
    <row r="138" spans="1:8" ht="17.100000000000001" customHeight="1" x14ac:dyDescent="0.2">
      <c r="A138" s="24" t="s">
        <v>9</v>
      </c>
      <c r="B138" s="205" t="s">
        <v>150</v>
      </c>
      <c r="C138" s="206"/>
      <c r="D138" s="29">
        <v>0.55587149538027192</v>
      </c>
      <c r="E138" s="24" t="s">
        <v>9</v>
      </c>
      <c r="F138" s="21" t="s">
        <v>9</v>
      </c>
      <c r="G138" s="27" t="s">
        <v>9</v>
      </c>
    </row>
    <row r="139" spans="1:8" ht="17.100000000000001" customHeight="1" x14ac:dyDescent="0.2">
      <c r="A139" s="24" t="s">
        <v>9</v>
      </c>
      <c r="B139" s="205" t="s">
        <v>151</v>
      </c>
      <c r="C139" s="206"/>
      <c r="D139" s="4" t="s">
        <v>138</v>
      </c>
      <c r="E139" s="24" t="s">
        <v>9</v>
      </c>
      <c r="F139" s="24" t="s">
        <v>9</v>
      </c>
      <c r="G139" s="24" t="s">
        <v>9</v>
      </c>
    </row>
  </sheetData>
  <mergeCells count="15">
    <mergeCell ref="B138:C138"/>
    <mergeCell ref="B139:C139"/>
    <mergeCell ref="B119:C119"/>
    <mergeCell ref="B120:C120"/>
    <mergeCell ref="B121:C121"/>
    <mergeCell ref="B129:C129"/>
    <mergeCell ref="B136:C136"/>
    <mergeCell ref="B137:C137"/>
    <mergeCell ref="B134:F134"/>
    <mergeCell ref="B118:C118"/>
    <mergeCell ref="B115:F115"/>
    <mergeCell ref="B116:F11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130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738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402</v>
      </c>
      <c r="C7" s="6" t="s">
        <v>403</v>
      </c>
      <c r="D7" s="6" t="s">
        <v>22</v>
      </c>
      <c r="E7" s="7">
        <v>65489</v>
      </c>
      <c r="F7" s="8">
        <v>274.52988800000003</v>
      </c>
      <c r="G7" s="9">
        <v>7.0606717999999999E-2</v>
      </c>
      <c r="H7" s="156"/>
    </row>
    <row r="8" spans="1:8" x14ac:dyDescent="0.2">
      <c r="A8" s="5">
        <v>2</v>
      </c>
      <c r="B8" s="6" t="s">
        <v>20</v>
      </c>
      <c r="C8" s="6" t="s">
        <v>21</v>
      </c>
      <c r="D8" s="6" t="s">
        <v>22</v>
      </c>
      <c r="E8" s="7">
        <v>33713</v>
      </c>
      <c r="F8" s="8">
        <v>212.69531699999999</v>
      </c>
      <c r="G8" s="9">
        <v>5.4703399999999999E-2</v>
      </c>
      <c r="H8" s="156"/>
    </row>
    <row r="9" spans="1:8" x14ac:dyDescent="0.2">
      <c r="A9" s="5">
        <v>3</v>
      </c>
      <c r="B9" s="6" t="s">
        <v>356</v>
      </c>
      <c r="C9" s="6" t="s">
        <v>357</v>
      </c>
      <c r="D9" s="6" t="s">
        <v>22</v>
      </c>
      <c r="E9" s="7">
        <v>28150</v>
      </c>
      <c r="F9" s="8">
        <v>210.64644999999999</v>
      </c>
      <c r="G9" s="9">
        <v>5.4176449000000002E-2</v>
      </c>
      <c r="H9" s="156"/>
    </row>
    <row r="10" spans="1:8" x14ac:dyDescent="0.2">
      <c r="A10" s="5">
        <v>4</v>
      </c>
      <c r="B10" s="6" t="s">
        <v>498</v>
      </c>
      <c r="C10" s="6" t="s">
        <v>499</v>
      </c>
      <c r="D10" s="6" t="s">
        <v>92</v>
      </c>
      <c r="E10" s="7">
        <v>48381</v>
      </c>
      <c r="F10" s="8">
        <v>164.30187599999999</v>
      </c>
      <c r="G10" s="9">
        <v>4.2257024999999997E-2</v>
      </c>
      <c r="H10" s="156"/>
    </row>
    <row r="11" spans="1:8" x14ac:dyDescent="0.2">
      <c r="A11" s="5">
        <v>5</v>
      </c>
      <c r="B11" s="6" t="s">
        <v>346</v>
      </c>
      <c r="C11" s="6" t="s">
        <v>347</v>
      </c>
      <c r="D11" s="6" t="s">
        <v>22</v>
      </c>
      <c r="E11" s="7">
        <v>189994</v>
      </c>
      <c r="F11" s="8">
        <v>163.204846</v>
      </c>
      <c r="G11" s="9">
        <v>4.1974878E-2</v>
      </c>
      <c r="H11" s="156"/>
    </row>
    <row r="12" spans="1:8" x14ac:dyDescent="0.2">
      <c r="A12" s="5">
        <v>6</v>
      </c>
      <c r="B12" s="6" t="s">
        <v>739</v>
      </c>
      <c r="C12" s="6" t="s">
        <v>740</v>
      </c>
      <c r="D12" s="6" t="s">
        <v>972</v>
      </c>
      <c r="E12" s="7">
        <v>108409</v>
      </c>
      <c r="F12" s="8">
        <v>155.29589250000001</v>
      </c>
      <c r="G12" s="9">
        <v>3.9940762999999997E-2</v>
      </c>
      <c r="H12" s="156"/>
    </row>
    <row r="13" spans="1:8" x14ac:dyDescent="0.2">
      <c r="A13" s="5">
        <v>7</v>
      </c>
      <c r="B13" s="6" t="s">
        <v>23</v>
      </c>
      <c r="C13" s="6" t="s">
        <v>24</v>
      </c>
      <c r="D13" s="6" t="s">
        <v>25</v>
      </c>
      <c r="E13" s="7">
        <v>29115</v>
      </c>
      <c r="F13" s="8">
        <v>153.04299750000001</v>
      </c>
      <c r="G13" s="9">
        <v>3.9361338000000003E-2</v>
      </c>
      <c r="H13" s="156"/>
    </row>
    <row r="14" spans="1:8" x14ac:dyDescent="0.2">
      <c r="A14" s="5">
        <v>8</v>
      </c>
      <c r="B14" s="6" t="s">
        <v>216</v>
      </c>
      <c r="C14" s="6" t="s">
        <v>217</v>
      </c>
      <c r="D14" s="6" t="s">
        <v>54</v>
      </c>
      <c r="E14" s="7">
        <v>13280</v>
      </c>
      <c r="F14" s="8">
        <v>147.57400000000001</v>
      </c>
      <c r="G14" s="9">
        <v>3.7954758999999998E-2</v>
      </c>
      <c r="H14" s="156"/>
    </row>
    <row r="15" spans="1:8" x14ac:dyDescent="0.2">
      <c r="A15" s="5">
        <v>9</v>
      </c>
      <c r="B15" s="6" t="s">
        <v>414</v>
      </c>
      <c r="C15" s="6" t="s">
        <v>415</v>
      </c>
      <c r="D15" s="6" t="s">
        <v>54</v>
      </c>
      <c r="E15" s="7">
        <v>11306</v>
      </c>
      <c r="F15" s="8">
        <v>131.89579599999999</v>
      </c>
      <c r="G15" s="9">
        <v>3.3922460000000002E-2</v>
      </c>
      <c r="H15" s="156"/>
    </row>
    <row r="16" spans="1:8" x14ac:dyDescent="0.2">
      <c r="A16" s="5">
        <v>10</v>
      </c>
      <c r="B16" s="6" t="s">
        <v>177</v>
      </c>
      <c r="C16" s="6" t="s">
        <v>178</v>
      </c>
      <c r="D16" s="6" t="s">
        <v>54</v>
      </c>
      <c r="E16" s="7">
        <v>45000</v>
      </c>
      <c r="F16" s="8">
        <v>126.18</v>
      </c>
      <c r="G16" s="9">
        <v>3.2452407000000003E-2</v>
      </c>
      <c r="H16" s="156"/>
    </row>
    <row r="17" spans="1:8" x14ac:dyDescent="0.2">
      <c r="A17" s="5">
        <v>11</v>
      </c>
      <c r="B17" s="6" t="s">
        <v>741</v>
      </c>
      <c r="C17" s="6" t="s">
        <v>742</v>
      </c>
      <c r="D17" s="6" t="s">
        <v>236</v>
      </c>
      <c r="E17" s="7">
        <v>100000</v>
      </c>
      <c r="F17" s="8">
        <v>115.7</v>
      </c>
      <c r="G17" s="9">
        <v>2.9757042000000001E-2</v>
      </c>
      <c r="H17" s="156"/>
    </row>
    <row r="18" spans="1:8" x14ac:dyDescent="0.2">
      <c r="A18" s="5">
        <v>12</v>
      </c>
      <c r="B18" s="6" t="s">
        <v>339</v>
      </c>
      <c r="C18" s="6" t="s">
        <v>340</v>
      </c>
      <c r="D18" s="6" t="s">
        <v>68</v>
      </c>
      <c r="E18" s="7">
        <v>16456</v>
      </c>
      <c r="F18" s="8">
        <v>114.92047599999999</v>
      </c>
      <c r="G18" s="9">
        <v>2.9556555000000002E-2</v>
      </c>
      <c r="H18" s="156"/>
    </row>
    <row r="19" spans="1:8" x14ac:dyDescent="0.2">
      <c r="A19" s="5">
        <v>13</v>
      </c>
      <c r="B19" s="6" t="s">
        <v>743</v>
      </c>
      <c r="C19" s="6" t="s">
        <v>744</v>
      </c>
      <c r="D19" s="6" t="s">
        <v>166</v>
      </c>
      <c r="E19" s="7">
        <v>6500</v>
      </c>
      <c r="F19" s="8">
        <v>111.34824999999999</v>
      </c>
      <c r="G19" s="9">
        <v>2.8637809E-2</v>
      </c>
      <c r="H19" s="156"/>
    </row>
    <row r="20" spans="1:8" x14ac:dyDescent="0.2">
      <c r="A20" s="5">
        <v>14</v>
      </c>
      <c r="B20" s="6" t="s">
        <v>500</v>
      </c>
      <c r="C20" s="6" t="s">
        <v>395</v>
      </c>
      <c r="D20" s="6" t="s">
        <v>345</v>
      </c>
      <c r="E20" s="7">
        <v>50965</v>
      </c>
      <c r="F20" s="8">
        <v>109.9569875</v>
      </c>
      <c r="G20" s="9">
        <v>2.8279987999999999E-2</v>
      </c>
      <c r="H20" s="156"/>
    </row>
    <row r="21" spans="1:8" x14ac:dyDescent="0.2">
      <c r="A21" s="5">
        <v>15</v>
      </c>
      <c r="B21" s="6" t="s">
        <v>76</v>
      </c>
      <c r="C21" s="6" t="s">
        <v>77</v>
      </c>
      <c r="D21" s="6" t="s">
        <v>78</v>
      </c>
      <c r="E21" s="7">
        <v>72000</v>
      </c>
      <c r="F21" s="8">
        <v>107.748</v>
      </c>
      <c r="G21" s="9">
        <v>2.7711856E-2</v>
      </c>
      <c r="H21" s="156"/>
    </row>
    <row r="22" spans="1:8" x14ac:dyDescent="0.2">
      <c r="A22" s="5">
        <v>16</v>
      </c>
      <c r="B22" s="6" t="s">
        <v>55</v>
      </c>
      <c r="C22" s="6" t="s">
        <v>56</v>
      </c>
      <c r="D22" s="6" t="s">
        <v>35</v>
      </c>
      <c r="E22" s="7">
        <v>14000</v>
      </c>
      <c r="F22" s="8">
        <v>107.45</v>
      </c>
      <c r="G22" s="9">
        <v>2.7635212999999999E-2</v>
      </c>
      <c r="H22" s="156"/>
    </row>
    <row r="23" spans="1:8" x14ac:dyDescent="0.2">
      <c r="A23" s="5">
        <v>17</v>
      </c>
      <c r="B23" s="6" t="s">
        <v>732</v>
      </c>
      <c r="C23" s="6" t="s">
        <v>733</v>
      </c>
      <c r="D23" s="6" t="s">
        <v>205</v>
      </c>
      <c r="E23" s="7">
        <v>7765</v>
      </c>
      <c r="F23" s="8">
        <v>106.17861000000001</v>
      </c>
      <c r="G23" s="9">
        <v>2.7308222E-2</v>
      </c>
      <c r="H23" s="156"/>
    </row>
    <row r="24" spans="1:8" x14ac:dyDescent="0.2">
      <c r="A24" s="5">
        <v>18</v>
      </c>
      <c r="B24" s="6" t="s">
        <v>203</v>
      </c>
      <c r="C24" s="6" t="s">
        <v>204</v>
      </c>
      <c r="D24" s="6" t="s">
        <v>205</v>
      </c>
      <c r="E24" s="7">
        <v>12489</v>
      </c>
      <c r="F24" s="8">
        <v>98.625632999999993</v>
      </c>
      <c r="G24" s="9">
        <v>2.5365662000000001E-2</v>
      </c>
      <c r="H24" s="156"/>
    </row>
    <row r="25" spans="1:8" x14ac:dyDescent="0.2">
      <c r="A25" s="5">
        <v>19</v>
      </c>
      <c r="B25" s="6" t="s">
        <v>222</v>
      </c>
      <c r="C25" s="6" t="s">
        <v>223</v>
      </c>
      <c r="D25" s="6" t="s">
        <v>972</v>
      </c>
      <c r="E25" s="7">
        <v>50000</v>
      </c>
      <c r="F25" s="8">
        <v>95.974999999999994</v>
      </c>
      <c r="G25" s="9">
        <v>2.4683942E-2</v>
      </c>
      <c r="H25" s="156"/>
    </row>
    <row r="26" spans="1:8" x14ac:dyDescent="0.2">
      <c r="A26" s="5">
        <v>20</v>
      </c>
      <c r="B26" s="6" t="s">
        <v>631</v>
      </c>
      <c r="C26" s="6" t="s">
        <v>632</v>
      </c>
      <c r="D26" s="6" t="s">
        <v>17</v>
      </c>
      <c r="E26" s="7">
        <v>85511</v>
      </c>
      <c r="F26" s="8">
        <v>92.266368999999997</v>
      </c>
      <c r="G26" s="9">
        <v>2.3730114E-2</v>
      </c>
      <c r="H26" s="156"/>
    </row>
    <row r="27" spans="1:8" x14ac:dyDescent="0.2">
      <c r="A27" s="5">
        <v>21</v>
      </c>
      <c r="B27" s="6" t="s">
        <v>388</v>
      </c>
      <c r="C27" s="6" t="s">
        <v>389</v>
      </c>
      <c r="D27" s="6" t="s">
        <v>166</v>
      </c>
      <c r="E27" s="7">
        <v>58527</v>
      </c>
      <c r="F27" s="8">
        <v>91.945916999999994</v>
      </c>
      <c r="G27" s="9">
        <v>2.3647695999999999E-2</v>
      </c>
      <c r="H27" s="156"/>
    </row>
    <row r="28" spans="1:8" x14ac:dyDescent="0.2">
      <c r="A28" s="5">
        <v>22</v>
      </c>
      <c r="B28" s="6" t="s">
        <v>606</v>
      </c>
      <c r="C28" s="6" t="s">
        <v>607</v>
      </c>
      <c r="D28" s="6" t="s">
        <v>608</v>
      </c>
      <c r="E28" s="7">
        <v>49000</v>
      </c>
      <c r="F28" s="8">
        <v>90.209000000000003</v>
      </c>
      <c r="G28" s="9">
        <v>2.3200976000000002E-2</v>
      </c>
      <c r="H28" s="156"/>
    </row>
    <row r="29" spans="1:8" x14ac:dyDescent="0.2">
      <c r="A29" s="5">
        <v>23</v>
      </c>
      <c r="B29" s="6" t="s">
        <v>313</v>
      </c>
      <c r="C29" s="6" t="s">
        <v>314</v>
      </c>
      <c r="D29" s="6" t="s">
        <v>73</v>
      </c>
      <c r="E29" s="7">
        <v>16000</v>
      </c>
      <c r="F29" s="8">
        <v>89.656000000000006</v>
      </c>
      <c r="G29" s="9">
        <v>2.3058749E-2</v>
      </c>
      <c r="H29" s="156"/>
    </row>
    <row r="30" spans="1:8" x14ac:dyDescent="0.2">
      <c r="A30" s="5">
        <v>24</v>
      </c>
      <c r="B30" s="6" t="s">
        <v>185</v>
      </c>
      <c r="C30" s="6" t="s">
        <v>186</v>
      </c>
      <c r="D30" s="6" t="s">
        <v>172</v>
      </c>
      <c r="E30" s="7">
        <v>40000</v>
      </c>
      <c r="F30" s="8">
        <v>89.6</v>
      </c>
      <c r="G30" s="9">
        <v>2.3044347E-2</v>
      </c>
      <c r="H30" s="156"/>
    </row>
    <row r="31" spans="1:8" x14ac:dyDescent="0.2">
      <c r="A31" s="5">
        <v>25</v>
      </c>
      <c r="B31" s="6" t="s">
        <v>259</v>
      </c>
      <c r="C31" s="6" t="s">
        <v>260</v>
      </c>
      <c r="D31" s="6" t="s">
        <v>261</v>
      </c>
      <c r="E31" s="7">
        <v>11200</v>
      </c>
      <c r="F31" s="8">
        <v>88.799199999999999</v>
      </c>
      <c r="G31" s="9">
        <v>2.2838388000000001E-2</v>
      </c>
      <c r="H31" s="156"/>
    </row>
    <row r="32" spans="1:8" x14ac:dyDescent="0.2">
      <c r="A32" s="5">
        <v>26</v>
      </c>
      <c r="B32" s="6" t="s">
        <v>639</v>
      </c>
      <c r="C32" s="6" t="s">
        <v>640</v>
      </c>
      <c r="D32" s="6" t="s">
        <v>196</v>
      </c>
      <c r="E32" s="7">
        <v>7217</v>
      </c>
      <c r="F32" s="8">
        <v>82.930547000000004</v>
      </c>
      <c r="G32" s="9">
        <v>2.1329021E-2</v>
      </c>
      <c r="H32" s="156"/>
    </row>
    <row r="33" spans="1:8" x14ac:dyDescent="0.2">
      <c r="A33" s="5">
        <v>27</v>
      </c>
      <c r="B33" s="6" t="s">
        <v>390</v>
      </c>
      <c r="C33" s="6" t="s">
        <v>391</v>
      </c>
      <c r="D33" s="6" t="s">
        <v>78</v>
      </c>
      <c r="E33" s="7">
        <v>23762</v>
      </c>
      <c r="F33" s="8">
        <v>79.222508000000005</v>
      </c>
      <c r="G33" s="9">
        <v>2.0375345E-2</v>
      </c>
      <c r="H33" s="156"/>
    </row>
    <row r="34" spans="1:8" x14ac:dyDescent="0.2">
      <c r="A34" s="5">
        <v>28</v>
      </c>
      <c r="B34" s="6" t="s">
        <v>745</v>
      </c>
      <c r="C34" s="6" t="s">
        <v>746</v>
      </c>
      <c r="D34" s="6" t="s">
        <v>977</v>
      </c>
      <c r="E34" s="7">
        <v>65963</v>
      </c>
      <c r="F34" s="8">
        <v>76.649006</v>
      </c>
      <c r="G34" s="9">
        <v>1.9713463000000001E-2</v>
      </c>
      <c r="H34" s="156"/>
    </row>
    <row r="35" spans="1:8" x14ac:dyDescent="0.2">
      <c r="A35" s="5">
        <v>29</v>
      </c>
      <c r="B35" s="6" t="s">
        <v>237</v>
      </c>
      <c r="C35" s="6" t="s">
        <v>238</v>
      </c>
      <c r="D35" s="6" t="s">
        <v>239</v>
      </c>
      <c r="E35" s="7">
        <v>40000</v>
      </c>
      <c r="F35" s="8">
        <v>74.44</v>
      </c>
      <c r="G35" s="9">
        <v>1.9145326000000001E-2</v>
      </c>
      <c r="H35" s="156"/>
    </row>
    <row r="36" spans="1:8" x14ac:dyDescent="0.2">
      <c r="A36" s="5">
        <v>30</v>
      </c>
      <c r="B36" s="6" t="s">
        <v>234</v>
      </c>
      <c r="C36" s="6" t="s">
        <v>235</v>
      </c>
      <c r="D36" s="6" t="s">
        <v>73</v>
      </c>
      <c r="E36" s="7">
        <v>15000</v>
      </c>
      <c r="F36" s="8">
        <v>63.967500000000001</v>
      </c>
      <c r="G36" s="9">
        <v>1.6451889000000001E-2</v>
      </c>
      <c r="H36" s="156"/>
    </row>
    <row r="37" spans="1:8" x14ac:dyDescent="0.2">
      <c r="A37" s="5">
        <v>31</v>
      </c>
      <c r="B37" s="6" t="s">
        <v>333</v>
      </c>
      <c r="C37" s="6" t="s">
        <v>334</v>
      </c>
      <c r="D37" s="6" t="s">
        <v>54</v>
      </c>
      <c r="E37" s="7">
        <v>12997</v>
      </c>
      <c r="F37" s="8">
        <v>51.6565765</v>
      </c>
      <c r="G37" s="9">
        <v>1.3285626E-2</v>
      </c>
      <c r="H37" s="156"/>
    </row>
    <row r="38" spans="1:8" x14ac:dyDescent="0.2">
      <c r="A38" s="5">
        <v>32</v>
      </c>
      <c r="B38" s="6" t="s">
        <v>747</v>
      </c>
      <c r="C38" s="6" t="s">
        <v>748</v>
      </c>
      <c r="D38" s="6" t="s">
        <v>22</v>
      </c>
      <c r="E38" s="7">
        <v>87562</v>
      </c>
      <c r="F38" s="8">
        <v>45.269553999999999</v>
      </c>
      <c r="G38" s="9">
        <v>1.1642939E-2</v>
      </c>
      <c r="H38" s="156"/>
    </row>
    <row r="39" spans="1:8" x14ac:dyDescent="0.2">
      <c r="A39" s="3" t="s">
        <v>9</v>
      </c>
      <c r="B39" s="3" t="s">
        <v>9</v>
      </c>
      <c r="C39" s="4" t="s">
        <v>105</v>
      </c>
      <c r="D39" s="3" t="s">
        <v>9</v>
      </c>
      <c r="E39" s="3" t="s">
        <v>9</v>
      </c>
      <c r="F39" s="10">
        <v>3723.8821969999999</v>
      </c>
      <c r="G39" s="11">
        <v>0.95775036499999999</v>
      </c>
      <c r="H39" s="156"/>
    </row>
    <row r="40" spans="1:8" x14ac:dyDescent="0.2">
      <c r="A40" s="3" t="s">
        <v>9</v>
      </c>
      <c r="B40" s="3" t="s">
        <v>9</v>
      </c>
      <c r="C40" s="12" t="s">
        <v>9</v>
      </c>
      <c r="D40" s="3" t="s">
        <v>9</v>
      </c>
      <c r="E40" s="3" t="s">
        <v>9</v>
      </c>
      <c r="F40" s="13" t="s">
        <v>9</v>
      </c>
      <c r="G40" s="13" t="s">
        <v>9</v>
      </c>
      <c r="H40" s="156"/>
    </row>
    <row r="41" spans="1:8" x14ac:dyDescent="0.2">
      <c r="A41" s="3" t="s">
        <v>9</v>
      </c>
      <c r="B41" s="3" t="s">
        <v>9</v>
      </c>
      <c r="C41" s="4" t="s">
        <v>106</v>
      </c>
      <c r="D41" s="3" t="s">
        <v>9</v>
      </c>
      <c r="E41" s="3" t="s">
        <v>9</v>
      </c>
      <c r="F41" s="3" t="s">
        <v>9</v>
      </c>
      <c r="G41" s="3" t="s">
        <v>9</v>
      </c>
      <c r="H41" s="156"/>
    </row>
    <row r="42" spans="1:8" x14ac:dyDescent="0.2">
      <c r="A42" s="3" t="s">
        <v>9</v>
      </c>
      <c r="B42" s="3" t="s">
        <v>9</v>
      </c>
      <c r="C42" s="4" t="s">
        <v>105</v>
      </c>
      <c r="D42" s="3" t="s">
        <v>9</v>
      </c>
      <c r="E42" s="3" t="s">
        <v>9</v>
      </c>
      <c r="F42" s="14">
        <v>0</v>
      </c>
      <c r="G42" s="15">
        <v>0</v>
      </c>
      <c r="H42" s="156"/>
    </row>
    <row r="43" spans="1:8" x14ac:dyDescent="0.2">
      <c r="A43" s="3" t="s">
        <v>9</v>
      </c>
      <c r="B43" s="3" t="s">
        <v>9</v>
      </c>
      <c r="C43" s="12" t="s">
        <v>9</v>
      </c>
      <c r="D43" s="3" t="s">
        <v>9</v>
      </c>
      <c r="E43" s="3" t="s">
        <v>9</v>
      </c>
      <c r="F43" s="13" t="s">
        <v>9</v>
      </c>
      <c r="G43" s="13" t="s">
        <v>9</v>
      </c>
      <c r="H43" s="156"/>
    </row>
    <row r="44" spans="1:8" x14ac:dyDescent="0.2">
      <c r="A44" s="3" t="s">
        <v>9</v>
      </c>
      <c r="B44" s="3" t="s">
        <v>9</v>
      </c>
      <c r="C44" s="4" t="s">
        <v>107</v>
      </c>
      <c r="D44" s="3" t="s">
        <v>9</v>
      </c>
      <c r="E44" s="3" t="s">
        <v>9</v>
      </c>
      <c r="F44" s="3" t="s">
        <v>9</v>
      </c>
      <c r="G44" s="3" t="s">
        <v>9</v>
      </c>
      <c r="H44" s="156"/>
    </row>
    <row r="45" spans="1:8" x14ac:dyDescent="0.2">
      <c r="A45" s="3" t="s">
        <v>9</v>
      </c>
      <c r="B45" s="3" t="s">
        <v>9</v>
      </c>
      <c r="C45" s="4" t="s">
        <v>105</v>
      </c>
      <c r="D45" s="3" t="s">
        <v>9</v>
      </c>
      <c r="E45" s="3" t="s">
        <v>9</v>
      </c>
      <c r="F45" s="14">
        <v>0</v>
      </c>
      <c r="G45" s="15">
        <v>0</v>
      </c>
      <c r="H45" s="156"/>
    </row>
    <row r="46" spans="1:8" x14ac:dyDescent="0.2">
      <c r="A46" s="3" t="s">
        <v>9</v>
      </c>
      <c r="B46" s="3" t="s">
        <v>9</v>
      </c>
      <c r="C46" s="12" t="s">
        <v>9</v>
      </c>
      <c r="D46" s="3" t="s">
        <v>9</v>
      </c>
      <c r="E46" s="3" t="s">
        <v>9</v>
      </c>
      <c r="F46" s="13" t="s">
        <v>9</v>
      </c>
      <c r="G46" s="13" t="s">
        <v>9</v>
      </c>
      <c r="H46" s="156"/>
    </row>
    <row r="47" spans="1:8" x14ac:dyDescent="0.2">
      <c r="A47" s="3" t="s">
        <v>9</v>
      </c>
      <c r="B47" s="3" t="s">
        <v>9</v>
      </c>
      <c r="C47" s="4" t="s">
        <v>111</v>
      </c>
      <c r="D47" s="3" t="s">
        <v>9</v>
      </c>
      <c r="E47" s="3" t="s">
        <v>9</v>
      </c>
      <c r="F47" s="3" t="s">
        <v>9</v>
      </c>
      <c r="G47" s="3" t="s">
        <v>9</v>
      </c>
      <c r="H47" s="156"/>
    </row>
    <row r="48" spans="1:8" x14ac:dyDescent="0.2">
      <c r="A48" s="3" t="s">
        <v>9</v>
      </c>
      <c r="B48" s="3" t="s">
        <v>9</v>
      </c>
      <c r="C48" s="4" t="s">
        <v>105</v>
      </c>
      <c r="D48" s="3" t="s">
        <v>9</v>
      </c>
      <c r="E48" s="3" t="s">
        <v>9</v>
      </c>
      <c r="F48" s="14">
        <v>0</v>
      </c>
      <c r="G48" s="15">
        <v>0</v>
      </c>
      <c r="H48" s="156"/>
    </row>
    <row r="49" spans="1:8" x14ac:dyDescent="0.2">
      <c r="A49" s="3" t="s">
        <v>9</v>
      </c>
      <c r="B49" s="3" t="s">
        <v>9</v>
      </c>
      <c r="C49" s="12" t="s">
        <v>9</v>
      </c>
      <c r="D49" s="3" t="s">
        <v>9</v>
      </c>
      <c r="E49" s="3" t="s">
        <v>9</v>
      </c>
      <c r="F49" s="13" t="s">
        <v>9</v>
      </c>
      <c r="G49" s="1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112</v>
      </c>
      <c r="D50" s="3" t="s">
        <v>9</v>
      </c>
      <c r="E50" s="3" t="s">
        <v>9</v>
      </c>
      <c r="F50" s="13" t="s">
        <v>9</v>
      </c>
      <c r="G50" s="13" t="s">
        <v>9</v>
      </c>
      <c r="H50" s="156"/>
    </row>
    <row r="51" spans="1:8" x14ac:dyDescent="0.2">
      <c r="A51" s="3" t="s">
        <v>9</v>
      </c>
      <c r="B51" s="3" t="s">
        <v>9</v>
      </c>
      <c r="C51" s="4" t="s">
        <v>105</v>
      </c>
      <c r="D51" s="3" t="s">
        <v>9</v>
      </c>
      <c r="E51" s="3" t="s">
        <v>9</v>
      </c>
      <c r="F51" s="14">
        <v>0</v>
      </c>
      <c r="G51" s="15">
        <v>0</v>
      </c>
      <c r="H51" s="156"/>
    </row>
    <row r="52" spans="1:8" x14ac:dyDescent="0.2">
      <c r="A52" s="3" t="s">
        <v>9</v>
      </c>
      <c r="B52" s="3" t="s">
        <v>9</v>
      </c>
      <c r="C52" s="12" t="s">
        <v>9</v>
      </c>
      <c r="D52" s="3" t="s">
        <v>9</v>
      </c>
      <c r="E52" s="3" t="s">
        <v>9</v>
      </c>
      <c r="F52" s="13" t="s">
        <v>9</v>
      </c>
      <c r="G52" s="1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113</v>
      </c>
      <c r="D53" s="3" t="s">
        <v>9</v>
      </c>
      <c r="E53" s="3" t="s">
        <v>9</v>
      </c>
      <c r="F53" s="13" t="s">
        <v>9</v>
      </c>
      <c r="G53" s="13" t="s">
        <v>9</v>
      </c>
      <c r="H53" s="156"/>
    </row>
    <row r="54" spans="1:8" x14ac:dyDescent="0.2">
      <c r="A54" s="3" t="s">
        <v>9</v>
      </c>
      <c r="B54" s="3" t="s">
        <v>9</v>
      </c>
      <c r="C54" s="4" t="s">
        <v>105</v>
      </c>
      <c r="D54" s="3" t="s">
        <v>9</v>
      </c>
      <c r="E54" s="3" t="s">
        <v>9</v>
      </c>
      <c r="F54" s="14">
        <v>0</v>
      </c>
      <c r="G54" s="15">
        <v>0</v>
      </c>
      <c r="H54" s="156"/>
    </row>
    <row r="55" spans="1:8" x14ac:dyDescent="0.2">
      <c r="A55" s="3" t="s">
        <v>9</v>
      </c>
      <c r="B55" s="3" t="s">
        <v>9</v>
      </c>
      <c r="C55" s="12" t="s">
        <v>9</v>
      </c>
      <c r="D55" s="3" t="s">
        <v>9</v>
      </c>
      <c r="E55" s="3" t="s">
        <v>9</v>
      </c>
      <c r="F55" s="13" t="s">
        <v>9</v>
      </c>
      <c r="G55" s="1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114</v>
      </c>
      <c r="D56" s="3" t="s">
        <v>9</v>
      </c>
      <c r="E56" s="3" t="s">
        <v>9</v>
      </c>
      <c r="F56" s="10">
        <v>3723.8821969999999</v>
      </c>
      <c r="G56" s="11">
        <v>0.95775036499999999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115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x14ac:dyDescent="0.2">
      <c r="A59" s="3" t="s">
        <v>9</v>
      </c>
      <c r="B59" s="3" t="s">
        <v>9</v>
      </c>
      <c r="C59" s="4" t="s">
        <v>11</v>
      </c>
      <c r="D59" s="3" t="s">
        <v>9</v>
      </c>
      <c r="E59" s="3" t="s">
        <v>9</v>
      </c>
      <c r="F59" s="13" t="s">
        <v>9</v>
      </c>
      <c r="G59" s="13" t="s">
        <v>9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0</v>
      </c>
      <c r="G60" s="15">
        <v>0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116</v>
      </c>
      <c r="D62" s="3" t="s">
        <v>9</v>
      </c>
      <c r="E62" s="3" t="s">
        <v>9</v>
      </c>
      <c r="F62" s="3" t="s">
        <v>9</v>
      </c>
      <c r="G62" s="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105</v>
      </c>
      <c r="D63" s="3" t="s">
        <v>9</v>
      </c>
      <c r="E63" s="3" t="s">
        <v>9</v>
      </c>
      <c r="F63" s="14">
        <v>0</v>
      </c>
      <c r="G63" s="15">
        <v>0</v>
      </c>
      <c r="H63" s="156"/>
    </row>
    <row r="64" spans="1:8" x14ac:dyDescent="0.2">
      <c r="A64" s="3" t="s">
        <v>9</v>
      </c>
      <c r="B64" s="3" t="s">
        <v>9</v>
      </c>
      <c r="C64" s="12" t="s">
        <v>9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117</v>
      </c>
      <c r="D65" s="3" t="s">
        <v>9</v>
      </c>
      <c r="E65" s="3" t="s">
        <v>9</v>
      </c>
      <c r="F65" s="3" t="s">
        <v>9</v>
      </c>
      <c r="G65" s="3" t="s">
        <v>9</v>
      </c>
      <c r="H65" s="156"/>
    </row>
    <row r="66" spans="1:8" x14ac:dyDescent="0.2">
      <c r="A66" s="3" t="s">
        <v>9</v>
      </c>
      <c r="B66" s="3" t="s">
        <v>9</v>
      </c>
      <c r="C66" s="4" t="s">
        <v>105</v>
      </c>
      <c r="D66" s="3" t="s">
        <v>9</v>
      </c>
      <c r="E66" s="3" t="s">
        <v>9</v>
      </c>
      <c r="F66" s="14">
        <v>0</v>
      </c>
      <c r="G66" s="15">
        <v>0</v>
      </c>
      <c r="H66" s="156"/>
    </row>
    <row r="67" spans="1:8" x14ac:dyDescent="0.2">
      <c r="A67" s="3" t="s">
        <v>9</v>
      </c>
      <c r="B67" s="3" t="s">
        <v>9</v>
      </c>
      <c r="C67" s="12" t="s">
        <v>9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118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119</v>
      </c>
      <c r="D71" s="3" t="s">
        <v>9</v>
      </c>
      <c r="E71" s="3" t="s">
        <v>9</v>
      </c>
      <c r="F71" s="10">
        <v>0</v>
      </c>
      <c r="G71" s="11">
        <v>0</v>
      </c>
      <c r="H71" s="156"/>
    </row>
    <row r="72" spans="1:8" x14ac:dyDescent="0.2">
      <c r="A72" s="3" t="s">
        <v>9</v>
      </c>
      <c r="B72" s="3" t="s">
        <v>9</v>
      </c>
      <c r="C72" s="12" t="s">
        <v>9</v>
      </c>
      <c r="D72" s="3" t="s">
        <v>9</v>
      </c>
      <c r="E72" s="3" t="s">
        <v>9</v>
      </c>
      <c r="F72" s="13" t="s">
        <v>9</v>
      </c>
      <c r="G72" s="13" t="s">
        <v>9</v>
      </c>
      <c r="H72" s="156"/>
    </row>
    <row r="73" spans="1:8" x14ac:dyDescent="0.2">
      <c r="A73" s="3" t="s">
        <v>9</v>
      </c>
      <c r="B73" s="3" t="s">
        <v>9</v>
      </c>
      <c r="C73" s="4" t="s">
        <v>120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121</v>
      </c>
      <c r="D74" s="3" t="s">
        <v>9</v>
      </c>
      <c r="E74" s="3" t="s">
        <v>9</v>
      </c>
      <c r="F74" s="13" t="s">
        <v>9</v>
      </c>
      <c r="G74" s="1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122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123</v>
      </c>
      <c r="D80" s="3" t="s">
        <v>9</v>
      </c>
      <c r="E80" s="3" t="s">
        <v>9</v>
      </c>
      <c r="F80" s="13" t="s">
        <v>9</v>
      </c>
      <c r="G80" s="13" t="s">
        <v>9</v>
      </c>
      <c r="H80" s="156"/>
    </row>
    <row r="81" spans="1:8" x14ac:dyDescent="0.2">
      <c r="A81" s="3" t="s">
        <v>9</v>
      </c>
      <c r="B81" s="3" t="s">
        <v>9</v>
      </c>
      <c r="C81" s="4" t="s">
        <v>105</v>
      </c>
      <c r="D81" s="3" t="s">
        <v>9</v>
      </c>
      <c r="E81" s="3" t="s">
        <v>9</v>
      </c>
      <c r="F81" s="14">
        <v>0</v>
      </c>
      <c r="G81" s="15">
        <v>0</v>
      </c>
      <c r="H81" s="156"/>
    </row>
    <row r="82" spans="1:8" x14ac:dyDescent="0.2">
      <c r="A82" s="3" t="s">
        <v>9</v>
      </c>
      <c r="B82" s="3" t="s">
        <v>9</v>
      </c>
      <c r="C82" s="12" t="s">
        <v>9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124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5">
        <v>1</v>
      </c>
      <c r="B84" s="6"/>
      <c r="C84" s="6" t="s">
        <v>125</v>
      </c>
      <c r="D84" s="6"/>
      <c r="E84" s="16" t="s">
        <v>9</v>
      </c>
      <c r="F84" s="8">
        <v>150.3507644</v>
      </c>
      <c r="G84" s="9">
        <v>3.8668919000000003E-2</v>
      </c>
      <c r="H84" s="8">
        <v>3.3326163573085874</v>
      </c>
    </row>
    <row r="85" spans="1:8" x14ac:dyDescent="0.2">
      <c r="A85" s="5">
        <v>2</v>
      </c>
      <c r="B85" s="6"/>
      <c r="C85" s="6" t="s">
        <v>126</v>
      </c>
      <c r="D85" s="6"/>
      <c r="E85" s="16" t="s">
        <v>9</v>
      </c>
      <c r="F85" s="8">
        <v>107.38788580000001</v>
      </c>
      <c r="G85" s="9">
        <v>2.7619237000000001E-2</v>
      </c>
      <c r="H85" s="8">
        <v>3.2337849550915885</v>
      </c>
    </row>
    <row r="86" spans="1:8" x14ac:dyDescent="0.2">
      <c r="A86" s="3" t="s">
        <v>9</v>
      </c>
      <c r="B86" s="3" t="s">
        <v>9</v>
      </c>
      <c r="C86" s="4" t="s">
        <v>105</v>
      </c>
      <c r="D86" s="3" t="s">
        <v>9</v>
      </c>
      <c r="E86" s="3" t="s">
        <v>9</v>
      </c>
      <c r="F86" s="10">
        <v>257.7386502</v>
      </c>
      <c r="G86" s="11">
        <v>6.6288156000000001E-2</v>
      </c>
      <c r="H86" s="156"/>
    </row>
    <row r="87" spans="1:8" x14ac:dyDescent="0.2">
      <c r="A87" s="3" t="s">
        <v>9</v>
      </c>
      <c r="B87" s="3" t="s">
        <v>9</v>
      </c>
      <c r="C87" s="12" t="s">
        <v>9</v>
      </c>
      <c r="D87" s="3" t="s">
        <v>9</v>
      </c>
      <c r="E87" s="3" t="s">
        <v>9</v>
      </c>
      <c r="F87" s="13" t="s">
        <v>9</v>
      </c>
      <c r="G87" s="13" t="s">
        <v>9</v>
      </c>
      <c r="H87" s="156"/>
    </row>
    <row r="88" spans="1:8" x14ac:dyDescent="0.2">
      <c r="A88" s="3" t="s">
        <v>9</v>
      </c>
      <c r="B88" s="3" t="s">
        <v>9</v>
      </c>
      <c r="C88" s="4" t="s">
        <v>127</v>
      </c>
      <c r="D88" s="3" t="s">
        <v>9</v>
      </c>
      <c r="E88" s="3" t="s">
        <v>9</v>
      </c>
      <c r="F88" s="10">
        <v>257.7386502</v>
      </c>
      <c r="G88" s="11">
        <v>6.6288156000000001E-2</v>
      </c>
      <c r="H88" s="156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3" t="s">
        <v>9</v>
      </c>
      <c r="G89" s="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128</v>
      </c>
      <c r="D90" s="3" t="s">
        <v>9</v>
      </c>
      <c r="E90" s="3" t="s">
        <v>9</v>
      </c>
      <c r="F90" s="3" t="s">
        <v>9</v>
      </c>
      <c r="G90" s="3" t="s">
        <v>9</v>
      </c>
      <c r="H90" s="156"/>
    </row>
    <row r="91" spans="1:8" x14ac:dyDescent="0.2">
      <c r="A91" s="3" t="s">
        <v>9</v>
      </c>
      <c r="B91" s="3" t="s">
        <v>9</v>
      </c>
      <c r="C91" s="4" t="s">
        <v>129</v>
      </c>
      <c r="D91" s="3" t="s">
        <v>9</v>
      </c>
      <c r="E91" s="3" t="s">
        <v>9</v>
      </c>
      <c r="F91" s="3" t="s">
        <v>9</v>
      </c>
      <c r="G91" s="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105</v>
      </c>
      <c r="D92" s="3" t="s">
        <v>9</v>
      </c>
      <c r="E92" s="3" t="s">
        <v>9</v>
      </c>
      <c r="F92" s="14">
        <v>0</v>
      </c>
      <c r="G92" s="15">
        <v>0</v>
      </c>
      <c r="H92" s="156"/>
    </row>
    <row r="93" spans="1:8" x14ac:dyDescent="0.2">
      <c r="A93" s="3" t="s">
        <v>9</v>
      </c>
      <c r="B93" s="3" t="s">
        <v>9</v>
      </c>
      <c r="C93" s="12" t="s">
        <v>9</v>
      </c>
      <c r="D93" s="3" t="s">
        <v>9</v>
      </c>
      <c r="E93" s="3" t="s">
        <v>9</v>
      </c>
      <c r="F93" s="13" t="s">
        <v>9</v>
      </c>
      <c r="G93" s="13" t="s">
        <v>9</v>
      </c>
      <c r="H93" s="156"/>
    </row>
    <row r="94" spans="1:8" x14ac:dyDescent="0.2">
      <c r="A94" s="3" t="s">
        <v>9</v>
      </c>
      <c r="B94" s="3" t="s">
        <v>9</v>
      </c>
      <c r="C94" s="4" t="s">
        <v>130</v>
      </c>
      <c r="D94" s="3" t="s">
        <v>9</v>
      </c>
      <c r="E94" s="3" t="s">
        <v>9</v>
      </c>
      <c r="F94" s="3" t="s">
        <v>9</v>
      </c>
      <c r="G94" s="3" t="s">
        <v>9</v>
      </c>
      <c r="H94" s="156"/>
    </row>
    <row r="95" spans="1:8" x14ac:dyDescent="0.2">
      <c r="A95" s="3" t="s">
        <v>9</v>
      </c>
      <c r="B95" s="3" t="s">
        <v>9</v>
      </c>
      <c r="C95" s="4" t="s">
        <v>131</v>
      </c>
      <c r="D95" s="3" t="s">
        <v>9</v>
      </c>
      <c r="E95" s="3" t="s">
        <v>9</v>
      </c>
      <c r="F95" s="3" t="s">
        <v>9</v>
      </c>
      <c r="G95" s="3" t="s">
        <v>9</v>
      </c>
      <c r="H95" s="156"/>
    </row>
    <row r="96" spans="1:8" x14ac:dyDescent="0.2">
      <c r="A96" s="3" t="s">
        <v>9</v>
      </c>
      <c r="B96" s="3" t="s">
        <v>9</v>
      </c>
      <c r="C96" s="4" t="s">
        <v>105</v>
      </c>
      <c r="D96" s="3" t="s">
        <v>9</v>
      </c>
      <c r="E96" s="3" t="s">
        <v>9</v>
      </c>
      <c r="F96" s="14">
        <v>0</v>
      </c>
      <c r="G96" s="15">
        <v>0</v>
      </c>
      <c r="H96" s="156"/>
    </row>
    <row r="97" spans="1:8" x14ac:dyDescent="0.2">
      <c r="A97" s="3" t="s">
        <v>9</v>
      </c>
      <c r="B97" s="3" t="s">
        <v>9</v>
      </c>
      <c r="C97" s="12" t="s">
        <v>9</v>
      </c>
      <c r="D97" s="3" t="s">
        <v>9</v>
      </c>
      <c r="E97" s="3" t="s">
        <v>9</v>
      </c>
      <c r="F97" s="13" t="s">
        <v>9</v>
      </c>
      <c r="G97" s="13" t="s">
        <v>9</v>
      </c>
      <c r="H97" s="156"/>
    </row>
    <row r="98" spans="1:8" x14ac:dyDescent="0.2">
      <c r="A98" s="3" t="s">
        <v>9</v>
      </c>
      <c r="B98" s="3" t="s">
        <v>9</v>
      </c>
      <c r="C98" s="12" t="s">
        <v>9</v>
      </c>
      <c r="D98" s="3" t="s">
        <v>9</v>
      </c>
      <c r="E98" s="3" t="s">
        <v>9</v>
      </c>
      <c r="F98" s="13" t="s">
        <v>9</v>
      </c>
      <c r="G98" s="1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132</v>
      </c>
      <c r="D99" s="3" t="s">
        <v>9</v>
      </c>
      <c r="E99" s="3" t="s">
        <v>9</v>
      </c>
      <c r="F99" s="13" t="s">
        <v>9</v>
      </c>
      <c r="G99" s="1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105</v>
      </c>
      <c r="D100" s="3" t="s">
        <v>9</v>
      </c>
      <c r="E100" s="3" t="s">
        <v>9</v>
      </c>
      <c r="F100" s="14">
        <v>0</v>
      </c>
      <c r="G100" s="15">
        <v>0</v>
      </c>
      <c r="H100" s="156"/>
    </row>
    <row r="101" spans="1:8" x14ac:dyDescent="0.2">
      <c r="A101" s="3" t="s">
        <v>9</v>
      </c>
      <c r="B101" s="3" t="s">
        <v>9</v>
      </c>
      <c r="C101" s="12" t="s">
        <v>9</v>
      </c>
      <c r="D101" s="3" t="s">
        <v>9</v>
      </c>
      <c r="E101" s="3" t="s">
        <v>9</v>
      </c>
      <c r="F101" s="13" t="s">
        <v>9</v>
      </c>
      <c r="G101" s="13" t="s">
        <v>9</v>
      </c>
      <c r="H101" s="156"/>
    </row>
    <row r="102" spans="1:8" x14ac:dyDescent="0.2">
      <c r="A102" s="3" t="s">
        <v>9</v>
      </c>
      <c r="B102" s="6" t="s">
        <v>9</v>
      </c>
      <c r="C102" s="6" t="s">
        <v>9</v>
      </c>
      <c r="D102" s="4" t="s">
        <v>9</v>
      </c>
      <c r="E102" s="3" t="s">
        <v>9</v>
      </c>
      <c r="F102" s="6" t="s">
        <v>9</v>
      </c>
      <c r="G102" s="16" t="s">
        <v>9</v>
      </c>
      <c r="H102" s="156"/>
    </row>
    <row r="103" spans="1:8" x14ac:dyDescent="0.2">
      <c r="A103" s="16" t="s">
        <v>9</v>
      </c>
      <c r="B103" s="6" t="s">
        <v>9</v>
      </c>
      <c r="C103" s="6" t="s">
        <v>133</v>
      </c>
      <c r="D103" s="6" t="s">
        <v>9</v>
      </c>
      <c r="E103" s="16" t="s">
        <v>9</v>
      </c>
      <c r="F103" s="8">
        <v>-93.465501399999994</v>
      </c>
      <c r="G103" s="9">
        <v>-2.4038520000000001E-2</v>
      </c>
      <c r="H103" s="156"/>
    </row>
    <row r="104" spans="1:8" x14ac:dyDescent="0.2">
      <c r="A104" s="12" t="s">
        <v>9</v>
      </c>
      <c r="B104" s="12" t="s">
        <v>9</v>
      </c>
      <c r="C104" s="4" t="s">
        <v>134</v>
      </c>
      <c r="D104" s="17" t="s">
        <v>9</v>
      </c>
      <c r="E104" s="17" t="s">
        <v>9</v>
      </c>
      <c r="F104" s="10">
        <v>3888.1553457999998</v>
      </c>
      <c r="G104" s="11">
        <v>1.0000000010000001</v>
      </c>
      <c r="H104" s="156"/>
    </row>
    <row r="105" spans="1:8" ht="14.1" customHeight="1" x14ac:dyDescent="0.2">
      <c r="A105" s="18" t="s">
        <v>9</v>
      </c>
      <c r="B105" s="18" t="s">
        <v>9</v>
      </c>
      <c r="C105" s="18" t="s">
        <v>9</v>
      </c>
      <c r="D105" s="19" t="s">
        <v>9</v>
      </c>
      <c r="E105" s="19" t="s">
        <v>9</v>
      </c>
      <c r="F105" s="19" t="s">
        <v>9</v>
      </c>
      <c r="G105" s="19" t="s">
        <v>9</v>
      </c>
    </row>
    <row r="106" spans="1:8" ht="14.1" customHeight="1" x14ac:dyDescent="0.2">
      <c r="A106" s="20" t="s">
        <v>9</v>
      </c>
      <c r="B106" s="200" t="s">
        <v>9</v>
      </c>
      <c r="C106" s="200"/>
      <c r="D106" s="200"/>
      <c r="E106" s="200"/>
      <c r="F106" s="200"/>
      <c r="G106" s="22" t="s">
        <v>9</v>
      </c>
    </row>
    <row r="107" spans="1:8" ht="14.1" customHeight="1" x14ac:dyDescent="0.2">
      <c r="A107" s="20" t="s">
        <v>9</v>
      </c>
      <c r="B107" s="200" t="s">
        <v>9</v>
      </c>
      <c r="C107" s="200"/>
      <c r="D107" s="200"/>
      <c r="E107" s="200"/>
      <c r="F107" s="200"/>
      <c r="G107" s="22" t="s">
        <v>9</v>
      </c>
    </row>
    <row r="108" spans="1:8" ht="14.1" customHeight="1" x14ac:dyDescent="0.2">
      <c r="A108" s="20" t="s">
        <v>9</v>
      </c>
      <c r="B108" s="20" t="s">
        <v>9</v>
      </c>
      <c r="C108" s="20" t="s">
        <v>9</v>
      </c>
      <c r="D108" s="22" t="s">
        <v>9</v>
      </c>
      <c r="E108" s="22" t="s">
        <v>9</v>
      </c>
      <c r="F108" s="22" t="s">
        <v>9</v>
      </c>
      <c r="G108" s="22" t="s">
        <v>9</v>
      </c>
    </row>
    <row r="109" spans="1:8" ht="14.1" customHeight="1" x14ac:dyDescent="0.2">
      <c r="A109" s="20" t="s">
        <v>9</v>
      </c>
      <c r="B109" s="198" t="s">
        <v>136</v>
      </c>
      <c r="C109" s="199"/>
      <c r="D109" s="13" t="s">
        <v>9</v>
      </c>
      <c r="E109" s="23" t="s">
        <v>9</v>
      </c>
      <c r="F109" s="22" t="s">
        <v>9</v>
      </c>
      <c r="G109" s="22" t="s">
        <v>9</v>
      </c>
    </row>
    <row r="110" spans="1:8" ht="29.1" customHeight="1" x14ac:dyDescent="0.2">
      <c r="A110" s="20" t="s">
        <v>9</v>
      </c>
      <c r="B110" s="205" t="s">
        <v>137</v>
      </c>
      <c r="C110" s="206"/>
      <c r="D110" s="4" t="s">
        <v>138</v>
      </c>
      <c r="E110" s="23" t="s">
        <v>9</v>
      </c>
      <c r="F110" s="22" t="s">
        <v>9</v>
      </c>
      <c r="G110" s="22" t="s">
        <v>9</v>
      </c>
    </row>
    <row r="111" spans="1:8" ht="17.100000000000001" customHeight="1" x14ac:dyDescent="0.2">
      <c r="A111" s="20" t="s">
        <v>9</v>
      </c>
      <c r="B111" s="205" t="s">
        <v>139</v>
      </c>
      <c r="C111" s="206"/>
      <c r="D111" s="4" t="s">
        <v>138</v>
      </c>
      <c r="E111" s="23" t="s">
        <v>9</v>
      </c>
      <c r="F111" s="22" t="s">
        <v>9</v>
      </c>
      <c r="G111" s="22" t="s">
        <v>9</v>
      </c>
    </row>
    <row r="112" spans="1:8" ht="17.100000000000001" customHeight="1" x14ac:dyDescent="0.2">
      <c r="A112" s="20" t="s">
        <v>9</v>
      </c>
      <c r="B112" s="205" t="s">
        <v>140</v>
      </c>
      <c r="C112" s="206"/>
      <c r="D112" s="13" t="s">
        <v>9</v>
      </c>
      <c r="E112" s="23" t="s">
        <v>9</v>
      </c>
      <c r="F112" s="22" t="s">
        <v>9</v>
      </c>
      <c r="G112" s="22" t="s">
        <v>9</v>
      </c>
    </row>
    <row r="113" spans="1:8" ht="24" customHeight="1" x14ac:dyDescent="0.2">
      <c r="A113" s="24" t="s">
        <v>9</v>
      </c>
      <c r="B113" s="25" t="s">
        <v>9</v>
      </c>
      <c r="C113" s="25" t="s">
        <v>141</v>
      </c>
      <c r="D113" s="25" t="s">
        <v>142</v>
      </c>
      <c r="E113" s="24" t="s">
        <v>9</v>
      </c>
      <c r="F113" s="24" t="s">
        <v>9</v>
      </c>
      <c r="G113" s="24" t="s">
        <v>9</v>
      </c>
    </row>
    <row r="114" spans="1:8" ht="18" customHeight="1" x14ac:dyDescent="0.2">
      <c r="A114" s="24" t="s">
        <v>9</v>
      </c>
      <c r="B114" s="25" t="s">
        <v>143</v>
      </c>
      <c r="C114" s="25" t="s">
        <v>144</v>
      </c>
      <c r="D114" s="25" t="s">
        <v>145</v>
      </c>
      <c r="E114" s="24" t="s">
        <v>9</v>
      </c>
      <c r="F114" s="24" t="s">
        <v>9</v>
      </c>
      <c r="G114" s="24" t="s">
        <v>9</v>
      </c>
    </row>
    <row r="115" spans="1:8" ht="17.100000000000001" customHeight="1" x14ac:dyDescent="0.2">
      <c r="A115" s="24" t="s">
        <v>9</v>
      </c>
      <c r="B115" s="6" t="s">
        <v>146</v>
      </c>
      <c r="C115" s="26">
        <v>13.3002</v>
      </c>
      <c r="D115" s="26">
        <v>13.896000000000001</v>
      </c>
      <c r="E115" s="24" t="s">
        <v>9</v>
      </c>
      <c r="F115" s="21" t="s">
        <v>9</v>
      </c>
      <c r="G115" s="27" t="s">
        <v>9</v>
      </c>
    </row>
    <row r="116" spans="1:8" ht="17.100000000000001" customHeight="1" x14ac:dyDescent="0.2">
      <c r="A116" s="24" t="s">
        <v>9</v>
      </c>
      <c r="B116" s="6" t="s">
        <v>839</v>
      </c>
      <c r="C116" s="26">
        <v>13.2997</v>
      </c>
      <c r="D116" s="26">
        <v>12.875500000000001</v>
      </c>
      <c r="E116" s="24" t="s">
        <v>9</v>
      </c>
      <c r="F116" s="21" t="s">
        <v>9</v>
      </c>
      <c r="G116" s="27" t="s">
        <v>9</v>
      </c>
    </row>
    <row r="117" spans="1:8" ht="17.100000000000001" customHeight="1" x14ac:dyDescent="0.2">
      <c r="A117" s="24" t="s">
        <v>9</v>
      </c>
      <c r="B117" s="6" t="s">
        <v>147</v>
      </c>
      <c r="C117" s="26">
        <v>12.941000000000001</v>
      </c>
      <c r="D117" s="26">
        <v>13.514900000000001</v>
      </c>
      <c r="E117" s="24" t="s">
        <v>9</v>
      </c>
      <c r="F117" s="21" t="s">
        <v>9</v>
      </c>
      <c r="G117" s="27" t="s">
        <v>9</v>
      </c>
    </row>
    <row r="118" spans="1:8" ht="17.100000000000001" customHeight="1" x14ac:dyDescent="0.2">
      <c r="A118" s="24" t="s">
        <v>9</v>
      </c>
      <c r="B118" s="6" t="s">
        <v>840</v>
      </c>
      <c r="C118" s="26">
        <v>12.941000000000001</v>
      </c>
      <c r="D118" s="26">
        <v>12.7849</v>
      </c>
      <c r="E118" s="24" t="s">
        <v>9</v>
      </c>
      <c r="F118" s="21" t="s">
        <v>9</v>
      </c>
      <c r="G118" s="27" t="s">
        <v>9</v>
      </c>
    </row>
    <row r="119" spans="1:8" ht="14.1" customHeight="1" x14ac:dyDescent="0.2">
      <c r="A119" s="24" t="s">
        <v>9</v>
      </c>
      <c r="B119" s="24" t="s">
        <v>9</v>
      </c>
      <c r="C119" s="24" t="s">
        <v>9</v>
      </c>
      <c r="D119" s="24" t="s">
        <v>9</v>
      </c>
      <c r="E119" s="24" t="s">
        <v>9</v>
      </c>
      <c r="F119" s="24" t="s">
        <v>9</v>
      </c>
      <c r="G119" s="24" t="s">
        <v>9</v>
      </c>
    </row>
    <row r="120" spans="1:8" ht="29.1" customHeight="1" x14ac:dyDescent="0.2">
      <c r="A120" s="167" t="s">
        <v>9</v>
      </c>
      <c r="B120" s="207" t="s">
        <v>986</v>
      </c>
      <c r="C120" s="207"/>
      <c r="D120" s="160"/>
      <c r="E120" s="167" t="s">
        <v>9</v>
      </c>
      <c r="F120" s="167" t="s">
        <v>9</v>
      </c>
      <c r="G120" s="167" t="s">
        <v>9</v>
      </c>
    </row>
    <row r="121" spans="1:8" s="166" customFormat="1" ht="15" x14ac:dyDescent="0.2">
      <c r="A121" s="148" t="s">
        <v>9</v>
      </c>
      <c r="B121" s="161" t="s">
        <v>143</v>
      </c>
      <c r="C121" s="161" t="s">
        <v>878</v>
      </c>
      <c r="D121" s="161" t="s">
        <v>879</v>
      </c>
      <c r="E121" s="148" t="s">
        <v>9</v>
      </c>
      <c r="F121" s="148" t="s">
        <v>9</v>
      </c>
      <c r="G121" s="148" t="s">
        <v>9</v>
      </c>
      <c r="H121" s="165"/>
    </row>
    <row r="122" spans="1:8" ht="17.100000000000001" customHeight="1" x14ac:dyDescent="0.2">
      <c r="A122" s="167" t="s">
        <v>9</v>
      </c>
      <c r="B122" s="162" t="s">
        <v>839</v>
      </c>
      <c r="C122" s="163">
        <v>1.02</v>
      </c>
      <c r="D122" s="164">
        <v>0</v>
      </c>
      <c r="E122" s="24" t="s">
        <v>9</v>
      </c>
      <c r="F122" s="31" t="s">
        <v>9</v>
      </c>
      <c r="G122" s="27" t="s">
        <v>9</v>
      </c>
    </row>
    <row r="123" spans="1:8" ht="17.100000000000001" customHeight="1" x14ac:dyDescent="0.2">
      <c r="A123" s="167" t="s">
        <v>9</v>
      </c>
      <c r="B123" s="162" t="s">
        <v>840</v>
      </c>
      <c r="C123" s="163">
        <v>0.73</v>
      </c>
      <c r="D123" s="164">
        <v>0.73</v>
      </c>
      <c r="E123" s="24" t="s">
        <v>9</v>
      </c>
      <c r="F123" s="31" t="s">
        <v>9</v>
      </c>
      <c r="G123" s="27" t="s">
        <v>9</v>
      </c>
    </row>
    <row r="124" spans="1:8" ht="14.1" customHeight="1" x14ac:dyDescent="0.2">
      <c r="A124" s="24" t="s">
        <v>9</v>
      </c>
      <c r="B124" s="21" t="s">
        <v>9</v>
      </c>
      <c r="C124" s="21" t="s">
        <v>9</v>
      </c>
      <c r="D124" s="24" t="s">
        <v>9</v>
      </c>
      <c r="E124" s="24" t="s">
        <v>9</v>
      </c>
      <c r="F124" s="24" t="s">
        <v>9</v>
      </c>
      <c r="G124" s="24" t="s">
        <v>9</v>
      </c>
    </row>
    <row r="125" spans="1:8" s="197" customFormat="1" x14ac:dyDescent="0.2">
      <c r="B125" s="208" t="s">
        <v>841</v>
      </c>
      <c r="C125" s="208"/>
      <c r="D125" s="208"/>
      <c r="E125" s="208"/>
      <c r="F125" s="208"/>
    </row>
    <row r="126" spans="1:8" ht="14.1" customHeight="1" x14ac:dyDescent="0.2">
      <c r="A126" s="24"/>
      <c r="B126" s="182"/>
      <c r="C126" s="182"/>
      <c r="D126" s="24"/>
      <c r="E126" s="24"/>
      <c r="F126" s="24"/>
      <c r="G126" s="24"/>
    </row>
    <row r="127" spans="1:8" ht="29.1" customHeight="1" x14ac:dyDescent="0.2">
      <c r="A127" s="24" t="s">
        <v>9</v>
      </c>
      <c r="B127" s="205" t="s">
        <v>148</v>
      </c>
      <c r="C127" s="206"/>
      <c r="D127" s="4" t="s">
        <v>138</v>
      </c>
      <c r="E127" s="24" t="s">
        <v>9</v>
      </c>
      <c r="F127" s="24" t="s">
        <v>9</v>
      </c>
      <c r="G127" s="24" t="s">
        <v>9</v>
      </c>
    </row>
    <row r="128" spans="1:8" ht="29.1" customHeight="1" x14ac:dyDescent="0.2">
      <c r="A128" s="24" t="s">
        <v>9</v>
      </c>
      <c r="B128" s="205" t="s">
        <v>149</v>
      </c>
      <c r="C128" s="206"/>
      <c r="D128" s="4" t="s">
        <v>138</v>
      </c>
      <c r="E128" s="24" t="s">
        <v>9</v>
      </c>
      <c r="F128" s="24" t="s">
        <v>9</v>
      </c>
      <c r="G128" s="24" t="s">
        <v>9</v>
      </c>
    </row>
    <row r="129" spans="1:7" ht="17.100000000000001" customHeight="1" x14ac:dyDescent="0.2">
      <c r="A129" s="24" t="s">
        <v>9</v>
      </c>
      <c r="B129" s="205" t="s">
        <v>150</v>
      </c>
      <c r="C129" s="206"/>
      <c r="D129" s="29">
        <v>0.67987556500213475</v>
      </c>
      <c r="E129" s="24" t="s">
        <v>9</v>
      </c>
      <c r="F129" s="21" t="s">
        <v>9</v>
      </c>
      <c r="G129" s="27" t="s">
        <v>9</v>
      </c>
    </row>
    <row r="130" spans="1:7" ht="17.100000000000001" customHeight="1" x14ac:dyDescent="0.2">
      <c r="A130" s="24" t="s">
        <v>9</v>
      </c>
      <c r="B130" s="205" t="s">
        <v>151</v>
      </c>
      <c r="C130" s="206"/>
      <c r="D130" s="4" t="s">
        <v>138</v>
      </c>
      <c r="E130" s="24" t="s">
        <v>9</v>
      </c>
      <c r="F130" s="24" t="s">
        <v>9</v>
      </c>
      <c r="G130" s="24" t="s">
        <v>9</v>
      </c>
    </row>
  </sheetData>
  <mergeCells count="15">
    <mergeCell ref="B129:C129"/>
    <mergeCell ref="B130:C130"/>
    <mergeCell ref="B110:C110"/>
    <mergeCell ref="B111:C111"/>
    <mergeCell ref="B112:C112"/>
    <mergeCell ref="B120:C120"/>
    <mergeCell ref="B127:C127"/>
    <mergeCell ref="B128:C128"/>
    <mergeCell ref="B125:F125"/>
    <mergeCell ref="B109:C109"/>
    <mergeCell ref="B106:F106"/>
    <mergeCell ref="B107:F10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139"/>
  <sheetViews>
    <sheetView showGridLines="0" workbookViewId="0">
      <selection activeCell="A4" sqref="A4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9.140625" bestFit="1" customWidth="1"/>
    <col min="4" max="4" width="24.8554687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5" x14ac:dyDescent="0.2">
      <c r="A1" s="201" t="s">
        <v>0</v>
      </c>
      <c r="B1" s="201"/>
      <c r="C1" s="201"/>
      <c r="D1" s="201"/>
      <c r="E1" s="201"/>
      <c r="F1" s="201"/>
      <c r="G1" s="201"/>
      <c r="H1" s="201"/>
    </row>
    <row r="2" spans="1:8" ht="15" x14ac:dyDescent="0.2">
      <c r="A2" s="202" t="s">
        <v>749</v>
      </c>
      <c r="B2" s="203"/>
      <c r="C2" s="203"/>
      <c r="D2" s="203"/>
      <c r="E2" s="203"/>
      <c r="F2" s="203"/>
      <c r="G2" s="203"/>
      <c r="H2" s="204"/>
    </row>
    <row r="3" spans="1:8" ht="15" x14ac:dyDescent="0.2">
      <c r="A3" s="201" t="s">
        <v>1016</v>
      </c>
      <c r="B3" s="201"/>
      <c r="C3" s="201"/>
      <c r="D3" s="201"/>
      <c r="E3" s="201"/>
      <c r="F3" s="201"/>
      <c r="G3" s="201"/>
      <c r="H3" s="201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90" t="s">
        <v>827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56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56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180295</v>
      </c>
      <c r="F7" s="8">
        <v>1137.4811549999999</v>
      </c>
      <c r="G7" s="9">
        <v>7.5604669999999999E-2</v>
      </c>
      <c r="H7" s="156"/>
    </row>
    <row r="8" spans="1:8" x14ac:dyDescent="0.2">
      <c r="A8" s="5">
        <v>2</v>
      </c>
      <c r="B8" s="6" t="s">
        <v>402</v>
      </c>
      <c r="C8" s="6" t="s">
        <v>403</v>
      </c>
      <c r="D8" s="6" t="s">
        <v>22</v>
      </c>
      <c r="E8" s="7">
        <v>264724</v>
      </c>
      <c r="F8" s="8">
        <v>1109.7230079999999</v>
      </c>
      <c r="G8" s="9">
        <v>7.3759676999999996E-2</v>
      </c>
      <c r="H8" s="156"/>
    </row>
    <row r="9" spans="1:8" x14ac:dyDescent="0.2">
      <c r="A9" s="5">
        <v>3</v>
      </c>
      <c r="B9" s="6" t="s">
        <v>356</v>
      </c>
      <c r="C9" s="6" t="s">
        <v>357</v>
      </c>
      <c r="D9" s="6" t="s">
        <v>22</v>
      </c>
      <c r="E9" s="7">
        <v>120791</v>
      </c>
      <c r="F9" s="8">
        <v>903.879053</v>
      </c>
      <c r="G9" s="9">
        <v>6.0077898999999997E-2</v>
      </c>
      <c r="H9" s="156"/>
    </row>
    <row r="10" spans="1:8" x14ac:dyDescent="0.2">
      <c r="A10" s="5">
        <v>4</v>
      </c>
      <c r="B10" s="6" t="s">
        <v>12</v>
      </c>
      <c r="C10" s="6" t="s">
        <v>13</v>
      </c>
      <c r="D10" s="6" t="s">
        <v>14</v>
      </c>
      <c r="E10" s="7">
        <v>49460</v>
      </c>
      <c r="F10" s="8">
        <v>742.17202999999995</v>
      </c>
      <c r="G10" s="9">
        <v>4.9329759000000001E-2</v>
      </c>
      <c r="H10" s="156"/>
    </row>
    <row r="11" spans="1:8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117223</v>
      </c>
      <c r="F11" s="8">
        <v>616.18269950000001</v>
      </c>
      <c r="G11" s="9">
        <v>4.0955658999999998E-2</v>
      </c>
      <c r="H11" s="156"/>
    </row>
    <row r="12" spans="1:8" x14ac:dyDescent="0.2">
      <c r="A12" s="5">
        <v>6</v>
      </c>
      <c r="B12" s="6" t="s">
        <v>346</v>
      </c>
      <c r="C12" s="6" t="s">
        <v>347</v>
      </c>
      <c r="D12" s="6" t="s">
        <v>22</v>
      </c>
      <c r="E12" s="7">
        <v>651045</v>
      </c>
      <c r="F12" s="8">
        <v>559.24765500000001</v>
      </c>
      <c r="G12" s="9">
        <v>3.7171372000000001E-2</v>
      </c>
      <c r="H12" s="156"/>
    </row>
    <row r="13" spans="1:8" x14ac:dyDescent="0.2">
      <c r="A13" s="5">
        <v>7</v>
      </c>
      <c r="B13" s="6" t="s">
        <v>216</v>
      </c>
      <c r="C13" s="6" t="s">
        <v>217</v>
      </c>
      <c r="D13" s="6" t="s">
        <v>54</v>
      </c>
      <c r="E13" s="7">
        <v>48594</v>
      </c>
      <c r="F13" s="8">
        <v>540.00082499999996</v>
      </c>
      <c r="G13" s="9">
        <v>3.5892096999999998E-2</v>
      </c>
      <c r="H13" s="156"/>
    </row>
    <row r="14" spans="1:8" x14ac:dyDescent="0.2">
      <c r="A14" s="5">
        <v>8</v>
      </c>
      <c r="B14" s="6" t="s">
        <v>57</v>
      </c>
      <c r="C14" s="6" t="s">
        <v>58</v>
      </c>
      <c r="D14" s="6" t="s">
        <v>17</v>
      </c>
      <c r="E14" s="7">
        <v>107368</v>
      </c>
      <c r="F14" s="8">
        <v>502.589608</v>
      </c>
      <c r="G14" s="9">
        <v>3.3405496E-2</v>
      </c>
      <c r="H14" s="156"/>
    </row>
    <row r="15" spans="1:8" x14ac:dyDescent="0.2">
      <c r="A15" s="5">
        <v>9</v>
      </c>
      <c r="B15" s="6" t="s">
        <v>400</v>
      </c>
      <c r="C15" s="6" t="s">
        <v>401</v>
      </c>
      <c r="D15" s="6" t="s">
        <v>166</v>
      </c>
      <c r="E15" s="7">
        <v>19332</v>
      </c>
      <c r="F15" s="8">
        <v>478.51533000000001</v>
      </c>
      <c r="G15" s="9">
        <v>3.1805356999999999E-2</v>
      </c>
      <c r="H15" s="156"/>
    </row>
    <row r="16" spans="1:8" x14ac:dyDescent="0.2">
      <c r="A16" s="5">
        <v>10</v>
      </c>
      <c r="B16" s="6" t="s">
        <v>631</v>
      </c>
      <c r="C16" s="6" t="s">
        <v>632</v>
      </c>
      <c r="D16" s="6" t="s">
        <v>17</v>
      </c>
      <c r="E16" s="7">
        <v>417847</v>
      </c>
      <c r="F16" s="8">
        <v>450.85691300000002</v>
      </c>
      <c r="G16" s="9">
        <v>2.9966992000000001E-2</v>
      </c>
      <c r="H16" s="156"/>
    </row>
    <row r="17" spans="1:8" x14ac:dyDescent="0.2">
      <c r="A17" s="5">
        <v>11</v>
      </c>
      <c r="B17" s="6" t="s">
        <v>317</v>
      </c>
      <c r="C17" s="6" t="s">
        <v>318</v>
      </c>
      <c r="D17" s="6" t="s">
        <v>22</v>
      </c>
      <c r="E17" s="7">
        <v>508830</v>
      </c>
      <c r="F17" s="8">
        <v>443.19092999999998</v>
      </c>
      <c r="G17" s="9">
        <v>2.9457458999999998E-2</v>
      </c>
      <c r="H17" s="156"/>
    </row>
    <row r="18" spans="1:8" x14ac:dyDescent="0.2">
      <c r="A18" s="5">
        <v>12</v>
      </c>
      <c r="B18" s="6" t="s">
        <v>55</v>
      </c>
      <c r="C18" s="6" t="s">
        <v>56</v>
      </c>
      <c r="D18" s="6" t="s">
        <v>35</v>
      </c>
      <c r="E18" s="7">
        <v>56690</v>
      </c>
      <c r="F18" s="8">
        <v>435.09575000000001</v>
      </c>
      <c r="G18" s="9">
        <v>2.8919398999999998E-2</v>
      </c>
      <c r="H18" s="156"/>
    </row>
    <row r="19" spans="1:8" x14ac:dyDescent="0.2">
      <c r="A19" s="5">
        <v>13</v>
      </c>
      <c r="B19" s="6" t="s">
        <v>76</v>
      </c>
      <c r="C19" s="6" t="s">
        <v>77</v>
      </c>
      <c r="D19" s="6" t="s">
        <v>78</v>
      </c>
      <c r="E19" s="7">
        <v>281715</v>
      </c>
      <c r="F19" s="8">
        <v>421.58649750000001</v>
      </c>
      <c r="G19" s="9">
        <v>2.8021482E-2</v>
      </c>
      <c r="H19" s="156"/>
    </row>
    <row r="20" spans="1:8" x14ac:dyDescent="0.2">
      <c r="A20" s="5">
        <v>14</v>
      </c>
      <c r="B20" s="6" t="s">
        <v>224</v>
      </c>
      <c r="C20" s="6" t="s">
        <v>225</v>
      </c>
      <c r="D20" s="6" t="s">
        <v>40</v>
      </c>
      <c r="E20" s="7">
        <v>44408</v>
      </c>
      <c r="F20" s="8">
        <v>361.99181199999998</v>
      </c>
      <c r="G20" s="9">
        <v>2.4060418E-2</v>
      </c>
      <c r="H20" s="156"/>
    </row>
    <row r="21" spans="1:8" x14ac:dyDescent="0.2">
      <c r="A21" s="5">
        <v>15</v>
      </c>
      <c r="B21" s="6" t="s">
        <v>388</v>
      </c>
      <c r="C21" s="6" t="s">
        <v>389</v>
      </c>
      <c r="D21" s="6" t="s">
        <v>166</v>
      </c>
      <c r="E21" s="7">
        <v>229311</v>
      </c>
      <c r="F21" s="8">
        <v>360.24758100000003</v>
      </c>
      <c r="G21" s="9">
        <v>2.3944483999999999E-2</v>
      </c>
      <c r="H21" s="156"/>
    </row>
    <row r="22" spans="1:8" x14ac:dyDescent="0.2">
      <c r="A22" s="5">
        <v>16</v>
      </c>
      <c r="B22" s="6" t="s">
        <v>498</v>
      </c>
      <c r="C22" s="6" t="s">
        <v>499</v>
      </c>
      <c r="D22" s="6" t="s">
        <v>92</v>
      </c>
      <c r="E22" s="7">
        <v>96213</v>
      </c>
      <c r="F22" s="8">
        <v>326.73934800000001</v>
      </c>
      <c r="G22" s="9">
        <v>2.1717301000000001E-2</v>
      </c>
      <c r="H22" s="156"/>
    </row>
    <row r="23" spans="1:8" x14ac:dyDescent="0.2">
      <c r="A23" s="5">
        <v>17</v>
      </c>
      <c r="B23" s="6" t="s">
        <v>500</v>
      </c>
      <c r="C23" s="6" t="s">
        <v>395</v>
      </c>
      <c r="D23" s="6" t="s">
        <v>345</v>
      </c>
      <c r="E23" s="7">
        <v>147228</v>
      </c>
      <c r="F23" s="8">
        <v>317.64440999999999</v>
      </c>
      <c r="G23" s="9">
        <v>2.1112789999999999E-2</v>
      </c>
      <c r="H23" s="156"/>
    </row>
    <row r="24" spans="1:8" x14ac:dyDescent="0.2">
      <c r="A24" s="5">
        <v>18</v>
      </c>
      <c r="B24" s="6" t="s">
        <v>222</v>
      </c>
      <c r="C24" s="6" t="s">
        <v>223</v>
      </c>
      <c r="D24" s="6" t="s">
        <v>957</v>
      </c>
      <c r="E24" s="7">
        <v>162884</v>
      </c>
      <c r="F24" s="8">
        <v>312.65583800000002</v>
      </c>
      <c r="G24" s="9">
        <v>2.0781216000000002E-2</v>
      </c>
      <c r="H24" s="156"/>
    </row>
    <row r="25" spans="1:8" x14ac:dyDescent="0.2">
      <c r="A25" s="5">
        <v>19</v>
      </c>
      <c r="B25" s="6" t="s">
        <v>48</v>
      </c>
      <c r="C25" s="6" t="s">
        <v>49</v>
      </c>
      <c r="D25" s="6" t="s">
        <v>28</v>
      </c>
      <c r="E25" s="7">
        <v>30653</v>
      </c>
      <c r="F25" s="8">
        <v>310.13172750000001</v>
      </c>
      <c r="G25" s="9">
        <v>2.0613447E-2</v>
      </c>
      <c r="H25" s="156"/>
    </row>
    <row r="26" spans="1:8" x14ac:dyDescent="0.2">
      <c r="A26" s="5">
        <v>20</v>
      </c>
      <c r="B26" s="6" t="s">
        <v>414</v>
      </c>
      <c r="C26" s="6" t="s">
        <v>415</v>
      </c>
      <c r="D26" s="6" t="s">
        <v>54</v>
      </c>
      <c r="E26" s="7">
        <v>24230</v>
      </c>
      <c r="F26" s="8">
        <v>282.66717999999997</v>
      </c>
      <c r="G26" s="9">
        <v>1.8787967999999999E-2</v>
      </c>
      <c r="H26" s="156"/>
    </row>
    <row r="27" spans="1:8" x14ac:dyDescent="0.2">
      <c r="A27" s="5">
        <v>21</v>
      </c>
      <c r="B27" s="6" t="s">
        <v>606</v>
      </c>
      <c r="C27" s="6" t="s">
        <v>607</v>
      </c>
      <c r="D27" s="6" t="s">
        <v>608</v>
      </c>
      <c r="E27" s="7">
        <v>146319</v>
      </c>
      <c r="F27" s="8">
        <v>269.37327900000003</v>
      </c>
      <c r="G27" s="9">
        <v>1.7904364999999998E-2</v>
      </c>
      <c r="H27" s="156"/>
    </row>
    <row r="28" spans="1:8" x14ac:dyDescent="0.2">
      <c r="A28" s="5">
        <v>22</v>
      </c>
      <c r="B28" s="6" t="s">
        <v>519</v>
      </c>
      <c r="C28" s="6" t="s">
        <v>520</v>
      </c>
      <c r="D28" s="6" t="s">
        <v>166</v>
      </c>
      <c r="E28" s="7">
        <v>289100</v>
      </c>
      <c r="F28" s="8">
        <v>255.8535</v>
      </c>
      <c r="G28" s="9">
        <v>1.7005749000000001E-2</v>
      </c>
      <c r="H28" s="156"/>
    </row>
    <row r="29" spans="1:8" x14ac:dyDescent="0.2">
      <c r="A29" s="5">
        <v>23</v>
      </c>
      <c r="B29" s="6" t="s">
        <v>730</v>
      </c>
      <c r="C29" s="6" t="s">
        <v>731</v>
      </c>
      <c r="D29" s="6" t="s">
        <v>345</v>
      </c>
      <c r="E29" s="7">
        <v>173000</v>
      </c>
      <c r="F29" s="8">
        <v>237.529</v>
      </c>
      <c r="G29" s="9">
        <v>1.5787780000000001E-2</v>
      </c>
      <c r="H29" s="156"/>
    </row>
    <row r="30" spans="1:8" x14ac:dyDescent="0.2">
      <c r="A30" s="5">
        <v>24</v>
      </c>
      <c r="B30" s="6" t="s">
        <v>647</v>
      </c>
      <c r="C30" s="6" t="s">
        <v>648</v>
      </c>
      <c r="D30" s="6" t="s">
        <v>43</v>
      </c>
      <c r="E30" s="7">
        <v>203421</v>
      </c>
      <c r="F30" s="8">
        <v>236.78204400000001</v>
      </c>
      <c r="G30" s="9">
        <v>1.5738131999999998E-2</v>
      </c>
      <c r="H30" s="156"/>
    </row>
    <row r="31" spans="1:8" x14ac:dyDescent="0.2">
      <c r="A31" s="5">
        <v>25</v>
      </c>
      <c r="B31" s="6" t="s">
        <v>333</v>
      </c>
      <c r="C31" s="6" t="s">
        <v>334</v>
      </c>
      <c r="D31" s="6" t="s">
        <v>54</v>
      </c>
      <c r="E31" s="7">
        <v>58801</v>
      </c>
      <c r="F31" s="8">
        <v>233.70457450000001</v>
      </c>
      <c r="G31" s="9">
        <v>1.5533582000000001E-2</v>
      </c>
      <c r="H31" s="156"/>
    </row>
    <row r="32" spans="1:8" x14ac:dyDescent="0.2">
      <c r="A32" s="5">
        <v>26</v>
      </c>
      <c r="B32" s="6" t="s">
        <v>667</v>
      </c>
      <c r="C32" s="6" t="s">
        <v>668</v>
      </c>
      <c r="D32" s="6" t="s">
        <v>22</v>
      </c>
      <c r="E32" s="7">
        <v>22455</v>
      </c>
      <c r="F32" s="8">
        <v>228.22139250000001</v>
      </c>
      <c r="G32" s="9">
        <v>1.5169133E-2</v>
      </c>
      <c r="H32" s="156"/>
    </row>
    <row r="33" spans="1:8" x14ac:dyDescent="0.2">
      <c r="A33" s="5">
        <v>27</v>
      </c>
      <c r="B33" s="6" t="s">
        <v>732</v>
      </c>
      <c r="C33" s="6" t="s">
        <v>733</v>
      </c>
      <c r="D33" s="6" t="s">
        <v>205</v>
      </c>
      <c r="E33" s="7">
        <v>16170</v>
      </c>
      <c r="F33" s="8">
        <v>221.10857999999999</v>
      </c>
      <c r="G33" s="9">
        <v>1.4696368E-2</v>
      </c>
      <c r="H33" s="156"/>
    </row>
    <row r="34" spans="1:8" x14ac:dyDescent="0.2">
      <c r="A34" s="5">
        <v>28</v>
      </c>
      <c r="B34" s="6" t="s">
        <v>422</v>
      </c>
      <c r="C34" s="6" t="s">
        <v>423</v>
      </c>
      <c r="D34" s="6" t="s">
        <v>73</v>
      </c>
      <c r="E34" s="7">
        <v>108679</v>
      </c>
      <c r="F34" s="8">
        <v>220.29233300000001</v>
      </c>
      <c r="G34" s="9">
        <v>1.4642113999999999E-2</v>
      </c>
      <c r="H34" s="156"/>
    </row>
    <row r="35" spans="1:8" x14ac:dyDescent="0.2">
      <c r="A35" s="5">
        <v>29</v>
      </c>
      <c r="B35" s="6" t="s">
        <v>74</v>
      </c>
      <c r="C35" s="6" t="s">
        <v>75</v>
      </c>
      <c r="D35" s="6" t="s">
        <v>28</v>
      </c>
      <c r="E35" s="7">
        <v>24242</v>
      </c>
      <c r="F35" s="8">
        <v>218.05679000000001</v>
      </c>
      <c r="G35" s="9">
        <v>1.4493525E-2</v>
      </c>
      <c r="H35" s="156"/>
    </row>
    <row r="36" spans="1:8" x14ac:dyDescent="0.2">
      <c r="A36" s="5">
        <v>30</v>
      </c>
      <c r="B36" s="6" t="s">
        <v>339</v>
      </c>
      <c r="C36" s="6" t="s">
        <v>340</v>
      </c>
      <c r="D36" s="6" t="s">
        <v>68</v>
      </c>
      <c r="E36" s="7">
        <v>31182</v>
      </c>
      <c r="F36" s="8">
        <v>217.75949700000001</v>
      </c>
      <c r="G36" s="9">
        <v>1.4473765E-2</v>
      </c>
      <c r="H36" s="156"/>
    </row>
    <row r="37" spans="1:8" x14ac:dyDescent="0.2">
      <c r="A37" s="5">
        <v>31</v>
      </c>
      <c r="B37" s="6" t="s">
        <v>639</v>
      </c>
      <c r="C37" s="6" t="s">
        <v>640</v>
      </c>
      <c r="D37" s="6" t="s">
        <v>196</v>
      </c>
      <c r="E37" s="7">
        <v>16040</v>
      </c>
      <c r="F37" s="8">
        <v>184.31564</v>
      </c>
      <c r="G37" s="9">
        <v>1.2250861E-2</v>
      </c>
      <c r="H37" s="156"/>
    </row>
    <row r="38" spans="1:8" x14ac:dyDescent="0.2">
      <c r="A38" s="5">
        <v>32</v>
      </c>
      <c r="B38" s="6" t="s">
        <v>259</v>
      </c>
      <c r="C38" s="6" t="s">
        <v>260</v>
      </c>
      <c r="D38" s="6" t="s">
        <v>261</v>
      </c>
      <c r="E38" s="7">
        <v>22774</v>
      </c>
      <c r="F38" s="8">
        <v>180.563659</v>
      </c>
      <c r="G38" s="9">
        <v>1.2001479000000001E-2</v>
      </c>
      <c r="H38" s="156"/>
    </row>
    <row r="39" spans="1:8" x14ac:dyDescent="0.2">
      <c r="A39" s="5">
        <v>33</v>
      </c>
      <c r="B39" s="6" t="s">
        <v>390</v>
      </c>
      <c r="C39" s="6" t="s">
        <v>391</v>
      </c>
      <c r="D39" s="6" t="s">
        <v>78</v>
      </c>
      <c r="E39" s="7">
        <v>52500</v>
      </c>
      <c r="F39" s="8">
        <v>175.035</v>
      </c>
      <c r="G39" s="9">
        <v>1.1634007E-2</v>
      </c>
      <c r="H39" s="156"/>
    </row>
    <row r="40" spans="1:8" x14ac:dyDescent="0.2">
      <c r="A40" s="5">
        <v>34</v>
      </c>
      <c r="B40" s="6" t="s">
        <v>734</v>
      </c>
      <c r="C40" s="6" t="s">
        <v>735</v>
      </c>
      <c r="D40" s="6" t="s">
        <v>957</v>
      </c>
      <c r="E40" s="7">
        <v>60000</v>
      </c>
      <c r="F40" s="8">
        <v>161.61000000000001</v>
      </c>
      <c r="G40" s="9">
        <v>1.0741690999999999E-2</v>
      </c>
      <c r="H40" s="156"/>
    </row>
    <row r="41" spans="1:8" x14ac:dyDescent="0.2">
      <c r="A41" s="5">
        <v>35</v>
      </c>
      <c r="B41" s="6" t="s">
        <v>562</v>
      </c>
      <c r="C41" s="6" t="s">
        <v>563</v>
      </c>
      <c r="D41" s="6" t="s">
        <v>22</v>
      </c>
      <c r="E41" s="7">
        <v>110000</v>
      </c>
      <c r="F41" s="8">
        <v>159.16999999999999</v>
      </c>
      <c r="G41" s="9">
        <v>1.0579511999999999E-2</v>
      </c>
      <c r="H41" s="156"/>
    </row>
    <row r="42" spans="1:8" x14ac:dyDescent="0.2">
      <c r="A42" s="5">
        <v>36</v>
      </c>
      <c r="B42" s="6" t="s">
        <v>509</v>
      </c>
      <c r="C42" s="6" t="s">
        <v>510</v>
      </c>
      <c r="D42" s="6" t="s">
        <v>35</v>
      </c>
      <c r="E42" s="7">
        <v>7855</v>
      </c>
      <c r="F42" s="8">
        <v>158.7534775</v>
      </c>
      <c r="G42" s="9">
        <v>1.0551827E-2</v>
      </c>
      <c r="H42" s="156"/>
    </row>
    <row r="43" spans="1:8" x14ac:dyDescent="0.2">
      <c r="A43" s="5">
        <v>37</v>
      </c>
      <c r="B43" s="6" t="s">
        <v>480</v>
      </c>
      <c r="C43" s="6" t="s">
        <v>481</v>
      </c>
      <c r="D43" s="6" t="s">
        <v>17</v>
      </c>
      <c r="E43" s="7">
        <v>110498</v>
      </c>
      <c r="F43" s="8">
        <v>158.12263799999999</v>
      </c>
      <c r="G43" s="9">
        <v>1.0509897000000001E-2</v>
      </c>
      <c r="H43" s="156"/>
    </row>
    <row r="44" spans="1:8" x14ac:dyDescent="0.2">
      <c r="A44" s="5">
        <v>38</v>
      </c>
      <c r="B44" s="6" t="s">
        <v>294</v>
      </c>
      <c r="C44" s="6" t="s">
        <v>295</v>
      </c>
      <c r="D44" s="6" t="s">
        <v>958</v>
      </c>
      <c r="E44" s="7">
        <v>405195</v>
      </c>
      <c r="F44" s="8">
        <v>154.17669749999999</v>
      </c>
      <c r="G44" s="9">
        <v>1.0247623000000001E-2</v>
      </c>
      <c r="H44" s="156"/>
    </row>
    <row r="45" spans="1:8" x14ac:dyDescent="0.2">
      <c r="A45" s="5">
        <v>39</v>
      </c>
      <c r="B45" s="6" t="s">
        <v>412</v>
      </c>
      <c r="C45" s="6" t="s">
        <v>413</v>
      </c>
      <c r="D45" s="6" t="s">
        <v>196</v>
      </c>
      <c r="E45" s="7">
        <v>22605</v>
      </c>
      <c r="F45" s="8">
        <v>152.6854725</v>
      </c>
      <c r="G45" s="9">
        <v>1.0148506E-2</v>
      </c>
      <c r="H45" s="156"/>
    </row>
    <row r="46" spans="1:8" x14ac:dyDescent="0.2">
      <c r="A46" s="5">
        <v>40</v>
      </c>
      <c r="B46" s="6" t="s">
        <v>736</v>
      </c>
      <c r="C46" s="6" t="s">
        <v>737</v>
      </c>
      <c r="D46" s="6" t="s">
        <v>22</v>
      </c>
      <c r="E46" s="7">
        <v>310000</v>
      </c>
      <c r="F46" s="8">
        <v>117.49</v>
      </c>
      <c r="G46" s="9">
        <v>7.809178E-3</v>
      </c>
      <c r="H46" s="156"/>
    </row>
    <row r="47" spans="1:8" x14ac:dyDescent="0.2">
      <c r="A47" s="3" t="s">
        <v>9</v>
      </c>
      <c r="B47" s="3" t="s">
        <v>9</v>
      </c>
      <c r="C47" s="4" t="s">
        <v>105</v>
      </c>
      <c r="D47" s="3" t="s">
        <v>9</v>
      </c>
      <c r="E47" s="3" t="s">
        <v>9</v>
      </c>
      <c r="F47" s="10">
        <v>14553.202925</v>
      </c>
      <c r="G47" s="11">
        <v>0.96730403600000003</v>
      </c>
      <c r="H47" s="156"/>
    </row>
    <row r="48" spans="1:8" x14ac:dyDescent="0.2">
      <c r="A48" s="3" t="s">
        <v>9</v>
      </c>
      <c r="B48" s="3" t="s">
        <v>9</v>
      </c>
      <c r="C48" s="12" t="s">
        <v>9</v>
      </c>
      <c r="D48" s="3" t="s">
        <v>9</v>
      </c>
      <c r="E48" s="3" t="s">
        <v>9</v>
      </c>
      <c r="F48" s="13" t="s">
        <v>9</v>
      </c>
      <c r="G48" s="13" t="s">
        <v>9</v>
      </c>
      <c r="H48" s="156"/>
    </row>
    <row r="49" spans="1:8" x14ac:dyDescent="0.2">
      <c r="A49" s="3" t="s">
        <v>9</v>
      </c>
      <c r="B49" s="3" t="s">
        <v>9</v>
      </c>
      <c r="C49" s="4" t="s">
        <v>106</v>
      </c>
      <c r="D49" s="3" t="s">
        <v>9</v>
      </c>
      <c r="E49" s="3" t="s">
        <v>9</v>
      </c>
      <c r="F49" s="3" t="s">
        <v>9</v>
      </c>
      <c r="G49" s="3" t="s">
        <v>9</v>
      </c>
      <c r="H49" s="156"/>
    </row>
    <row r="50" spans="1:8" x14ac:dyDescent="0.2">
      <c r="A50" s="3" t="s">
        <v>9</v>
      </c>
      <c r="B50" s="3" t="s">
        <v>9</v>
      </c>
      <c r="C50" s="4" t="s">
        <v>105</v>
      </c>
      <c r="D50" s="3" t="s">
        <v>9</v>
      </c>
      <c r="E50" s="3" t="s">
        <v>9</v>
      </c>
      <c r="F50" s="14">
        <v>0</v>
      </c>
      <c r="G50" s="15">
        <v>0</v>
      </c>
      <c r="H50" s="156"/>
    </row>
    <row r="51" spans="1:8" x14ac:dyDescent="0.2">
      <c r="A51" s="3" t="s">
        <v>9</v>
      </c>
      <c r="B51" s="3" t="s">
        <v>9</v>
      </c>
      <c r="C51" s="12" t="s">
        <v>9</v>
      </c>
      <c r="D51" s="3" t="s">
        <v>9</v>
      </c>
      <c r="E51" s="3" t="s">
        <v>9</v>
      </c>
      <c r="F51" s="13" t="s">
        <v>9</v>
      </c>
      <c r="G51" s="13" t="s">
        <v>9</v>
      </c>
      <c r="H51" s="156"/>
    </row>
    <row r="52" spans="1:8" x14ac:dyDescent="0.2">
      <c r="A52" s="3" t="s">
        <v>9</v>
      </c>
      <c r="B52" s="3" t="s">
        <v>9</v>
      </c>
      <c r="C52" s="4" t="s">
        <v>107</v>
      </c>
      <c r="D52" s="3" t="s">
        <v>9</v>
      </c>
      <c r="E52" s="3" t="s">
        <v>9</v>
      </c>
      <c r="F52" s="3" t="s">
        <v>9</v>
      </c>
      <c r="G52" s="3" t="s">
        <v>9</v>
      </c>
      <c r="H52" s="156"/>
    </row>
    <row r="53" spans="1:8" x14ac:dyDescent="0.2">
      <c r="A53" s="3" t="s">
        <v>9</v>
      </c>
      <c r="B53" s="3" t="s">
        <v>9</v>
      </c>
      <c r="C53" s="4" t="s">
        <v>105</v>
      </c>
      <c r="D53" s="3" t="s">
        <v>9</v>
      </c>
      <c r="E53" s="3" t="s">
        <v>9</v>
      </c>
      <c r="F53" s="14">
        <v>0</v>
      </c>
      <c r="G53" s="15">
        <v>0</v>
      </c>
      <c r="H53" s="156"/>
    </row>
    <row r="54" spans="1:8" x14ac:dyDescent="0.2">
      <c r="A54" s="3" t="s">
        <v>9</v>
      </c>
      <c r="B54" s="3" t="s">
        <v>9</v>
      </c>
      <c r="C54" s="12" t="s">
        <v>9</v>
      </c>
      <c r="D54" s="3" t="s">
        <v>9</v>
      </c>
      <c r="E54" s="3" t="s">
        <v>9</v>
      </c>
      <c r="F54" s="13" t="s">
        <v>9</v>
      </c>
      <c r="G54" s="13" t="s">
        <v>9</v>
      </c>
      <c r="H54" s="156"/>
    </row>
    <row r="55" spans="1:8" x14ac:dyDescent="0.2">
      <c r="A55" s="3" t="s">
        <v>9</v>
      </c>
      <c r="B55" s="3" t="s">
        <v>9</v>
      </c>
      <c r="C55" s="4" t="s">
        <v>111</v>
      </c>
      <c r="D55" s="3" t="s">
        <v>9</v>
      </c>
      <c r="E55" s="3" t="s">
        <v>9</v>
      </c>
      <c r="F55" s="3" t="s">
        <v>9</v>
      </c>
      <c r="G55" s="3" t="s">
        <v>9</v>
      </c>
      <c r="H55" s="156"/>
    </row>
    <row r="56" spans="1:8" x14ac:dyDescent="0.2">
      <c r="A56" s="3" t="s">
        <v>9</v>
      </c>
      <c r="B56" s="3" t="s">
        <v>9</v>
      </c>
      <c r="C56" s="4" t="s">
        <v>105</v>
      </c>
      <c r="D56" s="3" t="s">
        <v>9</v>
      </c>
      <c r="E56" s="3" t="s">
        <v>9</v>
      </c>
      <c r="F56" s="14">
        <v>0</v>
      </c>
      <c r="G56" s="15">
        <v>0</v>
      </c>
      <c r="H56" s="156"/>
    </row>
    <row r="57" spans="1:8" x14ac:dyDescent="0.2">
      <c r="A57" s="3" t="s">
        <v>9</v>
      </c>
      <c r="B57" s="3" t="s">
        <v>9</v>
      </c>
      <c r="C57" s="12" t="s">
        <v>9</v>
      </c>
      <c r="D57" s="3" t="s">
        <v>9</v>
      </c>
      <c r="E57" s="3" t="s">
        <v>9</v>
      </c>
      <c r="F57" s="13" t="s">
        <v>9</v>
      </c>
      <c r="G57" s="13" t="s">
        <v>9</v>
      </c>
      <c r="H57" s="156"/>
    </row>
    <row r="58" spans="1:8" x14ac:dyDescent="0.2">
      <c r="A58" s="3" t="s">
        <v>9</v>
      </c>
      <c r="B58" s="3" t="s">
        <v>9</v>
      </c>
      <c r="C58" s="4" t="s">
        <v>112</v>
      </c>
      <c r="D58" s="3" t="s">
        <v>9</v>
      </c>
      <c r="E58" s="3" t="s">
        <v>9</v>
      </c>
      <c r="F58" s="13" t="s">
        <v>9</v>
      </c>
      <c r="G58" s="13" t="s">
        <v>9</v>
      </c>
      <c r="H58" s="156"/>
    </row>
    <row r="59" spans="1:8" s="175" customFormat="1" ht="25.5" x14ac:dyDescent="0.2">
      <c r="A59" s="5">
        <v>1</v>
      </c>
      <c r="B59" s="6" t="s">
        <v>990</v>
      </c>
      <c r="C59" s="6" t="s">
        <v>991</v>
      </c>
      <c r="D59" s="6" t="s">
        <v>166</v>
      </c>
      <c r="E59" s="7">
        <v>21600</v>
      </c>
      <c r="F59" s="8">
        <v>153.6516</v>
      </c>
      <c r="G59" s="9">
        <v>1.021272E-2</v>
      </c>
      <c r="H59" s="156"/>
    </row>
    <row r="60" spans="1:8" x14ac:dyDescent="0.2">
      <c r="A60" s="3" t="s">
        <v>9</v>
      </c>
      <c r="B60" s="3" t="s">
        <v>9</v>
      </c>
      <c r="C60" s="4" t="s">
        <v>105</v>
      </c>
      <c r="D60" s="3" t="s">
        <v>9</v>
      </c>
      <c r="E60" s="3" t="s">
        <v>9</v>
      </c>
      <c r="F60" s="14">
        <v>153.6516</v>
      </c>
      <c r="G60" s="15">
        <v>1.021272E-2</v>
      </c>
      <c r="H60" s="156"/>
    </row>
    <row r="61" spans="1:8" x14ac:dyDescent="0.2">
      <c r="A61" s="3" t="s">
        <v>9</v>
      </c>
      <c r="B61" s="3" t="s">
        <v>9</v>
      </c>
      <c r="C61" s="12" t="s">
        <v>9</v>
      </c>
      <c r="D61" s="3" t="s">
        <v>9</v>
      </c>
      <c r="E61" s="3" t="s">
        <v>9</v>
      </c>
      <c r="F61" s="13" t="s">
        <v>9</v>
      </c>
      <c r="G61" s="13" t="s">
        <v>9</v>
      </c>
      <c r="H61" s="156"/>
    </row>
    <row r="62" spans="1:8" x14ac:dyDescent="0.2">
      <c r="A62" s="3" t="s">
        <v>9</v>
      </c>
      <c r="B62" s="3" t="s">
        <v>9</v>
      </c>
      <c r="C62" s="4" t="s">
        <v>113</v>
      </c>
      <c r="D62" s="3" t="s">
        <v>9</v>
      </c>
      <c r="E62" s="3" t="s">
        <v>9</v>
      </c>
      <c r="F62" s="13" t="s">
        <v>9</v>
      </c>
      <c r="G62" s="13" t="s">
        <v>9</v>
      </c>
      <c r="H62" s="156"/>
    </row>
    <row r="63" spans="1:8" x14ac:dyDescent="0.2">
      <c r="A63" s="3" t="s">
        <v>9</v>
      </c>
      <c r="B63" s="3" t="s">
        <v>9</v>
      </c>
      <c r="C63" s="4" t="s">
        <v>105</v>
      </c>
      <c r="D63" s="3" t="s">
        <v>9</v>
      </c>
      <c r="E63" s="3" t="s">
        <v>9</v>
      </c>
      <c r="F63" s="14">
        <v>0</v>
      </c>
      <c r="G63" s="15">
        <v>0</v>
      </c>
      <c r="H63" s="156"/>
    </row>
    <row r="64" spans="1:8" x14ac:dyDescent="0.2">
      <c r="A64" s="3" t="s">
        <v>9</v>
      </c>
      <c r="B64" s="3" t="s">
        <v>9</v>
      </c>
      <c r="C64" s="12" t="s">
        <v>9</v>
      </c>
      <c r="D64" s="3" t="s">
        <v>9</v>
      </c>
      <c r="E64" s="3" t="s">
        <v>9</v>
      </c>
      <c r="F64" s="13" t="s">
        <v>9</v>
      </c>
      <c r="G64" s="13" t="s">
        <v>9</v>
      </c>
      <c r="H64" s="156"/>
    </row>
    <row r="65" spans="1:8" x14ac:dyDescent="0.2">
      <c r="A65" s="3" t="s">
        <v>9</v>
      </c>
      <c r="B65" s="3" t="s">
        <v>9</v>
      </c>
      <c r="C65" s="4" t="s">
        <v>114</v>
      </c>
      <c r="D65" s="3" t="s">
        <v>9</v>
      </c>
      <c r="E65" s="3" t="s">
        <v>9</v>
      </c>
      <c r="F65" s="10">
        <v>14706.854524999999</v>
      </c>
      <c r="G65" s="11">
        <v>0.97751675599999999</v>
      </c>
      <c r="H65" s="156"/>
    </row>
    <row r="66" spans="1:8" x14ac:dyDescent="0.2">
      <c r="A66" s="3" t="s">
        <v>9</v>
      </c>
      <c r="B66" s="3" t="s">
        <v>9</v>
      </c>
      <c r="C66" s="12" t="s">
        <v>9</v>
      </c>
      <c r="D66" s="3" t="s">
        <v>9</v>
      </c>
      <c r="E66" s="3" t="s">
        <v>9</v>
      </c>
      <c r="F66" s="13" t="s">
        <v>9</v>
      </c>
      <c r="G66" s="13" t="s">
        <v>9</v>
      </c>
      <c r="H66" s="156"/>
    </row>
    <row r="67" spans="1:8" x14ac:dyDescent="0.2">
      <c r="A67" s="3" t="s">
        <v>9</v>
      </c>
      <c r="B67" s="3" t="s">
        <v>9</v>
      </c>
      <c r="C67" s="4" t="s">
        <v>115</v>
      </c>
      <c r="D67" s="3" t="s">
        <v>9</v>
      </c>
      <c r="E67" s="3" t="s">
        <v>9</v>
      </c>
      <c r="F67" s="13" t="s">
        <v>9</v>
      </c>
      <c r="G67" s="13" t="s">
        <v>9</v>
      </c>
      <c r="H67" s="156"/>
    </row>
    <row r="68" spans="1:8" x14ac:dyDescent="0.2">
      <c r="A68" s="3" t="s">
        <v>9</v>
      </c>
      <c r="B68" s="3" t="s">
        <v>9</v>
      </c>
      <c r="C68" s="4" t="s">
        <v>11</v>
      </c>
      <c r="D68" s="3" t="s">
        <v>9</v>
      </c>
      <c r="E68" s="3" t="s">
        <v>9</v>
      </c>
      <c r="F68" s="13" t="s">
        <v>9</v>
      </c>
      <c r="G68" s="13" t="s">
        <v>9</v>
      </c>
      <c r="H68" s="156"/>
    </row>
    <row r="69" spans="1:8" x14ac:dyDescent="0.2">
      <c r="A69" s="3" t="s">
        <v>9</v>
      </c>
      <c r="B69" s="3" t="s">
        <v>9</v>
      </c>
      <c r="C69" s="4" t="s">
        <v>105</v>
      </c>
      <c r="D69" s="3" t="s">
        <v>9</v>
      </c>
      <c r="E69" s="3" t="s">
        <v>9</v>
      </c>
      <c r="F69" s="14">
        <v>0</v>
      </c>
      <c r="G69" s="15">
        <v>0</v>
      </c>
      <c r="H69" s="156"/>
    </row>
    <row r="70" spans="1:8" x14ac:dyDescent="0.2">
      <c r="A70" s="3" t="s">
        <v>9</v>
      </c>
      <c r="B70" s="3" t="s">
        <v>9</v>
      </c>
      <c r="C70" s="12" t="s">
        <v>9</v>
      </c>
      <c r="D70" s="3" t="s">
        <v>9</v>
      </c>
      <c r="E70" s="3" t="s">
        <v>9</v>
      </c>
      <c r="F70" s="13" t="s">
        <v>9</v>
      </c>
      <c r="G70" s="13" t="s">
        <v>9</v>
      </c>
      <c r="H70" s="156"/>
    </row>
    <row r="71" spans="1:8" x14ac:dyDescent="0.2">
      <c r="A71" s="3" t="s">
        <v>9</v>
      </c>
      <c r="B71" s="3" t="s">
        <v>9</v>
      </c>
      <c r="C71" s="4" t="s">
        <v>116</v>
      </c>
      <c r="D71" s="3" t="s">
        <v>9</v>
      </c>
      <c r="E71" s="3" t="s">
        <v>9</v>
      </c>
      <c r="F71" s="3" t="s">
        <v>9</v>
      </c>
      <c r="G71" s="3" t="s">
        <v>9</v>
      </c>
      <c r="H71" s="156"/>
    </row>
    <row r="72" spans="1:8" x14ac:dyDescent="0.2">
      <c r="A72" s="3" t="s">
        <v>9</v>
      </c>
      <c r="B72" s="3" t="s">
        <v>9</v>
      </c>
      <c r="C72" s="4" t="s">
        <v>105</v>
      </c>
      <c r="D72" s="3" t="s">
        <v>9</v>
      </c>
      <c r="E72" s="3" t="s">
        <v>9</v>
      </c>
      <c r="F72" s="14">
        <v>0</v>
      </c>
      <c r="G72" s="15">
        <v>0</v>
      </c>
      <c r="H72" s="156"/>
    </row>
    <row r="73" spans="1:8" x14ac:dyDescent="0.2">
      <c r="A73" s="3" t="s">
        <v>9</v>
      </c>
      <c r="B73" s="3" t="s">
        <v>9</v>
      </c>
      <c r="C73" s="12" t="s">
        <v>9</v>
      </c>
      <c r="D73" s="3" t="s">
        <v>9</v>
      </c>
      <c r="E73" s="3" t="s">
        <v>9</v>
      </c>
      <c r="F73" s="13" t="s">
        <v>9</v>
      </c>
      <c r="G73" s="13" t="s">
        <v>9</v>
      </c>
      <c r="H73" s="156"/>
    </row>
    <row r="74" spans="1:8" x14ac:dyDescent="0.2">
      <c r="A74" s="3" t="s">
        <v>9</v>
      </c>
      <c r="B74" s="3" t="s">
        <v>9</v>
      </c>
      <c r="C74" s="4" t="s">
        <v>117</v>
      </c>
      <c r="D74" s="3" t="s">
        <v>9</v>
      </c>
      <c r="E74" s="3" t="s">
        <v>9</v>
      </c>
      <c r="F74" s="3" t="s">
        <v>9</v>
      </c>
      <c r="G74" s="3" t="s">
        <v>9</v>
      </c>
      <c r="H74" s="156"/>
    </row>
    <row r="75" spans="1:8" x14ac:dyDescent="0.2">
      <c r="A75" s="3" t="s">
        <v>9</v>
      </c>
      <c r="B75" s="3" t="s">
        <v>9</v>
      </c>
      <c r="C75" s="4" t="s">
        <v>105</v>
      </c>
      <c r="D75" s="3" t="s">
        <v>9</v>
      </c>
      <c r="E75" s="3" t="s">
        <v>9</v>
      </c>
      <c r="F75" s="14">
        <v>0</v>
      </c>
      <c r="G75" s="15">
        <v>0</v>
      </c>
      <c r="H75" s="156"/>
    </row>
    <row r="76" spans="1:8" x14ac:dyDescent="0.2">
      <c r="A76" s="3" t="s">
        <v>9</v>
      </c>
      <c r="B76" s="3" t="s">
        <v>9</v>
      </c>
      <c r="C76" s="12" t="s">
        <v>9</v>
      </c>
      <c r="D76" s="3" t="s">
        <v>9</v>
      </c>
      <c r="E76" s="3" t="s">
        <v>9</v>
      </c>
      <c r="F76" s="13" t="s">
        <v>9</v>
      </c>
      <c r="G76" s="13" t="s">
        <v>9</v>
      </c>
      <c r="H76" s="156"/>
    </row>
    <row r="77" spans="1:8" x14ac:dyDescent="0.2">
      <c r="A77" s="3" t="s">
        <v>9</v>
      </c>
      <c r="B77" s="3" t="s">
        <v>9</v>
      </c>
      <c r="C77" s="4" t="s">
        <v>118</v>
      </c>
      <c r="D77" s="3" t="s">
        <v>9</v>
      </c>
      <c r="E77" s="3" t="s">
        <v>9</v>
      </c>
      <c r="F77" s="13" t="s">
        <v>9</v>
      </c>
      <c r="G77" s="13" t="s">
        <v>9</v>
      </c>
      <c r="H77" s="156"/>
    </row>
    <row r="78" spans="1:8" x14ac:dyDescent="0.2">
      <c r="A78" s="3" t="s">
        <v>9</v>
      </c>
      <c r="B78" s="3" t="s">
        <v>9</v>
      </c>
      <c r="C78" s="4" t="s">
        <v>105</v>
      </c>
      <c r="D78" s="3" t="s">
        <v>9</v>
      </c>
      <c r="E78" s="3" t="s">
        <v>9</v>
      </c>
      <c r="F78" s="14">
        <v>0</v>
      </c>
      <c r="G78" s="15">
        <v>0</v>
      </c>
      <c r="H78" s="156"/>
    </row>
    <row r="79" spans="1:8" x14ac:dyDescent="0.2">
      <c r="A79" s="3" t="s">
        <v>9</v>
      </c>
      <c r="B79" s="3" t="s">
        <v>9</v>
      </c>
      <c r="C79" s="12" t="s">
        <v>9</v>
      </c>
      <c r="D79" s="3" t="s">
        <v>9</v>
      </c>
      <c r="E79" s="3" t="s">
        <v>9</v>
      </c>
      <c r="F79" s="13" t="s">
        <v>9</v>
      </c>
      <c r="G79" s="13" t="s">
        <v>9</v>
      </c>
      <c r="H79" s="156"/>
    </row>
    <row r="80" spans="1:8" x14ac:dyDescent="0.2">
      <c r="A80" s="3" t="s">
        <v>9</v>
      </c>
      <c r="B80" s="3" t="s">
        <v>9</v>
      </c>
      <c r="C80" s="4" t="s">
        <v>119</v>
      </c>
      <c r="D80" s="3" t="s">
        <v>9</v>
      </c>
      <c r="E80" s="3" t="s">
        <v>9</v>
      </c>
      <c r="F80" s="10">
        <v>0</v>
      </c>
      <c r="G80" s="11">
        <v>0</v>
      </c>
      <c r="H80" s="156"/>
    </row>
    <row r="81" spans="1:8" x14ac:dyDescent="0.2">
      <c r="A81" s="3" t="s">
        <v>9</v>
      </c>
      <c r="B81" s="3" t="s">
        <v>9</v>
      </c>
      <c r="C81" s="12" t="s">
        <v>9</v>
      </c>
      <c r="D81" s="3" t="s">
        <v>9</v>
      </c>
      <c r="E81" s="3" t="s">
        <v>9</v>
      </c>
      <c r="F81" s="13" t="s">
        <v>9</v>
      </c>
      <c r="G81" s="13" t="s">
        <v>9</v>
      </c>
      <c r="H81" s="156"/>
    </row>
    <row r="82" spans="1:8" x14ac:dyDescent="0.2">
      <c r="A82" s="3" t="s">
        <v>9</v>
      </c>
      <c r="B82" s="3" t="s">
        <v>9</v>
      </c>
      <c r="C82" s="4" t="s">
        <v>120</v>
      </c>
      <c r="D82" s="3" t="s">
        <v>9</v>
      </c>
      <c r="E82" s="3" t="s">
        <v>9</v>
      </c>
      <c r="F82" s="13" t="s">
        <v>9</v>
      </c>
      <c r="G82" s="13" t="s">
        <v>9</v>
      </c>
      <c r="H82" s="156"/>
    </row>
    <row r="83" spans="1:8" x14ac:dyDescent="0.2">
      <c r="A83" s="3" t="s">
        <v>9</v>
      </c>
      <c r="B83" s="3" t="s">
        <v>9</v>
      </c>
      <c r="C83" s="4" t="s">
        <v>121</v>
      </c>
      <c r="D83" s="3" t="s">
        <v>9</v>
      </c>
      <c r="E83" s="3" t="s">
        <v>9</v>
      </c>
      <c r="F83" s="13" t="s">
        <v>9</v>
      </c>
      <c r="G83" s="13" t="s">
        <v>9</v>
      </c>
      <c r="H83" s="156"/>
    </row>
    <row r="84" spans="1:8" x14ac:dyDescent="0.2">
      <c r="A84" s="3" t="s">
        <v>9</v>
      </c>
      <c r="B84" s="3" t="s">
        <v>9</v>
      </c>
      <c r="C84" s="4" t="s">
        <v>105</v>
      </c>
      <c r="D84" s="3" t="s">
        <v>9</v>
      </c>
      <c r="E84" s="3" t="s">
        <v>9</v>
      </c>
      <c r="F84" s="14">
        <v>0</v>
      </c>
      <c r="G84" s="15">
        <v>0</v>
      </c>
      <c r="H84" s="156"/>
    </row>
    <row r="85" spans="1:8" x14ac:dyDescent="0.2">
      <c r="A85" s="3" t="s">
        <v>9</v>
      </c>
      <c r="B85" s="3" t="s">
        <v>9</v>
      </c>
      <c r="C85" s="12" t="s">
        <v>9</v>
      </c>
      <c r="D85" s="3" t="s">
        <v>9</v>
      </c>
      <c r="E85" s="3" t="s">
        <v>9</v>
      </c>
      <c r="F85" s="13" t="s">
        <v>9</v>
      </c>
      <c r="G85" s="13" t="s">
        <v>9</v>
      </c>
      <c r="H85" s="156"/>
    </row>
    <row r="86" spans="1:8" x14ac:dyDescent="0.2">
      <c r="A86" s="3" t="s">
        <v>9</v>
      </c>
      <c r="B86" s="3" t="s">
        <v>9</v>
      </c>
      <c r="C86" s="4" t="s">
        <v>122</v>
      </c>
      <c r="D86" s="3" t="s">
        <v>9</v>
      </c>
      <c r="E86" s="3" t="s">
        <v>9</v>
      </c>
      <c r="F86" s="13" t="s">
        <v>9</v>
      </c>
      <c r="G86" s="13" t="s">
        <v>9</v>
      </c>
      <c r="H86" s="156"/>
    </row>
    <row r="87" spans="1:8" x14ac:dyDescent="0.2">
      <c r="A87" s="3" t="s">
        <v>9</v>
      </c>
      <c r="B87" s="3" t="s">
        <v>9</v>
      </c>
      <c r="C87" s="4" t="s">
        <v>105</v>
      </c>
      <c r="D87" s="3" t="s">
        <v>9</v>
      </c>
      <c r="E87" s="3" t="s">
        <v>9</v>
      </c>
      <c r="F87" s="14">
        <v>0</v>
      </c>
      <c r="G87" s="15">
        <v>0</v>
      </c>
      <c r="H87" s="156"/>
    </row>
    <row r="88" spans="1:8" x14ac:dyDescent="0.2">
      <c r="A88" s="3" t="s">
        <v>9</v>
      </c>
      <c r="B88" s="3" t="s">
        <v>9</v>
      </c>
      <c r="C88" s="12" t="s">
        <v>9</v>
      </c>
      <c r="D88" s="3" t="s">
        <v>9</v>
      </c>
      <c r="E88" s="3" t="s">
        <v>9</v>
      </c>
      <c r="F88" s="13" t="s">
        <v>9</v>
      </c>
      <c r="G88" s="13" t="s">
        <v>9</v>
      </c>
      <c r="H88" s="156"/>
    </row>
    <row r="89" spans="1:8" x14ac:dyDescent="0.2">
      <c r="A89" s="3" t="s">
        <v>9</v>
      </c>
      <c r="B89" s="3" t="s">
        <v>9</v>
      </c>
      <c r="C89" s="4" t="s">
        <v>123</v>
      </c>
      <c r="D89" s="3" t="s">
        <v>9</v>
      </c>
      <c r="E89" s="3" t="s">
        <v>9</v>
      </c>
      <c r="F89" s="13" t="s">
        <v>9</v>
      </c>
      <c r="G89" s="13" t="s">
        <v>9</v>
      </c>
      <c r="H89" s="156"/>
    </row>
    <row r="90" spans="1:8" x14ac:dyDescent="0.2">
      <c r="A90" s="3" t="s">
        <v>9</v>
      </c>
      <c r="B90" s="3" t="s">
        <v>9</v>
      </c>
      <c r="C90" s="4" t="s">
        <v>105</v>
      </c>
      <c r="D90" s="3" t="s">
        <v>9</v>
      </c>
      <c r="E90" s="3" t="s">
        <v>9</v>
      </c>
      <c r="F90" s="14">
        <v>0</v>
      </c>
      <c r="G90" s="15">
        <v>0</v>
      </c>
      <c r="H90" s="156"/>
    </row>
    <row r="91" spans="1:8" x14ac:dyDescent="0.2">
      <c r="A91" s="3" t="s">
        <v>9</v>
      </c>
      <c r="B91" s="3" t="s">
        <v>9</v>
      </c>
      <c r="C91" s="12" t="s">
        <v>9</v>
      </c>
      <c r="D91" s="3" t="s">
        <v>9</v>
      </c>
      <c r="E91" s="3" t="s">
        <v>9</v>
      </c>
      <c r="F91" s="13" t="s">
        <v>9</v>
      </c>
      <c r="G91" s="13" t="s">
        <v>9</v>
      </c>
      <c r="H91" s="156"/>
    </row>
    <row r="92" spans="1:8" x14ac:dyDescent="0.2">
      <c r="A92" s="3" t="s">
        <v>9</v>
      </c>
      <c r="B92" s="3" t="s">
        <v>9</v>
      </c>
      <c r="C92" s="4" t="s">
        <v>124</v>
      </c>
      <c r="D92" s="3" t="s">
        <v>9</v>
      </c>
      <c r="E92" s="3" t="s">
        <v>9</v>
      </c>
      <c r="F92" s="13" t="s">
        <v>9</v>
      </c>
      <c r="G92" s="13" t="s">
        <v>9</v>
      </c>
      <c r="H92" s="156"/>
    </row>
    <row r="93" spans="1:8" x14ac:dyDescent="0.2">
      <c r="A93" s="5">
        <v>1</v>
      </c>
      <c r="B93" s="6"/>
      <c r="C93" s="6" t="s">
        <v>125</v>
      </c>
      <c r="D93" s="6"/>
      <c r="E93" s="16" t="s">
        <v>9</v>
      </c>
      <c r="F93" s="8">
        <v>382.01734529999999</v>
      </c>
      <c r="G93" s="9">
        <v>2.5391449999999999E-2</v>
      </c>
      <c r="H93" s="8">
        <v>3.3326163573085874</v>
      </c>
    </row>
    <row r="94" spans="1:8" x14ac:dyDescent="0.2">
      <c r="A94" s="5">
        <v>2</v>
      </c>
      <c r="B94" s="6"/>
      <c r="C94" s="6" t="s">
        <v>126</v>
      </c>
      <c r="D94" s="6"/>
      <c r="E94" s="16" t="s">
        <v>9</v>
      </c>
      <c r="F94" s="8">
        <v>272.8554259</v>
      </c>
      <c r="G94" s="9">
        <v>1.8135812000000001E-2</v>
      </c>
      <c r="H94" s="8">
        <v>3.2337849550915885</v>
      </c>
    </row>
    <row r="95" spans="1:8" x14ac:dyDescent="0.2">
      <c r="A95" s="3" t="s">
        <v>9</v>
      </c>
      <c r="B95" s="3" t="s">
        <v>9</v>
      </c>
      <c r="C95" s="4" t="s">
        <v>105</v>
      </c>
      <c r="D95" s="3" t="s">
        <v>9</v>
      </c>
      <c r="E95" s="3" t="s">
        <v>9</v>
      </c>
      <c r="F95" s="10">
        <v>654.87277119999999</v>
      </c>
      <c r="G95" s="11">
        <v>4.3527261999999997E-2</v>
      </c>
      <c r="H95" s="156"/>
    </row>
    <row r="96" spans="1:8" x14ac:dyDescent="0.2">
      <c r="A96" s="3" t="s">
        <v>9</v>
      </c>
      <c r="B96" s="3" t="s">
        <v>9</v>
      </c>
      <c r="C96" s="12" t="s">
        <v>9</v>
      </c>
      <c r="D96" s="3" t="s">
        <v>9</v>
      </c>
      <c r="E96" s="3" t="s">
        <v>9</v>
      </c>
      <c r="F96" s="13" t="s">
        <v>9</v>
      </c>
      <c r="G96" s="13" t="s">
        <v>9</v>
      </c>
      <c r="H96" s="156"/>
    </row>
    <row r="97" spans="1:8" x14ac:dyDescent="0.2">
      <c r="A97" s="3" t="s">
        <v>9</v>
      </c>
      <c r="B97" s="3" t="s">
        <v>9</v>
      </c>
      <c r="C97" s="4" t="s">
        <v>127</v>
      </c>
      <c r="D97" s="3" t="s">
        <v>9</v>
      </c>
      <c r="E97" s="3" t="s">
        <v>9</v>
      </c>
      <c r="F97" s="10">
        <v>654.87277119999999</v>
      </c>
      <c r="G97" s="11">
        <v>4.3527261999999997E-2</v>
      </c>
      <c r="H97" s="156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156"/>
    </row>
    <row r="99" spans="1:8" x14ac:dyDescent="0.2">
      <c r="A99" s="3" t="s">
        <v>9</v>
      </c>
      <c r="B99" s="3" t="s">
        <v>9</v>
      </c>
      <c r="C99" s="4" t="s">
        <v>128</v>
      </c>
      <c r="D99" s="3" t="s">
        <v>9</v>
      </c>
      <c r="E99" s="3" t="s">
        <v>9</v>
      </c>
      <c r="F99" s="3" t="s">
        <v>9</v>
      </c>
      <c r="G99" s="3" t="s">
        <v>9</v>
      </c>
      <c r="H99" s="156"/>
    </row>
    <row r="100" spans="1:8" x14ac:dyDescent="0.2">
      <c r="A100" s="3" t="s">
        <v>9</v>
      </c>
      <c r="B100" s="3" t="s">
        <v>9</v>
      </c>
      <c r="C100" s="4" t="s">
        <v>129</v>
      </c>
      <c r="D100" s="3" t="s">
        <v>9</v>
      </c>
      <c r="E100" s="3" t="s">
        <v>9</v>
      </c>
      <c r="F100" s="3" t="s">
        <v>9</v>
      </c>
      <c r="G100" s="3" t="s">
        <v>9</v>
      </c>
      <c r="H100" s="156"/>
    </row>
    <row r="101" spans="1:8" x14ac:dyDescent="0.2">
      <c r="A101" s="3" t="s">
        <v>9</v>
      </c>
      <c r="B101" s="3" t="s">
        <v>9</v>
      </c>
      <c r="C101" s="4" t="s">
        <v>105</v>
      </c>
      <c r="D101" s="3" t="s">
        <v>9</v>
      </c>
      <c r="E101" s="3" t="s">
        <v>9</v>
      </c>
      <c r="F101" s="14">
        <v>0</v>
      </c>
      <c r="G101" s="15">
        <v>0</v>
      </c>
      <c r="H101" s="156"/>
    </row>
    <row r="102" spans="1:8" x14ac:dyDescent="0.2">
      <c r="A102" s="3" t="s">
        <v>9</v>
      </c>
      <c r="B102" s="3" t="s">
        <v>9</v>
      </c>
      <c r="C102" s="12" t="s">
        <v>9</v>
      </c>
      <c r="D102" s="3" t="s">
        <v>9</v>
      </c>
      <c r="E102" s="3" t="s">
        <v>9</v>
      </c>
      <c r="F102" s="13" t="s">
        <v>9</v>
      </c>
      <c r="G102" s="13" t="s">
        <v>9</v>
      </c>
      <c r="H102" s="156"/>
    </row>
    <row r="103" spans="1:8" x14ac:dyDescent="0.2">
      <c r="A103" s="3" t="s">
        <v>9</v>
      </c>
      <c r="B103" s="3" t="s">
        <v>9</v>
      </c>
      <c r="C103" s="4" t="s">
        <v>130</v>
      </c>
      <c r="D103" s="3" t="s">
        <v>9</v>
      </c>
      <c r="E103" s="3" t="s">
        <v>9</v>
      </c>
      <c r="F103" s="3" t="s">
        <v>9</v>
      </c>
      <c r="G103" s="3" t="s">
        <v>9</v>
      </c>
      <c r="H103" s="156"/>
    </row>
    <row r="104" spans="1:8" x14ac:dyDescent="0.2">
      <c r="A104" s="3" t="s">
        <v>9</v>
      </c>
      <c r="B104" s="3" t="s">
        <v>9</v>
      </c>
      <c r="C104" s="4" t="s">
        <v>131</v>
      </c>
      <c r="D104" s="3" t="s">
        <v>9</v>
      </c>
      <c r="E104" s="3" t="s">
        <v>9</v>
      </c>
      <c r="F104" s="3" t="s">
        <v>9</v>
      </c>
      <c r="G104" s="3" t="s">
        <v>9</v>
      </c>
      <c r="H104" s="156"/>
    </row>
    <row r="105" spans="1:8" x14ac:dyDescent="0.2">
      <c r="A105" s="3" t="s">
        <v>9</v>
      </c>
      <c r="B105" s="3" t="s">
        <v>9</v>
      </c>
      <c r="C105" s="4" t="s">
        <v>105</v>
      </c>
      <c r="D105" s="3" t="s">
        <v>9</v>
      </c>
      <c r="E105" s="3" t="s">
        <v>9</v>
      </c>
      <c r="F105" s="14">
        <v>0</v>
      </c>
      <c r="G105" s="15">
        <v>0</v>
      </c>
      <c r="H105" s="156"/>
    </row>
    <row r="106" spans="1:8" x14ac:dyDescent="0.2">
      <c r="A106" s="3" t="s">
        <v>9</v>
      </c>
      <c r="B106" s="3" t="s">
        <v>9</v>
      </c>
      <c r="C106" s="12" t="s">
        <v>9</v>
      </c>
      <c r="D106" s="3" t="s">
        <v>9</v>
      </c>
      <c r="E106" s="3" t="s">
        <v>9</v>
      </c>
      <c r="F106" s="13" t="s">
        <v>9</v>
      </c>
      <c r="G106" s="13" t="s">
        <v>9</v>
      </c>
      <c r="H106" s="156"/>
    </row>
    <row r="107" spans="1:8" x14ac:dyDescent="0.2">
      <c r="A107" s="3" t="s">
        <v>9</v>
      </c>
      <c r="B107" s="3" t="s">
        <v>9</v>
      </c>
      <c r="C107" s="12" t="s">
        <v>9</v>
      </c>
      <c r="D107" s="3" t="s">
        <v>9</v>
      </c>
      <c r="E107" s="3" t="s">
        <v>9</v>
      </c>
      <c r="F107" s="13" t="s">
        <v>9</v>
      </c>
      <c r="G107" s="13" t="s">
        <v>9</v>
      </c>
      <c r="H107" s="156"/>
    </row>
    <row r="108" spans="1:8" x14ac:dyDescent="0.2">
      <c r="A108" s="3" t="s">
        <v>9</v>
      </c>
      <c r="B108" s="3" t="s">
        <v>9</v>
      </c>
      <c r="C108" s="4" t="s">
        <v>132</v>
      </c>
      <c r="D108" s="3" t="s">
        <v>9</v>
      </c>
      <c r="E108" s="3" t="s">
        <v>9</v>
      </c>
      <c r="F108" s="13" t="s">
        <v>9</v>
      </c>
      <c r="G108" s="13" t="s">
        <v>9</v>
      </c>
      <c r="H108" s="156"/>
    </row>
    <row r="109" spans="1:8" x14ac:dyDescent="0.2">
      <c r="A109" s="3" t="s">
        <v>9</v>
      </c>
      <c r="B109" s="3" t="s">
        <v>9</v>
      </c>
      <c r="C109" s="4" t="s">
        <v>105</v>
      </c>
      <c r="D109" s="3" t="s">
        <v>9</v>
      </c>
      <c r="E109" s="3" t="s">
        <v>9</v>
      </c>
      <c r="F109" s="14">
        <v>0</v>
      </c>
      <c r="G109" s="15">
        <v>0</v>
      </c>
      <c r="H109" s="156"/>
    </row>
    <row r="110" spans="1:8" x14ac:dyDescent="0.2">
      <c r="A110" s="3" t="s">
        <v>9</v>
      </c>
      <c r="B110" s="3" t="s">
        <v>9</v>
      </c>
      <c r="C110" s="12" t="s">
        <v>9</v>
      </c>
      <c r="D110" s="3" t="s">
        <v>9</v>
      </c>
      <c r="E110" s="3" t="s">
        <v>9</v>
      </c>
      <c r="F110" s="13" t="s">
        <v>9</v>
      </c>
      <c r="G110" s="13" t="s">
        <v>9</v>
      </c>
      <c r="H110" s="156"/>
    </row>
    <row r="111" spans="1:8" x14ac:dyDescent="0.2">
      <c r="A111" s="3" t="s">
        <v>9</v>
      </c>
      <c r="B111" s="6" t="s">
        <v>9</v>
      </c>
      <c r="C111" s="6" t="s">
        <v>9</v>
      </c>
      <c r="D111" s="4" t="s">
        <v>9</v>
      </c>
      <c r="E111" s="3" t="s">
        <v>9</v>
      </c>
      <c r="F111" s="6" t="s">
        <v>9</v>
      </c>
      <c r="G111" s="16" t="s">
        <v>9</v>
      </c>
      <c r="H111" s="156"/>
    </row>
    <row r="112" spans="1:8" x14ac:dyDescent="0.2">
      <c r="A112" s="16" t="s">
        <v>9</v>
      </c>
      <c r="B112" s="6" t="s">
        <v>9</v>
      </c>
      <c r="C112" s="6" t="s">
        <v>133</v>
      </c>
      <c r="D112" s="6" t="s">
        <v>9</v>
      </c>
      <c r="E112" s="16" t="s">
        <v>9</v>
      </c>
      <c r="F112" s="8">
        <v>-316.60974439</v>
      </c>
      <c r="G112" s="9">
        <v>-2.1044019000000001E-2</v>
      </c>
      <c r="H112" s="156"/>
    </row>
    <row r="113" spans="1:8" x14ac:dyDescent="0.2">
      <c r="A113" s="12" t="s">
        <v>9</v>
      </c>
      <c r="B113" s="12" t="s">
        <v>9</v>
      </c>
      <c r="C113" s="4" t="s">
        <v>134</v>
      </c>
      <c r="D113" s="17" t="s">
        <v>9</v>
      </c>
      <c r="E113" s="17" t="s">
        <v>9</v>
      </c>
      <c r="F113" s="10">
        <f>+F65+F97+F112</f>
        <v>15045.117551809999</v>
      </c>
      <c r="G113" s="11">
        <f>+G65+G97+G112</f>
        <v>0.99999999900000003</v>
      </c>
      <c r="H113" s="156"/>
    </row>
    <row r="114" spans="1:8" ht="14.1" customHeight="1" x14ac:dyDescent="0.2">
      <c r="A114" s="18" t="s">
        <v>9</v>
      </c>
      <c r="B114" s="18" t="s">
        <v>9</v>
      </c>
      <c r="C114" s="18" t="s">
        <v>9</v>
      </c>
      <c r="D114" s="19" t="s">
        <v>9</v>
      </c>
      <c r="E114" s="19" t="s">
        <v>9</v>
      </c>
      <c r="F114" s="19" t="s">
        <v>9</v>
      </c>
      <c r="G114" s="19" t="s">
        <v>9</v>
      </c>
    </row>
    <row r="115" spans="1:8" ht="14.1" customHeight="1" x14ac:dyDescent="0.2">
      <c r="A115" s="20" t="s">
        <v>9</v>
      </c>
      <c r="B115" s="200" t="s">
        <v>9</v>
      </c>
      <c r="C115" s="200"/>
      <c r="D115" s="200"/>
      <c r="E115" s="200"/>
      <c r="F115" s="200"/>
      <c r="G115" s="22" t="s">
        <v>9</v>
      </c>
    </row>
    <row r="116" spans="1:8" ht="14.1" customHeight="1" x14ac:dyDescent="0.2">
      <c r="A116" s="20" t="s">
        <v>9</v>
      </c>
      <c r="B116" s="200" t="s">
        <v>9</v>
      </c>
      <c r="C116" s="200"/>
      <c r="D116" s="200"/>
      <c r="E116" s="200"/>
      <c r="F116" s="200"/>
      <c r="G116" s="22" t="s">
        <v>9</v>
      </c>
    </row>
    <row r="117" spans="1:8" ht="14.1" customHeight="1" x14ac:dyDescent="0.2">
      <c r="A117" s="20" t="s">
        <v>9</v>
      </c>
      <c r="B117" s="20" t="s">
        <v>9</v>
      </c>
      <c r="C117" s="20" t="s">
        <v>9</v>
      </c>
      <c r="D117" s="22" t="s">
        <v>9</v>
      </c>
      <c r="E117" s="22" t="s">
        <v>9</v>
      </c>
      <c r="F117" s="22" t="s">
        <v>9</v>
      </c>
      <c r="G117" s="22" t="s">
        <v>9</v>
      </c>
    </row>
    <row r="118" spans="1:8" ht="14.1" customHeight="1" x14ac:dyDescent="0.2">
      <c r="A118" s="20" t="s">
        <v>9</v>
      </c>
      <c r="B118" s="198" t="s">
        <v>136</v>
      </c>
      <c r="C118" s="199"/>
      <c r="D118" s="13" t="s">
        <v>9</v>
      </c>
      <c r="E118" s="23" t="s">
        <v>9</v>
      </c>
      <c r="F118" s="22" t="s">
        <v>9</v>
      </c>
      <c r="G118" s="22" t="s">
        <v>9</v>
      </c>
    </row>
    <row r="119" spans="1:8" ht="29.1" customHeight="1" x14ac:dyDescent="0.2">
      <c r="A119" s="20" t="s">
        <v>9</v>
      </c>
      <c r="B119" s="205" t="s">
        <v>137</v>
      </c>
      <c r="C119" s="206"/>
      <c r="D119" s="4" t="s">
        <v>138</v>
      </c>
      <c r="E119" s="23" t="s">
        <v>9</v>
      </c>
      <c r="F119" s="22" t="s">
        <v>9</v>
      </c>
      <c r="G119" s="22" t="s">
        <v>9</v>
      </c>
    </row>
    <row r="120" spans="1:8" ht="17.100000000000001" customHeight="1" x14ac:dyDescent="0.2">
      <c r="A120" s="20" t="s">
        <v>9</v>
      </c>
      <c r="B120" s="205" t="s">
        <v>139</v>
      </c>
      <c r="C120" s="206"/>
      <c r="D120" s="4" t="s">
        <v>138</v>
      </c>
      <c r="E120" s="23" t="s">
        <v>9</v>
      </c>
      <c r="F120" s="22" t="s">
        <v>9</v>
      </c>
      <c r="G120" s="22" t="s">
        <v>9</v>
      </c>
    </row>
    <row r="121" spans="1:8" ht="17.100000000000001" customHeight="1" x14ac:dyDescent="0.2">
      <c r="A121" s="20" t="s">
        <v>9</v>
      </c>
      <c r="B121" s="205" t="s">
        <v>140</v>
      </c>
      <c r="C121" s="206"/>
      <c r="D121" s="13" t="s">
        <v>9</v>
      </c>
      <c r="E121" s="23" t="s">
        <v>9</v>
      </c>
      <c r="F121" s="22" t="s">
        <v>9</v>
      </c>
      <c r="G121" s="22" t="s">
        <v>9</v>
      </c>
    </row>
    <row r="122" spans="1:8" ht="24" customHeight="1" x14ac:dyDescent="0.2">
      <c r="A122" s="24" t="s">
        <v>9</v>
      </c>
      <c r="B122" s="25" t="s">
        <v>9</v>
      </c>
      <c r="C122" s="25" t="s">
        <v>141</v>
      </c>
      <c r="D122" s="25" t="s">
        <v>142</v>
      </c>
      <c r="E122" s="24" t="s">
        <v>9</v>
      </c>
      <c r="F122" s="24" t="s">
        <v>9</v>
      </c>
      <c r="G122" s="24" t="s">
        <v>9</v>
      </c>
    </row>
    <row r="123" spans="1:8" ht="18" customHeight="1" x14ac:dyDescent="0.2">
      <c r="A123" s="24" t="s">
        <v>9</v>
      </c>
      <c r="B123" s="25" t="s">
        <v>143</v>
      </c>
      <c r="C123" s="25" t="s">
        <v>144</v>
      </c>
      <c r="D123" s="25" t="s">
        <v>145</v>
      </c>
      <c r="E123" s="24" t="s">
        <v>9</v>
      </c>
      <c r="F123" s="24" t="s">
        <v>9</v>
      </c>
      <c r="G123" s="24" t="s">
        <v>9</v>
      </c>
    </row>
    <row r="124" spans="1:8" ht="17.100000000000001" customHeight="1" x14ac:dyDescent="0.2">
      <c r="A124" s="24" t="s">
        <v>9</v>
      </c>
      <c r="B124" s="6" t="s">
        <v>146</v>
      </c>
      <c r="C124" s="26">
        <v>15.205299999999999</v>
      </c>
      <c r="D124" s="26">
        <v>15.350199999999999</v>
      </c>
      <c r="E124" s="24" t="s">
        <v>9</v>
      </c>
      <c r="F124" s="21" t="s">
        <v>9</v>
      </c>
      <c r="G124" s="27" t="s">
        <v>9</v>
      </c>
    </row>
    <row r="125" spans="1:8" ht="17.100000000000001" customHeight="1" x14ac:dyDescent="0.2">
      <c r="A125" s="24" t="s">
        <v>9</v>
      </c>
      <c r="B125" s="6" t="s">
        <v>839</v>
      </c>
      <c r="C125" s="26">
        <v>15.205299999999999</v>
      </c>
      <c r="D125" s="26">
        <v>13.340199999999999</v>
      </c>
      <c r="E125" s="24" t="s">
        <v>9</v>
      </c>
      <c r="F125" s="21" t="s">
        <v>9</v>
      </c>
      <c r="G125" s="27" t="s">
        <v>9</v>
      </c>
    </row>
    <row r="126" spans="1:8" ht="17.100000000000001" customHeight="1" x14ac:dyDescent="0.2">
      <c r="A126" s="24" t="s">
        <v>9</v>
      </c>
      <c r="B126" s="6" t="s">
        <v>147</v>
      </c>
      <c r="C126" s="26">
        <v>14.629799999999999</v>
      </c>
      <c r="D126" s="26">
        <v>14.7616</v>
      </c>
      <c r="E126" s="24" t="s">
        <v>9</v>
      </c>
      <c r="F126" s="21" t="s">
        <v>9</v>
      </c>
      <c r="G126" s="27" t="s">
        <v>9</v>
      </c>
    </row>
    <row r="127" spans="1:8" ht="17.100000000000001" customHeight="1" x14ac:dyDescent="0.2">
      <c r="A127" s="24" t="s">
        <v>9</v>
      </c>
      <c r="B127" s="6" t="s">
        <v>840</v>
      </c>
      <c r="C127" s="26">
        <v>14.629799999999999</v>
      </c>
      <c r="D127" s="26">
        <v>13.191700000000001</v>
      </c>
      <c r="E127" s="24" t="s">
        <v>9</v>
      </c>
      <c r="F127" s="21" t="s">
        <v>9</v>
      </c>
      <c r="G127" s="27" t="s">
        <v>9</v>
      </c>
    </row>
    <row r="128" spans="1:8" ht="14.1" customHeight="1" x14ac:dyDescent="0.2">
      <c r="A128" s="24" t="s">
        <v>9</v>
      </c>
      <c r="B128" s="24" t="s">
        <v>9</v>
      </c>
      <c r="C128" s="24" t="s">
        <v>9</v>
      </c>
      <c r="D128" s="24" t="s">
        <v>9</v>
      </c>
      <c r="E128" s="24" t="s">
        <v>9</v>
      </c>
      <c r="F128" s="24" t="s">
        <v>9</v>
      </c>
      <c r="G128" s="24" t="s">
        <v>9</v>
      </c>
    </row>
    <row r="129" spans="1:8" ht="29.1" customHeight="1" x14ac:dyDescent="0.2">
      <c r="A129" s="167" t="s">
        <v>9</v>
      </c>
      <c r="B129" s="207" t="s">
        <v>986</v>
      </c>
      <c r="C129" s="207"/>
      <c r="D129" s="160"/>
      <c r="E129" s="167" t="s">
        <v>9</v>
      </c>
      <c r="F129" s="167" t="s">
        <v>9</v>
      </c>
      <c r="G129" s="167" t="s">
        <v>9</v>
      </c>
    </row>
    <row r="130" spans="1:8" s="166" customFormat="1" ht="15" x14ac:dyDescent="0.2">
      <c r="A130" s="148" t="s">
        <v>9</v>
      </c>
      <c r="B130" s="161" t="s">
        <v>143</v>
      </c>
      <c r="C130" s="161" t="s">
        <v>878</v>
      </c>
      <c r="D130" s="161" t="s">
        <v>879</v>
      </c>
      <c r="E130" s="148" t="s">
        <v>9</v>
      </c>
      <c r="F130" s="148" t="s">
        <v>9</v>
      </c>
      <c r="G130" s="148" t="s">
        <v>9</v>
      </c>
      <c r="H130" s="165"/>
    </row>
    <row r="131" spans="1:8" ht="17.100000000000001" customHeight="1" x14ac:dyDescent="0.2">
      <c r="A131" s="167" t="s">
        <v>9</v>
      </c>
      <c r="B131" s="162" t="s">
        <v>839</v>
      </c>
      <c r="C131" s="163">
        <v>2.0099999999999998</v>
      </c>
      <c r="D131" s="164">
        <v>0</v>
      </c>
      <c r="E131" s="24" t="s">
        <v>9</v>
      </c>
      <c r="F131" s="31" t="s">
        <v>9</v>
      </c>
      <c r="G131" s="27" t="s">
        <v>9</v>
      </c>
    </row>
    <row r="132" spans="1:8" ht="17.100000000000001" customHeight="1" x14ac:dyDescent="0.2">
      <c r="A132" s="167" t="s">
        <v>9</v>
      </c>
      <c r="B132" s="162" t="s">
        <v>840</v>
      </c>
      <c r="C132" s="163">
        <v>1.57</v>
      </c>
      <c r="D132" s="164">
        <v>1.57</v>
      </c>
      <c r="E132" s="24" t="s">
        <v>9</v>
      </c>
      <c r="F132" s="31" t="s">
        <v>9</v>
      </c>
      <c r="G132" s="27" t="s">
        <v>9</v>
      </c>
    </row>
    <row r="133" spans="1:8" ht="17.100000000000001" customHeight="1" x14ac:dyDescent="0.2">
      <c r="A133" s="167"/>
      <c r="B133" s="182"/>
      <c r="C133" s="195"/>
      <c r="D133" s="196"/>
      <c r="E133" s="24"/>
      <c r="F133" s="182"/>
      <c r="G133" s="27"/>
    </row>
    <row r="134" spans="1:8" s="197" customFormat="1" x14ac:dyDescent="0.2">
      <c r="B134" s="208" t="s">
        <v>841</v>
      </c>
      <c r="C134" s="208"/>
      <c r="D134" s="208"/>
      <c r="E134" s="208"/>
      <c r="F134" s="208"/>
    </row>
    <row r="135" spans="1:8" ht="14.1" customHeight="1" x14ac:dyDescent="0.2">
      <c r="A135" s="24" t="s">
        <v>9</v>
      </c>
      <c r="B135" s="21" t="s">
        <v>9</v>
      </c>
      <c r="C135" s="21" t="s">
        <v>9</v>
      </c>
      <c r="D135" s="24" t="s">
        <v>9</v>
      </c>
      <c r="E135" s="24" t="s">
        <v>9</v>
      </c>
      <c r="F135" s="24" t="s">
        <v>9</v>
      </c>
      <c r="G135" s="24" t="s">
        <v>9</v>
      </c>
    </row>
    <row r="136" spans="1:8" ht="29.1" customHeight="1" x14ac:dyDescent="0.2">
      <c r="A136" s="24" t="s">
        <v>9</v>
      </c>
      <c r="B136" s="205" t="s">
        <v>148</v>
      </c>
      <c r="C136" s="206"/>
      <c r="D136" s="4" t="s">
        <v>138</v>
      </c>
      <c r="E136" s="24" t="s">
        <v>9</v>
      </c>
      <c r="F136" s="24" t="s">
        <v>9</v>
      </c>
      <c r="G136" s="24" t="s">
        <v>9</v>
      </c>
    </row>
    <row r="137" spans="1:8" ht="29.1" customHeight="1" x14ac:dyDescent="0.2">
      <c r="A137" s="24" t="s">
        <v>9</v>
      </c>
      <c r="B137" s="205" t="s">
        <v>149</v>
      </c>
      <c r="C137" s="206"/>
      <c r="D137" s="4" t="s">
        <v>138</v>
      </c>
      <c r="E137" s="24" t="s">
        <v>9</v>
      </c>
      <c r="F137" s="24" t="s">
        <v>9</v>
      </c>
      <c r="G137" s="24" t="s">
        <v>9</v>
      </c>
    </row>
    <row r="138" spans="1:8" ht="17.100000000000001" customHeight="1" x14ac:dyDescent="0.2">
      <c r="A138" s="24" t="s">
        <v>9</v>
      </c>
      <c r="B138" s="205" t="s">
        <v>150</v>
      </c>
      <c r="C138" s="206"/>
      <c r="D138" s="29">
        <v>0.55440924369520161</v>
      </c>
      <c r="E138" s="24" t="s">
        <v>9</v>
      </c>
      <c r="F138" s="21" t="s">
        <v>9</v>
      </c>
      <c r="G138" s="27" t="s">
        <v>9</v>
      </c>
    </row>
    <row r="139" spans="1:8" ht="17.100000000000001" customHeight="1" x14ac:dyDescent="0.2">
      <c r="A139" s="24" t="s">
        <v>9</v>
      </c>
      <c r="B139" s="205" t="s">
        <v>151</v>
      </c>
      <c r="C139" s="206"/>
      <c r="D139" s="4" t="s">
        <v>138</v>
      </c>
      <c r="E139" s="24" t="s">
        <v>9</v>
      </c>
      <c r="F139" s="24" t="s">
        <v>9</v>
      </c>
      <c r="G139" s="24" t="s">
        <v>9</v>
      </c>
    </row>
  </sheetData>
  <mergeCells count="15">
    <mergeCell ref="B138:C138"/>
    <mergeCell ref="B139:C139"/>
    <mergeCell ref="B119:C119"/>
    <mergeCell ref="B120:C120"/>
    <mergeCell ref="B121:C121"/>
    <mergeCell ref="B129:C129"/>
    <mergeCell ref="B136:C136"/>
    <mergeCell ref="B137:C137"/>
    <mergeCell ref="B134:F134"/>
    <mergeCell ref="B118:C118"/>
    <mergeCell ref="B115:F115"/>
    <mergeCell ref="B116:F11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6B5A-675E-491E-9188-BFA5242AEB81}">
  <dimension ref="A1:K36"/>
  <sheetViews>
    <sheetView workbookViewId="0">
      <selection activeCell="A4" sqref="A4"/>
    </sheetView>
  </sheetViews>
  <sheetFormatPr defaultRowHeight="15" x14ac:dyDescent="0.25"/>
  <cols>
    <col min="1" max="1" width="6.85546875" style="66" customWidth="1"/>
    <col min="2" max="2" width="19.7109375" style="66" bestFit="1" customWidth="1"/>
    <col min="3" max="3" width="40.28515625" style="66" bestFit="1" customWidth="1"/>
    <col min="4" max="4" width="15.28515625" style="66" bestFit="1" customWidth="1"/>
    <col min="5" max="5" width="11.42578125" style="66" bestFit="1" customWidth="1"/>
    <col min="6" max="6" width="10.140625" style="66" bestFit="1" customWidth="1"/>
    <col min="7" max="7" width="8.5703125" style="66" bestFit="1" customWidth="1"/>
    <col min="8" max="8" width="8.42578125" style="66" bestFit="1" customWidth="1"/>
    <col min="9" max="10" width="9.140625" style="66"/>
    <col min="11" max="11" width="10.5703125" style="66" bestFit="1" customWidth="1"/>
    <col min="12" max="250" width="9.140625" style="66"/>
    <col min="251" max="251" width="5.42578125" style="66" bestFit="1" customWidth="1"/>
    <col min="252" max="252" width="20.42578125" style="66" bestFit="1" customWidth="1"/>
    <col min="253" max="253" width="41.42578125" style="66" customWidth="1"/>
    <col min="254" max="254" width="15.28515625" style="66" bestFit="1" customWidth="1"/>
    <col min="255" max="255" width="16.7109375" style="66" bestFit="1" customWidth="1"/>
    <col min="256" max="256" width="11.28515625" style="66" bestFit="1" customWidth="1"/>
    <col min="257" max="257" width="14" style="66" bestFit="1" customWidth="1"/>
    <col min="258" max="258" width="11.85546875" style="66" bestFit="1" customWidth="1"/>
    <col min="259" max="259" width="14.85546875" style="66" bestFit="1" customWidth="1"/>
    <col min="260" max="260" width="9.7109375" style="66" customWidth="1"/>
    <col min="261" max="261" width="4.85546875" style="66" customWidth="1"/>
    <col min="262" max="506" width="9.140625" style="66"/>
    <col min="507" max="507" width="5.42578125" style="66" bestFit="1" customWidth="1"/>
    <col min="508" max="508" width="20.42578125" style="66" bestFit="1" customWidth="1"/>
    <col min="509" max="509" width="41.42578125" style="66" customWidth="1"/>
    <col min="510" max="510" width="15.28515625" style="66" bestFit="1" customWidth="1"/>
    <col min="511" max="511" width="16.7109375" style="66" bestFit="1" customWidth="1"/>
    <col min="512" max="512" width="11.28515625" style="66" bestFit="1" customWidth="1"/>
    <col min="513" max="513" width="14" style="66" bestFit="1" customWidth="1"/>
    <col min="514" max="514" width="11.85546875" style="66" bestFit="1" customWidth="1"/>
    <col min="515" max="515" width="14.85546875" style="66" bestFit="1" customWidth="1"/>
    <col min="516" max="516" width="9.7109375" style="66" customWidth="1"/>
    <col min="517" max="517" width="4.85546875" style="66" customWidth="1"/>
    <col min="518" max="762" width="9.140625" style="66"/>
    <col min="763" max="763" width="5.42578125" style="66" bestFit="1" customWidth="1"/>
    <col min="764" max="764" width="20.42578125" style="66" bestFit="1" customWidth="1"/>
    <col min="765" max="765" width="41.42578125" style="66" customWidth="1"/>
    <col min="766" max="766" width="15.28515625" style="66" bestFit="1" customWidth="1"/>
    <col min="767" max="767" width="16.7109375" style="66" bestFit="1" customWidth="1"/>
    <col min="768" max="768" width="11.28515625" style="66" bestFit="1" customWidth="1"/>
    <col min="769" max="769" width="14" style="66" bestFit="1" customWidth="1"/>
    <col min="770" max="770" width="11.85546875" style="66" bestFit="1" customWidth="1"/>
    <col min="771" max="771" width="14.85546875" style="66" bestFit="1" customWidth="1"/>
    <col min="772" max="772" width="9.7109375" style="66" customWidth="1"/>
    <col min="773" max="773" width="4.85546875" style="66" customWidth="1"/>
    <col min="774" max="1018" width="9.140625" style="66"/>
    <col min="1019" max="1019" width="5.42578125" style="66" bestFit="1" customWidth="1"/>
    <col min="1020" max="1020" width="20.42578125" style="66" bestFit="1" customWidth="1"/>
    <col min="1021" max="1021" width="41.42578125" style="66" customWidth="1"/>
    <col min="1022" max="1022" width="15.28515625" style="66" bestFit="1" customWidth="1"/>
    <col min="1023" max="1023" width="16.7109375" style="66" bestFit="1" customWidth="1"/>
    <col min="1024" max="1024" width="11.28515625" style="66" bestFit="1" customWidth="1"/>
    <col min="1025" max="1025" width="14" style="66" bestFit="1" customWidth="1"/>
    <col min="1026" max="1026" width="11.85546875" style="66" bestFit="1" customWidth="1"/>
    <col min="1027" max="1027" width="14.85546875" style="66" bestFit="1" customWidth="1"/>
    <col min="1028" max="1028" width="9.7109375" style="66" customWidth="1"/>
    <col min="1029" max="1029" width="4.85546875" style="66" customWidth="1"/>
    <col min="1030" max="1274" width="9.140625" style="66"/>
    <col min="1275" max="1275" width="5.42578125" style="66" bestFit="1" customWidth="1"/>
    <col min="1276" max="1276" width="20.42578125" style="66" bestFit="1" customWidth="1"/>
    <col min="1277" max="1277" width="41.42578125" style="66" customWidth="1"/>
    <col min="1278" max="1278" width="15.28515625" style="66" bestFit="1" customWidth="1"/>
    <col min="1279" max="1279" width="16.7109375" style="66" bestFit="1" customWidth="1"/>
    <col min="1280" max="1280" width="11.28515625" style="66" bestFit="1" customWidth="1"/>
    <col min="1281" max="1281" width="14" style="66" bestFit="1" customWidth="1"/>
    <col min="1282" max="1282" width="11.85546875" style="66" bestFit="1" customWidth="1"/>
    <col min="1283" max="1283" width="14.85546875" style="66" bestFit="1" customWidth="1"/>
    <col min="1284" max="1284" width="9.7109375" style="66" customWidth="1"/>
    <col min="1285" max="1285" width="4.85546875" style="66" customWidth="1"/>
    <col min="1286" max="1530" width="9.140625" style="66"/>
    <col min="1531" max="1531" width="5.42578125" style="66" bestFit="1" customWidth="1"/>
    <col min="1532" max="1532" width="20.42578125" style="66" bestFit="1" customWidth="1"/>
    <col min="1533" max="1533" width="41.42578125" style="66" customWidth="1"/>
    <col min="1534" max="1534" width="15.28515625" style="66" bestFit="1" customWidth="1"/>
    <col min="1535" max="1535" width="16.7109375" style="66" bestFit="1" customWidth="1"/>
    <col min="1536" max="1536" width="11.28515625" style="66" bestFit="1" customWidth="1"/>
    <col min="1537" max="1537" width="14" style="66" bestFit="1" customWidth="1"/>
    <col min="1538" max="1538" width="11.85546875" style="66" bestFit="1" customWidth="1"/>
    <col min="1539" max="1539" width="14.85546875" style="66" bestFit="1" customWidth="1"/>
    <col min="1540" max="1540" width="9.7109375" style="66" customWidth="1"/>
    <col min="1541" max="1541" width="4.85546875" style="66" customWidth="1"/>
    <col min="1542" max="1786" width="9.140625" style="66"/>
    <col min="1787" max="1787" width="5.42578125" style="66" bestFit="1" customWidth="1"/>
    <col min="1788" max="1788" width="20.42578125" style="66" bestFit="1" customWidth="1"/>
    <col min="1789" max="1789" width="41.42578125" style="66" customWidth="1"/>
    <col min="1790" max="1790" width="15.28515625" style="66" bestFit="1" customWidth="1"/>
    <col min="1791" max="1791" width="16.7109375" style="66" bestFit="1" customWidth="1"/>
    <col min="1792" max="1792" width="11.28515625" style="66" bestFit="1" customWidth="1"/>
    <col min="1793" max="1793" width="14" style="66" bestFit="1" customWidth="1"/>
    <col min="1794" max="1794" width="11.85546875" style="66" bestFit="1" customWidth="1"/>
    <col min="1795" max="1795" width="14.85546875" style="66" bestFit="1" customWidth="1"/>
    <col min="1796" max="1796" width="9.7109375" style="66" customWidth="1"/>
    <col min="1797" max="1797" width="4.85546875" style="66" customWidth="1"/>
    <col min="1798" max="2042" width="9.140625" style="66"/>
    <col min="2043" max="2043" width="5.42578125" style="66" bestFit="1" customWidth="1"/>
    <col min="2044" max="2044" width="20.42578125" style="66" bestFit="1" customWidth="1"/>
    <col min="2045" max="2045" width="41.42578125" style="66" customWidth="1"/>
    <col min="2046" max="2046" width="15.28515625" style="66" bestFit="1" customWidth="1"/>
    <col min="2047" max="2047" width="16.7109375" style="66" bestFit="1" customWidth="1"/>
    <col min="2048" max="2048" width="11.28515625" style="66" bestFit="1" customWidth="1"/>
    <col min="2049" max="2049" width="14" style="66" bestFit="1" customWidth="1"/>
    <col min="2050" max="2050" width="11.85546875" style="66" bestFit="1" customWidth="1"/>
    <col min="2051" max="2051" width="14.85546875" style="66" bestFit="1" customWidth="1"/>
    <col min="2052" max="2052" width="9.7109375" style="66" customWidth="1"/>
    <col min="2053" max="2053" width="4.85546875" style="66" customWidth="1"/>
    <col min="2054" max="2298" width="9.140625" style="66"/>
    <col min="2299" max="2299" width="5.42578125" style="66" bestFit="1" customWidth="1"/>
    <col min="2300" max="2300" width="20.42578125" style="66" bestFit="1" customWidth="1"/>
    <col min="2301" max="2301" width="41.42578125" style="66" customWidth="1"/>
    <col min="2302" max="2302" width="15.28515625" style="66" bestFit="1" customWidth="1"/>
    <col min="2303" max="2303" width="16.7109375" style="66" bestFit="1" customWidth="1"/>
    <col min="2304" max="2304" width="11.28515625" style="66" bestFit="1" customWidth="1"/>
    <col min="2305" max="2305" width="14" style="66" bestFit="1" customWidth="1"/>
    <col min="2306" max="2306" width="11.85546875" style="66" bestFit="1" customWidth="1"/>
    <col min="2307" max="2307" width="14.85546875" style="66" bestFit="1" customWidth="1"/>
    <col min="2308" max="2308" width="9.7109375" style="66" customWidth="1"/>
    <col min="2309" max="2309" width="4.85546875" style="66" customWidth="1"/>
    <col min="2310" max="2554" width="9.140625" style="66"/>
    <col min="2555" max="2555" width="5.42578125" style="66" bestFit="1" customWidth="1"/>
    <col min="2556" max="2556" width="20.42578125" style="66" bestFit="1" customWidth="1"/>
    <col min="2557" max="2557" width="41.42578125" style="66" customWidth="1"/>
    <col min="2558" max="2558" width="15.28515625" style="66" bestFit="1" customWidth="1"/>
    <col min="2559" max="2559" width="16.7109375" style="66" bestFit="1" customWidth="1"/>
    <col min="2560" max="2560" width="11.28515625" style="66" bestFit="1" customWidth="1"/>
    <col min="2561" max="2561" width="14" style="66" bestFit="1" customWidth="1"/>
    <col min="2562" max="2562" width="11.85546875" style="66" bestFit="1" customWidth="1"/>
    <col min="2563" max="2563" width="14.85546875" style="66" bestFit="1" customWidth="1"/>
    <col min="2564" max="2564" width="9.7109375" style="66" customWidth="1"/>
    <col min="2565" max="2565" width="4.85546875" style="66" customWidth="1"/>
    <col min="2566" max="2810" width="9.140625" style="66"/>
    <col min="2811" max="2811" width="5.42578125" style="66" bestFit="1" customWidth="1"/>
    <col min="2812" max="2812" width="20.42578125" style="66" bestFit="1" customWidth="1"/>
    <col min="2813" max="2813" width="41.42578125" style="66" customWidth="1"/>
    <col min="2814" max="2814" width="15.28515625" style="66" bestFit="1" customWidth="1"/>
    <col min="2815" max="2815" width="16.7109375" style="66" bestFit="1" customWidth="1"/>
    <col min="2816" max="2816" width="11.28515625" style="66" bestFit="1" customWidth="1"/>
    <col min="2817" max="2817" width="14" style="66" bestFit="1" customWidth="1"/>
    <col min="2818" max="2818" width="11.85546875" style="66" bestFit="1" customWidth="1"/>
    <col min="2819" max="2819" width="14.85546875" style="66" bestFit="1" customWidth="1"/>
    <col min="2820" max="2820" width="9.7109375" style="66" customWidth="1"/>
    <col min="2821" max="2821" width="4.85546875" style="66" customWidth="1"/>
    <col min="2822" max="3066" width="9.140625" style="66"/>
    <col min="3067" max="3067" width="5.42578125" style="66" bestFit="1" customWidth="1"/>
    <col min="3068" max="3068" width="20.42578125" style="66" bestFit="1" customWidth="1"/>
    <col min="3069" max="3069" width="41.42578125" style="66" customWidth="1"/>
    <col min="3070" max="3070" width="15.28515625" style="66" bestFit="1" customWidth="1"/>
    <col min="3071" max="3071" width="16.7109375" style="66" bestFit="1" customWidth="1"/>
    <col min="3072" max="3072" width="11.28515625" style="66" bestFit="1" customWidth="1"/>
    <col min="3073" max="3073" width="14" style="66" bestFit="1" customWidth="1"/>
    <col min="3074" max="3074" width="11.85546875" style="66" bestFit="1" customWidth="1"/>
    <col min="3075" max="3075" width="14.85546875" style="66" bestFit="1" customWidth="1"/>
    <col min="3076" max="3076" width="9.7109375" style="66" customWidth="1"/>
    <col min="3077" max="3077" width="4.85546875" style="66" customWidth="1"/>
    <col min="3078" max="3322" width="9.140625" style="66"/>
    <col min="3323" max="3323" width="5.42578125" style="66" bestFit="1" customWidth="1"/>
    <col min="3324" max="3324" width="20.42578125" style="66" bestFit="1" customWidth="1"/>
    <col min="3325" max="3325" width="41.42578125" style="66" customWidth="1"/>
    <col min="3326" max="3326" width="15.28515625" style="66" bestFit="1" customWidth="1"/>
    <col min="3327" max="3327" width="16.7109375" style="66" bestFit="1" customWidth="1"/>
    <col min="3328" max="3328" width="11.28515625" style="66" bestFit="1" customWidth="1"/>
    <col min="3329" max="3329" width="14" style="66" bestFit="1" customWidth="1"/>
    <col min="3330" max="3330" width="11.85546875" style="66" bestFit="1" customWidth="1"/>
    <col min="3331" max="3331" width="14.85546875" style="66" bestFit="1" customWidth="1"/>
    <col min="3332" max="3332" width="9.7109375" style="66" customWidth="1"/>
    <col min="3333" max="3333" width="4.85546875" style="66" customWidth="1"/>
    <col min="3334" max="3578" width="9.140625" style="66"/>
    <col min="3579" max="3579" width="5.42578125" style="66" bestFit="1" customWidth="1"/>
    <col min="3580" max="3580" width="20.42578125" style="66" bestFit="1" customWidth="1"/>
    <col min="3581" max="3581" width="41.42578125" style="66" customWidth="1"/>
    <col min="3582" max="3582" width="15.28515625" style="66" bestFit="1" customWidth="1"/>
    <col min="3583" max="3583" width="16.7109375" style="66" bestFit="1" customWidth="1"/>
    <col min="3584" max="3584" width="11.28515625" style="66" bestFit="1" customWidth="1"/>
    <col min="3585" max="3585" width="14" style="66" bestFit="1" customWidth="1"/>
    <col min="3586" max="3586" width="11.85546875" style="66" bestFit="1" customWidth="1"/>
    <col min="3587" max="3587" width="14.85546875" style="66" bestFit="1" customWidth="1"/>
    <col min="3588" max="3588" width="9.7109375" style="66" customWidth="1"/>
    <col min="3589" max="3589" width="4.85546875" style="66" customWidth="1"/>
    <col min="3590" max="3834" width="9.140625" style="66"/>
    <col min="3835" max="3835" width="5.42578125" style="66" bestFit="1" customWidth="1"/>
    <col min="3836" max="3836" width="20.42578125" style="66" bestFit="1" customWidth="1"/>
    <col min="3837" max="3837" width="41.42578125" style="66" customWidth="1"/>
    <col min="3838" max="3838" width="15.28515625" style="66" bestFit="1" customWidth="1"/>
    <col min="3839" max="3839" width="16.7109375" style="66" bestFit="1" customWidth="1"/>
    <col min="3840" max="3840" width="11.28515625" style="66" bestFit="1" customWidth="1"/>
    <col min="3841" max="3841" width="14" style="66" bestFit="1" customWidth="1"/>
    <col min="3842" max="3842" width="11.85546875" style="66" bestFit="1" customWidth="1"/>
    <col min="3843" max="3843" width="14.85546875" style="66" bestFit="1" customWidth="1"/>
    <col min="3844" max="3844" width="9.7109375" style="66" customWidth="1"/>
    <col min="3845" max="3845" width="4.85546875" style="66" customWidth="1"/>
    <col min="3846" max="4090" width="9.140625" style="66"/>
    <col min="4091" max="4091" width="5.42578125" style="66" bestFit="1" customWidth="1"/>
    <col min="4092" max="4092" width="20.42578125" style="66" bestFit="1" customWidth="1"/>
    <col min="4093" max="4093" width="41.42578125" style="66" customWidth="1"/>
    <col min="4094" max="4094" width="15.28515625" style="66" bestFit="1" customWidth="1"/>
    <col min="4095" max="4095" width="16.7109375" style="66" bestFit="1" customWidth="1"/>
    <col min="4096" max="4096" width="11.28515625" style="66" bestFit="1" customWidth="1"/>
    <col min="4097" max="4097" width="14" style="66" bestFit="1" customWidth="1"/>
    <col min="4098" max="4098" width="11.85546875" style="66" bestFit="1" customWidth="1"/>
    <col min="4099" max="4099" width="14.85546875" style="66" bestFit="1" customWidth="1"/>
    <col min="4100" max="4100" width="9.7109375" style="66" customWidth="1"/>
    <col min="4101" max="4101" width="4.85546875" style="66" customWidth="1"/>
    <col min="4102" max="4346" width="9.140625" style="66"/>
    <col min="4347" max="4347" width="5.42578125" style="66" bestFit="1" customWidth="1"/>
    <col min="4348" max="4348" width="20.42578125" style="66" bestFit="1" customWidth="1"/>
    <col min="4349" max="4349" width="41.42578125" style="66" customWidth="1"/>
    <col min="4350" max="4350" width="15.28515625" style="66" bestFit="1" customWidth="1"/>
    <col min="4351" max="4351" width="16.7109375" style="66" bestFit="1" customWidth="1"/>
    <col min="4352" max="4352" width="11.28515625" style="66" bestFit="1" customWidth="1"/>
    <col min="4353" max="4353" width="14" style="66" bestFit="1" customWidth="1"/>
    <col min="4354" max="4354" width="11.85546875" style="66" bestFit="1" customWidth="1"/>
    <col min="4355" max="4355" width="14.85546875" style="66" bestFit="1" customWidth="1"/>
    <col min="4356" max="4356" width="9.7109375" style="66" customWidth="1"/>
    <col min="4357" max="4357" width="4.85546875" style="66" customWidth="1"/>
    <col min="4358" max="4602" width="9.140625" style="66"/>
    <col min="4603" max="4603" width="5.42578125" style="66" bestFit="1" customWidth="1"/>
    <col min="4604" max="4604" width="20.42578125" style="66" bestFit="1" customWidth="1"/>
    <col min="4605" max="4605" width="41.42578125" style="66" customWidth="1"/>
    <col min="4606" max="4606" width="15.28515625" style="66" bestFit="1" customWidth="1"/>
    <col min="4607" max="4607" width="16.7109375" style="66" bestFit="1" customWidth="1"/>
    <col min="4608" max="4608" width="11.28515625" style="66" bestFit="1" customWidth="1"/>
    <col min="4609" max="4609" width="14" style="66" bestFit="1" customWidth="1"/>
    <col min="4610" max="4610" width="11.85546875" style="66" bestFit="1" customWidth="1"/>
    <col min="4611" max="4611" width="14.85546875" style="66" bestFit="1" customWidth="1"/>
    <col min="4612" max="4612" width="9.7109375" style="66" customWidth="1"/>
    <col min="4613" max="4613" width="4.85546875" style="66" customWidth="1"/>
    <col min="4614" max="4858" width="9.140625" style="66"/>
    <col min="4859" max="4859" width="5.42578125" style="66" bestFit="1" customWidth="1"/>
    <col min="4860" max="4860" width="20.42578125" style="66" bestFit="1" customWidth="1"/>
    <col min="4861" max="4861" width="41.42578125" style="66" customWidth="1"/>
    <col min="4862" max="4862" width="15.28515625" style="66" bestFit="1" customWidth="1"/>
    <col min="4863" max="4863" width="16.7109375" style="66" bestFit="1" customWidth="1"/>
    <col min="4864" max="4864" width="11.28515625" style="66" bestFit="1" customWidth="1"/>
    <col min="4865" max="4865" width="14" style="66" bestFit="1" customWidth="1"/>
    <col min="4866" max="4866" width="11.85546875" style="66" bestFit="1" customWidth="1"/>
    <col min="4867" max="4867" width="14.85546875" style="66" bestFit="1" customWidth="1"/>
    <col min="4868" max="4868" width="9.7109375" style="66" customWidth="1"/>
    <col min="4869" max="4869" width="4.85546875" style="66" customWidth="1"/>
    <col min="4870" max="5114" width="9.140625" style="66"/>
    <col min="5115" max="5115" width="5.42578125" style="66" bestFit="1" customWidth="1"/>
    <col min="5116" max="5116" width="20.42578125" style="66" bestFit="1" customWidth="1"/>
    <col min="5117" max="5117" width="41.42578125" style="66" customWidth="1"/>
    <col min="5118" max="5118" width="15.28515625" style="66" bestFit="1" customWidth="1"/>
    <col min="5119" max="5119" width="16.7109375" style="66" bestFit="1" customWidth="1"/>
    <col min="5120" max="5120" width="11.28515625" style="66" bestFit="1" customWidth="1"/>
    <col min="5121" max="5121" width="14" style="66" bestFit="1" customWidth="1"/>
    <col min="5122" max="5122" width="11.85546875" style="66" bestFit="1" customWidth="1"/>
    <col min="5123" max="5123" width="14.85546875" style="66" bestFit="1" customWidth="1"/>
    <col min="5124" max="5124" width="9.7109375" style="66" customWidth="1"/>
    <col min="5125" max="5125" width="4.85546875" style="66" customWidth="1"/>
    <col min="5126" max="5370" width="9.140625" style="66"/>
    <col min="5371" max="5371" width="5.42578125" style="66" bestFit="1" customWidth="1"/>
    <col min="5372" max="5372" width="20.42578125" style="66" bestFit="1" customWidth="1"/>
    <col min="5373" max="5373" width="41.42578125" style="66" customWidth="1"/>
    <col min="5374" max="5374" width="15.28515625" style="66" bestFit="1" customWidth="1"/>
    <col min="5375" max="5375" width="16.7109375" style="66" bestFit="1" customWidth="1"/>
    <col min="5376" max="5376" width="11.28515625" style="66" bestFit="1" customWidth="1"/>
    <col min="5377" max="5377" width="14" style="66" bestFit="1" customWidth="1"/>
    <col min="5378" max="5378" width="11.85546875" style="66" bestFit="1" customWidth="1"/>
    <col min="5379" max="5379" width="14.85546875" style="66" bestFit="1" customWidth="1"/>
    <col min="5380" max="5380" width="9.7109375" style="66" customWidth="1"/>
    <col min="5381" max="5381" width="4.85546875" style="66" customWidth="1"/>
    <col min="5382" max="5626" width="9.140625" style="66"/>
    <col min="5627" max="5627" width="5.42578125" style="66" bestFit="1" customWidth="1"/>
    <col min="5628" max="5628" width="20.42578125" style="66" bestFit="1" customWidth="1"/>
    <col min="5629" max="5629" width="41.42578125" style="66" customWidth="1"/>
    <col min="5630" max="5630" width="15.28515625" style="66" bestFit="1" customWidth="1"/>
    <col min="5631" max="5631" width="16.7109375" style="66" bestFit="1" customWidth="1"/>
    <col min="5632" max="5632" width="11.28515625" style="66" bestFit="1" customWidth="1"/>
    <col min="5633" max="5633" width="14" style="66" bestFit="1" customWidth="1"/>
    <col min="5634" max="5634" width="11.85546875" style="66" bestFit="1" customWidth="1"/>
    <col min="5635" max="5635" width="14.85546875" style="66" bestFit="1" customWidth="1"/>
    <col min="5636" max="5636" width="9.7109375" style="66" customWidth="1"/>
    <col min="5637" max="5637" width="4.85546875" style="66" customWidth="1"/>
    <col min="5638" max="5882" width="9.140625" style="66"/>
    <col min="5883" max="5883" width="5.42578125" style="66" bestFit="1" customWidth="1"/>
    <col min="5884" max="5884" width="20.42578125" style="66" bestFit="1" customWidth="1"/>
    <col min="5885" max="5885" width="41.42578125" style="66" customWidth="1"/>
    <col min="5886" max="5886" width="15.28515625" style="66" bestFit="1" customWidth="1"/>
    <col min="5887" max="5887" width="16.7109375" style="66" bestFit="1" customWidth="1"/>
    <col min="5888" max="5888" width="11.28515625" style="66" bestFit="1" customWidth="1"/>
    <col min="5889" max="5889" width="14" style="66" bestFit="1" customWidth="1"/>
    <col min="5890" max="5890" width="11.85546875" style="66" bestFit="1" customWidth="1"/>
    <col min="5891" max="5891" width="14.85546875" style="66" bestFit="1" customWidth="1"/>
    <col min="5892" max="5892" width="9.7109375" style="66" customWidth="1"/>
    <col min="5893" max="5893" width="4.85546875" style="66" customWidth="1"/>
    <col min="5894" max="6138" width="9.140625" style="66"/>
    <col min="6139" max="6139" width="5.42578125" style="66" bestFit="1" customWidth="1"/>
    <col min="6140" max="6140" width="20.42578125" style="66" bestFit="1" customWidth="1"/>
    <col min="6141" max="6141" width="41.42578125" style="66" customWidth="1"/>
    <col min="6142" max="6142" width="15.28515625" style="66" bestFit="1" customWidth="1"/>
    <col min="6143" max="6143" width="16.7109375" style="66" bestFit="1" customWidth="1"/>
    <col min="6144" max="6144" width="11.28515625" style="66" bestFit="1" customWidth="1"/>
    <col min="6145" max="6145" width="14" style="66" bestFit="1" customWidth="1"/>
    <col min="6146" max="6146" width="11.85546875" style="66" bestFit="1" customWidth="1"/>
    <col min="6147" max="6147" width="14.85546875" style="66" bestFit="1" customWidth="1"/>
    <col min="6148" max="6148" width="9.7109375" style="66" customWidth="1"/>
    <col min="6149" max="6149" width="4.85546875" style="66" customWidth="1"/>
    <col min="6150" max="6394" width="9.140625" style="66"/>
    <col min="6395" max="6395" width="5.42578125" style="66" bestFit="1" customWidth="1"/>
    <col min="6396" max="6396" width="20.42578125" style="66" bestFit="1" customWidth="1"/>
    <col min="6397" max="6397" width="41.42578125" style="66" customWidth="1"/>
    <col min="6398" max="6398" width="15.28515625" style="66" bestFit="1" customWidth="1"/>
    <col min="6399" max="6399" width="16.7109375" style="66" bestFit="1" customWidth="1"/>
    <col min="6400" max="6400" width="11.28515625" style="66" bestFit="1" customWidth="1"/>
    <col min="6401" max="6401" width="14" style="66" bestFit="1" customWidth="1"/>
    <col min="6402" max="6402" width="11.85546875" style="66" bestFit="1" customWidth="1"/>
    <col min="6403" max="6403" width="14.85546875" style="66" bestFit="1" customWidth="1"/>
    <col min="6404" max="6404" width="9.7109375" style="66" customWidth="1"/>
    <col min="6405" max="6405" width="4.85546875" style="66" customWidth="1"/>
    <col min="6406" max="6650" width="9.140625" style="66"/>
    <col min="6651" max="6651" width="5.42578125" style="66" bestFit="1" customWidth="1"/>
    <col min="6652" max="6652" width="20.42578125" style="66" bestFit="1" customWidth="1"/>
    <col min="6653" max="6653" width="41.42578125" style="66" customWidth="1"/>
    <col min="6654" max="6654" width="15.28515625" style="66" bestFit="1" customWidth="1"/>
    <col min="6655" max="6655" width="16.7109375" style="66" bestFit="1" customWidth="1"/>
    <col min="6656" max="6656" width="11.28515625" style="66" bestFit="1" customWidth="1"/>
    <col min="6657" max="6657" width="14" style="66" bestFit="1" customWidth="1"/>
    <col min="6658" max="6658" width="11.85546875" style="66" bestFit="1" customWidth="1"/>
    <col min="6659" max="6659" width="14.85546875" style="66" bestFit="1" customWidth="1"/>
    <col min="6660" max="6660" width="9.7109375" style="66" customWidth="1"/>
    <col min="6661" max="6661" width="4.85546875" style="66" customWidth="1"/>
    <col min="6662" max="6906" width="9.140625" style="66"/>
    <col min="6907" max="6907" width="5.42578125" style="66" bestFit="1" customWidth="1"/>
    <col min="6908" max="6908" width="20.42578125" style="66" bestFit="1" customWidth="1"/>
    <col min="6909" max="6909" width="41.42578125" style="66" customWidth="1"/>
    <col min="6910" max="6910" width="15.28515625" style="66" bestFit="1" customWidth="1"/>
    <col min="6911" max="6911" width="16.7109375" style="66" bestFit="1" customWidth="1"/>
    <col min="6912" max="6912" width="11.28515625" style="66" bestFit="1" customWidth="1"/>
    <col min="6913" max="6913" width="14" style="66" bestFit="1" customWidth="1"/>
    <col min="6914" max="6914" width="11.85546875" style="66" bestFit="1" customWidth="1"/>
    <col min="6915" max="6915" width="14.85546875" style="66" bestFit="1" customWidth="1"/>
    <col min="6916" max="6916" width="9.7109375" style="66" customWidth="1"/>
    <col min="6917" max="6917" width="4.85546875" style="66" customWidth="1"/>
    <col min="6918" max="7162" width="9.140625" style="66"/>
    <col min="7163" max="7163" width="5.42578125" style="66" bestFit="1" customWidth="1"/>
    <col min="7164" max="7164" width="20.42578125" style="66" bestFit="1" customWidth="1"/>
    <col min="7165" max="7165" width="41.42578125" style="66" customWidth="1"/>
    <col min="7166" max="7166" width="15.28515625" style="66" bestFit="1" customWidth="1"/>
    <col min="7167" max="7167" width="16.7109375" style="66" bestFit="1" customWidth="1"/>
    <col min="7168" max="7168" width="11.28515625" style="66" bestFit="1" customWidth="1"/>
    <col min="7169" max="7169" width="14" style="66" bestFit="1" customWidth="1"/>
    <col min="7170" max="7170" width="11.85546875" style="66" bestFit="1" customWidth="1"/>
    <col min="7171" max="7171" width="14.85546875" style="66" bestFit="1" customWidth="1"/>
    <col min="7172" max="7172" width="9.7109375" style="66" customWidth="1"/>
    <col min="7173" max="7173" width="4.85546875" style="66" customWidth="1"/>
    <col min="7174" max="7418" width="9.140625" style="66"/>
    <col min="7419" max="7419" width="5.42578125" style="66" bestFit="1" customWidth="1"/>
    <col min="7420" max="7420" width="20.42578125" style="66" bestFit="1" customWidth="1"/>
    <col min="7421" max="7421" width="41.42578125" style="66" customWidth="1"/>
    <col min="7422" max="7422" width="15.28515625" style="66" bestFit="1" customWidth="1"/>
    <col min="7423" max="7423" width="16.7109375" style="66" bestFit="1" customWidth="1"/>
    <col min="7424" max="7424" width="11.28515625" style="66" bestFit="1" customWidth="1"/>
    <col min="7425" max="7425" width="14" style="66" bestFit="1" customWidth="1"/>
    <col min="7426" max="7426" width="11.85546875" style="66" bestFit="1" customWidth="1"/>
    <col min="7427" max="7427" width="14.85546875" style="66" bestFit="1" customWidth="1"/>
    <col min="7428" max="7428" width="9.7109375" style="66" customWidth="1"/>
    <col min="7429" max="7429" width="4.85546875" style="66" customWidth="1"/>
    <col min="7430" max="7674" width="9.140625" style="66"/>
    <col min="7675" max="7675" width="5.42578125" style="66" bestFit="1" customWidth="1"/>
    <col min="7676" max="7676" width="20.42578125" style="66" bestFit="1" customWidth="1"/>
    <col min="7677" max="7677" width="41.42578125" style="66" customWidth="1"/>
    <col min="7678" max="7678" width="15.28515625" style="66" bestFit="1" customWidth="1"/>
    <col min="7679" max="7679" width="16.7109375" style="66" bestFit="1" customWidth="1"/>
    <col min="7680" max="7680" width="11.28515625" style="66" bestFit="1" customWidth="1"/>
    <col min="7681" max="7681" width="14" style="66" bestFit="1" customWidth="1"/>
    <col min="7682" max="7682" width="11.85546875" style="66" bestFit="1" customWidth="1"/>
    <col min="7683" max="7683" width="14.85546875" style="66" bestFit="1" customWidth="1"/>
    <col min="7684" max="7684" width="9.7109375" style="66" customWidth="1"/>
    <col min="7685" max="7685" width="4.85546875" style="66" customWidth="1"/>
    <col min="7686" max="7930" width="9.140625" style="66"/>
    <col min="7931" max="7931" width="5.42578125" style="66" bestFit="1" customWidth="1"/>
    <col min="7932" max="7932" width="20.42578125" style="66" bestFit="1" customWidth="1"/>
    <col min="7933" max="7933" width="41.42578125" style="66" customWidth="1"/>
    <col min="7934" max="7934" width="15.28515625" style="66" bestFit="1" customWidth="1"/>
    <col min="7935" max="7935" width="16.7109375" style="66" bestFit="1" customWidth="1"/>
    <col min="7936" max="7936" width="11.28515625" style="66" bestFit="1" customWidth="1"/>
    <col min="7937" max="7937" width="14" style="66" bestFit="1" customWidth="1"/>
    <col min="7938" max="7938" width="11.85546875" style="66" bestFit="1" customWidth="1"/>
    <col min="7939" max="7939" width="14.85546875" style="66" bestFit="1" customWidth="1"/>
    <col min="7940" max="7940" width="9.7109375" style="66" customWidth="1"/>
    <col min="7941" max="7941" width="4.85546875" style="66" customWidth="1"/>
    <col min="7942" max="8186" width="9.140625" style="66"/>
    <col min="8187" max="8187" width="5.42578125" style="66" bestFit="1" customWidth="1"/>
    <col min="8188" max="8188" width="20.42578125" style="66" bestFit="1" customWidth="1"/>
    <col min="8189" max="8189" width="41.42578125" style="66" customWidth="1"/>
    <col min="8190" max="8190" width="15.28515625" style="66" bestFit="1" customWidth="1"/>
    <col min="8191" max="8191" width="16.7109375" style="66" bestFit="1" customWidth="1"/>
    <col min="8192" max="8192" width="11.28515625" style="66" bestFit="1" customWidth="1"/>
    <col min="8193" max="8193" width="14" style="66" bestFit="1" customWidth="1"/>
    <col min="8194" max="8194" width="11.85546875" style="66" bestFit="1" customWidth="1"/>
    <col min="8195" max="8195" width="14.85546875" style="66" bestFit="1" customWidth="1"/>
    <col min="8196" max="8196" width="9.7109375" style="66" customWidth="1"/>
    <col min="8197" max="8197" width="4.85546875" style="66" customWidth="1"/>
    <col min="8198" max="8442" width="9.140625" style="66"/>
    <col min="8443" max="8443" width="5.42578125" style="66" bestFit="1" customWidth="1"/>
    <col min="8444" max="8444" width="20.42578125" style="66" bestFit="1" customWidth="1"/>
    <col min="8445" max="8445" width="41.42578125" style="66" customWidth="1"/>
    <col min="8446" max="8446" width="15.28515625" style="66" bestFit="1" customWidth="1"/>
    <col min="8447" max="8447" width="16.7109375" style="66" bestFit="1" customWidth="1"/>
    <col min="8448" max="8448" width="11.28515625" style="66" bestFit="1" customWidth="1"/>
    <col min="8449" max="8449" width="14" style="66" bestFit="1" customWidth="1"/>
    <col min="8450" max="8450" width="11.85546875" style="66" bestFit="1" customWidth="1"/>
    <col min="8451" max="8451" width="14.85546875" style="66" bestFit="1" customWidth="1"/>
    <col min="8452" max="8452" width="9.7109375" style="66" customWidth="1"/>
    <col min="8453" max="8453" width="4.85546875" style="66" customWidth="1"/>
    <col min="8454" max="8698" width="9.140625" style="66"/>
    <col min="8699" max="8699" width="5.42578125" style="66" bestFit="1" customWidth="1"/>
    <col min="8700" max="8700" width="20.42578125" style="66" bestFit="1" customWidth="1"/>
    <col min="8701" max="8701" width="41.42578125" style="66" customWidth="1"/>
    <col min="8702" max="8702" width="15.28515625" style="66" bestFit="1" customWidth="1"/>
    <col min="8703" max="8703" width="16.7109375" style="66" bestFit="1" customWidth="1"/>
    <col min="8704" max="8704" width="11.28515625" style="66" bestFit="1" customWidth="1"/>
    <col min="8705" max="8705" width="14" style="66" bestFit="1" customWidth="1"/>
    <col min="8706" max="8706" width="11.85546875" style="66" bestFit="1" customWidth="1"/>
    <col min="8707" max="8707" width="14.85546875" style="66" bestFit="1" customWidth="1"/>
    <col min="8708" max="8708" width="9.7109375" style="66" customWidth="1"/>
    <col min="8709" max="8709" width="4.85546875" style="66" customWidth="1"/>
    <col min="8710" max="8954" width="9.140625" style="66"/>
    <col min="8955" max="8955" width="5.42578125" style="66" bestFit="1" customWidth="1"/>
    <col min="8956" max="8956" width="20.42578125" style="66" bestFit="1" customWidth="1"/>
    <col min="8957" max="8957" width="41.42578125" style="66" customWidth="1"/>
    <col min="8958" max="8958" width="15.28515625" style="66" bestFit="1" customWidth="1"/>
    <col min="8959" max="8959" width="16.7109375" style="66" bestFit="1" customWidth="1"/>
    <col min="8960" max="8960" width="11.28515625" style="66" bestFit="1" customWidth="1"/>
    <col min="8961" max="8961" width="14" style="66" bestFit="1" customWidth="1"/>
    <col min="8962" max="8962" width="11.85546875" style="66" bestFit="1" customWidth="1"/>
    <col min="8963" max="8963" width="14.85546875" style="66" bestFit="1" customWidth="1"/>
    <col min="8964" max="8964" width="9.7109375" style="66" customWidth="1"/>
    <col min="8965" max="8965" width="4.85546875" style="66" customWidth="1"/>
    <col min="8966" max="9210" width="9.140625" style="66"/>
    <col min="9211" max="9211" width="5.42578125" style="66" bestFit="1" customWidth="1"/>
    <col min="9212" max="9212" width="20.42578125" style="66" bestFit="1" customWidth="1"/>
    <col min="9213" max="9213" width="41.42578125" style="66" customWidth="1"/>
    <col min="9214" max="9214" width="15.28515625" style="66" bestFit="1" customWidth="1"/>
    <col min="9215" max="9215" width="16.7109375" style="66" bestFit="1" customWidth="1"/>
    <col min="9216" max="9216" width="11.28515625" style="66" bestFit="1" customWidth="1"/>
    <col min="9217" max="9217" width="14" style="66" bestFit="1" customWidth="1"/>
    <col min="9218" max="9218" width="11.85546875" style="66" bestFit="1" customWidth="1"/>
    <col min="9219" max="9219" width="14.85546875" style="66" bestFit="1" customWidth="1"/>
    <col min="9220" max="9220" width="9.7109375" style="66" customWidth="1"/>
    <col min="9221" max="9221" width="4.85546875" style="66" customWidth="1"/>
    <col min="9222" max="9466" width="9.140625" style="66"/>
    <col min="9467" max="9467" width="5.42578125" style="66" bestFit="1" customWidth="1"/>
    <col min="9468" max="9468" width="20.42578125" style="66" bestFit="1" customWidth="1"/>
    <col min="9469" max="9469" width="41.42578125" style="66" customWidth="1"/>
    <col min="9470" max="9470" width="15.28515625" style="66" bestFit="1" customWidth="1"/>
    <col min="9471" max="9471" width="16.7109375" style="66" bestFit="1" customWidth="1"/>
    <col min="9472" max="9472" width="11.28515625" style="66" bestFit="1" customWidth="1"/>
    <col min="9473" max="9473" width="14" style="66" bestFit="1" customWidth="1"/>
    <col min="9474" max="9474" width="11.85546875" style="66" bestFit="1" customWidth="1"/>
    <col min="9475" max="9475" width="14.85546875" style="66" bestFit="1" customWidth="1"/>
    <col min="9476" max="9476" width="9.7109375" style="66" customWidth="1"/>
    <col min="9477" max="9477" width="4.85546875" style="66" customWidth="1"/>
    <col min="9478" max="9722" width="9.140625" style="66"/>
    <col min="9723" max="9723" width="5.42578125" style="66" bestFit="1" customWidth="1"/>
    <col min="9724" max="9724" width="20.42578125" style="66" bestFit="1" customWidth="1"/>
    <col min="9725" max="9725" width="41.42578125" style="66" customWidth="1"/>
    <col min="9726" max="9726" width="15.28515625" style="66" bestFit="1" customWidth="1"/>
    <col min="9727" max="9727" width="16.7109375" style="66" bestFit="1" customWidth="1"/>
    <col min="9728" max="9728" width="11.28515625" style="66" bestFit="1" customWidth="1"/>
    <col min="9729" max="9729" width="14" style="66" bestFit="1" customWidth="1"/>
    <col min="9730" max="9730" width="11.85546875" style="66" bestFit="1" customWidth="1"/>
    <col min="9731" max="9731" width="14.85546875" style="66" bestFit="1" customWidth="1"/>
    <col min="9732" max="9732" width="9.7109375" style="66" customWidth="1"/>
    <col min="9733" max="9733" width="4.85546875" style="66" customWidth="1"/>
    <col min="9734" max="9978" width="9.140625" style="66"/>
    <col min="9979" max="9979" width="5.42578125" style="66" bestFit="1" customWidth="1"/>
    <col min="9980" max="9980" width="20.42578125" style="66" bestFit="1" customWidth="1"/>
    <col min="9981" max="9981" width="41.42578125" style="66" customWidth="1"/>
    <col min="9982" max="9982" width="15.28515625" style="66" bestFit="1" customWidth="1"/>
    <col min="9983" max="9983" width="16.7109375" style="66" bestFit="1" customWidth="1"/>
    <col min="9984" max="9984" width="11.28515625" style="66" bestFit="1" customWidth="1"/>
    <col min="9985" max="9985" width="14" style="66" bestFit="1" customWidth="1"/>
    <col min="9986" max="9986" width="11.85546875" style="66" bestFit="1" customWidth="1"/>
    <col min="9987" max="9987" width="14.85546875" style="66" bestFit="1" customWidth="1"/>
    <col min="9988" max="9988" width="9.7109375" style="66" customWidth="1"/>
    <col min="9989" max="9989" width="4.85546875" style="66" customWidth="1"/>
    <col min="9990" max="10234" width="9.140625" style="66"/>
    <col min="10235" max="10235" width="5.42578125" style="66" bestFit="1" customWidth="1"/>
    <col min="10236" max="10236" width="20.42578125" style="66" bestFit="1" customWidth="1"/>
    <col min="10237" max="10237" width="41.42578125" style="66" customWidth="1"/>
    <col min="10238" max="10238" width="15.28515625" style="66" bestFit="1" customWidth="1"/>
    <col min="10239" max="10239" width="16.7109375" style="66" bestFit="1" customWidth="1"/>
    <col min="10240" max="10240" width="11.28515625" style="66" bestFit="1" customWidth="1"/>
    <col min="10241" max="10241" width="14" style="66" bestFit="1" customWidth="1"/>
    <col min="10242" max="10242" width="11.85546875" style="66" bestFit="1" customWidth="1"/>
    <col min="10243" max="10243" width="14.85546875" style="66" bestFit="1" customWidth="1"/>
    <col min="10244" max="10244" width="9.7109375" style="66" customWidth="1"/>
    <col min="10245" max="10245" width="4.85546875" style="66" customWidth="1"/>
    <col min="10246" max="10490" width="9.140625" style="66"/>
    <col min="10491" max="10491" width="5.42578125" style="66" bestFit="1" customWidth="1"/>
    <col min="10492" max="10492" width="20.42578125" style="66" bestFit="1" customWidth="1"/>
    <col min="10493" max="10493" width="41.42578125" style="66" customWidth="1"/>
    <col min="10494" max="10494" width="15.28515625" style="66" bestFit="1" customWidth="1"/>
    <col min="10495" max="10495" width="16.7109375" style="66" bestFit="1" customWidth="1"/>
    <col min="10496" max="10496" width="11.28515625" style="66" bestFit="1" customWidth="1"/>
    <col min="10497" max="10497" width="14" style="66" bestFit="1" customWidth="1"/>
    <col min="10498" max="10498" width="11.85546875" style="66" bestFit="1" customWidth="1"/>
    <col min="10499" max="10499" width="14.85546875" style="66" bestFit="1" customWidth="1"/>
    <col min="10500" max="10500" width="9.7109375" style="66" customWidth="1"/>
    <col min="10501" max="10501" width="4.85546875" style="66" customWidth="1"/>
    <col min="10502" max="10746" width="9.140625" style="66"/>
    <col min="10747" max="10747" width="5.42578125" style="66" bestFit="1" customWidth="1"/>
    <col min="10748" max="10748" width="20.42578125" style="66" bestFit="1" customWidth="1"/>
    <col min="10749" max="10749" width="41.42578125" style="66" customWidth="1"/>
    <col min="10750" max="10750" width="15.28515625" style="66" bestFit="1" customWidth="1"/>
    <col min="10751" max="10751" width="16.7109375" style="66" bestFit="1" customWidth="1"/>
    <col min="10752" max="10752" width="11.28515625" style="66" bestFit="1" customWidth="1"/>
    <col min="10753" max="10753" width="14" style="66" bestFit="1" customWidth="1"/>
    <col min="10754" max="10754" width="11.85546875" style="66" bestFit="1" customWidth="1"/>
    <col min="10755" max="10755" width="14.85546875" style="66" bestFit="1" customWidth="1"/>
    <col min="10756" max="10756" width="9.7109375" style="66" customWidth="1"/>
    <col min="10757" max="10757" width="4.85546875" style="66" customWidth="1"/>
    <col min="10758" max="11002" width="9.140625" style="66"/>
    <col min="11003" max="11003" width="5.42578125" style="66" bestFit="1" customWidth="1"/>
    <col min="11004" max="11004" width="20.42578125" style="66" bestFit="1" customWidth="1"/>
    <col min="11005" max="11005" width="41.42578125" style="66" customWidth="1"/>
    <col min="11006" max="11006" width="15.28515625" style="66" bestFit="1" customWidth="1"/>
    <col min="11007" max="11007" width="16.7109375" style="66" bestFit="1" customWidth="1"/>
    <col min="11008" max="11008" width="11.28515625" style="66" bestFit="1" customWidth="1"/>
    <col min="11009" max="11009" width="14" style="66" bestFit="1" customWidth="1"/>
    <col min="11010" max="11010" width="11.85546875" style="66" bestFit="1" customWidth="1"/>
    <col min="11011" max="11011" width="14.85546875" style="66" bestFit="1" customWidth="1"/>
    <col min="11012" max="11012" width="9.7109375" style="66" customWidth="1"/>
    <col min="11013" max="11013" width="4.85546875" style="66" customWidth="1"/>
    <col min="11014" max="11258" width="9.140625" style="66"/>
    <col min="11259" max="11259" width="5.42578125" style="66" bestFit="1" customWidth="1"/>
    <col min="11260" max="11260" width="20.42578125" style="66" bestFit="1" customWidth="1"/>
    <col min="11261" max="11261" width="41.42578125" style="66" customWidth="1"/>
    <col min="11262" max="11262" width="15.28515625" style="66" bestFit="1" customWidth="1"/>
    <col min="11263" max="11263" width="16.7109375" style="66" bestFit="1" customWidth="1"/>
    <col min="11264" max="11264" width="11.28515625" style="66" bestFit="1" customWidth="1"/>
    <col min="11265" max="11265" width="14" style="66" bestFit="1" customWidth="1"/>
    <col min="11266" max="11266" width="11.85546875" style="66" bestFit="1" customWidth="1"/>
    <col min="11267" max="11267" width="14.85546875" style="66" bestFit="1" customWidth="1"/>
    <col min="11268" max="11268" width="9.7109375" style="66" customWidth="1"/>
    <col min="11269" max="11269" width="4.85546875" style="66" customWidth="1"/>
    <col min="11270" max="11514" width="9.140625" style="66"/>
    <col min="11515" max="11515" width="5.42578125" style="66" bestFit="1" customWidth="1"/>
    <col min="11516" max="11516" width="20.42578125" style="66" bestFit="1" customWidth="1"/>
    <col min="11517" max="11517" width="41.42578125" style="66" customWidth="1"/>
    <col min="11518" max="11518" width="15.28515625" style="66" bestFit="1" customWidth="1"/>
    <col min="11519" max="11519" width="16.7109375" style="66" bestFit="1" customWidth="1"/>
    <col min="11520" max="11520" width="11.28515625" style="66" bestFit="1" customWidth="1"/>
    <col min="11521" max="11521" width="14" style="66" bestFit="1" customWidth="1"/>
    <col min="11522" max="11522" width="11.85546875" style="66" bestFit="1" customWidth="1"/>
    <col min="11523" max="11523" width="14.85546875" style="66" bestFit="1" customWidth="1"/>
    <col min="11524" max="11524" width="9.7109375" style="66" customWidth="1"/>
    <col min="11525" max="11525" width="4.85546875" style="66" customWidth="1"/>
    <col min="11526" max="11770" width="9.140625" style="66"/>
    <col min="11771" max="11771" width="5.42578125" style="66" bestFit="1" customWidth="1"/>
    <col min="11772" max="11772" width="20.42578125" style="66" bestFit="1" customWidth="1"/>
    <col min="11773" max="11773" width="41.42578125" style="66" customWidth="1"/>
    <col min="11774" max="11774" width="15.28515625" style="66" bestFit="1" customWidth="1"/>
    <col min="11775" max="11775" width="16.7109375" style="66" bestFit="1" customWidth="1"/>
    <col min="11776" max="11776" width="11.28515625" style="66" bestFit="1" customWidth="1"/>
    <col min="11777" max="11777" width="14" style="66" bestFit="1" customWidth="1"/>
    <col min="11778" max="11778" width="11.85546875" style="66" bestFit="1" customWidth="1"/>
    <col min="11779" max="11779" width="14.85546875" style="66" bestFit="1" customWidth="1"/>
    <col min="11780" max="11780" width="9.7109375" style="66" customWidth="1"/>
    <col min="11781" max="11781" width="4.85546875" style="66" customWidth="1"/>
    <col min="11782" max="12026" width="9.140625" style="66"/>
    <col min="12027" max="12027" width="5.42578125" style="66" bestFit="1" customWidth="1"/>
    <col min="12028" max="12028" width="20.42578125" style="66" bestFit="1" customWidth="1"/>
    <col min="12029" max="12029" width="41.42578125" style="66" customWidth="1"/>
    <col min="12030" max="12030" width="15.28515625" style="66" bestFit="1" customWidth="1"/>
    <col min="12031" max="12031" width="16.7109375" style="66" bestFit="1" customWidth="1"/>
    <col min="12032" max="12032" width="11.28515625" style="66" bestFit="1" customWidth="1"/>
    <col min="12033" max="12033" width="14" style="66" bestFit="1" customWidth="1"/>
    <col min="12034" max="12034" width="11.85546875" style="66" bestFit="1" customWidth="1"/>
    <col min="12035" max="12035" width="14.85546875" style="66" bestFit="1" customWidth="1"/>
    <col min="12036" max="12036" width="9.7109375" style="66" customWidth="1"/>
    <col min="12037" max="12037" width="4.85546875" style="66" customWidth="1"/>
    <col min="12038" max="12282" width="9.140625" style="66"/>
    <col min="12283" max="12283" width="5.42578125" style="66" bestFit="1" customWidth="1"/>
    <col min="12284" max="12284" width="20.42578125" style="66" bestFit="1" customWidth="1"/>
    <col min="12285" max="12285" width="41.42578125" style="66" customWidth="1"/>
    <col min="12286" max="12286" width="15.28515625" style="66" bestFit="1" customWidth="1"/>
    <col min="12287" max="12287" width="16.7109375" style="66" bestFit="1" customWidth="1"/>
    <col min="12288" max="12288" width="11.28515625" style="66" bestFit="1" customWidth="1"/>
    <col min="12289" max="12289" width="14" style="66" bestFit="1" customWidth="1"/>
    <col min="12290" max="12290" width="11.85546875" style="66" bestFit="1" customWidth="1"/>
    <col min="12291" max="12291" width="14.85546875" style="66" bestFit="1" customWidth="1"/>
    <col min="12292" max="12292" width="9.7109375" style="66" customWidth="1"/>
    <col min="12293" max="12293" width="4.85546875" style="66" customWidth="1"/>
    <col min="12294" max="12538" width="9.140625" style="66"/>
    <col min="12539" max="12539" width="5.42578125" style="66" bestFit="1" customWidth="1"/>
    <col min="12540" max="12540" width="20.42578125" style="66" bestFit="1" customWidth="1"/>
    <col min="12541" max="12541" width="41.42578125" style="66" customWidth="1"/>
    <col min="12542" max="12542" width="15.28515625" style="66" bestFit="1" customWidth="1"/>
    <col min="12543" max="12543" width="16.7109375" style="66" bestFit="1" customWidth="1"/>
    <col min="12544" max="12544" width="11.28515625" style="66" bestFit="1" customWidth="1"/>
    <col min="12545" max="12545" width="14" style="66" bestFit="1" customWidth="1"/>
    <col min="12546" max="12546" width="11.85546875" style="66" bestFit="1" customWidth="1"/>
    <col min="12547" max="12547" width="14.85546875" style="66" bestFit="1" customWidth="1"/>
    <col min="12548" max="12548" width="9.7109375" style="66" customWidth="1"/>
    <col min="12549" max="12549" width="4.85546875" style="66" customWidth="1"/>
    <col min="12550" max="12794" width="9.140625" style="66"/>
    <col min="12795" max="12795" width="5.42578125" style="66" bestFit="1" customWidth="1"/>
    <col min="12796" max="12796" width="20.42578125" style="66" bestFit="1" customWidth="1"/>
    <col min="12797" max="12797" width="41.42578125" style="66" customWidth="1"/>
    <col min="12798" max="12798" width="15.28515625" style="66" bestFit="1" customWidth="1"/>
    <col min="12799" max="12799" width="16.7109375" style="66" bestFit="1" customWidth="1"/>
    <col min="12800" max="12800" width="11.28515625" style="66" bestFit="1" customWidth="1"/>
    <col min="12801" max="12801" width="14" style="66" bestFit="1" customWidth="1"/>
    <col min="12802" max="12802" width="11.85546875" style="66" bestFit="1" customWidth="1"/>
    <col min="12803" max="12803" width="14.85546875" style="66" bestFit="1" customWidth="1"/>
    <col min="12804" max="12804" width="9.7109375" style="66" customWidth="1"/>
    <col min="12805" max="12805" width="4.85546875" style="66" customWidth="1"/>
    <col min="12806" max="13050" width="9.140625" style="66"/>
    <col min="13051" max="13051" width="5.42578125" style="66" bestFit="1" customWidth="1"/>
    <col min="13052" max="13052" width="20.42578125" style="66" bestFit="1" customWidth="1"/>
    <col min="13053" max="13053" width="41.42578125" style="66" customWidth="1"/>
    <col min="13054" max="13054" width="15.28515625" style="66" bestFit="1" customWidth="1"/>
    <col min="13055" max="13055" width="16.7109375" style="66" bestFit="1" customWidth="1"/>
    <col min="13056" max="13056" width="11.28515625" style="66" bestFit="1" customWidth="1"/>
    <col min="13057" max="13057" width="14" style="66" bestFit="1" customWidth="1"/>
    <col min="13058" max="13058" width="11.85546875" style="66" bestFit="1" customWidth="1"/>
    <col min="13059" max="13059" width="14.85546875" style="66" bestFit="1" customWidth="1"/>
    <col min="13060" max="13060" width="9.7109375" style="66" customWidth="1"/>
    <col min="13061" max="13061" width="4.85546875" style="66" customWidth="1"/>
    <col min="13062" max="13306" width="9.140625" style="66"/>
    <col min="13307" max="13307" width="5.42578125" style="66" bestFit="1" customWidth="1"/>
    <col min="13308" max="13308" width="20.42578125" style="66" bestFit="1" customWidth="1"/>
    <col min="13309" max="13309" width="41.42578125" style="66" customWidth="1"/>
    <col min="13310" max="13310" width="15.28515625" style="66" bestFit="1" customWidth="1"/>
    <col min="13311" max="13311" width="16.7109375" style="66" bestFit="1" customWidth="1"/>
    <col min="13312" max="13312" width="11.28515625" style="66" bestFit="1" customWidth="1"/>
    <col min="13313" max="13313" width="14" style="66" bestFit="1" customWidth="1"/>
    <col min="13314" max="13314" width="11.85546875" style="66" bestFit="1" customWidth="1"/>
    <col min="13315" max="13315" width="14.85546875" style="66" bestFit="1" customWidth="1"/>
    <col min="13316" max="13316" width="9.7109375" style="66" customWidth="1"/>
    <col min="13317" max="13317" width="4.85546875" style="66" customWidth="1"/>
    <col min="13318" max="13562" width="9.140625" style="66"/>
    <col min="13563" max="13563" width="5.42578125" style="66" bestFit="1" customWidth="1"/>
    <col min="13564" max="13564" width="20.42578125" style="66" bestFit="1" customWidth="1"/>
    <col min="13565" max="13565" width="41.42578125" style="66" customWidth="1"/>
    <col min="13566" max="13566" width="15.28515625" style="66" bestFit="1" customWidth="1"/>
    <col min="13567" max="13567" width="16.7109375" style="66" bestFit="1" customWidth="1"/>
    <col min="13568" max="13568" width="11.28515625" style="66" bestFit="1" customWidth="1"/>
    <col min="13569" max="13569" width="14" style="66" bestFit="1" customWidth="1"/>
    <col min="13570" max="13570" width="11.85546875" style="66" bestFit="1" customWidth="1"/>
    <col min="13571" max="13571" width="14.85546875" style="66" bestFit="1" customWidth="1"/>
    <col min="13572" max="13572" width="9.7109375" style="66" customWidth="1"/>
    <col min="13573" max="13573" width="4.85546875" style="66" customWidth="1"/>
    <col min="13574" max="13818" width="9.140625" style="66"/>
    <col min="13819" max="13819" width="5.42578125" style="66" bestFit="1" customWidth="1"/>
    <col min="13820" max="13820" width="20.42578125" style="66" bestFit="1" customWidth="1"/>
    <col min="13821" max="13821" width="41.42578125" style="66" customWidth="1"/>
    <col min="13822" max="13822" width="15.28515625" style="66" bestFit="1" customWidth="1"/>
    <col min="13823" max="13823" width="16.7109375" style="66" bestFit="1" customWidth="1"/>
    <col min="13824" max="13824" width="11.28515625" style="66" bestFit="1" customWidth="1"/>
    <col min="13825" max="13825" width="14" style="66" bestFit="1" customWidth="1"/>
    <col min="13826" max="13826" width="11.85546875" style="66" bestFit="1" customWidth="1"/>
    <col min="13827" max="13827" width="14.85546875" style="66" bestFit="1" customWidth="1"/>
    <col min="13828" max="13828" width="9.7109375" style="66" customWidth="1"/>
    <col min="13829" max="13829" width="4.85546875" style="66" customWidth="1"/>
    <col min="13830" max="14074" width="9.140625" style="66"/>
    <col min="14075" max="14075" width="5.42578125" style="66" bestFit="1" customWidth="1"/>
    <col min="14076" max="14076" width="20.42578125" style="66" bestFit="1" customWidth="1"/>
    <col min="14077" max="14077" width="41.42578125" style="66" customWidth="1"/>
    <col min="14078" max="14078" width="15.28515625" style="66" bestFit="1" customWidth="1"/>
    <col min="14079" max="14079" width="16.7109375" style="66" bestFit="1" customWidth="1"/>
    <col min="14080" max="14080" width="11.28515625" style="66" bestFit="1" customWidth="1"/>
    <col min="14081" max="14081" width="14" style="66" bestFit="1" customWidth="1"/>
    <col min="14082" max="14082" width="11.85546875" style="66" bestFit="1" customWidth="1"/>
    <col min="14083" max="14083" width="14.85546875" style="66" bestFit="1" customWidth="1"/>
    <col min="14084" max="14084" width="9.7109375" style="66" customWidth="1"/>
    <col min="14085" max="14085" width="4.85546875" style="66" customWidth="1"/>
    <col min="14086" max="14330" width="9.140625" style="66"/>
    <col min="14331" max="14331" width="5.42578125" style="66" bestFit="1" customWidth="1"/>
    <col min="14332" max="14332" width="20.42578125" style="66" bestFit="1" customWidth="1"/>
    <col min="14333" max="14333" width="41.42578125" style="66" customWidth="1"/>
    <col min="14334" max="14334" width="15.28515625" style="66" bestFit="1" customWidth="1"/>
    <col min="14335" max="14335" width="16.7109375" style="66" bestFit="1" customWidth="1"/>
    <col min="14336" max="14336" width="11.28515625" style="66" bestFit="1" customWidth="1"/>
    <col min="14337" max="14337" width="14" style="66" bestFit="1" customWidth="1"/>
    <col min="14338" max="14338" width="11.85546875" style="66" bestFit="1" customWidth="1"/>
    <col min="14339" max="14339" width="14.85546875" style="66" bestFit="1" customWidth="1"/>
    <col min="14340" max="14340" width="9.7109375" style="66" customWidth="1"/>
    <col min="14341" max="14341" width="4.85546875" style="66" customWidth="1"/>
    <col min="14342" max="14586" width="9.140625" style="66"/>
    <col min="14587" max="14587" width="5.42578125" style="66" bestFit="1" customWidth="1"/>
    <col min="14588" max="14588" width="20.42578125" style="66" bestFit="1" customWidth="1"/>
    <col min="14589" max="14589" width="41.42578125" style="66" customWidth="1"/>
    <col min="14590" max="14590" width="15.28515625" style="66" bestFit="1" customWidth="1"/>
    <col min="14591" max="14591" width="16.7109375" style="66" bestFit="1" customWidth="1"/>
    <col min="14592" max="14592" width="11.28515625" style="66" bestFit="1" customWidth="1"/>
    <col min="14593" max="14593" width="14" style="66" bestFit="1" customWidth="1"/>
    <col min="14594" max="14594" width="11.85546875" style="66" bestFit="1" customWidth="1"/>
    <col min="14595" max="14595" width="14.85546875" style="66" bestFit="1" customWidth="1"/>
    <col min="14596" max="14596" width="9.7109375" style="66" customWidth="1"/>
    <col min="14597" max="14597" width="4.85546875" style="66" customWidth="1"/>
    <col min="14598" max="14842" width="9.140625" style="66"/>
    <col min="14843" max="14843" width="5.42578125" style="66" bestFit="1" customWidth="1"/>
    <col min="14844" max="14844" width="20.42578125" style="66" bestFit="1" customWidth="1"/>
    <col min="14845" max="14845" width="41.42578125" style="66" customWidth="1"/>
    <col min="14846" max="14846" width="15.28515625" style="66" bestFit="1" customWidth="1"/>
    <col min="14847" max="14847" width="16.7109375" style="66" bestFit="1" customWidth="1"/>
    <col min="14848" max="14848" width="11.28515625" style="66" bestFit="1" customWidth="1"/>
    <col min="14849" max="14849" width="14" style="66" bestFit="1" customWidth="1"/>
    <col min="14850" max="14850" width="11.85546875" style="66" bestFit="1" customWidth="1"/>
    <col min="14851" max="14851" width="14.85546875" style="66" bestFit="1" customWidth="1"/>
    <col min="14852" max="14852" width="9.7109375" style="66" customWidth="1"/>
    <col min="14853" max="14853" width="4.85546875" style="66" customWidth="1"/>
    <col min="14854" max="15098" width="9.140625" style="66"/>
    <col min="15099" max="15099" width="5.42578125" style="66" bestFit="1" customWidth="1"/>
    <col min="15100" max="15100" width="20.42578125" style="66" bestFit="1" customWidth="1"/>
    <col min="15101" max="15101" width="41.42578125" style="66" customWidth="1"/>
    <col min="15102" max="15102" width="15.28515625" style="66" bestFit="1" customWidth="1"/>
    <col min="15103" max="15103" width="16.7109375" style="66" bestFit="1" customWidth="1"/>
    <col min="15104" max="15104" width="11.28515625" style="66" bestFit="1" customWidth="1"/>
    <col min="15105" max="15105" width="14" style="66" bestFit="1" customWidth="1"/>
    <col min="15106" max="15106" width="11.85546875" style="66" bestFit="1" customWidth="1"/>
    <col min="15107" max="15107" width="14.85546875" style="66" bestFit="1" customWidth="1"/>
    <col min="15108" max="15108" width="9.7109375" style="66" customWidth="1"/>
    <col min="15109" max="15109" width="4.85546875" style="66" customWidth="1"/>
    <col min="15110" max="15354" width="9.140625" style="66"/>
    <col min="15355" max="15355" width="5.42578125" style="66" bestFit="1" customWidth="1"/>
    <col min="15356" max="15356" width="20.42578125" style="66" bestFit="1" customWidth="1"/>
    <col min="15357" max="15357" width="41.42578125" style="66" customWidth="1"/>
    <col min="15358" max="15358" width="15.28515625" style="66" bestFit="1" customWidth="1"/>
    <col min="15359" max="15359" width="16.7109375" style="66" bestFit="1" customWidth="1"/>
    <col min="15360" max="15360" width="11.28515625" style="66" bestFit="1" customWidth="1"/>
    <col min="15361" max="15361" width="14" style="66" bestFit="1" customWidth="1"/>
    <col min="15362" max="15362" width="11.85546875" style="66" bestFit="1" customWidth="1"/>
    <col min="15363" max="15363" width="14.85546875" style="66" bestFit="1" customWidth="1"/>
    <col min="15364" max="15364" width="9.7109375" style="66" customWidth="1"/>
    <col min="15365" max="15365" width="4.85546875" style="66" customWidth="1"/>
    <col min="15366" max="15610" width="9.140625" style="66"/>
    <col min="15611" max="15611" width="5.42578125" style="66" bestFit="1" customWidth="1"/>
    <col min="15612" max="15612" width="20.42578125" style="66" bestFit="1" customWidth="1"/>
    <col min="15613" max="15613" width="41.42578125" style="66" customWidth="1"/>
    <col min="15614" max="15614" width="15.28515625" style="66" bestFit="1" customWidth="1"/>
    <col min="15615" max="15615" width="16.7109375" style="66" bestFit="1" customWidth="1"/>
    <col min="15616" max="15616" width="11.28515625" style="66" bestFit="1" customWidth="1"/>
    <col min="15617" max="15617" width="14" style="66" bestFit="1" customWidth="1"/>
    <col min="15618" max="15618" width="11.85546875" style="66" bestFit="1" customWidth="1"/>
    <col min="15619" max="15619" width="14.85546875" style="66" bestFit="1" customWidth="1"/>
    <col min="15620" max="15620" width="9.7109375" style="66" customWidth="1"/>
    <col min="15621" max="15621" width="4.85546875" style="66" customWidth="1"/>
    <col min="15622" max="15866" width="9.140625" style="66"/>
    <col min="15867" max="15867" width="5.42578125" style="66" bestFit="1" customWidth="1"/>
    <col min="15868" max="15868" width="20.42578125" style="66" bestFit="1" customWidth="1"/>
    <col min="15869" max="15869" width="41.42578125" style="66" customWidth="1"/>
    <col min="15870" max="15870" width="15.28515625" style="66" bestFit="1" customWidth="1"/>
    <col min="15871" max="15871" width="16.7109375" style="66" bestFit="1" customWidth="1"/>
    <col min="15872" max="15872" width="11.28515625" style="66" bestFit="1" customWidth="1"/>
    <col min="15873" max="15873" width="14" style="66" bestFit="1" customWidth="1"/>
    <col min="15874" max="15874" width="11.85546875" style="66" bestFit="1" customWidth="1"/>
    <col min="15875" max="15875" width="14.85546875" style="66" bestFit="1" customWidth="1"/>
    <col min="15876" max="15876" width="9.7109375" style="66" customWidth="1"/>
    <col min="15877" max="15877" width="4.85546875" style="66" customWidth="1"/>
    <col min="15878" max="16122" width="9.140625" style="66"/>
    <col min="16123" max="16123" width="5.42578125" style="66" bestFit="1" customWidth="1"/>
    <col min="16124" max="16124" width="20.42578125" style="66" bestFit="1" customWidth="1"/>
    <col min="16125" max="16125" width="41.42578125" style="66" customWidth="1"/>
    <col min="16126" max="16126" width="15.28515625" style="66" bestFit="1" customWidth="1"/>
    <col min="16127" max="16127" width="16.7109375" style="66" bestFit="1" customWidth="1"/>
    <col min="16128" max="16128" width="11.28515625" style="66" bestFit="1" customWidth="1"/>
    <col min="16129" max="16129" width="14" style="66" bestFit="1" customWidth="1"/>
    <col min="16130" max="16130" width="11.85546875" style="66" bestFit="1" customWidth="1"/>
    <col min="16131" max="16131" width="14.85546875" style="66" bestFit="1" customWidth="1"/>
    <col min="16132" max="16132" width="9.7109375" style="66" customWidth="1"/>
    <col min="16133" max="16133" width="4.85546875" style="66" customWidth="1"/>
    <col min="16134" max="16384" width="9.140625" style="66"/>
  </cols>
  <sheetData>
    <row r="1" spans="1:11" x14ac:dyDescent="0.25">
      <c r="A1" s="223" t="s">
        <v>0</v>
      </c>
      <c r="B1" s="223"/>
      <c r="C1" s="223"/>
      <c r="D1" s="223"/>
      <c r="E1" s="223"/>
      <c r="F1" s="223"/>
      <c r="G1" s="223"/>
      <c r="H1" s="223"/>
    </row>
    <row r="2" spans="1:11" x14ac:dyDescent="0.25">
      <c r="A2" s="224" t="s">
        <v>822</v>
      </c>
      <c r="B2" s="224"/>
      <c r="C2" s="224"/>
      <c r="D2" s="224"/>
      <c r="E2" s="224"/>
      <c r="F2" s="224"/>
      <c r="G2" s="224"/>
      <c r="H2" s="224"/>
    </row>
    <row r="3" spans="1:11" ht="15" customHeight="1" x14ac:dyDescent="0.25">
      <c r="A3" s="225" t="s">
        <v>823</v>
      </c>
      <c r="B3" s="225"/>
      <c r="C3" s="225"/>
      <c r="D3" s="225"/>
      <c r="E3" s="225"/>
      <c r="F3" s="225"/>
      <c r="G3" s="225"/>
      <c r="H3" s="225"/>
    </row>
    <row r="4" spans="1:11" ht="30" x14ac:dyDescent="0.25">
      <c r="A4" s="1" t="s">
        <v>2</v>
      </c>
      <c r="B4" s="67" t="s">
        <v>824</v>
      </c>
      <c r="C4" s="67" t="s">
        <v>825</v>
      </c>
      <c r="D4" s="67" t="s">
        <v>826</v>
      </c>
      <c r="E4" s="67" t="s">
        <v>6</v>
      </c>
      <c r="F4" s="67" t="s">
        <v>7</v>
      </c>
      <c r="G4" s="67" t="s">
        <v>8</v>
      </c>
      <c r="H4" s="68" t="s">
        <v>827</v>
      </c>
    </row>
    <row r="5" spans="1:11" ht="26.25" x14ac:dyDescent="0.25">
      <c r="A5" s="69"/>
      <c r="B5" s="69"/>
      <c r="C5" s="70" t="s">
        <v>828</v>
      </c>
      <c r="D5" s="69"/>
      <c r="E5" s="69"/>
      <c r="F5" s="71"/>
      <c r="G5" s="71"/>
      <c r="H5" s="72"/>
    </row>
    <row r="6" spans="1:11" ht="26.25" x14ac:dyDescent="0.25">
      <c r="A6" s="69">
        <v>1</v>
      </c>
      <c r="B6" s="69" t="s">
        <v>829</v>
      </c>
      <c r="C6" s="73" t="s">
        <v>830</v>
      </c>
      <c r="D6" s="69" t="s">
        <v>831</v>
      </c>
      <c r="E6" s="74">
        <v>7513630.2170000002</v>
      </c>
      <c r="F6" s="75">
        <v>7312.1439848</v>
      </c>
      <c r="G6" s="76">
        <f>F6/$F$18*100</f>
        <v>95.652867561494432</v>
      </c>
      <c r="H6" s="72"/>
      <c r="I6" s="77"/>
      <c r="K6" s="78"/>
    </row>
    <row r="7" spans="1:11" x14ac:dyDescent="0.25">
      <c r="A7" s="79"/>
      <c r="B7" s="72"/>
      <c r="C7" s="72"/>
      <c r="D7" s="72"/>
      <c r="E7" s="72"/>
      <c r="F7" s="72"/>
      <c r="G7" s="72"/>
      <c r="H7" s="80"/>
    </row>
    <row r="8" spans="1:11" ht="25.5" x14ac:dyDescent="0.25">
      <c r="A8" s="81"/>
      <c r="B8" s="81"/>
      <c r="C8" s="82" t="s">
        <v>832</v>
      </c>
      <c r="D8" s="82"/>
      <c r="E8" s="83"/>
      <c r="F8" s="84">
        <f>F6</f>
        <v>7312.1439848</v>
      </c>
      <c r="G8" s="85">
        <f>G6</f>
        <v>95.652867561494432</v>
      </c>
      <c r="H8" s="86"/>
    </row>
    <row r="9" spans="1:11" x14ac:dyDescent="0.25">
      <c r="A9" s="81"/>
      <c r="B9" s="81"/>
      <c r="C9" s="81"/>
      <c r="D9" s="81"/>
      <c r="E9" s="81"/>
      <c r="F9" s="87"/>
      <c r="G9" s="81"/>
      <c r="H9" s="72"/>
    </row>
    <row r="10" spans="1:11" x14ac:dyDescent="0.25">
      <c r="A10" s="69"/>
      <c r="B10" s="69"/>
      <c r="C10" s="88" t="s">
        <v>833</v>
      </c>
      <c r="D10" s="88"/>
      <c r="E10" s="88"/>
      <c r="F10" s="89"/>
      <c r="G10" s="81"/>
      <c r="H10" s="72"/>
    </row>
    <row r="11" spans="1:11" x14ac:dyDescent="0.25">
      <c r="A11" s="81"/>
      <c r="B11" s="81"/>
      <c r="C11" s="90" t="s">
        <v>126</v>
      </c>
      <c r="D11" s="88"/>
      <c r="E11" s="88"/>
      <c r="F11" s="91">
        <v>139.585278402</v>
      </c>
      <c r="G11" s="76">
        <f>F11/$F$18*100</f>
        <v>1.8259667993786133</v>
      </c>
      <c r="H11" s="92">
        <v>3.23</v>
      </c>
    </row>
    <row r="12" spans="1:11" x14ac:dyDescent="0.25">
      <c r="A12" s="81"/>
      <c r="B12" s="81"/>
      <c r="C12" s="90" t="s">
        <v>125</v>
      </c>
      <c r="D12" s="88"/>
      <c r="E12" s="88"/>
      <c r="F12" s="91">
        <v>195.42946609999996</v>
      </c>
      <c r="G12" s="76">
        <f>F12/$F$18*100</f>
        <v>2.5564853314343154</v>
      </c>
      <c r="H12" s="92">
        <v>3.33</v>
      </c>
    </row>
    <row r="13" spans="1:11" x14ac:dyDescent="0.25">
      <c r="A13" s="81"/>
      <c r="B13" s="81"/>
      <c r="C13" s="90"/>
      <c r="D13" s="88"/>
      <c r="E13" s="88"/>
      <c r="F13" s="91"/>
      <c r="G13" s="76"/>
      <c r="H13" s="72"/>
    </row>
    <row r="14" spans="1:11" x14ac:dyDescent="0.25">
      <c r="A14" s="81"/>
      <c r="B14" s="81"/>
      <c r="C14" s="93" t="s">
        <v>127</v>
      </c>
      <c r="D14" s="81"/>
      <c r="E14" s="81"/>
      <c r="F14" s="94">
        <f>SUM(F11:F12)</f>
        <v>335.01474450199999</v>
      </c>
      <c r="G14" s="85">
        <f>SUM(G11:G13)</f>
        <v>4.3824521308129292</v>
      </c>
      <c r="H14" s="72"/>
    </row>
    <row r="15" spans="1:11" x14ac:dyDescent="0.25">
      <c r="A15" s="81"/>
      <c r="B15" s="81"/>
      <c r="C15" s="81"/>
      <c r="D15" s="81"/>
      <c r="E15" s="81"/>
      <c r="F15" s="87"/>
      <c r="G15" s="81"/>
      <c r="H15" s="72"/>
    </row>
    <row r="16" spans="1:11" x14ac:dyDescent="0.25">
      <c r="A16" s="81"/>
      <c r="B16" s="81"/>
      <c r="C16" s="90" t="s">
        <v>834</v>
      </c>
      <c r="D16" s="88"/>
      <c r="E16" s="88"/>
      <c r="F16" s="91">
        <f>F18-F14-F8</f>
        <v>-2.6999993019999238</v>
      </c>
      <c r="G16" s="76">
        <f>F16/$F$18*100</f>
        <v>-3.5319692307370518E-2</v>
      </c>
      <c r="H16" s="95"/>
    </row>
    <row r="17" spans="1:9" x14ac:dyDescent="0.25">
      <c r="A17" s="81"/>
      <c r="B17" s="81"/>
      <c r="C17" s="81"/>
      <c r="D17" s="81"/>
      <c r="E17" s="81"/>
      <c r="F17" s="87"/>
      <c r="G17" s="81"/>
      <c r="H17" s="72"/>
    </row>
    <row r="18" spans="1:9" x14ac:dyDescent="0.25">
      <c r="A18" s="81"/>
      <c r="B18" s="81"/>
      <c r="C18" s="93" t="s">
        <v>134</v>
      </c>
      <c r="D18" s="81"/>
      <c r="E18" s="81"/>
      <c r="F18" s="94">
        <v>7644.4587300000003</v>
      </c>
      <c r="G18" s="96">
        <f>G16+G14+G8</f>
        <v>99.999999999999986</v>
      </c>
      <c r="H18" s="97"/>
      <c r="I18" s="77"/>
    </row>
    <row r="19" spans="1:9" x14ac:dyDescent="0.25">
      <c r="F19" s="98"/>
      <c r="H19" s="99"/>
    </row>
    <row r="20" spans="1:9" x14ac:dyDescent="0.25">
      <c r="B20" s="100" t="s">
        <v>136</v>
      </c>
      <c r="C20" s="101"/>
      <c r="D20" s="101"/>
      <c r="E20" s="101"/>
      <c r="F20" s="102"/>
      <c r="G20" s="101"/>
    </row>
    <row r="21" spans="1:9" x14ac:dyDescent="0.25">
      <c r="B21" s="101" t="s">
        <v>835</v>
      </c>
      <c r="C21" s="101"/>
      <c r="D21" s="101"/>
      <c r="E21" s="101"/>
      <c r="F21" s="103"/>
      <c r="G21" s="103"/>
    </row>
    <row r="22" spans="1:9" x14ac:dyDescent="0.25">
      <c r="B22" s="221" t="s">
        <v>836</v>
      </c>
      <c r="C22" s="221"/>
      <c r="D22" s="101"/>
      <c r="E22" s="101"/>
      <c r="F22" s="104"/>
      <c r="G22" s="104"/>
    </row>
    <row r="23" spans="1:9" x14ac:dyDescent="0.25">
      <c r="B23" s="221" t="s">
        <v>140</v>
      </c>
      <c r="C23" s="221"/>
      <c r="D23" s="105"/>
      <c r="E23" s="105"/>
      <c r="F23" s="101" t="s">
        <v>837</v>
      </c>
      <c r="G23" s="101"/>
    </row>
    <row r="24" spans="1:9" x14ac:dyDescent="0.25">
      <c r="B24" s="106"/>
      <c r="C24" s="106"/>
      <c r="D24" s="105"/>
      <c r="E24" s="105"/>
      <c r="F24" s="101"/>
      <c r="G24" s="101"/>
    </row>
    <row r="25" spans="1:9" x14ac:dyDescent="0.25">
      <c r="B25" s="107"/>
      <c r="C25" s="108" t="s">
        <v>141</v>
      </c>
      <c r="D25" s="108" t="s">
        <v>142</v>
      </c>
      <c r="E25" s="109"/>
      <c r="F25" s="109"/>
      <c r="G25" s="101"/>
    </row>
    <row r="26" spans="1:9" x14ac:dyDescent="0.25">
      <c r="B26" s="110" t="s">
        <v>838</v>
      </c>
      <c r="C26" s="111">
        <v>44347</v>
      </c>
      <c r="D26" s="111">
        <v>44377</v>
      </c>
      <c r="E26" s="112"/>
      <c r="F26" s="112"/>
      <c r="G26" s="113"/>
    </row>
    <row r="27" spans="1:9" x14ac:dyDescent="0.25">
      <c r="B27" s="114" t="s">
        <v>146</v>
      </c>
      <c r="C27" s="115">
        <v>25.3779</v>
      </c>
      <c r="D27" s="115">
        <v>26.396100000000001</v>
      </c>
      <c r="E27" s="116"/>
      <c r="F27" s="113"/>
      <c r="G27" s="113"/>
    </row>
    <row r="28" spans="1:9" x14ac:dyDescent="0.25">
      <c r="B28" s="117" t="s">
        <v>839</v>
      </c>
      <c r="C28" s="115">
        <v>22.5776</v>
      </c>
      <c r="D28" s="115">
        <v>23.483000000000001</v>
      </c>
      <c r="E28" s="116"/>
      <c r="F28" s="113"/>
      <c r="G28" s="113"/>
    </row>
    <row r="29" spans="1:9" x14ac:dyDescent="0.25">
      <c r="B29" s="114" t="s">
        <v>147</v>
      </c>
      <c r="C29" s="115">
        <v>24.201000000000001</v>
      </c>
      <c r="D29" s="115">
        <v>25.1554</v>
      </c>
      <c r="E29" s="116"/>
      <c r="F29" s="113"/>
      <c r="G29" s="113"/>
    </row>
    <row r="30" spans="1:9" x14ac:dyDescent="0.25">
      <c r="B30" s="117" t="s">
        <v>840</v>
      </c>
      <c r="C30" s="115">
        <v>20.739799999999999</v>
      </c>
      <c r="D30" s="115">
        <v>21.557099999999998</v>
      </c>
      <c r="E30" s="116"/>
      <c r="F30" s="113"/>
      <c r="G30" s="113"/>
    </row>
    <row r="31" spans="1:9" ht="15" customHeight="1" x14ac:dyDescent="0.25">
      <c r="B31" s="118" t="s">
        <v>841</v>
      </c>
      <c r="C31" s="119"/>
      <c r="D31" s="119"/>
      <c r="E31" s="119"/>
      <c r="F31" s="119"/>
      <c r="G31" s="101"/>
    </row>
    <row r="32" spans="1:9" ht="15" customHeight="1" x14ac:dyDescent="0.25">
      <c r="B32" s="118"/>
      <c r="C32" s="119"/>
      <c r="D32" s="119"/>
      <c r="E32" s="119"/>
      <c r="F32" s="119"/>
      <c r="G32" s="101"/>
    </row>
    <row r="33" spans="2:7" x14ac:dyDescent="0.25">
      <c r="B33" s="226" t="s">
        <v>842</v>
      </c>
      <c r="C33" s="226"/>
      <c r="D33" s="226"/>
      <c r="E33" s="120"/>
      <c r="F33" s="120"/>
      <c r="G33" s="113"/>
    </row>
    <row r="34" spans="2:7" x14ac:dyDescent="0.25">
      <c r="B34" s="221" t="s">
        <v>843</v>
      </c>
      <c r="C34" s="221"/>
      <c r="D34" s="221"/>
      <c r="E34" s="101"/>
      <c r="F34" s="101"/>
      <c r="G34" s="101"/>
    </row>
    <row r="35" spans="2:7" ht="15" customHeight="1" x14ac:dyDescent="0.25">
      <c r="B35" s="121" t="s">
        <v>844</v>
      </c>
      <c r="C35" s="121"/>
      <c r="D35" s="121"/>
      <c r="E35" s="122"/>
      <c r="F35" s="122"/>
      <c r="G35" s="101"/>
    </row>
    <row r="36" spans="2:7" x14ac:dyDescent="0.25">
      <c r="B36" s="222" t="s">
        <v>845</v>
      </c>
      <c r="C36" s="222"/>
      <c r="D36" s="222"/>
      <c r="E36" s="113"/>
      <c r="F36" s="113"/>
      <c r="G36" s="113"/>
    </row>
  </sheetData>
  <mergeCells count="8">
    <mergeCell ref="B34:D34"/>
    <mergeCell ref="B36:D36"/>
    <mergeCell ref="A1:H1"/>
    <mergeCell ref="A2:H2"/>
    <mergeCell ref="A3:H3"/>
    <mergeCell ref="B22:C22"/>
    <mergeCell ref="B23:C23"/>
    <mergeCell ref="B33:D33"/>
  </mergeCell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25F4-4055-4111-86BA-1C697F20DF3A}">
  <dimension ref="B1:L207"/>
  <sheetViews>
    <sheetView workbookViewId="0">
      <selection activeCell="B26" sqref="B26"/>
    </sheetView>
  </sheetViews>
  <sheetFormatPr defaultRowHeight="12.75" x14ac:dyDescent="0.2"/>
  <cols>
    <col min="1" max="1" width="5.85546875" style="254" customWidth="1"/>
    <col min="2" max="2" width="41.140625" style="254" customWidth="1"/>
    <col min="3" max="3" width="44.85546875" style="254" bestFit="1" customWidth="1"/>
    <col min="4" max="4" width="18.7109375" style="254" customWidth="1"/>
    <col min="5" max="5" width="21.28515625" style="254" customWidth="1"/>
    <col min="6" max="6" width="16.5703125" style="254" customWidth="1"/>
    <col min="7" max="7" width="19" style="254" customWidth="1"/>
    <col min="8" max="8" width="17.5703125" style="254" customWidth="1"/>
    <col min="9" max="9" width="15.5703125" style="254" bestFit="1" customWidth="1"/>
    <col min="10" max="10" width="13.5703125" style="254" customWidth="1"/>
    <col min="11" max="11" width="20.5703125" style="254" customWidth="1"/>
    <col min="12" max="12" width="12.42578125" style="254" bestFit="1" customWidth="1"/>
    <col min="13" max="256" width="9.140625" style="254"/>
    <col min="257" max="257" width="11.42578125" style="254" customWidth="1"/>
    <col min="258" max="258" width="41.140625" style="254" customWidth="1"/>
    <col min="259" max="259" width="44.85546875" style="254" bestFit="1" customWidth="1"/>
    <col min="260" max="260" width="18.7109375" style="254" customWidth="1"/>
    <col min="261" max="261" width="21.28515625" style="254" customWidth="1"/>
    <col min="262" max="262" width="16.5703125" style="254" customWidth="1"/>
    <col min="263" max="263" width="19" style="254" customWidth="1"/>
    <col min="264" max="264" width="17.5703125" style="254" customWidth="1"/>
    <col min="265" max="265" width="15.5703125" style="254" bestFit="1" customWidth="1"/>
    <col min="266" max="266" width="13.5703125" style="254" customWidth="1"/>
    <col min="267" max="267" width="20.5703125" style="254" customWidth="1"/>
    <col min="268" max="268" width="12.42578125" style="254" bestFit="1" customWidth="1"/>
    <col min="269" max="512" width="9.140625" style="254"/>
    <col min="513" max="513" width="11.42578125" style="254" customWidth="1"/>
    <col min="514" max="514" width="41.140625" style="254" customWidth="1"/>
    <col min="515" max="515" width="44.85546875" style="254" bestFit="1" customWidth="1"/>
    <col min="516" max="516" width="18.7109375" style="254" customWidth="1"/>
    <col min="517" max="517" width="21.28515625" style="254" customWidth="1"/>
    <col min="518" max="518" width="16.5703125" style="254" customWidth="1"/>
    <col min="519" max="519" width="19" style="254" customWidth="1"/>
    <col min="520" max="520" width="17.5703125" style="254" customWidth="1"/>
    <col min="521" max="521" width="15.5703125" style="254" bestFit="1" customWidth="1"/>
    <col min="522" max="522" width="13.5703125" style="254" customWidth="1"/>
    <col min="523" max="523" width="20.5703125" style="254" customWidth="1"/>
    <col min="524" max="524" width="12.42578125" style="254" bestFit="1" customWidth="1"/>
    <col min="525" max="768" width="9.140625" style="254"/>
    <col min="769" max="769" width="11.42578125" style="254" customWidth="1"/>
    <col min="770" max="770" width="41.140625" style="254" customWidth="1"/>
    <col min="771" max="771" width="44.85546875" style="254" bestFit="1" customWidth="1"/>
    <col min="772" max="772" width="18.7109375" style="254" customWidth="1"/>
    <col min="773" max="773" width="21.28515625" style="254" customWidth="1"/>
    <col min="774" max="774" width="16.5703125" style="254" customWidth="1"/>
    <col min="775" max="775" width="19" style="254" customWidth="1"/>
    <col min="776" max="776" width="17.5703125" style="254" customWidth="1"/>
    <col min="777" max="777" width="15.5703125" style="254" bestFit="1" customWidth="1"/>
    <col min="778" max="778" width="13.5703125" style="254" customWidth="1"/>
    <col min="779" max="779" width="20.5703125" style="254" customWidth="1"/>
    <col min="780" max="780" width="12.42578125" style="254" bestFit="1" customWidth="1"/>
    <col min="781" max="1024" width="9.140625" style="254"/>
    <col min="1025" max="1025" width="11.42578125" style="254" customWidth="1"/>
    <col min="1026" max="1026" width="41.140625" style="254" customWidth="1"/>
    <col min="1027" max="1027" width="44.85546875" style="254" bestFit="1" customWidth="1"/>
    <col min="1028" max="1028" width="18.7109375" style="254" customWidth="1"/>
    <col min="1029" max="1029" width="21.28515625" style="254" customWidth="1"/>
    <col min="1030" max="1030" width="16.5703125" style="254" customWidth="1"/>
    <col min="1031" max="1031" width="19" style="254" customWidth="1"/>
    <col min="1032" max="1032" width="17.5703125" style="254" customWidth="1"/>
    <col min="1033" max="1033" width="15.5703125" style="254" bestFit="1" customWidth="1"/>
    <col min="1034" max="1034" width="13.5703125" style="254" customWidth="1"/>
    <col min="1035" max="1035" width="20.5703125" style="254" customWidth="1"/>
    <col min="1036" max="1036" width="12.42578125" style="254" bestFit="1" customWidth="1"/>
    <col min="1037" max="1280" width="9.140625" style="254"/>
    <col min="1281" max="1281" width="11.42578125" style="254" customWidth="1"/>
    <col min="1282" max="1282" width="41.140625" style="254" customWidth="1"/>
    <col min="1283" max="1283" width="44.85546875" style="254" bestFit="1" customWidth="1"/>
    <col min="1284" max="1284" width="18.7109375" style="254" customWidth="1"/>
    <col min="1285" max="1285" width="21.28515625" style="254" customWidth="1"/>
    <col min="1286" max="1286" width="16.5703125" style="254" customWidth="1"/>
    <col min="1287" max="1287" width="19" style="254" customWidth="1"/>
    <col min="1288" max="1288" width="17.5703125" style="254" customWidth="1"/>
    <col min="1289" max="1289" width="15.5703125" style="254" bestFit="1" customWidth="1"/>
    <col min="1290" max="1290" width="13.5703125" style="254" customWidth="1"/>
    <col min="1291" max="1291" width="20.5703125" style="254" customWidth="1"/>
    <col min="1292" max="1292" width="12.42578125" style="254" bestFit="1" customWidth="1"/>
    <col min="1293" max="1536" width="9.140625" style="254"/>
    <col min="1537" max="1537" width="11.42578125" style="254" customWidth="1"/>
    <col min="1538" max="1538" width="41.140625" style="254" customWidth="1"/>
    <col min="1539" max="1539" width="44.85546875" style="254" bestFit="1" customWidth="1"/>
    <col min="1540" max="1540" width="18.7109375" style="254" customWidth="1"/>
    <col min="1541" max="1541" width="21.28515625" style="254" customWidth="1"/>
    <col min="1542" max="1542" width="16.5703125" style="254" customWidth="1"/>
    <col min="1543" max="1543" width="19" style="254" customWidth="1"/>
    <col min="1544" max="1544" width="17.5703125" style="254" customWidth="1"/>
    <col min="1545" max="1545" width="15.5703125" style="254" bestFit="1" customWidth="1"/>
    <col min="1546" max="1546" width="13.5703125" style="254" customWidth="1"/>
    <col min="1547" max="1547" width="20.5703125" style="254" customWidth="1"/>
    <col min="1548" max="1548" width="12.42578125" style="254" bestFit="1" customWidth="1"/>
    <col min="1549" max="1792" width="9.140625" style="254"/>
    <col min="1793" max="1793" width="11.42578125" style="254" customWidth="1"/>
    <col min="1794" max="1794" width="41.140625" style="254" customWidth="1"/>
    <col min="1795" max="1795" width="44.85546875" style="254" bestFit="1" customWidth="1"/>
    <col min="1796" max="1796" width="18.7109375" style="254" customWidth="1"/>
    <col min="1797" max="1797" width="21.28515625" style="254" customWidth="1"/>
    <col min="1798" max="1798" width="16.5703125" style="254" customWidth="1"/>
    <col min="1799" max="1799" width="19" style="254" customWidth="1"/>
    <col min="1800" max="1800" width="17.5703125" style="254" customWidth="1"/>
    <col min="1801" max="1801" width="15.5703125" style="254" bestFit="1" customWidth="1"/>
    <col min="1802" max="1802" width="13.5703125" style="254" customWidth="1"/>
    <col min="1803" max="1803" width="20.5703125" style="254" customWidth="1"/>
    <col min="1804" max="1804" width="12.42578125" style="254" bestFit="1" customWidth="1"/>
    <col min="1805" max="2048" width="9.140625" style="254"/>
    <col min="2049" max="2049" width="11.42578125" style="254" customWidth="1"/>
    <col min="2050" max="2050" width="41.140625" style="254" customWidth="1"/>
    <col min="2051" max="2051" width="44.85546875" style="254" bestFit="1" customWidth="1"/>
    <col min="2052" max="2052" width="18.7109375" style="254" customWidth="1"/>
    <col min="2053" max="2053" width="21.28515625" style="254" customWidth="1"/>
    <col min="2054" max="2054" width="16.5703125" style="254" customWidth="1"/>
    <col min="2055" max="2055" width="19" style="254" customWidth="1"/>
    <col min="2056" max="2056" width="17.5703125" style="254" customWidth="1"/>
    <col min="2057" max="2057" width="15.5703125" style="254" bestFit="1" customWidth="1"/>
    <col min="2058" max="2058" width="13.5703125" style="254" customWidth="1"/>
    <col min="2059" max="2059" width="20.5703125" style="254" customWidth="1"/>
    <col min="2060" max="2060" width="12.42578125" style="254" bestFit="1" customWidth="1"/>
    <col min="2061" max="2304" width="9.140625" style="254"/>
    <col min="2305" max="2305" width="11.42578125" style="254" customWidth="1"/>
    <col min="2306" max="2306" width="41.140625" style="254" customWidth="1"/>
    <col min="2307" max="2307" width="44.85546875" style="254" bestFit="1" customWidth="1"/>
    <col min="2308" max="2308" width="18.7109375" style="254" customWidth="1"/>
    <col min="2309" max="2309" width="21.28515625" style="254" customWidth="1"/>
    <col min="2310" max="2310" width="16.5703125" style="254" customWidth="1"/>
    <col min="2311" max="2311" width="19" style="254" customWidth="1"/>
    <col min="2312" max="2312" width="17.5703125" style="254" customWidth="1"/>
    <col min="2313" max="2313" width="15.5703125" style="254" bestFit="1" customWidth="1"/>
    <col min="2314" max="2314" width="13.5703125" style="254" customWidth="1"/>
    <col min="2315" max="2315" width="20.5703125" style="254" customWidth="1"/>
    <col min="2316" max="2316" width="12.42578125" style="254" bestFit="1" customWidth="1"/>
    <col min="2317" max="2560" width="9.140625" style="254"/>
    <col min="2561" max="2561" width="11.42578125" style="254" customWidth="1"/>
    <col min="2562" max="2562" width="41.140625" style="254" customWidth="1"/>
    <col min="2563" max="2563" width="44.85546875" style="254" bestFit="1" customWidth="1"/>
    <col min="2564" max="2564" width="18.7109375" style="254" customWidth="1"/>
    <col min="2565" max="2565" width="21.28515625" style="254" customWidth="1"/>
    <col min="2566" max="2566" width="16.5703125" style="254" customWidth="1"/>
    <col min="2567" max="2567" width="19" style="254" customWidth="1"/>
    <col min="2568" max="2568" width="17.5703125" style="254" customWidth="1"/>
    <col min="2569" max="2569" width="15.5703125" style="254" bestFit="1" customWidth="1"/>
    <col min="2570" max="2570" width="13.5703125" style="254" customWidth="1"/>
    <col min="2571" max="2571" width="20.5703125" style="254" customWidth="1"/>
    <col min="2572" max="2572" width="12.42578125" style="254" bestFit="1" customWidth="1"/>
    <col min="2573" max="2816" width="9.140625" style="254"/>
    <col min="2817" max="2817" width="11.42578125" style="254" customWidth="1"/>
    <col min="2818" max="2818" width="41.140625" style="254" customWidth="1"/>
    <col min="2819" max="2819" width="44.85546875" style="254" bestFit="1" customWidth="1"/>
    <col min="2820" max="2820" width="18.7109375" style="254" customWidth="1"/>
    <col min="2821" max="2821" width="21.28515625" style="254" customWidth="1"/>
    <col min="2822" max="2822" width="16.5703125" style="254" customWidth="1"/>
    <col min="2823" max="2823" width="19" style="254" customWidth="1"/>
    <col min="2824" max="2824" width="17.5703125" style="254" customWidth="1"/>
    <col min="2825" max="2825" width="15.5703125" style="254" bestFit="1" customWidth="1"/>
    <col min="2826" max="2826" width="13.5703125" style="254" customWidth="1"/>
    <col min="2827" max="2827" width="20.5703125" style="254" customWidth="1"/>
    <col min="2828" max="2828" width="12.42578125" style="254" bestFit="1" customWidth="1"/>
    <col min="2829" max="3072" width="9.140625" style="254"/>
    <col min="3073" max="3073" width="11.42578125" style="254" customWidth="1"/>
    <col min="3074" max="3074" width="41.140625" style="254" customWidth="1"/>
    <col min="3075" max="3075" width="44.85546875" style="254" bestFit="1" customWidth="1"/>
    <col min="3076" max="3076" width="18.7109375" style="254" customWidth="1"/>
    <col min="3077" max="3077" width="21.28515625" style="254" customWidth="1"/>
    <col min="3078" max="3078" width="16.5703125" style="254" customWidth="1"/>
    <col min="3079" max="3079" width="19" style="254" customWidth="1"/>
    <col min="3080" max="3080" width="17.5703125" style="254" customWidth="1"/>
    <col min="3081" max="3081" width="15.5703125" style="254" bestFit="1" customWidth="1"/>
    <col min="3082" max="3082" width="13.5703125" style="254" customWidth="1"/>
    <col min="3083" max="3083" width="20.5703125" style="254" customWidth="1"/>
    <col min="3084" max="3084" width="12.42578125" style="254" bestFit="1" customWidth="1"/>
    <col min="3085" max="3328" width="9.140625" style="254"/>
    <col min="3329" max="3329" width="11.42578125" style="254" customWidth="1"/>
    <col min="3330" max="3330" width="41.140625" style="254" customWidth="1"/>
    <col min="3331" max="3331" width="44.85546875" style="254" bestFit="1" customWidth="1"/>
    <col min="3332" max="3332" width="18.7109375" style="254" customWidth="1"/>
    <col min="3333" max="3333" width="21.28515625" style="254" customWidth="1"/>
    <col min="3334" max="3334" width="16.5703125" style="254" customWidth="1"/>
    <col min="3335" max="3335" width="19" style="254" customWidth="1"/>
    <col min="3336" max="3336" width="17.5703125" style="254" customWidth="1"/>
    <col min="3337" max="3337" width="15.5703125" style="254" bestFit="1" customWidth="1"/>
    <col min="3338" max="3338" width="13.5703125" style="254" customWidth="1"/>
    <col min="3339" max="3339" width="20.5703125" style="254" customWidth="1"/>
    <col min="3340" max="3340" width="12.42578125" style="254" bestFit="1" customWidth="1"/>
    <col min="3341" max="3584" width="9.140625" style="254"/>
    <col min="3585" max="3585" width="11.42578125" style="254" customWidth="1"/>
    <col min="3586" max="3586" width="41.140625" style="254" customWidth="1"/>
    <col min="3587" max="3587" width="44.85546875" style="254" bestFit="1" customWidth="1"/>
    <col min="3588" max="3588" width="18.7109375" style="254" customWidth="1"/>
    <col min="3589" max="3589" width="21.28515625" style="254" customWidth="1"/>
    <col min="3590" max="3590" width="16.5703125" style="254" customWidth="1"/>
    <col min="3591" max="3591" width="19" style="254" customWidth="1"/>
    <col min="3592" max="3592" width="17.5703125" style="254" customWidth="1"/>
    <col min="3593" max="3593" width="15.5703125" style="254" bestFit="1" customWidth="1"/>
    <col min="3594" max="3594" width="13.5703125" style="254" customWidth="1"/>
    <col min="3595" max="3595" width="20.5703125" style="254" customWidth="1"/>
    <col min="3596" max="3596" width="12.42578125" style="254" bestFit="1" customWidth="1"/>
    <col min="3597" max="3840" width="9.140625" style="254"/>
    <col min="3841" max="3841" width="11.42578125" style="254" customWidth="1"/>
    <col min="3842" max="3842" width="41.140625" style="254" customWidth="1"/>
    <col min="3843" max="3843" width="44.85546875" style="254" bestFit="1" customWidth="1"/>
    <col min="3844" max="3844" width="18.7109375" style="254" customWidth="1"/>
    <col min="3845" max="3845" width="21.28515625" style="254" customWidth="1"/>
    <col min="3846" max="3846" width="16.5703125" style="254" customWidth="1"/>
    <col min="3847" max="3847" width="19" style="254" customWidth="1"/>
    <col min="3848" max="3848" width="17.5703125" style="254" customWidth="1"/>
    <col min="3849" max="3849" width="15.5703125" style="254" bestFit="1" customWidth="1"/>
    <col min="3850" max="3850" width="13.5703125" style="254" customWidth="1"/>
    <col min="3851" max="3851" width="20.5703125" style="254" customWidth="1"/>
    <col min="3852" max="3852" width="12.42578125" style="254" bestFit="1" customWidth="1"/>
    <col min="3853" max="4096" width="9.140625" style="254"/>
    <col min="4097" max="4097" width="11.42578125" style="254" customWidth="1"/>
    <col min="4098" max="4098" width="41.140625" style="254" customWidth="1"/>
    <col min="4099" max="4099" width="44.85546875" style="254" bestFit="1" customWidth="1"/>
    <col min="4100" max="4100" width="18.7109375" style="254" customWidth="1"/>
    <col min="4101" max="4101" width="21.28515625" style="254" customWidth="1"/>
    <col min="4102" max="4102" width="16.5703125" style="254" customWidth="1"/>
    <col min="4103" max="4103" width="19" style="254" customWidth="1"/>
    <col min="4104" max="4104" width="17.5703125" style="254" customWidth="1"/>
    <col min="4105" max="4105" width="15.5703125" style="254" bestFit="1" customWidth="1"/>
    <col min="4106" max="4106" width="13.5703125" style="254" customWidth="1"/>
    <col min="4107" max="4107" width="20.5703125" style="254" customWidth="1"/>
    <col min="4108" max="4108" width="12.42578125" style="254" bestFit="1" customWidth="1"/>
    <col min="4109" max="4352" width="9.140625" style="254"/>
    <col min="4353" max="4353" width="11.42578125" style="254" customWidth="1"/>
    <col min="4354" max="4354" width="41.140625" style="254" customWidth="1"/>
    <col min="4355" max="4355" width="44.85546875" style="254" bestFit="1" customWidth="1"/>
    <col min="4356" max="4356" width="18.7109375" style="254" customWidth="1"/>
    <col min="4357" max="4357" width="21.28515625" style="254" customWidth="1"/>
    <col min="4358" max="4358" width="16.5703125" style="254" customWidth="1"/>
    <col min="4359" max="4359" width="19" style="254" customWidth="1"/>
    <col min="4360" max="4360" width="17.5703125" style="254" customWidth="1"/>
    <col min="4361" max="4361" width="15.5703125" style="254" bestFit="1" customWidth="1"/>
    <col min="4362" max="4362" width="13.5703125" style="254" customWidth="1"/>
    <col min="4363" max="4363" width="20.5703125" style="254" customWidth="1"/>
    <col min="4364" max="4364" width="12.42578125" style="254" bestFit="1" customWidth="1"/>
    <col min="4365" max="4608" width="9.140625" style="254"/>
    <col min="4609" max="4609" width="11.42578125" style="254" customWidth="1"/>
    <col min="4610" max="4610" width="41.140625" style="254" customWidth="1"/>
    <col min="4611" max="4611" width="44.85546875" style="254" bestFit="1" customWidth="1"/>
    <col min="4612" max="4612" width="18.7109375" style="254" customWidth="1"/>
    <col min="4613" max="4613" width="21.28515625" style="254" customWidth="1"/>
    <col min="4614" max="4614" width="16.5703125" style="254" customWidth="1"/>
    <col min="4615" max="4615" width="19" style="254" customWidth="1"/>
    <col min="4616" max="4616" width="17.5703125" style="254" customWidth="1"/>
    <col min="4617" max="4617" width="15.5703125" style="254" bestFit="1" customWidth="1"/>
    <col min="4618" max="4618" width="13.5703125" style="254" customWidth="1"/>
    <col min="4619" max="4619" width="20.5703125" style="254" customWidth="1"/>
    <col min="4620" max="4620" width="12.42578125" style="254" bestFit="1" customWidth="1"/>
    <col min="4621" max="4864" width="9.140625" style="254"/>
    <col min="4865" max="4865" width="11.42578125" style="254" customWidth="1"/>
    <col min="4866" max="4866" width="41.140625" style="254" customWidth="1"/>
    <col min="4867" max="4867" width="44.85546875" style="254" bestFit="1" customWidth="1"/>
    <col min="4868" max="4868" width="18.7109375" style="254" customWidth="1"/>
    <col min="4869" max="4869" width="21.28515625" style="254" customWidth="1"/>
    <col min="4870" max="4870" width="16.5703125" style="254" customWidth="1"/>
    <col min="4871" max="4871" width="19" style="254" customWidth="1"/>
    <col min="4872" max="4872" width="17.5703125" style="254" customWidth="1"/>
    <col min="4873" max="4873" width="15.5703125" style="254" bestFit="1" customWidth="1"/>
    <col min="4874" max="4874" width="13.5703125" style="254" customWidth="1"/>
    <col min="4875" max="4875" width="20.5703125" style="254" customWidth="1"/>
    <col min="4876" max="4876" width="12.42578125" style="254" bestFit="1" customWidth="1"/>
    <col min="4877" max="5120" width="9.140625" style="254"/>
    <col min="5121" max="5121" width="11.42578125" style="254" customWidth="1"/>
    <col min="5122" max="5122" width="41.140625" style="254" customWidth="1"/>
    <col min="5123" max="5123" width="44.85546875" style="254" bestFit="1" customWidth="1"/>
    <col min="5124" max="5124" width="18.7109375" style="254" customWidth="1"/>
    <col min="5125" max="5125" width="21.28515625" style="254" customWidth="1"/>
    <col min="5126" max="5126" width="16.5703125" style="254" customWidth="1"/>
    <col min="5127" max="5127" width="19" style="254" customWidth="1"/>
    <col min="5128" max="5128" width="17.5703125" style="254" customWidth="1"/>
    <col min="5129" max="5129" width="15.5703125" style="254" bestFit="1" customWidth="1"/>
    <col min="5130" max="5130" width="13.5703125" style="254" customWidth="1"/>
    <col min="5131" max="5131" width="20.5703125" style="254" customWidth="1"/>
    <col min="5132" max="5132" width="12.42578125" style="254" bestFit="1" customWidth="1"/>
    <col min="5133" max="5376" width="9.140625" style="254"/>
    <col min="5377" max="5377" width="11.42578125" style="254" customWidth="1"/>
    <col min="5378" max="5378" width="41.140625" style="254" customWidth="1"/>
    <col min="5379" max="5379" width="44.85546875" style="254" bestFit="1" customWidth="1"/>
    <col min="5380" max="5380" width="18.7109375" style="254" customWidth="1"/>
    <col min="5381" max="5381" width="21.28515625" style="254" customWidth="1"/>
    <col min="5382" max="5382" width="16.5703125" style="254" customWidth="1"/>
    <col min="5383" max="5383" width="19" style="254" customWidth="1"/>
    <col min="5384" max="5384" width="17.5703125" style="254" customWidth="1"/>
    <col min="5385" max="5385" width="15.5703125" style="254" bestFit="1" customWidth="1"/>
    <col min="5386" max="5386" width="13.5703125" style="254" customWidth="1"/>
    <col min="5387" max="5387" width="20.5703125" style="254" customWidth="1"/>
    <col min="5388" max="5388" width="12.42578125" style="254" bestFit="1" customWidth="1"/>
    <col min="5389" max="5632" width="9.140625" style="254"/>
    <col min="5633" max="5633" width="11.42578125" style="254" customWidth="1"/>
    <col min="5634" max="5634" width="41.140625" style="254" customWidth="1"/>
    <col min="5635" max="5635" width="44.85546875" style="254" bestFit="1" customWidth="1"/>
    <col min="5636" max="5636" width="18.7109375" style="254" customWidth="1"/>
    <col min="5637" max="5637" width="21.28515625" style="254" customWidth="1"/>
    <col min="5638" max="5638" width="16.5703125" style="254" customWidth="1"/>
    <col min="5639" max="5639" width="19" style="254" customWidth="1"/>
    <col min="5640" max="5640" width="17.5703125" style="254" customWidth="1"/>
    <col min="5641" max="5641" width="15.5703125" style="254" bestFit="1" customWidth="1"/>
    <col min="5642" max="5642" width="13.5703125" style="254" customWidth="1"/>
    <col min="5643" max="5643" width="20.5703125" style="254" customWidth="1"/>
    <col min="5644" max="5644" width="12.42578125" style="254" bestFit="1" customWidth="1"/>
    <col min="5645" max="5888" width="9.140625" style="254"/>
    <col min="5889" max="5889" width="11.42578125" style="254" customWidth="1"/>
    <col min="5890" max="5890" width="41.140625" style="254" customWidth="1"/>
    <col min="5891" max="5891" width="44.85546875" style="254" bestFit="1" customWidth="1"/>
    <col min="5892" max="5892" width="18.7109375" style="254" customWidth="1"/>
    <col min="5893" max="5893" width="21.28515625" style="254" customWidth="1"/>
    <col min="5894" max="5894" width="16.5703125" style="254" customWidth="1"/>
    <col min="5895" max="5895" width="19" style="254" customWidth="1"/>
    <col min="5896" max="5896" width="17.5703125" style="254" customWidth="1"/>
    <col min="5897" max="5897" width="15.5703125" style="254" bestFit="1" customWidth="1"/>
    <col min="5898" max="5898" width="13.5703125" style="254" customWidth="1"/>
    <col min="5899" max="5899" width="20.5703125" style="254" customWidth="1"/>
    <col min="5900" max="5900" width="12.42578125" style="254" bestFit="1" customWidth="1"/>
    <col min="5901" max="6144" width="9.140625" style="254"/>
    <col min="6145" max="6145" width="11.42578125" style="254" customWidth="1"/>
    <col min="6146" max="6146" width="41.140625" style="254" customWidth="1"/>
    <col min="6147" max="6147" width="44.85546875" style="254" bestFit="1" customWidth="1"/>
    <col min="6148" max="6148" width="18.7109375" style="254" customWidth="1"/>
    <col min="6149" max="6149" width="21.28515625" style="254" customWidth="1"/>
    <col min="6150" max="6150" width="16.5703125" style="254" customWidth="1"/>
    <col min="6151" max="6151" width="19" style="254" customWidth="1"/>
    <col min="6152" max="6152" width="17.5703125" style="254" customWidth="1"/>
    <col min="6153" max="6153" width="15.5703125" style="254" bestFit="1" customWidth="1"/>
    <col min="6154" max="6154" width="13.5703125" style="254" customWidth="1"/>
    <col min="6155" max="6155" width="20.5703125" style="254" customWidth="1"/>
    <col min="6156" max="6156" width="12.42578125" style="254" bestFit="1" customWidth="1"/>
    <col min="6157" max="6400" width="9.140625" style="254"/>
    <col min="6401" max="6401" width="11.42578125" style="254" customWidth="1"/>
    <col min="6402" max="6402" width="41.140625" style="254" customWidth="1"/>
    <col min="6403" max="6403" width="44.85546875" style="254" bestFit="1" customWidth="1"/>
    <col min="6404" max="6404" width="18.7109375" style="254" customWidth="1"/>
    <col min="6405" max="6405" width="21.28515625" style="254" customWidth="1"/>
    <col min="6406" max="6406" width="16.5703125" style="254" customWidth="1"/>
    <col min="6407" max="6407" width="19" style="254" customWidth="1"/>
    <col min="6408" max="6408" width="17.5703125" style="254" customWidth="1"/>
    <col min="6409" max="6409" width="15.5703125" style="254" bestFit="1" customWidth="1"/>
    <col min="6410" max="6410" width="13.5703125" style="254" customWidth="1"/>
    <col min="6411" max="6411" width="20.5703125" style="254" customWidth="1"/>
    <col min="6412" max="6412" width="12.42578125" style="254" bestFit="1" customWidth="1"/>
    <col min="6413" max="6656" width="9.140625" style="254"/>
    <col min="6657" max="6657" width="11.42578125" style="254" customWidth="1"/>
    <col min="6658" max="6658" width="41.140625" style="254" customWidth="1"/>
    <col min="6659" max="6659" width="44.85546875" style="254" bestFit="1" customWidth="1"/>
    <col min="6660" max="6660" width="18.7109375" style="254" customWidth="1"/>
    <col min="6661" max="6661" width="21.28515625" style="254" customWidth="1"/>
    <col min="6662" max="6662" width="16.5703125" style="254" customWidth="1"/>
    <col min="6663" max="6663" width="19" style="254" customWidth="1"/>
    <col min="6664" max="6664" width="17.5703125" style="254" customWidth="1"/>
    <col min="6665" max="6665" width="15.5703125" style="254" bestFit="1" customWidth="1"/>
    <col min="6666" max="6666" width="13.5703125" style="254" customWidth="1"/>
    <col min="6667" max="6667" width="20.5703125" style="254" customWidth="1"/>
    <col min="6668" max="6668" width="12.42578125" style="254" bestFit="1" customWidth="1"/>
    <col min="6669" max="6912" width="9.140625" style="254"/>
    <col min="6913" max="6913" width="11.42578125" style="254" customWidth="1"/>
    <col min="6914" max="6914" width="41.140625" style="254" customWidth="1"/>
    <col min="6915" max="6915" width="44.85546875" style="254" bestFit="1" customWidth="1"/>
    <col min="6916" max="6916" width="18.7109375" style="254" customWidth="1"/>
    <col min="6917" max="6917" width="21.28515625" style="254" customWidth="1"/>
    <col min="6918" max="6918" width="16.5703125" style="254" customWidth="1"/>
    <col min="6919" max="6919" width="19" style="254" customWidth="1"/>
    <col min="6920" max="6920" width="17.5703125" style="254" customWidth="1"/>
    <col min="6921" max="6921" width="15.5703125" style="254" bestFit="1" customWidth="1"/>
    <col min="6922" max="6922" width="13.5703125" style="254" customWidth="1"/>
    <col min="6923" max="6923" width="20.5703125" style="254" customWidth="1"/>
    <col min="6924" max="6924" width="12.42578125" style="254" bestFit="1" customWidth="1"/>
    <col min="6925" max="7168" width="9.140625" style="254"/>
    <col min="7169" max="7169" width="11.42578125" style="254" customWidth="1"/>
    <col min="7170" max="7170" width="41.140625" style="254" customWidth="1"/>
    <col min="7171" max="7171" width="44.85546875" style="254" bestFit="1" customWidth="1"/>
    <col min="7172" max="7172" width="18.7109375" style="254" customWidth="1"/>
    <col min="7173" max="7173" width="21.28515625" style="254" customWidth="1"/>
    <col min="7174" max="7174" width="16.5703125" style="254" customWidth="1"/>
    <col min="7175" max="7175" width="19" style="254" customWidth="1"/>
    <col min="7176" max="7176" width="17.5703125" style="254" customWidth="1"/>
    <col min="7177" max="7177" width="15.5703125" style="254" bestFit="1" customWidth="1"/>
    <col min="7178" max="7178" width="13.5703125" style="254" customWidth="1"/>
    <col min="7179" max="7179" width="20.5703125" style="254" customWidth="1"/>
    <col min="7180" max="7180" width="12.42578125" style="254" bestFit="1" customWidth="1"/>
    <col min="7181" max="7424" width="9.140625" style="254"/>
    <col min="7425" max="7425" width="11.42578125" style="254" customWidth="1"/>
    <col min="7426" max="7426" width="41.140625" style="254" customWidth="1"/>
    <col min="7427" max="7427" width="44.85546875" style="254" bestFit="1" customWidth="1"/>
    <col min="7428" max="7428" width="18.7109375" style="254" customWidth="1"/>
    <col min="7429" max="7429" width="21.28515625" style="254" customWidth="1"/>
    <col min="7430" max="7430" width="16.5703125" style="254" customWidth="1"/>
    <col min="7431" max="7431" width="19" style="254" customWidth="1"/>
    <col min="7432" max="7432" width="17.5703125" style="254" customWidth="1"/>
    <col min="7433" max="7433" width="15.5703125" style="254" bestFit="1" customWidth="1"/>
    <col min="7434" max="7434" width="13.5703125" style="254" customWidth="1"/>
    <col min="7435" max="7435" width="20.5703125" style="254" customWidth="1"/>
    <col min="7436" max="7436" width="12.42578125" style="254" bestFit="1" customWidth="1"/>
    <col min="7437" max="7680" width="9.140625" style="254"/>
    <col min="7681" max="7681" width="11.42578125" style="254" customWidth="1"/>
    <col min="7682" max="7682" width="41.140625" style="254" customWidth="1"/>
    <col min="7683" max="7683" width="44.85546875" style="254" bestFit="1" customWidth="1"/>
    <col min="7684" max="7684" width="18.7109375" style="254" customWidth="1"/>
    <col min="7685" max="7685" width="21.28515625" style="254" customWidth="1"/>
    <col min="7686" max="7686" width="16.5703125" style="254" customWidth="1"/>
    <col min="7687" max="7687" width="19" style="254" customWidth="1"/>
    <col min="7688" max="7688" width="17.5703125" style="254" customWidth="1"/>
    <col min="7689" max="7689" width="15.5703125" style="254" bestFit="1" customWidth="1"/>
    <col min="7690" max="7690" width="13.5703125" style="254" customWidth="1"/>
    <col min="7691" max="7691" width="20.5703125" style="254" customWidth="1"/>
    <col min="7692" max="7692" width="12.42578125" style="254" bestFit="1" customWidth="1"/>
    <col min="7693" max="7936" width="9.140625" style="254"/>
    <col min="7937" max="7937" width="11.42578125" style="254" customWidth="1"/>
    <col min="7938" max="7938" width="41.140625" style="254" customWidth="1"/>
    <col min="7939" max="7939" width="44.85546875" style="254" bestFit="1" customWidth="1"/>
    <col min="7940" max="7940" width="18.7109375" style="254" customWidth="1"/>
    <col min="7941" max="7941" width="21.28515625" style="254" customWidth="1"/>
    <col min="7942" max="7942" width="16.5703125" style="254" customWidth="1"/>
    <col min="7943" max="7943" width="19" style="254" customWidth="1"/>
    <col min="7944" max="7944" width="17.5703125" style="254" customWidth="1"/>
    <col min="7945" max="7945" width="15.5703125" style="254" bestFit="1" customWidth="1"/>
    <col min="7946" max="7946" width="13.5703125" style="254" customWidth="1"/>
    <col min="7947" max="7947" width="20.5703125" style="254" customWidth="1"/>
    <col min="7948" max="7948" width="12.42578125" style="254" bestFit="1" customWidth="1"/>
    <col min="7949" max="8192" width="9.140625" style="254"/>
    <col min="8193" max="8193" width="11.42578125" style="254" customWidth="1"/>
    <col min="8194" max="8194" width="41.140625" style="254" customWidth="1"/>
    <col min="8195" max="8195" width="44.85546875" style="254" bestFit="1" customWidth="1"/>
    <col min="8196" max="8196" width="18.7109375" style="254" customWidth="1"/>
    <col min="8197" max="8197" width="21.28515625" style="254" customWidth="1"/>
    <col min="8198" max="8198" width="16.5703125" style="254" customWidth="1"/>
    <col min="8199" max="8199" width="19" style="254" customWidth="1"/>
    <col min="8200" max="8200" width="17.5703125" style="254" customWidth="1"/>
    <col min="8201" max="8201" width="15.5703125" style="254" bestFit="1" customWidth="1"/>
    <col min="8202" max="8202" width="13.5703125" style="254" customWidth="1"/>
    <col min="8203" max="8203" width="20.5703125" style="254" customWidth="1"/>
    <col min="8204" max="8204" width="12.42578125" style="254" bestFit="1" customWidth="1"/>
    <col min="8205" max="8448" width="9.140625" style="254"/>
    <col min="8449" max="8449" width="11.42578125" style="254" customWidth="1"/>
    <col min="8450" max="8450" width="41.140625" style="254" customWidth="1"/>
    <col min="8451" max="8451" width="44.85546875" style="254" bestFit="1" customWidth="1"/>
    <col min="8452" max="8452" width="18.7109375" style="254" customWidth="1"/>
    <col min="8453" max="8453" width="21.28515625" style="254" customWidth="1"/>
    <col min="8454" max="8454" width="16.5703125" style="254" customWidth="1"/>
    <col min="8455" max="8455" width="19" style="254" customWidth="1"/>
    <col min="8456" max="8456" width="17.5703125" style="254" customWidth="1"/>
    <col min="8457" max="8457" width="15.5703125" style="254" bestFit="1" customWidth="1"/>
    <col min="8458" max="8458" width="13.5703125" style="254" customWidth="1"/>
    <col min="8459" max="8459" width="20.5703125" style="254" customWidth="1"/>
    <col min="8460" max="8460" width="12.42578125" style="254" bestFit="1" customWidth="1"/>
    <col min="8461" max="8704" width="9.140625" style="254"/>
    <col min="8705" max="8705" width="11.42578125" style="254" customWidth="1"/>
    <col min="8706" max="8706" width="41.140625" style="254" customWidth="1"/>
    <col min="8707" max="8707" width="44.85546875" style="254" bestFit="1" customWidth="1"/>
    <col min="8708" max="8708" width="18.7109375" style="254" customWidth="1"/>
    <col min="8709" max="8709" width="21.28515625" style="254" customWidth="1"/>
    <col min="8710" max="8710" width="16.5703125" style="254" customWidth="1"/>
    <col min="8711" max="8711" width="19" style="254" customWidth="1"/>
    <col min="8712" max="8712" width="17.5703125" style="254" customWidth="1"/>
    <col min="8713" max="8713" width="15.5703125" style="254" bestFit="1" customWidth="1"/>
    <col min="8714" max="8714" width="13.5703125" style="254" customWidth="1"/>
    <col min="8715" max="8715" width="20.5703125" style="254" customWidth="1"/>
    <col min="8716" max="8716" width="12.42578125" style="254" bestFit="1" customWidth="1"/>
    <col min="8717" max="8960" width="9.140625" style="254"/>
    <col min="8961" max="8961" width="11.42578125" style="254" customWidth="1"/>
    <col min="8962" max="8962" width="41.140625" style="254" customWidth="1"/>
    <col min="8963" max="8963" width="44.85546875" style="254" bestFit="1" customWidth="1"/>
    <col min="8964" max="8964" width="18.7109375" style="254" customWidth="1"/>
    <col min="8965" max="8965" width="21.28515625" style="254" customWidth="1"/>
    <col min="8966" max="8966" width="16.5703125" style="254" customWidth="1"/>
    <col min="8967" max="8967" width="19" style="254" customWidth="1"/>
    <col min="8968" max="8968" width="17.5703125" style="254" customWidth="1"/>
    <col min="8969" max="8969" width="15.5703125" style="254" bestFit="1" customWidth="1"/>
    <col min="8970" max="8970" width="13.5703125" style="254" customWidth="1"/>
    <col min="8971" max="8971" width="20.5703125" style="254" customWidth="1"/>
    <col min="8972" max="8972" width="12.42578125" style="254" bestFit="1" customWidth="1"/>
    <col min="8973" max="9216" width="9.140625" style="254"/>
    <col min="9217" max="9217" width="11.42578125" style="254" customWidth="1"/>
    <col min="9218" max="9218" width="41.140625" style="254" customWidth="1"/>
    <col min="9219" max="9219" width="44.85546875" style="254" bestFit="1" customWidth="1"/>
    <col min="9220" max="9220" width="18.7109375" style="254" customWidth="1"/>
    <col min="9221" max="9221" width="21.28515625" style="254" customWidth="1"/>
    <col min="9222" max="9222" width="16.5703125" style="254" customWidth="1"/>
    <col min="9223" max="9223" width="19" style="254" customWidth="1"/>
    <col min="9224" max="9224" width="17.5703125" style="254" customWidth="1"/>
    <col min="9225" max="9225" width="15.5703125" style="254" bestFit="1" customWidth="1"/>
    <col min="9226" max="9226" width="13.5703125" style="254" customWidth="1"/>
    <col min="9227" max="9227" width="20.5703125" style="254" customWidth="1"/>
    <col min="9228" max="9228" width="12.42578125" style="254" bestFit="1" customWidth="1"/>
    <col min="9229" max="9472" width="9.140625" style="254"/>
    <col min="9473" max="9473" width="11.42578125" style="254" customWidth="1"/>
    <col min="9474" max="9474" width="41.140625" style="254" customWidth="1"/>
    <col min="9475" max="9475" width="44.85546875" style="254" bestFit="1" customWidth="1"/>
    <col min="9476" max="9476" width="18.7109375" style="254" customWidth="1"/>
    <col min="9477" max="9477" width="21.28515625" style="254" customWidth="1"/>
    <col min="9478" max="9478" width="16.5703125" style="254" customWidth="1"/>
    <col min="9479" max="9479" width="19" style="254" customWidth="1"/>
    <col min="9480" max="9480" width="17.5703125" style="254" customWidth="1"/>
    <col min="9481" max="9481" width="15.5703125" style="254" bestFit="1" customWidth="1"/>
    <col min="9482" max="9482" width="13.5703125" style="254" customWidth="1"/>
    <col min="9483" max="9483" width="20.5703125" style="254" customWidth="1"/>
    <col min="9484" max="9484" width="12.42578125" style="254" bestFit="1" customWidth="1"/>
    <col min="9485" max="9728" width="9.140625" style="254"/>
    <col min="9729" max="9729" width="11.42578125" style="254" customWidth="1"/>
    <col min="9730" max="9730" width="41.140625" style="254" customWidth="1"/>
    <col min="9731" max="9731" width="44.85546875" style="254" bestFit="1" customWidth="1"/>
    <col min="9732" max="9732" width="18.7109375" style="254" customWidth="1"/>
    <col min="9733" max="9733" width="21.28515625" style="254" customWidth="1"/>
    <col min="9734" max="9734" width="16.5703125" style="254" customWidth="1"/>
    <col min="9735" max="9735" width="19" style="254" customWidth="1"/>
    <col min="9736" max="9736" width="17.5703125" style="254" customWidth="1"/>
    <col min="9737" max="9737" width="15.5703125" style="254" bestFit="1" customWidth="1"/>
    <col min="9738" max="9738" width="13.5703125" style="254" customWidth="1"/>
    <col min="9739" max="9739" width="20.5703125" style="254" customWidth="1"/>
    <col min="9740" max="9740" width="12.42578125" style="254" bestFit="1" customWidth="1"/>
    <col min="9741" max="9984" width="9.140625" style="254"/>
    <col min="9985" max="9985" width="11.42578125" style="254" customWidth="1"/>
    <col min="9986" max="9986" width="41.140625" style="254" customWidth="1"/>
    <col min="9987" max="9987" width="44.85546875" style="254" bestFit="1" customWidth="1"/>
    <col min="9988" max="9988" width="18.7109375" style="254" customWidth="1"/>
    <col min="9989" max="9989" width="21.28515625" style="254" customWidth="1"/>
    <col min="9990" max="9990" width="16.5703125" style="254" customWidth="1"/>
    <col min="9991" max="9991" width="19" style="254" customWidth="1"/>
    <col min="9992" max="9992" width="17.5703125" style="254" customWidth="1"/>
    <col min="9993" max="9993" width="15.5703125" style="254" bestFit="1" customWidth="1"/>
    <col min="9994" max="9994" width="13.5703125" style="254" customWidth="1"/>
    <col min="9995" max="9995" width="20.5703125" style="254" customWidth="1"/>
    <col min="9996" max="9996" width="12.42578125" style="254" bestFit="1" customWidth="1"/>
    <col min="9997" max="10240" width="9.140625" style="254"/>
    <col min="10241" max="10241" width="11.42578125" style="254" customWidth="1"/>
    <col min="10242" max="10242" width="41.140625" style="254" customWidth="1"/>
    <col min="10243" max="10243" width="44.85546875" style="254" bestFit="1" customWidth="1"/>
    <col min="10244" max="10244" width="18.7109375" style="254" customWidth="1"/>
    <col min="10245" max="10245" width="21.28515625" style="254" customWidth="1"/>
    <col min="10246" max="10246" width="16.5703125" style="254" customWidth="1"/>
    <col min="10247" max="10247" width="19" style="254" customWidth="1"/>
    <col min="10248" max="10248" width="17.5703125" style="254" customWidth="1"/>
    <col min="10249" max="10249" width="15.5703125" style="254" bestFit="1" customWidth="1"/>
    <col min="10250" max="10250" width="13.5703125" style="254" customWidth="1"/>
    <col min="10251" max="10251" width="20.5703125" style="254" customWidth="1"/>
    <col min="10252" max="10252" width="12.42578125" style="254" bestFit="1" customWidth="1"/>
    <col min="10253" max="10496" width="9.140625" style="254"/>
    <col min="10497" max="10497" width="11.42578125" style="254" customWidth="1"/>
    <col min="10498" max="10498" width="41.140625" style="254" customWidth="1"/>
    <col min="10499" max="10499" width="44.85546875" style="254" bestFit="1" customWidth="1"/>
    <col min="10500" max="10500" width="18.7109375" style="254" customWidth="1"/>
    <col min="10501" max="10501" width="21.28515625" style="254" customWidth="1"/>
    <col min="10502" max="10502" width="16.5703125" style="254" customWidth="1"/>
    <col min="10503" max="10503" width="19" style="254" customWidth="1"/>
    <col min="10504" max="10504" width="17.5703125" style="254" customWidth="1"/>
    <col min="10505" max="10505" width="15.5703125" style="254" bestFit="1" customWidth="1"/>
    <col min="10506" max="10506" width="13.5703125" style="254" customWidth="1"/>
    <col min="10507" max="10507" width="20.5703125" style="254" customWidth="1"/>
    <col min="10508" max="10508" width="12.42578125" style="254" bestFit="1" customWidth="1"/>
    <col min="10509" max="10752" width="9.140625" style="254"/>
    <col min="10753" max="10753" width="11.42578125" style="254" customWidth="1"/>
    <col min="10754" max="10754" width="41.140625" style="254" customWidth="1"/>
    <col min="10755" max="10755" width="44.85546875" style="254" bestFit="1" customWidth="1"/>
    <col min="10756" max="10756" width="18.7109375" style="254" customWidth="1"/>
    <col min="10757" max="10757" width="21.28515625" style="254" customWidth="1"/>
    <col min="10758" max="10758" width="16.5703125" style="254" customWidth="1"/>
    <col min="10759" max="10759" width="19" style="254" customWidth="1"/>
    <col min="10760" max="10760" width="17.5703125" style="254" customWidth="1"/>
    <col min="10761" max="10761" width="15.5703125" style="254" bestFit="1" customWidth="1"/>
    <col min="10762" max="10762" width="13.5703125" style="254" customWidth="1"/>
    <col min="10763" max="10763" width="20.5703125" style="254" customWidth="1"/>
    <col min="10764" max="10764" width="12.42578125" style="254" bestFit="1" customWidth="1"/>
    <col min="10765" max="11008" width="9.140625" style="254"/>
    <col min="11009" max="11009" width="11.42578125" style="254" customWidth="1"/>
    <col min="11010" max="11010" width="41.140625" style="254" customWidth="1"/>
    <col min="11011" max="11011" width="44.85546875" style="254" bestFit="1" customWidth="1"/>
    <col min="11012" max="11012" width="18.7109375" style="254" customWidth="1"/>
    <col min="11013" max="11013" width="21.28515625" style="254" customWidth="1"/>
    <col min="11014" max="11014" width="16.5703125" style="254" customWidth="1"/>
    <col min="11015" max="11015" width="19" style="254" customWidth="1"/>
    <col min="11016" max="11016" width="17.5703125" style="254" customWidth="1"/>
    <col min="11017" max="11017" width="15.5703125" style="254" bestFit="1" customWidth="1"/>
    <col min="11018" max="11018" width="13.5703125" style="254" customWidth="1"/>
    <col min="11019" max="11019" width="20.5703125" style="254" customWidth="1"/>
    <col min="11020" max="11020" width="12.42578125" style="254" bestFit="1" customWidth="1"/>
    <col min="11021" max="11264" width="9.140625" style="254"/>
    <col min="11265" max="11265" width="11.42578125" style="254" customWidth="1"/>
    <col min="11266" max="11266" width="41.140625" style="254" customWidth="1"/>
    <col min="11267" max="11267" width="44.85546875" style="254" bestFit="1" customWidth="1"/>
    <col min="11268" max="11268" width="18.7109375" style="254" customWidth="1"/>
    <col min="11269" max="11269" width="21.28515625" style="254" customWidth="1"/>
    <col min="11270" max="11270" width="16.5703125" style="254" customWidth="1"/>
    <col min="11271" max="11271" width="19" style="254" customWidth="1"/>
    <col min="11272" max="11272" width="17.5703125" style="254" customWidth="1"/>
    <col min="11273" max="11273" width="15.5703125" style="254" bestFit="1" customWidth="1"/>
    <col min="11274" max="11274" width="13.5703125" style="254" customWidth="1"/>
    <col min="11275" max="11275" width="20.5703125" style="254" customWidth="1"/>
    <col min="11276" max="11276" width="12.42578125" style="254" bestFit="1" customWidth="1"/>
    <col min="11277" max="11520" width="9.140625" style="254"/>
    <col min="11521" max="11521" width="11.42578125" style="254" customWidth="1"/>
    <col min="11522" max="11522" width="41.140625" style="254" customWidth="1"/>
    <col min="11523" max="11523" width="44.85546875" style="254" bestFit="1" customWidth="1"/>
    <col min="11524" max="11524" width="18.7109375" style="254" customWidth="1"/>
    <col min="11525" max="11525" width="21.28515625" style="254" customWidth="1"/>
    <col min="11526" max="11526" width="16.5703125" style="254" customWidth="1"/>
    <col min="11527" max="11527" width="19" style="254" customWidth="1"/>
    <col min="11528" max="11528" width="17.5703125" style="254" customWidth="1"/>
    <col min="11529" max="11529" width="15.5703125" style="254" bestFit="1" customWidth="1"/>
    <col min="11530" max="11530" width="13.5703125" style="254" customWidth="1"/>
    <col min="11531" max="11531" width="20.5703125" style="254" customWidth="1"/>
    <col min="11532" max="11532" width="12.42578125" style="254" bestFit="1" customWidth="1"/>
    <col min="11533" max="11776" width="9.140625" style="254"/>
    <col min="11777" max="11777" width="11.42578125" style="254" customWidth="1"/>
    <col min="11778" max="11778" width="41.140625" style="254" customWidth="1"/>
    <col min="11779" max="11779" width="44.85546875" style="254" bestFit="1" customWidth="1"/>
    <col min="11780" max="11780" width="18.7109375" style="254" customWidth="1"/>
    <col min="11781" max="11781" width="21.28515625" style="254" customWidth="1"/>
    <col min="11782" max="11782" width="16.5703125" style="254" customWidth="1"/>
    <col min="11783" max="11783" width="19" style="254" customWidth="1"/>
    <col min="11784" max="11784" width="17.5703125" style="254" customWidth="1"/>
    <col min="11785" max="11785" width="15.5703125" style="254" bestFit="1" customWidth="1"/>
    <col min="11786" max="11786" width="13.5703125" style="254" customWidth="1"/>
    <col min="11787" max="11787" width="20.5703125" style="254" customWidth="1"/>
    <col min="11788" max="11788" width="12.42578125" style="254" bestFit="1" customWidth="1"/>
    <col min="11789" max="12032" width="9.140625" style="254"/>
    <col min="12033" max="12033" width="11.42578125" style="254" customWidth="1"/>
    <col min="12034" max="12034" width="41.140625" style="254" customWidth="1"/>
    <col min="12035" max="12035" width="44.85546875" style="254" bestFit="1" customWidth="1"/>
    <col min="12036" max="12036" width="18.7109375" style="254" customWidth="1"/>
    <col min="12037" max="12037" width="21.28515625" style="254" customWidth="1"/>
    <col min="12038" max="12038" width="16.5703125" style="254" customWidth="1"/>
    <col min="12039" max="12039" width="19" style="254" customWidth="1"/>
    <col min="12040" max="12040" width="17.5703125" style="254" customWidth="1"/>
    <col min="12041" max="12041" width="15.5703125" style="254" bestFit="1" customWidth="1"/>
    <col min="12042" max="12042" width="13.5703125" style="254" customWidth="1"/>
    <col min="12043" max="12043" width="20.5703125" style="254" customWidth="1"/>
    <col min="12044" max="12044" width="12.42578125" style="254" bestFit="1" customWidth="1"/>
    <col min="12045" max="12288" width="9.140625" style="254"/>
    <col min="12289" max="12289" width="11.42578125" style="254" customWidth="1"/>
    <col min="12290" max="12290" width="41.140625" style="254" customWidth="1"/>
    <col min="12291" max="12291" width="44.85546875" style="254" bestFit="1" customWidth="1"/>
    <col min="12292" max="12292" width="18.7109375" style="254" customWidth="1"/>
    <col min="12293" max="12293" width="21.28515625" style="254" customWidth="1"/>
    <col min="12294" max="12294" width="16.5703125" style="254" customWidth="1"/>
    <col min="12295" max="12295" width="19" style="254" customWidth="1"/>
    <col min="12296" max="12296" width="17.5703125" style="254" customWidth="1"/>
    <col min="12297" max="12297" width="15.5703125" style="254" bestFit="1" customWidth="1"/>
    <col min="12298" max="12298" width="13.5703125" style="254" customWidth="1"/>
    <col min="12299" max="12299" width="20.5703125" style="254" customWidth="1"/>
    <col min="12300" max="12300" width="12.42578125" style="254" bestFit="1" customWidth="1"/>
    <col min="12301" max="12544" width="9.140625" style="254"/>
    <col min="12545" max="12545" width="11.42578125" style="254" customWidth="1"/>
    <col min="12546" max="12546" width="41.140625" style="254" customWidth="1"/>
    <col min="12547" max="12547" width="44.85546875" style="254" bestFit="1" customWidth="1"/>
    <col min="12548" max="12548" width="18.7109375" style="254" customWidth="1"/>
    <col min="12549" max="12549" width="21.28515625" style="254" customWidth="1"/>
    <col min="12550" max="12550" width="16.5703125" style="254" customWidth="1"/>
    <col min="12551" max="12551" width="19" style="254" customWidth="1"/>
    <col min="12552" max="12552" width="17.5703125" style="254" customWidth="1"/>
    <col min="12553" max="12553" width="15.5703125" style="254" bestFit="1" customWidth="1"/>
    <col min="12554" max="12554" width="13.5703125" style="254" customWidth="1"/>
    <col min="12555" max="12555" width="20.5703125" style="254" customWidth="1"/>
    <col min="12556" max="12556" width="12.42578125" style="254" bestFit="1" customWidth="1"/>
    <col min="12557" max="12800" width="9.140625" style="254"/>
    <col min="12801" max="12801" width="11.42578125" style="254" customWidth="1"/>
    <col min="12802" max="12802" width="41.140625" style="254" customWidth="1"/>
    <col min="12803" max="12803" width="44.85546875" style="254" bestFit="1" customWidth="1"/>
    <col min="12804" max="12804" width="18.7109375" style="254" customWidth="1"/>
    <col min="12805" max="12805" width="21.28515625" style="254" customWidth="1"/>
    <col min="12806" max="12806" width="16.5703125" style="254" customWidth="1"/>
    <col min="12807" max="12807" width="19" style="254" customWidth="1"/>
    <col min="12808" max="12808" width="17.5703125" style="254" customWidth="1"/>
    <col min="12809" max="12809" width="15.5703125" style="254" bestFit="1" customWidth="1"/>
    <col min="12810" max="12810" width="13.5703125" style="254" customWidth="1"/>
    <col min="12811" max="12811" width="20.5703125" style="254" customWidth="1"/>
    <col min="12812" max="12812" width="12.42578125" style="254" bestFit="1" customWidth="1"/>
    <col min="12813" max="13056" width="9.140625" style="254"/>
    <col min="13057" max="13057" width="11.42578125" style="254" customWidth="1"/>
    <col min="13058" max="13058" width="41.140625" style="254" customWidth="1"/>
    <col min="13059" max="13059" width="44.85546875" style="254" bestFit="1" customWidth="1"/>
    <col min="13060" max="13060" width="18.7109375" style="254" customWidth="1"/>
    <col min="13061" max="13061" width="21.28515625" style="254" customWidth="1"/>
    <col min="13062" max="13062" width="16.5703125" style="254" customWidth="1"/>
    <col min="13063" max="13063" width="19" style="254" customWidth="1"/>
    <col min="13064" max="13064" width="17.5703125" style="254" customWidth="1"/>
    <col min="13065" max="13065" width="15.5703125" style="254" bestFit="1" customWidth="1"/>
    <col min="13066" max="13066" width="13.5703125" style="254" customWidth="1"/>
    <col min="13067" max="13067" width="20.5703125" style="254" customWidth="1"/>
    <col min="13068" max="13068" width="12.42578125" style="254" bestFit="1" customWidth="1"/>
    <col min="13069" max="13312" width="9.140625" style="254"/>
    <col min="13313" max="13313" width="11.42578125" style="254" customWidth="1"/>
    <col min="13314" max="13314" width="41.140625" style="254" customWidth="1"/>
    <col min="13315" max="13315" width="44.85546875" style="254" bestFit="1" customWidth="1"/>
    <col min="13316" max="13316" width="18.7109375" style="254" customWidth="1"/>
    <col min="13317" max="13317" width="21.28515625" style="254" customWidth="1"/>
    <col min="13318" max="13318" width="16.5703125" style="254" customWidth="1"/>
    <col min="13319" max="13319" width="19" style="254" customWidth="1"/>
    <col min="13320" max="13320" width="17.5703125" style="254" customWidth="1"/>
    <col min="13321" max="13321" width="15.5703125" style="254" bestFit="1" customWidth="1"/>
    <col min="13322" max="13322" width="13.5703125" style="254" customWidth="1"/>
    <col min="13323" max="13323" width="20.5703125" style="254" customWidth="1"/>
    <col min="13324" max="13324" width="12.42578125" style="254" bestFit="1" customWidth="1"/>
    <col min="13325" max="13568" width="9.140625" style="254"/>
    <col min="13569" max="13569" width="11.42578125" style="254" customWidth="1"/>
    <col min="13570" max="13570" width="41.140625" style="254" customWidth="1"/>
    <col min="13571" max="13571" width="44.85546875" style="254" bestFit="1" customWidth="1"/>
    <col min="13572" max="13572" width="18.7109375" style="254" customWidth="1"/>
    <col min="13573" max="13573" width="21.28515625" style="254" customWidth="1"/>
    <col min="13574" max="13574" width="16.5703125" style="254" customWidth="1"/>
    <col min="13575" max="13575" width="19" style="254" customWidth="1"/>
    <col min="13576" max="13576" width="17.5703125" style="254" customWidth="1"/>
    <col min="13577" max="13577" width="15.5703125" style="254" bestFit="1" customWidth="1"/>
    <col min="13578" max="13578" width="13.5703125" style="254" customWidth="1"/>
    <col min="13579" max="13579" width="20.5703125" style="254" customWidth="1"/>
    <col min="13580" max="13580" width="12.42578125" style="254" bestFit="1" customWidth="1"/>
    <col min="13581" max="13824" width="9.140625" style="254"/>
    <col min="13825" max="13825" width="11.42578125" style="254" customWidth="1"/>
    <col min="13826" max="13826" width="41.140625" style="254" customWidth="1"/>
    <col min="13827" max="13827" width="44.85546875" style="254" bestFit="1" customWidth="1"/>
    <col min="13828" max="13828" width="18.7109375" style="254" customWidth="1"/>
    <col min="13829" max="13829" width="21.28515625" style="254" customWidth="1"/>
    <col min="13830" max="13830" width="16.5703125" style="254" customWidth="1"/>
    <col min="13831" max="13831" width="19" style="254" customWidth="1"/>
    <col min="13832" max="13832" width="17.5703125" style="254" customWidth="1"/>
    <col min="13833" max="13833" width="15.5703125" style="254" bestFit="1" customWidth="1"/>
    <col min="13834" max="13834" width="13.5703125" style="254" customWidth="1"/>
    <col min="13835" max="13835" width="20.5703125" style="254" customWidth="1"/>
    <col min="13836" max="13836" width="12.42578125" style="254" bestFit="1" customWidth="1"/>
    <col min="13837" max="14080" width="9.140625" style="254"/>
    <col min="14081" max="14081" width="11.42578125" style="254" customWidth="1"/>
    <col min="14082" max="14082" width="41.140625" style="254" customWidth="1"/>
    <col min="14083" max="14083" width="44.85546875" style="254" bestFit="1" customWidth="1"/>
    <col min="14084" max="14084" width="18.7109375" style="254" customWidth="1"/>
    <col min="14085" max="14085" width="21.28515625" style="254" customWidth="1"/>
    <col min="14086" max="14086" width="16.5703125" style="254" customWidth="1"/>
    <col min="14087" max="14087" width="19" style="254" customWidth="1"/>
    <col min="14088" max="14088" width="17.5703125" style="254" customWidth="1"/>
    <col min="14089" max="14089" width="15.5703125" style="254" bestFit="1" customWidth="1"/>
    <col min="14090" max="14090" width="13.5703125" style="254" customWidth="1"/>
    <col min="14091" max="14091" width="20.5703125" style="254" customWidth="1"/>
    <col min="14092" max="14092" width="12.42578125" style="254" bestFit="1" customWidth="1"/>
    <col min="14093" max="14336" width="9.140625" style="254"/>
    <col min="14337" max="14337" width="11.42578125" style="254" customWidth="1"/>
    <col min="14338" max="14338" width="41.140625" style="254" customWidth="1"/>
    <col min="14339" max="14339" width="44.85546875" style="254" bestFit="1" customWidth="1"/>
    <col min="14340" max="14340" width="18.7109375" style="254" customWidth="1"/>
    <col min="14341" max="14341" width="21.28515625" style="254" customWidth="1"/>
    <col min="14342" max="14342" width="16.5703125" style="254" customWidth="1"/>
    <col min="14343" max="14343" width="19" style="254" customWidth="1"/>
    <col min="14344" max="14344" width="17.5703125" style="254" customWidth="1"/>
    <col min="14345" max="14345" width="15.5703125" style="254" bestFit="1" customWidth="1"/>
    <col min="14346" max="14346" width="13.5703125" style="254" customWidth="1"/>
    <col min="14347" max="14347" width="20.5703125" style="254" customWidth="1"/>
    <col min="14348" max="14348" width="12.42578125" style="254" bestFit="1" customWidth="1"/>
    <col min="14349" max="14592" width="9.140625" style="254"/>
    <col min="14593" max="14593" width="11.42578125" style="254" customWidth="1"/>
    <col min="14594" max="14594" width="41.140625" style="254" customWidth="1"/>
    <col min="14595" max="14595" width="44.85546875" style="254" bestFit="1" customWidth="1"/>
    <col min="14596" max="14596" width="18.7109375" style="254" customWidth="1"/>
    <col min="14597" max="14597" width="21.28515625" style="254" customWidth="1"/>
    <col min="14598" max="14598" width="16.5703125" style="254" customWidth="1"/>
    <col min="14599" max="14599" width="19" style="254" customWidth="1"/>
    <col min="14600" max="14600" width="17.5703125" style="254" customWidth="1"/>
    <col min="14601" max="14601" width="15.5703125" style="254" bestFit="1" customWidth="1"/>
    <col min="14602" max="14602" width="13.5703125" style="254" customWidth="1"/>
    <col min="14603" max="14603" width="20.5703125" style="254" customWidth="1"/>
    <col min="14604" max="14604" width="12.42578125" style="254" bestFit="1" customWidth="1"/>
    <col min="14605" max="14848" width="9.140625" style="254"/>
    <col min="14849" max="14849" width="11.42578125" style="254" customWidth="1"/>
    <col min="14850" max="14850" width="41.140625" style="254" customWidth="1"/>
    <col min="14851" max="14851" width="44.85546875" style="254" bestFit="1" customWidth="1"/>
    <col min="14852" max="14852" width="18.7109375" style="254" customWidth="1"/>
    <col min="14853" max="14853" width="21.28515625" style="254" customWidth="1"/>
    <col min="14854" max="14854" width="16.5703125" style="254" customWidth="1"/>
    <col min="14855" max="14855" width="19" style="254" customWidth="1"/>
    <col min="14856" max="14856" width="17.5703125" style="254" customWidth="1"/>
    <col min="14857" max="14857" width="15.5703125" style="254" bestFit="1" customWidth="1"/>
    <col min="14858" max="14858" width="13.5703125" style="254" customWidth="1"/>
    <col min="14859" max="14859" width="20.5703125" style="254" customWidth="1"/>
    <col min="14860" max="14860" width="12.42578125" style="254" bestFit="1" customWidth="1"/>
    <col min="14861" max="15104" width="9.140625" style="254"/>
    <col min="15105" max="15105" width="11.42578125" style="254" customWidth="1"/>
    <col min="15106" max="15106" width="41.140625" style="254" customWidth="1"/>
    <col min="15107" max="15107" width="44.85546875" style="254" bestFit="1" customWidth="1"/>
    <col min="15108" max="15108" width="18.7109375" style="254" customWidth="1"/>
    <col min="15109" max="15109" width="21.28515625" style="254" customWidth="1"/>
    <col min="15110" max="15110" width="16.5703125" style="254" customWidth="1"/>
    <col min="15111" max="15111" width="19" style="254" customWidth="1"/>
    <col min="15112" max="15112" width="17.5703125" style="254" customWidth="1"/>
    <col min="15113" max="15113" width="15.5703125" style="254" bestFit="1" customWidth="1"/>
    <col min="15114" max="15114" width="13.5703125" style="254" customWidth="1"/>
    <col min="15115" max="15115" width="20.5703125" style="254" customWidth="1"/>
    <col min="15116" max="15116" width="12.42578125" style="254" bestFit="1" customWidth="1"/>
    <col min="15117" max="15360" width="9.140625" style="254"/>
    <col min="15361" max="15361" width="11.42578125" style="254" customWidth="1"/>
    <col min="15362" max="15362" width="41.140625" style="254" customWidth="1"/>
    <col min="15363" max="15363" width="44.85546875" style="254" bestFit="1" customWidth="1"/>
    <col min="15364" max="15364" width="18.7109375" style="254" customWidth="1"/>
    <col min="15365" max="15365" width="21.28515625" style="254" customWidth="1"/>
    <col min="15366" max="15366" width="16.5703125" style="254" customWidth="1"/>
    <col min="15367" max="15367" width="19" style="254" customWidth="1"/>
    <col min="15368" max="15368" width="17.5703125" style="254" customWidth="1"/>
    <col min="15369" max="15369" width="15.5703125" style="254" bestFit="1" customWidth="1"/>
    <col min="15370" max="15370" width="13.5703125" style="254" customWidth="1"/>
    <col min="15371" max="15371" width="20.5703125" style="254" customWidth="1"/>
    <col min="15372" max="15372" width="12.42578125" style="254" bestFit="1" customWidth="1"/>
    <col min="15373" max="15616" width="9.140625" style="254"/>
    <col min="15617" max="15617" width="11.42578125" style="254" customWidth="1"/>
    <col min="15618" max="15618" width="41.140625" style="254" customWidth="1"/>
    <col min="15619" max="15619" width="44.85546875" style="254" bestFit="1" customWidth="1"/>
    <col min="15620" max="15620" width="18.7109375" style="254" customWidth="1"/>
    <col min="15621" max="15621" width="21.28515625" style="254" customWidth="1"/>
    <col min="15622" max="15622" width="16.5703125" style="254" customWidth="1"/>
    <col min="15623" max="15623" width="19" style="254" customWidth="1"/>
    <col min="15624" max="15624" width="17.5703125" style="254" customWidth="1"/>
    <col min="15625" max="15625" width="15.5703125" style="254" bestFit="1" customWidth="1"/>
    <col min="15626" max="15626" width="13.5703125" style="254" customWidth="1"/>
    <col min="15627" max="15627" width="20.5703125" style="254" customWidth="1"/>
    <col min="15628" max="15628" width="12.42578125" style="254" bestFit="1" customWidth="1"/>
    <col min="15629" max="15872" width="9.140625" style="254"/>
    <col min="15873" max="15873" width="11.42578125" style="254" customWidth="1"/>
    <col min="15874" max="15874" width="41.140625" style="254" customWidth="1"/>
    <col min="15875" max="15875" width="44.85546875" style="254" bestFit="1" customWidth="1"/>
    <col min="15876" max="15876" width="18.7109375" style="254" customWidth="1"/>
    <col min="15877" max="15877" width="21.28515625" style="254" customWidth="1"/>
    <col min="15878" max="15878" width="16.5703125" style="254" customWidth="1"/>
    <col min="15879" max="15879" width="19" style="254" customWidth="1"/>
    <col min="15880" max="15880" width="17.5703125" style="254" customWidth="1"/>
    <col min="15881" max="15881" width="15.5703125" style="254" bestFit="1" customWidth="1"/>
    <col min="15882" max="15882" width="13.5703125" style="254" customWidth="1"/>
    <col min="15883" max="15883" width="20.5703125" style="254" customWidth="1"/>
    <col min="15884" max="15884" width="12.42578125" style="254" bestFit="1" customWidth="1"/>
    <col min="15885" max="16128" width="9.140625" style="254"/>
    <col min="16129" max="16129" width="11.42578125" style="254" customWidth="1"/>
    <col min="16130" max="16130" width="41.140625" style="254" customWidth="1"/>
    <col min="16131" max="16131" width="44.85546875" style="254" bestFit="1" customWidth="1"/>
    <col min="16132" max="16132" width="18.7109375" style="254" customWidth="1"/>
    <col min="16133" max="16133" width="21.28515625" style="254" customWidth="1"/>
    <col min="16134" max="16134" width="16.5703125" style="254" customWidth="1"/>
    <col min="16135" max="16135" width="19" style="254" customWidth="1"/>
    <col min="16136" max="16136" width="17.5703125" style="254" customWidth="1"/>
    <col min="16137" max="16137" width="15.5703125" style="254" bestFit="1" customWidth="1"/>
    <col min="16138" max="16138" width="13.5703125" style="254" customWidth="1"/>
    <col min="16139" max="16139" width="20.5703125" style="254" customWidth="1"/>
    <col min="16140" max="16140" width="12.42578125" style="254" bestFit="1" customWidth="1"/>
    <col min="16141" max="16384" width="9.140625" style="254"/>
  </cols>
  <sheetData>
    <row r="1" spans="2:7" x14ac:dyDescent="0.2">
      <c r="G1" s="255" t="s">
        <v>1018</v>
      </c>
    </row>
    <row r="2" spans="2:7" x14ac:dyDescent="0.2">
      <c r="B2" s="256" t="s">
        <v>1019</v>
      </c>
      <c r="C2" s="256"/>
      <c r="D2" s="256"/>
      <c r="E2" s="256"/>
      <c r="F2" s="256"/>
      <c r="G2" s="256"/>
    </row>
    <row r="3" spans="2:7" x14ac:dyDescent="0.2">
      <c r="B3" s="256" t="s">
        <v>1020</v>
      </c>
      <c r="C3" s="256"/>
      <c r="D3" s="256"/>
      <c r="E3" s="256"/>
      <c r="F3" s="256"/>
      <c r="G3" s="256"/>
    </row>
    <row r="4" spans="2:7" x14ac:dyDescent="0.2">
      <c r="B4" s="255"/>
      <c r="C4" s="255"/>
      <c r="D4" s="255"/>
      <c r="E4" s="255"/>
      <c r="F4" s="255"/>
      <c r="G4" s="255"/>
    </row>
    <row r="5" spans="2:7" x14ac:dyDescent="0.2">
      <c r="B5" s="256" t="s">
        <v>1021</v>
      </c>
      <c r="C5" s="256"/>
      <c r="D5" s="256"/>
      <c r="E5" s="256"/>
      <c r="F5" s="256"/>
      <c r="G5" s="256"/>
    </row>
    <row r="6" spans="2:7" x14ac:dyDescent="0.2">
      <c r="B6" s="255" t="s">
        <v>1022</v>
      </c>
    </row>
    <row r="8" spans="2:7" ht="25.5" x14ac:dyDescent="0.2">
      <c r="B8" s="257" t="s">
        <v>1023</v>
      </c>
      <c r="C8" s="257" t="s">
        <v>1024</v>
      </c>
      <c r="D8" s="257" t="s">
        <v>1025</v>
      </c>
      <c r="E8" s="258" t="s">
        <v>1026</v>
      </c>
      <c r="F8" s="258" t="s">
        <v>1027</v>
      </c>
      <c r="G8" s="258" t="s">
        <v>1028</v>
      </c>
    </row>
    <row r="9" spans="2:7" x14ac:dyDescent="0.2">
      <c r="B9" s="259" t="s">
        <v>702</v>
      </c>
      <c r="C9" s="260" t="s">
        <v>926</v>
      </c>
      <c r="D9" s="261" t="s">
        <v>1029</v>
      </c>
      <c r="E9" s="262">
        <v>757.5</v>
      </c>
      <c r="F9" s="262">
        <v>707.8</v>
      </c>
      <c r="G9" s="263">
        <v>57.961019999999998</v>
      </c>
    </row>
    <row r="10" spans="2:7" x14ac:dyDescent="0.2">
      <c r="B10" s="259" t="s">
        <v>702</v>
      </c>
      <c r="C10" s="260" t="s">
        <v>927</v>
      </c>
      <c r="D10" s="261" t="s">
        <v>1029</v>
      </c>
      <c r="E10" s="262">
        <v>3558.81</v>
      </c>
      <c r="F10" s="262">
        <v>3628.85</v>
      </c>
      <c r="G10" s="263">
        <v>53.701305600000005</v>
      </c>
    </row>
    <row r="11" spans="2:7" x14ac:dyDescent="0.2">
      <c r="B11" s="259" t="s">
        <v>702</v>
      </c>
      <c r="C11" s="260" t="s">
        <v>934</v>
      </c>
      <c r="D11" s="261" t="s">
        <v>1029</v>
      </c>
      <c r="E11" s="262">
        <v>753.24</v>
      </c>
      <c r="F11" s="262">
        <v>751.8</v>
      </c>
      <c r="G11" s="263">
        <v>107.39664</v>
      </c>
    </row>
    <row r="12" spans="2:7" x14ac:dyDescent="0.2">
      <c r="B12" s="259" t="s">
        <v>702</v>
      </c>
      <c r="C12" s="260" t="s">
        <v>925</v>
      </c>
      <c r="D12" s="261" t="s">
        <v>1029</v>
      </c>
      <c r="E12" s="262">
        <v>82.67</v>
      </c>
      <c r="F12" s="262">
        <v>86.15</v>
      </c>
      <c r="G12" s="263">
        <v>51.6043716</v>
      </c>
    </row>
    <row r="13" spans="2:7" x14ac:dyDescent="0.2">
      <c r="B13" s="259" t="s">
        <v>702</v>
      </c>
      <c r="C13" s="260" t="s">
        <v>936</v>
      </c>
      <c r="D13" s="261" t="s">
        <v>1029</v>
      </c>
      <c r="E13" s="262">
        <v>742.84</v>
      </c>
      <c r="F13" s="262">
        <v>761.65</v>
      </c>
      <c r="G13" s="263">
        <v>122.758652</v>
      </c>
    </row>
    <row r="14" spans="2:7" x14ac:dyDescent="0.2">
      <c r="B14" s="259" t="s">
        <v>702</v>
      </c>
      <c r="C14" s="260" t="s">
        <v>1030</v>
      </c>
      <c r="D14" s="261" t="s">
        <v>1029</v>
      </c>
      <c r="E14" s="262">
        <v>474.07</v>
      </c>
      <c r="F14" s="262">
        <v>469.4</v>
      </c>
      <c r="G14" s="263">
        <v>40.894722000000002</v>
      </c>
    </row>
    <row r="15" spans="2:7" x14ac:dyDescent="0.2">
      <c r="B15" s="259" t="s">
        <v>702</v>
      </c>
      <c r="C15" s="260" t="s">
        <v>924</v>
      </c>
      <c r="D15" s="261" t="s">
        <v>1029</v>
      </c>
      <c r="E15" s="262">
        <v>153.1</v>
      </c>
      <c r="F15" s="262">
        <v>152.30000000000001</v>
      </c>
      <c r="G15" s="263">
        <v>40.677525000000003</v>
      </c>
    </row>
    <row r="16" spans="2:7" x14ac:dyDescent="0.2">
      <c r="B16" s="259" t="s">
        <v>702</v>
      </c>
      <c r="C16" s="260" t="s">
        <v>923</v>
      </c>
      <c r="D16" s="261" t="s">
        <v>1029</v>
      </c>
      <c r="E16" s="262">
        <v>690.54</v>
      </c>
      <c r="F16" s="262">
        <v>689.05</v>
      </c>
      <c r="G16" s="263">
        <v>23.670840200000001</v>
      </c>
    </row>
    <row r="17" spans="2:7" x14ac:dyDescent="0.2">
      <c r="B17" s="259" t="s">
        <v>702</v>
      </c>
      <c r="C17" s="260" t="s">
        <v>928</v>
      </c>
      <c r="D17" s="261" t="s">
        <v>1029</v>
      </c>
      <c r="E17" s="262">
        <v>2467.14</v>
      </c>
      <c r="F17" s="262">
        <v>2482.15</v>
      </c>
      <c r="G17" s="263">
        <v>39.443873999999994</v>
      </c>
    </row>
    <row r="18" spans="2:7" x14ac:dyDescent="0.2">
      <c r="B18" s="259" t="s">
        <v>702</v>
      </c>
      <c r="C18" s="260" t="s">
        <v>932</v>
      </c>
      <c r="D18" s="261" t="s">
        <v>1029</v>
      </c>
      <c r="E18" s="262">
        <v>635.79</v>
      </c>
      <c r="F18" s="262">
        <v>633.6</v>
      </c>
      <c r="G18" s="263">
        <v>89.34</v>
      </c>
    </row>
    <row r="19" spans="2:7" x14ac:dyDescent="0.2">
      <c r="B19" s="259" t="s">
        <v>702</v>
      </c>
      <c r="C19" s="260" t="s">
        <v>935</v>
      </c>
      <c r="D19" s="261" t="s">
        <v>1029</v>
      </c>
      <c r="E19" s="262">
        <v>535.51</v>
      </c>
      <c r="F19" s="262">
        <v>560.25</v>
      </c>
      <c r="G19" s="263">
        <v>98.774496799999994</v>
      </c>
    </row>
    <row r="20" spans="2:7" x14ac:dyDescent="0.2">
      <c r="B20" s="259" t="s">
        <v>702</v>
      </c>
      <c r="C20" s="260" t="s">
        <v>1031</v>
      </c>
      <c r="D20" s="261" t="s">
        <v>1029</v>
      </c>
      <c r="E20" s="262">
        <v>205.41</v>
      </c>
      <c r="F20" s="262">
        <v>203.45</v>
      </c>
      <c r="G20" s="263">
        <v>21.29316</v>
      </c>
    </row>
    <row r="21" spans="2:7" x14ac:dyDescent="0.2">
      <c r="B21" s="259" t="s">
        <v>702</v>
      </c>
      <c r="C21" s="260" t="s">
        <v>933</v>
      </c>
      <c r="D21" s="261" t="s">
        <v>1029</v>
      </c>
      <c r="E21" s="262">
        <v>393.03</v>
      </c>
      <c r="F21" s="262">
        <v>398.55</v>
      </c>
      <c r="G21" s="263">
        <v>123.78532679999999</v>
      </c>
    </row>
    <row r="22" spans="2:7" x14ac:dyDescent="0.2">
      <c r="B22" s="264" t="s">
        <v>702</v>
      </c>
      <c r="C22" s="265" t="s">
        <v>931</v>
      </c>
      <c r="D22" s="261" t="s">
        <v>1029</v>
      </c>
      <c r="E22" s="262">
        <v>467.04</v>
      </c>
      <c r="F22" s="262">
        <v>471.05</v>
      </c>
      <c r="G22" s="263">
        <v>103.52646</v>
      </c>
    </row>
    <row r="23" spans="2:7" x14ac:dyDescent="0.2">
      <c r="B23" s="259" t="s">
        <v>702</v>
      </c>
      <c r="C23" s="266" t="s">
        <v>929</v>
      </c>
      <c r="D23" s="261" t="s">
        <v>1029</v>
      </c>
      <c r="E23" s="262">
        <v>237.98</v>
      </c>
      <c r="F23" s="262">
        <v>242.6</v>
      </c>
      <c r="G23" s="263">
        <v>88.138050000000007</v>
      </c>
    </row>
    <row r="24" spans="2:7" x14ac:dyDescent="0.2">
      <c r="B24" s="259" t="s">
        <v>702</v>
      </c>
      <c r="C24" s="266" t="s">
        <v>930</v>
      </c>
      <c r="D24" s="261" t="s">
        <v>1029</v>
      </c>
      <c r="E24" s="262">
        <v>29785.66</v>
      </c>
      <c r="F24" s="262">
        <v>29610</v>
      </c>
      <c r="G24" s="263">
        <v>62.138725000000001</v>
      </c>
    </row>
    <row r="25" spans="2:7" x14ac:dyDescent="0.2">
      <c r="B25" s="259" t="s">
        <v>702</v>
      </c>
      <c r="C25" s="267" t="s">
        <v>954</v>
      </c>
      <c r="D25" s="261" t="s">
        <v>1029</v>
      </c>
      <c r="E25" s="262">
        <v>2225.11</v>
      </c>
      <c r="F25" s="262">
        <v>2116.4499999999998</v>
      </c>
      <c r="G25" s="263">
        <v>116.88394</v>
      </c>
    </row>
    <row r="26" spans="2:7" x14ac:dyDescent="0.2">
      <c r="B26" s="259" t="s">
        <v>702</v>
      </c>
      <c r="C26" s="267" t="s">
        <v>953</v>
      </c>
      <c r="D26" s="261" t="s">
        <v>1029</v>
      </c>
      <c r="E26" s="262">
        <v>418.44</v>
      </c>
      <c r="F26" s="262">
        <v>421</v>
      </c>
      <c r="G26" s="263">
        <v>199.22624999999999</v>
      </c>
    </row>
    <row r="27" spans="2:7" x14ac:dyDescent="0.2">
      <c r="B27" s="259" t="s">
        <v>702</v>
      </c>
      <c r="C27" s="267" t="s">
        <v>951</v>
      </c>
      <c r="D27" s="261" t="s">
        <v>1029</v>
      </c>
      <c r="E27" s="262">
        <v>248.32</v>
      </c>
      <c r="F27" s="262">
        <v>264.10000000000002</v>
      </c>
      <c r="G27" s="263">
        <v>57.178570000000001</v>
      </c>
    </row>
    <row r="28" spans="2:7" x14ac:dyDescent="0.2">
      <c r="B28" s="259" t="s">
        <v>810</v>
      </c>
      <c r="C28" s="268" t="s">
        <v>926</v>
      </c>
      <c r="D28" s="261" t="s">
        <v>1029</v>
      </c>
      <c r="E28" s="262">
        <v>757.18</v>
      </c>
      <c r="F28" s="262">
        <v>707.8</v>
      </c>
      <c r="G28" s="263">
        <v>57.961019999999998</v>
      </c>
    </row>
    <row r="29" spans="2:7" x14ac:dyDescent="0.2">
      <c r="B29" s="259" t="s">
        <v>810</v>
      </c>
      <c r="C29" s="268" t="s">
        <v>934</v>
      </c>
      <c r="D29" s="261" t="s">
        <v>1029</v>
      </c>
      <c r="E29" s="262">
        <v>741.55</v>
      </c>
      <c r="F29" s="262">
        <v>751.8</v>
      </c>
      <c r="G29" s="263">
        <v>153.040212</v>
      </c>
    </row>
    <row r="30" spans="2:7" x14ac:dyDescent="0.2">
      <c r="B30" s="259" t="s">
        <v>810</v>
      </c>
      <c r="C30" s="268" t="s">
        <v>952</v>
      </c>
      <c r="D30" s="261" t="s">
        <v>1029</v>
      </c>
      <c r="E30" s="262">
        <v>4081.95</v>
      </c>
      <c r="F30" s="262">
        <v>4017.95</v>
      </c>
      <c r="G30" s="263">
        <v>97.151426999999998</v>
      </c>
    </row>
    <row r="31" spans="2:7" x14ac:dyDescent="0.2">
      <c r="B31" s="259" t="s">
        <v>810</v>
      </c>
      <c r="C31" s="268" t="s">
        <v>939</v>
      </c>
      <c r="D31" s="261" t="s">
        <v>1029</v>
      </c>
      <c r="E31" s="262">
        <v>536.94000000000005</v>
      </c>
      <c r="F31" s="262">
        <v>528.15</v>
      </c>
      <c r="G31" s="263">
        <v>322.29118600000004</v>
      </c>
    </row>
    <row r="32" spans="2:7" x14ac:dyDescent="0.2">
      <c r="B32" s="259" t="s">
        <v>810</v>
      </c>
      <c r="C32" s="268" t="s">
        <v>947</v>
      </c>
      <c r="D32" s="261" t="s">
        <v>1029</v>
      </c>
      <c r="E32" s="262">
        <v>5326.74</v>
      </c>
      <c r="F32" s="262">
        <v>5416.25</v>
      </c>
      <c r="G32" s="263">
        <v>202.52974399999999</v>
      </c>
    </row>
    <row r="33" spans="2:8" x14ac:dyDescent="0.2">
      <c r="B33" s="259" t="s">
        <v>810</v>
      </c>
      <c r="C33" s="268" t="s">
        <v>943</v>
      </c>
      <c r="D33" s="261" t="s">
        <v>1029</v>
      </c>
      <c r="E33" s="262">
        <v>2520.73</v>
      </c>
      <c r="F33" s="262">
        <v>2489.4499999999998</v>
      </c>
      <c r="G33" s="263">
        <v>327.36429100000004</v>
      </c>
      <c r="H33" s="269"/>
    </row>
    <row r="34" spans="2:8" x14ac:dyDescent="0.2">
      <c r="B34" s="259" t="s">
        <v>810</v>
      </c>
      <c r="C34" s="268" t="s">
        <v>923</v>
      </c>
      <c r="D34" s="261" t="s">
        <v>1029</v>
      </c>
      <c r="E34" s="262">
        <v>721.57</v>
      </c>
      <c r="F34" s="262">
        <v>689.05</v>
      </c>
      <c r="G34" s="263">
        <v>153.8604613</v>
      </c>
      <c r="H34" s="269"/>
    </row>
    <row r="35" spans="2:8" x14ac:dyDescent="0.2">
      <c r="B35" s="259" t="s">
        <v>810</v>
      </c>
      <c r="C35" s="268" t="s">
        <v>932</v>
      </c>
      <c r="D35" s="261" t="s">
        <v>1029</v>
      </c>
      <c r="E35" s="262">
        <v>633.4</v>
      </c>
      <c r="F35" s="262">
        <v>633.6</v>
      </c>
      <c r="G35" s="263">
        <v>786.19200000000001</v>
      </c>
      <c r="H35" s="269"/>
    </row>
    <row r="36" spans="2:8" x14ac:dyDescent="0.2">
      <c r="B36" s="259" t="s">
        <v>810</v>
      </c>
      <c r="C36" s="268" t="s">
        <v>949</v>
      </c>
      <c r="D36" s="261" t="s">
        <v>1029</v>
      </c>
      <c r="E36" s="262">
        <v>519.12</v>
      </c>
      <c r="F36" s="262">
        <v>531.75</v>
      </c>
      <c r="G36" s="263">
        <v>263.45549999999997</v>
      </c>
      <c r="H36" s="269"/>
    </row>
    <row r="37" spans="2:8" x14ac:dyDescent="0.2">
      <c r="B37" s="259" t="s">
        <v>810</v>
      </c>
      <c r="C37" s="268" t="s">
        <v>941</v>
      </c>
      <c r="D37" s="261" t="s">
        <v>1029</v>
      </c>
      <c r="E37" s="262">
        <v>672.24</v>
      </c>
      <c r="F37" s="262">
        <v>664.5</v>
      </c>
      <c r="G37" s="263">
        <v>396.08371200000005</v>
      </c>
      <c r="H37" s="269"/>
    </row>
    <row r="38" spans="2:8" x14ac:dyDescent="0.2">
      <c r="B38" s="259" t="s">
        <v>810</v>
      </c>
      <c r="C38" s="268" t="s">
        <v>950</v>
      </c>
      <c r="D38" s="261" t="s">
        <v>1029</v>
      </c>
      <c r="E38" s="262">
        <v>15807.81</v>
      </c>
      <c r="F38" s="262">
        <v>15752.15</v>
      </c>
      <c r="G38" s="263">
        <v>501.93250499999999</v>
      </c>
      <c r="H38" s="269"/>
    </row>
    <row r="39" spans="2:8" x14ac:dyDescent="0.2">
      <c r="B39" s="259" t="s">
        <v>810</v>
      </c>
      <c r="C39" s="268" t="s">
        <v>948</v>
      </c>
      <c r="D39" s="261" t="s">
        <v>1029</v>
      </c>
      <c r="E39" s="262">
        <v>2150.83</v>
      </c>
      <c r="F39" s="262">
        <v>2163.35</v>
      </c>
      <c r="G39" s="263">
        <v>221.11938409999999</v>
      </c>
      <c r="H39" s="269"/>
    </row>
    <row r="40" spans="2:8" x14ac:dyDescent="0.2">
      <c r="B40" s="259" t="s">
        <v>810</v>
      </c>
      <c r="C40" s="268" t="s">
        <v>944</v>
      </c>
      <c r="D40" s="261" t="s">
        <v>1029</v>
      </c>
      <c r="E40" s="262">
        <v>42.05</v>
      </c>
      <c r="F40" s="262">
        <v>42.45</v>
      </c>
      <c r="G40" s="270">
        <v>195.65216000000001</v>
      </c>
      <c r="H40" s="269"/>
    </row>
    <row r="41" spans="2:8" x14ac:dyDescent="0.2">
      <c r="B41" s="259" t="s">
        <v>810</v>
      </c>
      <c r="C41" s="268" t="s">
        <v>954</v>
      </c>
      <c r="D41" s="261" t="s">
        <v>1029</v>
      </c>
      <c r="E41" s="262">
        <v>2170.4699999999998</v>
      </c>
      <c r="F41" s="262">
        <v>2116.4499999999998</v>
      </c>
      <c r="G41" s="270">
        <v>420.78218399999997</v>
      </c>
      <c r="H41" s="269"/>
    </row>
    <row r="42" spans="2:8" x14ac:dyDescent="0.2">
      <c r="B42" s="259" t="s">
        <v>810</v>
      </c>
      <c r="C42" s="268" t="s">
        <v>945</v>
      </c>
      <c r="D42" s="261" t="s">
        <v>1029</v>
      </c>
      <c r="E42" s="262">
        <v>130.57</v>
      </c>
      <c r="F42" s="262">
        <v>130.80000000000001</v>
      </c>
      <c r="G42" s="270">
        <v>468.87288000000001</v>
      </c>
      <c r="H42" s="269"/>
    </row>
    <row r="43" spans="2:8" x14ac:dyDescent="0.2">
      <c r="B43" s="259" t="s">
        <v>810</v>
      </c>
      <c r="C43" s="268" t="s">
        <v>953</v>
      </c>
      <c r="D43" s="261" t="s">
        <v>1029</v>
      </c>
      <c r="E43" s="262">
        <v>426.43</v>
      </c>
      <c r="F43" s="262">
        <v>421</v>
      </c>
      <c r="G43" s="270">
        <v>664.08749999999998</v>
      </c>
      <c r="H43" s="269"/>
    </row>
    <row r="44" spans="2:8" x14ac:dyDescent="0.2">
      <c r="B44" s="259" t="s">
        <v>810</v>
      </c>
      <c r="C44" s="268" t="s">
        <v>946</v>
      </c>
      <c r="D44" s="261" t="s">
        <v>1029</v>
      </c>
      <c r="E44" s="262">
        <v>3281.31</v>
      </c>
      <c r="F44" s="262">
        <v>3351.3</v>
      </c>
      <c r="G44" s="270">
        <v>219.36267599999996</v>
      </c>
      <c r="H44" s="271"/>
    </row>
    <row r="45" spans="2:8" x14ac:dyDescent="0.2">
      <c r="B45" s="259" t="s">
        <v>810</v>
      </c>
      <c r="C45" s="268" t="s">
        <v>942</v>
      </c>
      <c r="D45" s="261" t="s">
        <v>1029</v>
      </c>
      <c r="E45" s="262">
        <v>1062.5</v>
      </c>
      <c r="F45" s="262">
        <v>1070.2</v>
      </c>
      <c r="G45" s="270">
        <v>221.16586800000002</v>
      </c>
      <c r="H45" s="269"/>
    </row>
    <row r="46" spans="2:8" x14ac:dyDescent="0.2">
      <c r="B46" s="259" t="s">
        <v>810</v>
      </c>
      <c r="C46" s="260" t="s">
        <v>951</v>
      </c>
      <c r="D46" s="261" t="s">
        <v>1029</v>
      </c>
      <c r="E46" s="262">
        <v>247.4</v>
      </c>
      <c r="F46" s="262">
        <v>264.10000000000002</v>
      </c>
      <c r="G46" s="270">
        <v>48.601784499999994</v>
      </c>
      <c r="H46" s="272"/>
    </row>
    <row r="47" spans="2:8" x14ac:dyDescent="0.2">
      <c r="B47" s="259" t="s">
        <v>716</v>
      </c>
      <c r="C47" s="268" t="s">
        <v>952</v>
      </c>
      <c r="D47" s="261" t="s">
        <v>1029</v>
      </c>
      <c r="E47" s="262">
        <v>4087.99</v>
      </c>
      <c r="F47" s="262">
        <v>4017.95</v>
      </c>
      <c r="G47" s="270">
        <v>28.065967799999999</v>
      </c>
      <c r="H47" s="272"/>
    </row>
    <row r="48" spans="2:8" x14ac:dyDescent="0.2">
      <c r="B48" s="259" t="s">
        <v>716</v>
      </c>
      <c r="C48" s="268" t="s">
        <v>939</v>
      </c>
      <c r="D48" s="261" t="s">
        <v>1029</v>
      </c>
      <c r="E48" s="262">
        <v>531.54</v>
      </c>
      <c r="F48" s="262">
        <v>528.15</v>
      </c>
      <c r="G48" s="270">
        <v>50.888082000000004</v>
      </c>
      <c r="H48" s="272"/>
    </row>
    <row r="49" spans="2:7" x14ac:dyDescent="0.2">
      <c r="B49" s="259" t="s">
        <v>716</v>
      </c>
      <c r="C49" s="268" t="s">
        <v>937</v>
      </c>
      <c r="D49" s="261" t="s">
        <v>1029</v>
      </c>
      <c r="E49" s="262">
        <v>84.8</v>
      </c>
      <c r="F49" s="262">
        <v>86.65</v>
      </c>
      <c r="G49" s="263">
        <v>38.029125000000001</v>
      </c>
    </row>
    <row r="50" spans="2:7" x14ac:dyDescent="0.2">
      <c r="B50" s="259" t="s">
        <v>716</v>
      </c>
      <c r="C50" s="268" t="s">
        <v>943</v>
      </c>
      <c r="D50" s="261" t="s">
        <v>1029</v>
      </c>
      <c r="E50" s="262">
        <v>2537.5300000000002</v>
      </c>
      <c r="F50" s="262">
        <v>2489.4499999999998</v>
      </c>
      <c r="G50" s="263">
        <v>134.79706100000001</v>
      </c>
    </row>
    <row r="51" spans="2:7" x14ac:dyDescent="0.2">
      <c r="B51" s="259" t="s">
        <v>716</v>
      </c>
      <c r="C51" s="268" t="s">
        <v>928</v>
      </c>
      <c r="D51" s="261" t="s">
        <v>1029</v>
      </c>
      <c r="E51" s="262">
        <v>2500.5100000000002</v>
      </c>
      <c r="F51" s="262">
        <v>2482.15</v>
      </c>
      <c r="G51" s="263">
        <v>131.47957999999997</v>
      </c>
    </row>
    <row r="52" spans="2:7" x14ac:dyDescent="0.2">
      <c r="B52" s="259" t="s">
        <v>716</v>
      </c>
      <c r="C52" s="268" t="s">
        <v>932</v>
      </c>
      <c r="D52" s="261" t="s">
        <v>1029</v>
      </c>
      <c r="E52" s="262">
        <v>637.6</v>
      </c>
      <c r="F52" s="262">
        <v>633.6</v>
      </c>
      <c r="G52" s="263">
        <v>89.34</v>
      </c>
    </row>
    <row r="53" spans="2:7" x14ac:dyDescent="0.2">
      <c r="B53" s="259" t="s">
        <v>716</v>
      </c>
      <c r="C53" s="268" t="s">
        <v>933</v>
      </c>
      <c r="D53" s="261" t="s">
        <v>1029</v>
      </c>
      <c r="E53" s="262">
        <v>390.73</v>
      </c>
      <c r="F53" s="262">
        <v>398.55</v>
      </c>
      <c r="G53" s="263">
        <v>82.5235512</v>
      </c>
    </row>
    <row r="54" spans="2:7" x14ac:dyDescent="0.2">
      <c r="B54" s="259" t="s">
        <v>716</v>
      </c>
      <c r="C54" s="268" t="s">
        <v>941</v>
      </c>
      <c r="D54" s="261" t="s">
        <v>1029</v>
      </c>
      <c r="E54" s="262">
        <v>673.15</v>
      </c>
      <c r="F54" s="262">
        <v>664.5</v>
      </c>
      <c r="G54" s="263">
        <v>52.811161599999998</v>
      </c>
    </row>
    <row r="55" spans="2:7" x14ac:dyDescent="0.2">
      <c r="B55" s="259" t="s">
        <v>716</v>
      </c>
      <c r="C55" s="268" t="s">
        <v>954</v>
      </c>
      <c r="D55" s="261" t="s">
        <v>1029</v>
      </c>
      <c r="E55" s="262">
        <v>2204.25</v>
      </c>
      <c r="F55" s="262">
        <v>2116.4499999999998</v>
      </c>
      <c r="G55" s="263">
        <v>46.753575999999995</v>
      </c>
    </row>
    <row r="56" spans="2:7" x14ac:dyDescent="0.2">
      <c r="B56" s="259" t="s">
        <v>716</v>
      </c>
      <c r="C56" s="268" t="s">
        <v>938</v>
      </c>
      <c r="D56" s="261" t="s">
        <v>1029</v>
      </c>
      <c r="E56" s="262">
        <v>759.14</v>
      </c>
      <c r="F56" s="262">
        <v>757.45</v>
      </c>
      <c r="G56" s="263">
        <v>55.215302000000001</v>
      </c>
    </row>
    <row r="57" spans="2:7" x14ac:dyDescent="0.2">
      <c r="B57" s="259" t="s">
        <v>716</v>
      </c>
      <c r="C57" s="268" t="s">
        <v>940</v>
      </c>
      <c r="D57" s="261" t="s">
        <v>1029</v>
      </c>
      <c r="E57" s="262">
        <v>335.9</v>
      </c>
      <c r="F57" s="262">
        <v>340.95</v>
      </c>
      <c r="G57" s="263">
        <v>67.611447200000001</v>
      </c>
    </row>
    <row r="58" spans="2:7" x14ac:dyDescent="0.2">
      <c r="B58" s="259" t="s">
        <v>716</v>
      </c>
      <c r="C58" s="260" t="s">
        <v>942</v>
      </c>
      <c r="D58" s="261" t="s">
        <v>1029</v>
      </c>
      <c r="E58" s="262">
        <v>1049.52</v>
      </c>
      <c r="F58" s="262">
        <v>1070.2</v>
      </c>
      <c r="G58" s="263">
        <v>86.168520000000001</v>
      </c>
    </row>
    <row r="59" spans="2:7" x14ac:dyDescent="0.2">
      <c r="B59" s="273"/>
      <c r="C59" s="274"/>
      <c r="E59" s="275"/>
      <c r="F59" s="275"/>
      <c r="G59" s="275"/>
    </row>
    <row r="61" spans="2:7" x14ac:dyDescent="0.2">
      <c r="B61" s="255" t="s">
        <v>1032</v>
      </c>
    </row>
    <row r="63" spans="2:7" x14ac:dyDescent="0.2">
      <c r="B63" s="276" t="s">
        <v>1023</v>
      </c>
      <c r="C63" s="276" t="s">
        <v>1033</v>
      </c>
    </row>
    <row r="64" spans="2:7" x14ac:dyDescent="0.2">
      <c r="B64" s="259" t="s">
        <v>702</v>
      </c>
      <c r="C64" s="277">
        <v>71.319999999999993</v>
      </c>
    </row>
    <row r="65" spans="2:11" x14ac:dyDescent="0.2">
      <c r="B65" s="259" t="s">
        <v>810</v>
      </c>
      <c r="C65" s="278">
        <v>24.25</v>
      </c>
    </row>
    <row r="66" spans="2:11" x14ac:dyDescent="0.2">
      <c r="B66" s="279" t="s">
        <v>716</v>
      </c>
      <c r="C66" s="277">
        <v>34.880000000000003</v>
      </c>
    </row>
    <row r="68" spans="2:11" x14ac:dyDescent="0.2">
      <c r="B68" s="255" t="s">
        <v>1034</v>
      </c>
    </row>
    <row r="69" spans="2:11" x14ac:dyDescent="0.2">
      <c r="B69" s="255"/>
    </row>
    <row r="70" spans="2:11" ht="63.75" x14ac:dyDescent="0.2">
      <c r="B70" s="257" t="s">
        <v>1023</v>
      </c>
      <c r="C70" s="258" t="s">
        <v>1035</v>
      </c>
      <c r="D70" s="258" t="s">
        <v>1036</v>
      </c>
      <c r="E70" s="258" t="s">
        <v>1037</v>
      </c>
      <c r="F70" s="258" t="s">
        <v>1038</v>
      </c>
      <c r="G70" s="258" t="s">
        <v>1039</v>
      </c>
    </row>
    <row r="71" spans="2:11" ht="15" customHeight="1" x14ac:dyDescent="0.2">
      <c r="B71" s="279" t="s">
        <v>778</v>
      </c>
      <c r="C71" s="280">
        <v>500</v>
      </c>
      <c r="D71" s="280">
        <v>500</v>
      </c>
      <c r="E71" s="270">
        <v>3653.5999000000002</v>
      </c>
      <c r="F71" s="270">
        <v>3563.7611000000002</v>
      </c>
      <c r="G71" s="281">
        <v>-89.838799999999992</v>
      </c>
      <c r="H71" s="282"/>
      <c r="I71" s="283"/>
      <c r="J71" s="284"/>
    </row>
    <row r="72" spans="2:11" ht="15" customHeight="1" x14ac:dyDescent="0.2">
      <c r="B72" s="285" t="s">
        <v>490</v>
      </c>
      <c r="C72" s="286">
        <v>150</v>
      </c>
      <c r="D72" s="286">
        <v>150</v>
      </c>
      <c r="E72" s="287">
        <v>1264.2937999999999</v>
      </c>
      <c r="F72" s="287">
        <v>1229.8857</v>
      </c>
      <c r="G72" s="281">
        <v>-34.408099999999877</v>
      </c>
      <c r="H72" s="282"/>
      <c r="I72" s="283"/>
      <c r="J72" s="284"/>
    </row>
    <row r="73" spans="2:11" ht="15" customHeight="1" x14ac:dyDescent="0.2">
      <c r="B73" s="259" t="s">
        <v>702</v>
      </c>
      <c r="C73" s="280">
        <v>1597</v>
      </c>
      <c r="D73" s="280">
        <v>1597</v>
      </c>
      <c r="E73" s="270">
        <v>13146.693299999999</v>
      </c>
      <c r="F73" s="270">
        <v>12823.659800000001</v>
      </c>
      <c r="G73" s="281">
        <v>-323.03349999999773</v>
      </c>
      <c r="H73" s="282"/>
      <c r="I73" s="283"/>
      <c r="J73" s="284"/>
    </row>
    <row r="74" spans="2:11" ht="15" customHeight="1" x14ac:dyDescent="0.2">
      <c r="B74" s="259" t="s">
        <v>810</v>
      </c>
      <c r="C74" s="286">
        <v>8794</v>
      </c>
      <c r="D74" s="286">
        <v>8794</v>
      </c>
      <c r="E74" s="287">
        <v>77028.656099999993</v>
      </c>
      <c r="F74" s="287">
        <v>73889.275499999989</v>
      </c>
      <c r="G74" s="281">
        <v>-3139.3806000000041</v>
      </c>
      <c r="H74" s="282"/>
      <c r="I74" s="288"/>
      <c r="J74" s="288"/>
      <c r="K74" s="284"/>
    </row>
    <row r="75" spans="2:11" ht="15" customHeight="1" x14ac:dyDescent="0.2">
      <c r="B75" s="279" t="s">
        <v>708</v>
      </c>
      <c r="C75" s="280">
        <v>125</v>
      </c>
      <c r="D75" s="280">
        <v>125</v>
      </c>
      <c r="E75" s="270">
        <v>1028.5071</v>
      </c>
      <c r="F75" s="270">
        <v>1031.2494999999999</v>
      </c>
      <c r="G75" s="281">
        <v>2.7423999999998614</v>
      </c>
      <c r="H75" s="282"/>
      <c r="I75" s="283"/>
      <c r="J75" s="284"/>
    </row>
    <row r="76" spans="2:11" ht="15" customHeight="1" x14ac:dyDescent="0.2">
      <c r="B76" s="259" t="s">
        <v>716</v>
      </c>
      <c r="C76" s="286">
        <v>1324</v>
      </c>
      <c r="D76" s="286">
        <v>1324</v>
      </c>
      <c r="E76" s="287">
        <v>10910.772199999999</v>
      </c>
      <c r="F76" s="287">
        <v>10606.865099999999</v>
      </c>
      <c r="G76" s="281">
        <v>-303.90710000000036</v>
      </c>
      <c r="H76" s="282"/>
      <c r="I76" s="288"/>
      <c r="J76" s="288"/>
    </row>
    <row r="77" spans="2:11" ht="15" hidden="1" customHeight="1" x14ac:dyDescent="0.2">
      <c r="B77" s="285" t="s">
        <v>566</v>
      </c>
      <c r="C77" s="286"/>
      <c r="D77" s="286"/>
      <c r="E77" s="287"/>
      <c r="F77" s="287"/>
      <c r="G77" s="281">
        <f t="shared" ref="G72:G97" si="0">+F77-E77</f>
        <v>0</v>
      </c>
      <c r="H77" s="282"/>
      <c r="I77" s="283"/>
      <c r="J77" s="284"/>
    </row>
    <row r="78" spans="2:11" ht="15" hidden="1" customHeight="1" x14ac:dyDescent="0.2">
      <c r="B78" s="279" t="s">
        <v>812</v>
      </c>
      <c r="C78" s="286"/>
      <c r="D78" s="286"/>
      <c r="E78" s="287"/>
      <c r="F78" s="287"/>
      <c r="G78" s="281">
        <f t="shared" si="0"/>
        <v>0</v>
      </c>
      <c r="H78" s="282"/>
      <c r="I78" s="283"/>
      <c r="J78" s="284"/>
    </row>
    <row r="79" spans="2:11" ht="15" hidden="1" customHeight="1" x14ac:dyDescent="0.2">
      <c r="B79" s="279" t="s">
        <v>296</v>
      </c>
      <c r="C79" s="280"/>
      <c r="D79" s="280"/>
      <c r="E79" s="270"/>
      <c r="F79" s="270"/>
      <c r="G79" s="281">
        <f t="shared" si="0"/>
        <v>0</v>
      </c>
      <c r="H79" s="282"/>
      <c r="I79" s="283"/>
      <c r="J79" s="284"/>
    </row>
    <row r="80" spans="2:11" ht="15" hidden="1" customHeight="1" x14ac:dyDescent="0.2">
      <c r="B80" s="279" t="str">
        <f>B127</f>
        <v>Sundaram Equity Fund</v>
      </c>
      <c r="C80" s="280"/>
      <c r="D80" s="280"/>
      <c r="E80" s="270"/>
      <c r="F80" s="270"/>
      <c r="G80" s="281">
        <f t="shared" si="0"/>
        <v>0</v>
      </c>
      <c r="H80" s="282"/>
      <c r="I80" s="283"/>
      <c r="J80" s="284"/>
    </row>
    <row r="81" spans="2:10" ht="15" hidden="1" customHeight="1" x14ac:dyDescent="0.2">
      <c r="B81" s="279" t="str">
        <f>B144</f>
        <v>Sundaram Small Cap Fund</v>
      </c>
      <c r="C81" s="280"/>
      <c r="D81" s="280"/>
      <c r="E81" s="270"/>
      <c r="F81" s="270"/>
      <c r="G81" s="281">
        <f t="shared" si="0"/>
        <v>0</v>
      </c>
      <c r="H81" s="282"/>
      <c r="I81" s="283"/>
      <c r="J81" s="284"/>
    </row>
    <row r="82" spans="2:10" ht="15" hidden="1" customHeight="1" x14ac:dyDescent="0.2">
      <c r="B82" s="259" t="s">
        <v>1040</v>
      </c>
      <c r="C82" s="286"/>
      <c r="D82" s="286"/>
      <c r="E82" s="287"/>
      <c r="F82" s="287"/>
      <c r="G82" s="281">
        <f t="shared" si="0"/>
        <v>0</v>
      </c>
      <c r="H82" s="282"/>
      <c r="I82" s="283"/>
      <c r="J82" s="284"/>
    </row>
    <row r="83" spans="2:10" ht="15" hidden="1" customHeight="1" x14ac:dyDescent="0.2">
      <c r="B83" s="259" t="s">
        <v>1041</v>
      </c>
      <c r="C83" s="286"/>
      <c r="D83" s="286"/>
      <c r="E83" s="287"/>
      <c r="F83" s="287"/>
      <c r="G83" s="281">
        <f t="shared" si="0"/>
        <v>0</v>
      </c>
      <c r="H83" s="282"/>
      <c r="I83" s="283"/>
      <c r="J83" s="284"/>
    </row>
    <row r="84" spans="2:10" ht="15" hidden="1" customHeight="1" x14ac:dyDescent="0.2">
      <c r="B84" s="259" t="s">
        <v>1042</v>
      </c>
      <c r="C84" s="286"/>
      <c r="D84" s="286"/>
      <c r="E84" s="287"/>
      <c r="F84" s="287"/>
      <c r="G84" s="281">
        <f t="shared" si="0"/>
        <v>0</v>
      </c>
      <c r="H84" s="282"/>
      <c r="I84" s="283"/>
      <c r="J84" s="284"/>
    </row>
    <row r="85" spans="2:10" ht="15" hidden="1" customHeight="1" x14ac:dyDescent="0.2">
      <c r="B85" s="259" t="s">
        <v>1043</v>
      </c>
      <c r="C85" s="286"/>
      <c r="D85" s="286"/>
      <c r="E85" s="287"/>
      <c r="F85" s="287"/>
      <c r="G85" s="281">
        <f t="shared" si="0"/>
        <v>0</v>
      </c>
      <c r="H85" s="282"/>
      <c r="I85" s="283"/>
      <c r="J85" s="284"/>
    </row>
    <row r="86" spans="2:10" ht="15" hidden="1" customHeight="1" x14ac:dyDescent="0.2">
      <c r="B86" s="259" t="s">
        <v>447</v>
      </c>
      <c r="C86" s="286"/>
      <c r="D86" s="286"/>
      <c r="E86" s="287"/>
      <c r="F86" s="287"/>
      <c r="G86" s="281">
        <f t="shared" si="0"/>
        <v>0</v>
      </c>
      <c r="H86" s="282"/>
      <c r="I86" s="283"/>
      <c r="J86" s="284"/>
    </row>
    <row r="87" spans="2:10" ht="15" hidden="1" customHeight="1" x14ac:dyDescent="0.2">
      <c r="B87" s="259" t="s">
        <v>466</v>
      </c>
      <c r="C87" s="286"/>
      <c r="D87" s="286"/>
      <c r="E87" s="287"/>
      <c r="F87" s="287"/>
      <c r="G87" s="281">
        <f t="shared" si="0"/>
        <v>0</v>
      </c>
      <c r="H87" s="282"/>
      <c r="I87" s="283"/>
      <c r="J87" s="284"/>
    </row>
    <row r="88" spans="2:10" ht="15" hidden="1" customHeight="1" x14ac:dyDescent="0.2">
      <c r="B88" s="259" t="s">
        <v>467</v>
      </c>
      <c r="C88" s="286"/>
      <c r="D88" s="286"/>
      <c r="E88" s="287"/>
      <c r="F88" s="287"/>
      <c r="G88" s="281">
        <f t="shared" si="0"/>
        <v>0</v>
      </c>
      <c r="H88" s="282"/>
      <c r="I88" s="283"/>
      <c r="J88" s="284"/>
    </row>
    <row r="89" spans="2:10" ht="15" hidden="1" customHeight="1" x14ac:dyDescent="0.2">
      <c r="B89" s="259" t="s">
        <v>470</v>
      </c>
      <c r="C89" s="286"/>
      <c r="D89" s="286"/>
      <c r="E89" s="287"/>
      <c r="F89" s="287"/>
      <c r="G89" s="281">
        <f t="shared" si="0"/>
        <v>0</v>
      </c>
      <c r="H89" s="282"/>
      <c r="I89" s="283"/>
      <c r="J89" s="284"/>
    </row>
    <row r="90" spans="2:10" ht="15" hidden="1" customHeight="1" x14ac:dyDescent="0.2">
      <c r="B90" s="259" t="s">
        <v>473</v>
      </c>
      <c r="C90" s="286"/>
      <c r="D90" s="286"/>
      <c r="E90" s="287"/>
      <c r="F90" s="287"/>
      <c r="G90" s="281">
        <f t="shared" si="0"/>
        <v>0</v>
      </c>
      <c r="H90" s="282"/>
      <c r="I90" s="283"/>
      <c r="J90" s="284"/>
    </row>
    <row r="91" spans="2:10" ht="15" hidden="1" customHeight="1" x14ac:dyDescent="0.2">
      <c r="B91" s="259" t="s">
        <v>471</v>
      </c>
      <c r="C91" s="286"/>
      <c r="D91" s="286"/>
      <c r="E91" s="287"/>
      <c r="F91" s="287"/>
      <c r="G91" s="281">
        <f t="shared" si="0"/>
        <v>0</v>
      </c>
      <c r="H91" s="282"/>
      <c r="I91" s="283"/>
      <c r="J91" s="284"/>
    </row>
    <row r="92" spans="2:10" ht="15" hidden="1" customHeight="1" x14ac:dyDescent="0.2">
      <c r="B92" s="259" t="s">
        <v>472</v>
      </c>
      <c r="C92" s="286"/>
      <c r="D92" s="286"/>
      <c r="E92" s="287"/>
      <c r="F92" s="287"/>
      <c r="G92" s="281">
        <f t="shared" si="0"/>
        <v>0</v>
      </c>
      <c r="H92" s="282"/>
      <c r="I92" s="283"/>
      <c r="J92" s="284"/>
    </row>
    <row r="93" spans="2:10" ht="15" hidden="1" customHeight="1" x14ac:dyDescent="0.2">
      <c r="B93" s="259" t="s">
        <v>291</v>
      </c>
      <c r="C93" s="286"/>
      <c r="D93" s="286"/>
      <c r="E93" s="287"/>
      <c r="F93" s="287"/>
      <c r="G93" s="281">
        <f t="shared" si="0"/>
        <v>0</v>
      </c>
      <c r="H93" s="282"/>
      <c r="I93" s="283"/>
      <c r="J93" s="284"/>
    </row>
    <row r="94" spans="2:10" ht="15" hidden="1" customHeight="1" x14ac:dyDescent="0.2">
      <c r="B94" s="259" t="s">
        <v>290</v>
      </c>
      <c r="C94" s="286"/>
      <c r="D94" s="286"/>
      <c r="E94" s="287"/>
      <c r="F94" s="287"/>
      <c r="G94" s="281">
        <f t="shared" si="0"/>
        <v>0</v>
      </c>
      <c r="H94" s="282"/>
      <c r="I94" s="283"/>
      <c r="J94" s="284"/>
    </row>
    <row r="95" spans="2:10" ht="15" hidden="1" customHeight="1" x14ac:dyDescent="0.2">
      <c r="B95" s="259" t="s">
        <v>152</v>
      </c>
      <c r="C95" s="286"/>
      <c r="D95" s="286"/>
      <c r="E95" s="287"/>
      <c r="F95" s="287"/>
      <c r="G95" s="281">
        <f t="shared" si="0"/>
        <v>0</v>
      </c>
      <c r="H95" s="282"/>
      <c r="I95" s="283"/>
      <c r="J95" s="284"/>
    </row>
    <row r="96" spans="2:10" ht="15" hidden="1" customHeight="1" x14ac:dyDescent="0.2">
      <c r="B96" s="259" t="s">
        <v>287</v>
      </c>
      <c r="C96" s="286"/>
      <c r="D96" s="286"/>
      <c r="E96" s="287"/>
      <c r="F96" s="287"/>
      <c r="G96" s="281">
        <f t="shared" si="0"/>
        <v>0</v>
      </c>
      <c r="H96" s="282"/>
      <c r="I96" s="283"/>
      <c r="J96" s="284"/>
    </row>
    <row r="97" spans="2:12" ht="15" hidden="1" customHeight="1" x14ac:dyDescent="0.2">
      <c r="B97" s="259" t="s">
        <v>1044</v>
      </c>
      <c r="C97" s="286"/>
      <c r="D97" s="286"/>
      <c r="E97" s="287"/>
      <c r="F97" s="287"/>
      <c r="G97" s="281">
        <f t="shared" si="0"/>
        <v>0</v>
      </c>
      <c r="H97" s="282"/>
      <c r="I97" s="283"/>
      <c r="J97" s="284"/>
    </row>
    <row r="98" spans="2:12" ht="15" customHeight="1" x14ac:dyDescent="0.2">
      <c r="H98" s="282"/>
      <c r="I98" s="283"/>
      <c r="J98" s="284"/>
    </row>
    <row r="99" spans="2:12" ht="15" customHeight="1" x14ac:dyDescent="0.2">
      <c r="E99" s="284"/>
      <c r="F99" s="284"/>
      <c r="H99" s="282"/>
      <c r="I99" s="283"/>
      <c r="J99" s="284"/>
    </row>
    <row r="100" spans="2:12" x14ac:dyDescent="0.2">
      <c r="B100" s="255" t="s">
        <v>1045</v>
      </c>
      <c r="F100" s="284"/>
      <c r="G100" s="283"/>
      <c r="H100" s="282"/>
      <c r="I100" s="283"/>
      <c r="L100" s="282"/>
    </row>
    <row r="101" spans="2:12" x14ac:dyDescent="0.2">
      <c r="H101" s="289"/>
      <c r="L101" s="283"/>
    </row>
    <row r="102" spans="2:12" ht="25.5" x14ac:dyDescent="0.2">
      <c r="B102" s="257" t="s">
        <v>1023</v>
      </c>
      <c r="C102" s="257" t="s">
        <v>1024</v>
      </c>
      <c r="D102" s="257" t="s">
        <v>1025</v>
      </c>
      <c r="E102" s="258" t="s">
        <v>1026</v>
      </c>
      <c r="F102" s="258" t="s">
        <v>1027</v>
      </c>
      <c r="G102" s="258" t="s">
        <v>1046</v>
      </c>
    </row>
    <row r="103" spans="2:12" x14ac:dyDescent="0.2">
      <c r="B103" s="261" t="s">
        <v>1047</v>
      </c>
      <c r="C103" s="261" t="s">
        <v>1047</v>
      </c>
      <c r="D103" s="261" t="s">
        <v>1047</v>
      </c>
      <c r="E103" s="261" t="s">
        <v>1047</v>
      </c>
      <c r="F103" s="261" t="s">
        <v>1047</v>
      </c>
      <c r="G103" s="261" t="s">
        <v>1047</v>
      </c>
    </row>
    <row r="104" spans="2:12" x14ac:dyDescent="0.2">
      <c r="D104" s="290"/>
      <c r="E104" s="291"/>
      <c r="F104" s="291"/>
      <c r="G104" s="291"/>
      <c r="I104" s="283"/>
    </row>
    <row r="105" spans="2:12" x14ac:dyDescent="0.2">
      <c r="C105" s="292"/>
      <c r="D105" s="293"/>
      <c r="E105" s="294"/>
      <c r="F105" s="295"/>
      <c r="G105" s="295"/>
      <c r="I105" s="283"/>
    </row>
    <row r="106" spans="2:12" x14ac:dyDescent="0.2">
      <c r="B106" s="255" t="s">
        <v>1048</v>
      </c>
      <c r="I106" s="283"/>
    </row>
    <row r="107" spans="2:12" x14ac:dyDescent="0.2">
      <c r="I107" s="283"/>
      <c r="L107" s="284"/>
    </row>
    <row r="108" spans="2:12" x14ac:dyDescent="0.2">
      <c r="B108" s="276" t="s">
        <v>1023</v>
      </c>
      <c r="C108" s="276" t="s">
        <v>1033</v>
      </c>
    </row>
    <row r="109" spans="2:12" x14ac:dyDescent="0.2">
      <c r="B109" s="261" t="s">
        <v>1047</v>
      </c>
      <c r="C109" s="261" t="s">
        <v>1047</v>
      </c>
    </row>
    <row r="110" spans="2:12" x14ac:dyDescent="0.2">
      <c r="B110" s="296"/>
      <c r="C110" s="297"/>
    </row>
    <row r="111" spans="2:12" x14ac:dyDescent="0.2">
      <c r="B111" s="296"/>
      <c r="C111" s="297"/>
    </row>
    <row r="112" spans="2:12" x14ac:dyDescent="0.2">
      <c r="B112" s="255" t="s">
        <v>1049</v>
      </c>
    </row>
    <row r="113" spans="2:9" x14ac:dyDescent="0.2">
      <c r="B113" s="255"/>
    </row>
    <row r="114" spans="2:9" ht="63.75" x14ac:dyDescent="0.2">
      <c r="B114" s="257" t="s">
        <v>1023</v>
      </c>
      <c r="C114" s="258" t="s">
        <v>1035</v>
      </c>
      <c r="D114" s="258" t="s">
        <v>1036</v>
      </c>
      <c r="E114" s="258" t="s">
        <v>1037</v>
      </c>
      <c r="F114" s="258" t="s">
        <v>1050</v>
      </c>
      <c r="G114" s="258" t="s">
        <v>1051</v>
      </c>
    </row>
    <row r="115" spans="2:9" ht="15" customHeight="1" x14ac:dyDescent="0.2">
      <c r="B115" s="259" t="s">
        <v>1</v>
      </c>
      <c r="C115" s="286">
        <v>186</v>
      </c>
      <c r="D115" s="286">
        <v>186</v>
      </c>
      <c r="E115" s="287">
        <v>1514.4937</v>
      </c>
      <c r="F115" s="287">
        <v>1546.2087999999999</v>
      </c>
      <c r="G115" s="298">
        <v>31.715099999999893</v>
      </c>
      <c r="H115" s="282"/>
      <c r="I115" s="283"/>
    </row>
    <row r="116" spans="2:9" hidden="1" x14ac:dyDescent="0.2">
      <c r="B116" s="279" t="s">
        <v>778</v>
      </c>
      <c r="C116" s="278"/>
      <c r="D116" s="278"/>
      <c r="E116" s="299"/>
      <c r="F116" s="299"/>
      <c r="G116" s="298">
        <v>0</v>
      </c>
    </row>
    <row r="117" spans="2:9" hidden="1" x14ac:dyDescent="0.2">
      <c r="B117" s="279" t="s">
        <v>490</v>
      </c>
      <c r="C117" s="278"/>
      <c r="D117" s="278"/>
      <c r="E117" s="299"/>
      <c r="F117" s="299"/>
      <c r="G117" s="298">
        <v>0</v>
      </c>
    </row>
    <row r="118" spans="2:9" ht="15" hidden="1" customHeight="1" x14ac:dyDescent="0.2">
      <c r="B118" s="259" t="s">
        <v>702</v>
      </c>
      <c r="C118" s="300"/>
      <c r="D118" s="300"/>
      <c r="E118" s="299"/>
      <c r="F118" s="299"/>
      <c r="G118" s="298">
        <v>0</v>
      </c>
      <c r="H118" s="301"/>
      <c r="I118" s="302"/>
    </row>
    <row r="119" spans="2:9" x14ac:dyDescent="0.2">
      <c r="B119" s="259" t="s">
        <v>810</v>
      </c>
      <c r="C119" s="300">
        <v>882</v>
      </c>
      <c r="D119" s="300">
        <v>882</v>
      </c>
      <c r="E119" s="299">
        <v>7504.7530999999999</v>
      </c>
      <c r="F119" s="299">
        <v>7492.5199999999995</v>
      </c>
      <c r="G119" s="298">
        <v>-12.233100000000377</v>
      </c>
      <c r="H119" s="282"/>
      <c r="I119" s="283"/>
    </row>
    <row r="120" spans="2:9" x14ac:dyDescent="0.2">
      <c r="B120" s="279" t="s">
        <v>778</v>
      </c>
      <c r="C120" s="300">
        <v>660</v>
      </c>
      <c r="D120" s="300">
        <v>660</v>
      </c>
      <c r="E120" s="299">
        <v>5131.2337331999997</v>
      </c>
      <c r="F120" s="299">
        <v>4978.7044343999996</v>
      </c>
      <c r="G120" s="298">
        <v>-152.52929880000011</v>
      </c>
      <c r="H120" s="282"/>
      <c r="I120" s="283"/>
    </row>
    <row r="121" spans="2:9" x14ac:dyDescent="0.2">
      <c r="B121" s="285" t="s">
        <v>490</v>
      </c>
      <c r="C121" s="278">
        <v>250</v>
      </c>
      <c r="D121" s="278">
        <v>250</v>
      </c>
      <c r="E121" s="299">
        <v>1517.3780769</v>
      </c>
      <c r="F121" s="299">
        <v>1594.5</v>
      </c>
      <c r="G121" s="298">
        <v>77.121923100000004</v>
      </c>
      <c r="H121" s="282"/>
    </row>
    <row r="122" spans="2:9" s="255" customFormat="1" x14ac:dyDescent="0.2">
      <c r="B122" s="285" t="s">
        <v>566</v>
      </c>
      <c r="C122" s="286">
        <v>50</v>
      </c>
      <c r="D122" s="286">
        <v>50</v>
      </c>
      <c r="E122" s="287">
        <v>495.94999039999999</v>
      </c>
      <c r="F122" s="287">
        <v>530.76250000000005</v>
      </c>
      <c r="G122" s="298">
        <v>34.812509600000055</v>
      </c>
      <c r="H122" s="282"/>
      <c r="I122" s="303"/>
    </row>
    <row r="123" spans="2:9" x14ac:dyDescent="0.2">
      <c r="B123" s="279" t="s">
        <v>812</v>
      </c>
      <c r="C123" s="278">
        <v>1650</v>
      </c>
      <c r="D123" s="278">
        <v>1650</v>
      </c>
      <c r="E123" s="299">
        <v>11599.911244200001</v>
      </c>
      <c r="F123" s="299">
        <v>12029.942695899999</v>
      </c>
      <c r="G123" s="298">
        <v>430.0314516999988</v>
      </c>
      <c r="H123" s="282"/>
    </row>
    <row r="124" spans="2:9" x14ac:dyDescent="0.2">
      <c r="B124" s="285" t="s">
        <v>708</v>
      </c>
      <c r="C124" s="300">
        <v>200</v>
      </c>
      <c r="D124" s="300">
        <v>200</v>
      </c>
      <c r="E124" s="299">
        <v>1212.3756036</v>
      </c>
      <c r="F124" s="299">
        <v>1275.5999999999999</v>
      </c>
      <c r="G124" s="298">
        <v>63.224396399999932</v>
      </c>
      <c r="H124" s="282"/>
      <c r="I124" s="304"/>
    </row>
    <row r="125" spans="2:9" x14ac:dyDescent="0.2">
      <c r="B125" s="305" t="s">
        <v>581</v>
      </c>
      <c r="C125" s="300">
        <v>200</v>
      </c>
      <c r="D125" s="300">
        <v>200</v>
      </c>
      <c r="E125" s="299">
        <v>3074.3</v>
      </c>
      <c r="F125" s="299">
        <v>3083.01</v>
      </c>
      <c r="G125" s="298">
        <v>8.7100000000000364</v>
      </c>
      <c r="H125" s="282"/>
    </row>
    <row r="126" spans="2:9" hidden="1" x14ac:dyDescent="0.2">
      <c r="B126" s="279" t="s">
        <v>812</v>
      </c>
      <c r="C126" s="300"/>
      <c r="D126" s="300"/>
      <c r="E126" s="299"/>
      <c r="F126" s="299"/>
      <c r="G126" s="298">
        <v>0</v>
      </c>
      <c r="H126" s="282"/>
      <c r="I126" s="283"/>
    </row>
    <row r="127" spans="2:9" s="255" customFormat="1" x14ac:dyDescent="0.2">
      <c r="B127" s="259" t="s">
        <v>709</v>
      </c>
      <c r="C127" s="286">
        <v>808</v>
      </c>
      <c r="D127" s="286">
        <v>808</v>
      </c>
      <c r="E127" s="287">
        <v>6441.5020000000004</v>
      </c>
      <c r="F127" s="287">
        <v>6415.01</v>
      </c>
      <c r="G127" s="298">
        <v>-26.492000000000189</v>
      </c>
      <c r="H127" s="282"/>
      <c r="I127" s="303"/>
    </row>
    <row r="128" spans="2:9" s="255" customFormat="1" hidden="1" x14ac:dyDescent="0.2">
      <c r="B128" s="259" t="s">
        <v>726</v>
      </c>
      <c r="C128" s="286"/>
      <c r="D128" s="286"/>
      <c r="E128" s="287"/>
      <c r="F128" s="287"/>
      <c r="G128" s="298">
        <f t="shared" ref="G115:G144" si="1">+F128-E128</f>
        <v>0</v>
      </c>
      <c r="H128" s="301"/>
      <c r="I128" s="303"/>
    </row>
    <row r="129" spans="2:9" hidden="1" x14ac:dyDescent="0.2">
      <c r="B129" s="259" t="s">
        <v>472</v>
      </c>
      <c r="C129" s="286"/>
      <c r="D129" s="286"/>
      <c r="E129" s="287"/>
      <c r="F129" s="287"/>
      <c r="G129" s="298">
        <f t="shared" si="1"/>
        <v>0</v>
      </c>
      <c r="H129" s="282"/>
      <c r="I129" s="283"/>
    </row>
    <row r="130" spans="2:9" hidden="1" x14ac:dyDescent="0.2">
      <c r="B130" s="259" t="s">
        <v>471</v>
      </c>
      <c r="C130" s="286"/>
      <c r="D130" s="286"/>
      <c r="E130" s="287"/>
      <c r="F130" s="287"/>
      <c r="G130" s="298">
        <f t="shared" si="1"/>
        <v>0</v>
      </c>
      <c r="H130" s="282"/>
      <c r="I130" s="283"/>
    </row>
    <row r="131" spans="2:9" hidden="1" x14ac:dyDescent="0.2">
      <c r="B131" s="259" t="s">
        <v>470</v>
      </c>
      <c r="C131" s="286"/>
      <c r="D131" s="286"/>
      <c r="E131" s="287"/>
      <c r="F131" s="287"/>
      <c r="G131" s="298">
        <f t="shared" si="1"/>
        <v>0</v>
      </c>
      <c r="H131" s="282"/>
      <c r="I131" s="283"/>
    </row>
    <row r="132" spans="2:9" hidden="1" x14ac:dyDescent="0.2">
      <c r="B132" s="259" t="s">
        <v>467</v>
      </c>
      <c r="C132" s="286"/>
      <c r="D132" s="286"/>
      <c r="E132" s="287"/>
      <c r="F132" s="287"/>
      <c r="G132" s="298">
        <f t="shared" si="1"/>
        <v>0</v>
      </c>
      <c r="H132" s="282"/>
      <c r="I132" s="283"/>
    </row>
    <row r="133" spans="2:9" hidden="1" x14ac:dyDescent="0.2">
      <c r="B133" s="259" t="s">
        <v>466</v>
      </c>
      <c r="C133" s="286"/>
      <c r="D133" s="286"/>
      <c r="E133" s="287"/>
      <c r="F133" s="287"/>
      <c r="G133" s="298">
        <f t="shared" si="1"/>
        <v>0</v>
      </c>
      <c r="H133" s="282"/>
      <c r="I133" s="283"/>
    </row>
    <row r="134" spans="2:9" hidden="1" x14ac:dyDescent="0.2">
      <c r="B134" s="259" t="s">
        <v>447</v>
      </c>
      <c r="C134" s="286"/>
      <c r="D134" s="286"/>
      <c r="E134" s="287"/>
      <c r="F134" s="287"/>
      <c r="G134" s="298">
        <f t="shared" si="1"/>
        <v>0</v>
      </c>
      <c r="H134" s="282"/>
      <c r="I134" s="283"/>
    </row>
    <row r="135" spans="2:9" hidden="1" x14ac:dyDescent="0.2">
      <c r="B135" s="259" t="s">
        <v>397</v>
      </c>
      <c r="C135" s="286"/>
      <c r="D135" s="286"/>
      <c r="E135" s="287"/>
      <c r="F135" s="287"/>
      <c r="G135" s="298">
        <f t="shared" si="1"/>
        <v>0</v>
      </c>
      <c r="H135" s="282"/>
      <c r="I135" s="283"/>
    </row>
    <row r="136" spans="2:9" hidden="1" x14ac:dyDescent="0.2">
      <c r="B136" s="259" t="s">
        <v>776</v>
      </c>
      <c r="C136" s="286"/>
      <c r="D136" s="286"/>
      <c r="E136" s="287"/>
      <c r="F136" s="287"/>
      <c r="G136" s="298">
        <f t="shared" si="1"/>
        <v>0</v>
      </c>
      <c r="H136" s="282"/>
      <c r="I136" s="283"/>
    </row>
    <row r="137" spans="2:9" hidden="1" x14ac:dyDescent="0.2">
      <c r="B137" s="259" t="s">
        <v>1041</v>
      </c>
      <c r="C137" s="286"/>
      <c r="D137" s="286"/>
      <c r="E137" s="287"/>
      <c r="F137" s="287"/>
      <c r="G137" s="298">
        <f t="shared" si="1"/>
        <v>0</v>
      </c>
      <c r="H137" s="282"/>
      <c r="I137" s="283"/>
    </row>
    <row r="138" spans="2:9" hidden="1" x14ac:dyDescent="0.2">
      <c r="B138" s="259" t="s">
        <v>1040</v>
      </c>
      <c r="C138" s="286"/>
      <c r="D138" s="286"/>
      <c r="E138" s="287"/>
      <c r="F138" s="287"/>
      <c r="G138" s="298">
        <f t="shared" si="1"/>
        <v>0</v>
      </c>
      <c r="H138" s="282"/>
      <c r="I138" s="283"/>
    </row>
    <row r="139" spans="2:9" hidden="1" x14ac:dyDescent="0.2">
      <c r="B139" s="259" t="s">
        <v>291</v>
      </c>
      <c r="C139" s="286"/>
      <c r="D139" s="286"/>
      <c r="E139" s="287"/>
      <c r="F139" s="287"/>
      <c r="G139" s="298">
        <f t="shared" si="1"/>
        <v>0</v>
      </c>
      <c r="H139" s="282"/>
      <c r="I139" s="283"/>
    </row>
    <row r="140" spans="2:9" hidden="1" x14ac:dyDescent="0.2">
      <c r="B140" s="259" t="s">
        <v>290</v>
      </c>
      <c r="C140" s="286"/>
      <c r="D140" s="286"/>
      <c r="E140" s="287"/>
      <c r="F140" s="287"/>
      <c r="G140" s="298">
        <f t="shared" si="1"/>
        <v>0</v>
      </c>
      <c r="H140" s="282"/>
      <c r="I140" s="283"/>
    </row>
    <row r="141" spans="2:9" hidden="1" x14ac:dyDescent="0.2">
      <c r="B141" s="259" t="s">
        <v>1042</v>
      </c>
      <c r="C141" s="286"/>
      <c r="D141" s="286"/>
      <c r="E141" s="287"/>
      <c r="F141" s="287"/>
      <c r="G141" s="298">
        <f t="shared" si="1"/>
        <v>0</v>
      </c>
      <c r="H141" s="282"/>
      <c r="I141" s="283"/>
    </row>
    <row r="142" spans="2:9" hidden="1" x14ac:dyDescent="0.2">
      <c r="B142" s="259" t="s">
        <v>1043</v>
      </c>
      <c r="C142" s="286"/>
      <c r="D142" s="286"/>
      <c r="E142" s="287"/>
      <c r="F142" s="287"/>
      <c r="G142" s="298">
        <f t="shared" si="1"/>
        <v>0</v>
      </c>
      <c r="H142" s="282"/>
      <c r="I142" s="283"/>
    </row>
    <row r="143" spans="2:9" hidden="1" x14ac:dyDescent="0.2">
      <c r="B143" s="259" t="s">
        <v>1044</v>
      </c>
      <c r="C143" s="286"/>
      <c r="D143" s="286"/>
      <c r="E143" s="287"/>
      <c r="F143" s="287"/>
      <c r="G143" s="298">
        <f t="shared" si="1"/>
        <v>0</v>
      </c>
      <c r="H143" s="282"/>
      <c r="I143" s="283"/>
    </row>
    <row r="144" spans="2:9" hidden="1" x14ac:dyDescent="0.2">
      <c r="B144" s="259" t="s">
        <v>523</v>
      </c>
      <c r="C144" s="286"/>
      <c r="D144" s="286"/>
      <c r="E144" s="287"/>
      <c r="F144" s="287"/>
      <c r="G144" s="298">
        <f t="shared" si="1"/>
        <v>0</v>
      </c>
      <c r="H144" s="282"/>
      <c r="I144" s="283"/>
    </row>
    <row r="145" spans="2:9" ht="15" customHeight="1" x14ac:dyDescent="0.2">
      <c r="H145" s="282"/>
      <c r="I145" s="283"/>
    </row>
    <row r="146" spans="2:9" x14ac:dyDescent="0.2">
      <c r="B146" s="306"/>
      <c r="C146" s="307"/>
      <c r="D146" s="307"/>
      <c r="E146" s="308"/>
      <c r="F146" s="308"/>
      <c r="G146" s="308"/>
      <c r="H146" s="283"/>
    </row>
    <row r="147" spans="2:9" x14ac:dyDescent="0.2">
      <c r="B147" s="255" t="s">
        <v>1052</v>
      </c>
      <c r="D147" s="309"/>
    </row>
    <row r="149" spans="2:9" ht="25.5" x14ac:dyDescent="0.2">
      <c r="B149" s="258" t="s">
        <v>1023</v>
      </c>
      <c r="C149" s="258" t="s">
        <v>1024</v>
      </c>
      <c r="D149" s="258" t="s">
        <v>1053</v>
      </c>
      <c r="E149" s="258" t="s">
        <v>1054</v>
      </c>
      <c r="F149" s="258" t="s">
        <v>1055</v>
      </c>
      <c r="G149" s="258" t="s">
        <v>1056</v>
      </c>
    </row>
    <row r="150" spans="2:9" x14ac:dyDescent="0.2">
      <c r="B150" s="310" t="s">
        <v>1047</v>
      </c>
      <c r="C150" s="310" t="s">
        <v>1047</v>
      </c>
      <c r="D150" s="310" t="s">
        <v>1047</v>
      </c>
      <c r="E150" s="310" t="s">
        <v>1047</v>
      </c>
      <c r="F150" s="310" t="s">
        <v>1047</v>
      </c>
      <c r="G150" s="310" t="s">
        <v>1047</v>
      </c>
    </row>
    <row r="151" spans="2:9" x14ac:dyDescent="0.2">
      <c r="D151" s="309"/>
      <c r="E151" s="309"/>
      <c r="F151" s="311"/>
      <c r="G151" s="311"/>
    </row>
    <row r="152" spans="2:9" x14ac:dyDescent="0.2">
      <c r="D152" s="309"/>
      <c r="E152" s="309"/>
      <c r="F152" s="311"/>
      <c r="G152" s="311"/>
    </row>
    <row r="153" spans="2:9" x14ac:dyDescent="0.2">
      <c r="B153" s="255" t="s">
        <v>1057</v>
      </c>
      <c r="G153" s="254" t="s">
        <v>837</v>
      </c>
    </row>
    <row r="154" spans="2:9" x14ac:dyDescent="0.2">
      <c r="B154" s="255"/>
    </row>
    <row r="155" spans="2:9" x14ac:dyDescent="0.2">
      <c r="B155" s="276" t="s">
        <v>1023</v>
      </c>
      <c r="C155" s="276" t="s">
        <v>1033</v>
      </c>
    </row>
    <row r="156" spans="2:9" x14ac:dyDescent="0.2">
      <c r="B156" s="310" t="s">
        <v>1047</v>
      </c>
      <c r="C156" s="310" t="s">
        <v>1047</v>
      </c>
    </row>
    <row r="157" spans="2:9" x14ac:dyDescent="0.2">
      <c r="C157" s="312"/>
      <c r="D157" s="297"/>
    </row>
    <row r="158" spans="2:9" x14ac:dyDescent="0.2">
      <c r="B158" s="255" t="s">
        <v>1058</v>
      </c>
    </row>
    <row r="160" spans="2:9" ht="38.25" x14ac:dyDescent="0.2">
      <c r="B160" s="257" t="s">
        <v>1023</v>
      </c>
      <c r="C160" s="258" t="s">
        <v>1059</v>
      </c>
      <c r="D160" s="258" t="s">
        <v>1060</v>
      </c>
      <c r="E160" s="258" t="s">
        <v>1061</v>
      </c>
      <c r="F160" s="258" t="s">
        <v>1062</v>
      </c>
    </row>
    <row r="161" spans="2:7" x14ac:dyDescent="0.2">
      <c r="B161" s="305"/>
      <c r="C161" s="310"/>
      <c r="D161" s="313"/>
      <c r="E161" s="298"/>
      <c r="F161" s="298">
        <f>+E161-D161</f>
        <v>0</v>
      </c>
    </row>
    <row r="162" spans="2:7" x14ac:dyDescent="0.2">
      <c r="B162" s="314"/>
      <c r="C162" s="315"/>
      <c r="D162" s="316"/>
      <c r="E162" s="316"/>
      <c r="F162" s="317"/>
    </row>
    <row r="163" spans="2:7" x14ac:dyDescent="0.2">
      <c r="B163" s="314"/>
      <c r="C163" s="315"/>
      <c r="D163" s="316"/>
      <c r="E163" s="316"/>
      <c r="F163" s="317"/>
    </row>
    <row r="165" spans="2:7" x14ac:dyDescent="0.2">
      <c r="B165" s="255" t="s">
        <v>1063</v>
      </c>
    </row>
    <row r="167" spans="2:7" ht="25.5" x14ac:dyDescent="0.2">
      <c r="B167" s="258" t="s">
        <v>1023</v>
      </c>
      <c r="C167" s="258" t="s">
        <v>1024</v>
      </c>
      <c r="D167" s="258" t="s">
        <v>1053</v>
      </c>
      <c r="E167" s="258" t="s">
        <v>1054</v>
      </c>
      <c r="F167" s="258" t="s">
        <v>1055</v>
      </c>
      <c r="G167" s="258" t="s">
        <v>1056</v>
      </c>
    </row>
    <row r="168" spans="2:7" x14ac:dyDescent="0.2">
      <c r="B168" s="259" t="s">
        <v>1047</v>
      </c>
      <c r="C168" s="259" t="s">
        <v>1047</v>
      </c>
      <c r="D168" s="259" t="s">
        <v>1047</v>
      </c>
      <c r="E168" s="259" t="s">
        <v>1047</v>
      </c>
      <c r="F168" s="259" t="s">
        <v>1047</v>
      </c>
      <c r="G168" s="259" t="s">
        <v>1047</v>
      </c>
    </row>
    <row r="169" spans="2:7" x14ac:dyDescent="0.2">
      <c r="C169" s="292"/>
      <c r="D169" s="318"/>
      <c r="E169" s="319"/>
      <c r="F169" s="311"/>
      <c r="G169" s="311"/>
    </row>
    <row r="170" spans="2:7" x14ac:dyDescent="0.2">
      <c r="B170" s="255" t="s">
        <v>1064</v>
      </c>
    </row>
    <row r="171" spans="2:7" x14ac:dyDescent="0.2">
      <c r="B171" s="255"/>
    </row>
    <row r="172" spans="2:7" x14ac:dyDescent="0.2">
      <c r="B172" s="276" t="s">
        <v>1023</v>
      </c>
      <c r="C172" s="276" t="s">
        <v>1033</v>
      </c>
    </row>
    <row r="173" spans="2:7" x14ac:dyDescent="0.2">
      <c r="B173" s="259" t="s">
        <v>1047</v>
      </c>
      <c r="C173" s="259" t="s">
        <v>1047</v>
      </c>
    </row>
    <row r="174" spans="2:7" x14ac:dyDescent="0.2">
      <c r="B174" s="296"/>
      <c r="C174" s="297"/>
    </row>
    <row r="175" spans="2:7" x14ac:dyDescent="0.2">
      <c r="B175" s="255" t="s">
        <v>1065</v>
      </c>
    </row>
    <row r="177" spans="2:7" ht="38.25" x14ac:dyDescent="0.2">
      <c r="B177" s="257" t="s">
        <v>1023</v>
      </c>
      <c r="C177" s="258" t="s">
        <v>1059</v>
      </c>
      <c r="D177" s="258" t="s">
        <v>1066</v>
      </c>
      <c r="E177" s="258" t="s">
        <v>1067</v>
      </c>
      <c r="F177" s="258" t="s">
        <v>1062</v>
      </c>
    </row>
    <row r="178" spans="2:7" x14ac:dyDescent="0.2">
      <c r="B178" s="259"/>
      <c r="C178" s="310"/>
      <c r="D178" s="313"/>
      <c r="E178" s="310"/>
      <c r="F178" s="310"/>
    </row>
    <row r="179" spans="2:7" x14ac:dyDescent="0.2">
      <c r="G179" s="320"/>
    </row>
    <row r="180" spans="2:7" x14ac:dyDescent="0.2">
      <c r="F180" s="288"/>
      <c r="G180" s="284"/>
    </row>
    <row r="181" spans="2:7" x14ac:dyDescent="0.2">
      <c r="B181" s="255" t="s">
        <v>1068</v>
      </c>
    </row>
    <row r="182" spans="2:7" x14ac:dyDescent="0.2">
      <c r="B182" s="255"/>
    </row>
    <row r="183" spans="2:7" x14ac:dyDescent="0.2">
      <c r="E183" s="284"/>
    </row>
    <row r="184" spans="2:7" x14ac:dyDescent="0.2">
      <c r="B184" s="255" t="s">
        <v>1069</v>
      </c>
      <c r="E184" s="284"/>
    </row>
    <row r="185" spans="2:7" x14ac:dyDescent="0.2">
      <c r="E185" s="284"/>
    </row>
    <row r="186" spans="2:7" ht="25.5" x14ac:dyDescent="0.2">
      <c r="B186" s="257" t="s">
        <v>1023</v>
      </c>
      <c r="C186" s="258" t="s">
        <v>1024</v>
      </c>
      <c r="D186" s="258" t="s">
        <v>1025</v>
      </c>
      <c r="E186" s="258" t="s">
        <v>1070</v>
      </c>
      <c r="F186" s="258" t="s">
        <v>1071</v>
      </c>
      <c r="G186" s="258" t="s">
        <v>1072</v>
      </c>
    </row>
    <row r="187" spans="2:7" x14ac:dyDescent="0.2">
      <c r="B187" s="279" t="s">
        <v>1047</v>
      </c>
      <c r="C187" s="285" t="s">
        <v>1047</v>
      </c>
      <c r="D187" s="321" t="s">
        <v>1047</v>
      </c>
      <c r="E187" s="322" t="s">
        <v>1047</v>
      </c>
      <c r="F187" s="322" t="s">
        <v>1047</v>
      </c>
      <c r="G187" s="322" t="s">
        <v>1047</v>
      </c>
    </row>
    <row r="188" spans="2:7" x14ac:dyDescent="0.2">
      <c r="E188" s="284"/>
    </row>
    <row r="189" spans="2:7" x14ac:dyDescent="0.2">
      <c r="B189" s="255" t="s">
        <v>1073</v>
      </c>
      <c r="E189" s="284"/>
    </row>
    <row r="190" spans="2:7" x14ac:dyDescent="0.2">
      <c r="B190" s="255"/>
      <c r="E190" s="284"/>
    </row>
    <row r="191" spans="2:7" x14ac:dyDescent="0.2">
      <c r="B191" s="276" t="s">
        <v>1023</v>
      </c>
      <c r="C191" s="276" t="s">
        <v>1033</v>
      </c>
      <c r="E191" s="284"/>
    </row>
    <row r="192" spans="2:7" x14ac:dyDescent="0.2">
      <c r="B192" s="310" t="s">
        <v>1047</v>
      </c>
      <c r="C192" s="278" t="s">
        <v>1047</v>
      </c>
      <c r="E192" s="284"/>
    </row>
    <row r="193" spans="2:10" x14ac:dyDescent="0.2">
      <c r="E193" s="284"/>
    </row>
    <row r="194" spans="2:10" x14ac:dyDescent="0.2">
      <c r="B194" s="255" t="s">
        <v>1074</v>
      </c>
      <c r="E194" s="284"/>
    </row>
    <row r="195" spans="2:10" x14ac:dyDescent="0.2">
      <c r="E195" s="284"/>
    </row>
    <row r="196" spans="2:10" ht="63.75" x14ac:dyDescent="0.2">
      <c r="B196" s="257" t="s">
        <v>1023</v>
      </c>
      <c r="C196" s="258" t="s">
        <v>1035</v>
      </c>
      <c r="D196" s="258" t="s">
        <v>1036</v>
      </c>
      <c r="E196" s="258" t="s">
        <v>1037</v>
      </c>
      <c r="F196" s="258" t="s">
        <v>1038</v>
      </c>
      <c r="G196" s="258" t="s">
        <v>1039</v>
      </c>
    </row>
    <row r="197" spans="2:10" x14ac:dyDescent="0.2">
      <c r="B197" s="278"/>
      <c r="C197" s="278"/>
      <c r="D197" s="280"/>
      <c r="E197" s="323"/>
      <c r="F197" s="324"/>
      <c r="G197" s="325"/>
      <c r="I197" s="283"/>
      <c r="J197" s="284"/>
    </row>
    <row r="198" spans="2:10" x14ac:dyDescent="0.2">
      <c r="E198" s="284"/>
    </row>
    <row r="199" spans="2:10" x14ac:dyDescent="0.2">
      <c r="E199" s="284"/>
    </row>
    <row r="200" spans="2:10" x14ac:dyDescent="0.2">
      <c r="B200" s="255" t="s">
        <v>1075</v>
      </c>
      <c r="E200" s="284"/>
    </row>
    <row r="201" spans="2:10" x14ac:dyDescent="0.2">
      <c r="E201" s="284"/>
    </row>
    <row r="202" spans="2:10" ht="63.75" x14ac:dyDescent="0.2">
      <c r="B202" s="257" t="s">
        <v>1023</v>
      </c>
      <c r="C202" s="258" t="s">
        <v>1035</v>
      </c>
      <c r="D202" s="258" t="s">
        <v>1036</v>
      </c>
      <c r="E202" s="258" t="s">
        <v>1037</v>
      </c>
      <c r="F202" s="258" t="s">
        <v>1038</v>
      </c>
      <c r="G202" s="258" t="s">
        <v>1039</v>
      </c>
    </row>
    <row r="203" spans="2:10" x14ac:dyDescent="0.2">
      <c r="B203" s="261"/>
      <c r="C203" s="310"/>
      <c r="D203" s="310"/>
      <c r="E203" s="326"/>
      <c r="F203" s="326"/>
      <c r="G203" s="326"/>
    </row>
    <row r="204" spans="2:10" x14ac:dyDescent="0.2">
      <c r="E204" s="284"/>
    </row>
    <row r="205" spans="2:10" x14ac:dyDescent="0.2">
      <c r="E205" s="284"/>
    </row>
    <row r="206" spans="2:10" x14ac:dyDescent="0.2">
      <c r="E206" s="284"/>
    </row>
    <row r="207" spans="2:10" x14ac:dyDescent="0.2">
      <c r="B207" s="254" t="s">
        <v>1076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B06A-C9F1-4643-96A1-FC5C404CCD73}">
  <dimension ref="B1:H23"/>
  <sheetViews>
    <sheetView workbookViewId="0">
      <selection activeCell="B1" sqref="B1"/>
    </sheetView>
  </sheetViews>
  <sheetFormatPr defaultColWidth="8.85546875" defaultRowHeight="15" x14ac:dyDescent="0.25"/>
  <cols>
    <col min="1" max="1" width="2.5703125" style="32" customWidth="1"/>
    <col min="2" max="2" width="13.42578125" style="32" bestFit="1" customWidth="1"/>
    <col min="3" max="3" width="56.140625" style="32" bestFit="1" customWidth="1"/>
    <col min="4" max="4" width="14.140625" style="32" bestFit="1" customWidth="1"/>
    <col min="5" max="5" width="18.7109375" style="32" bestFit="1" customWidth="1"/>
    <col min="6" max="6" width="26.28515625" style="32" bestFit="1" customWidth="1"/>
    <col min="7" max="7" width="11.140625" style="32" bestFit="1" customWidth="1"/>
    <col min="8" max="8" width="15" style="32" bestFit="1" customWidth="1"/>
    <col min="9" max="246" width="8.85546875" style="32"/>
    <col min="247" max="247" width="2.5703125" style="32" customWidth="1"/>
    <col min="248" max="248" width="14" style="32" bestFit="1" customWidth="1"/>
    <col min="249" max="249" width="61.140625" style="32" bestFit="1" customWidth="1"/>
    <col min="250" max="250" width="14.140625" style="32" bestFit="1" customWidth="1"/>
    <col min="251" max="251" width="18.7109375" style="32" bestFit="1" customWidth="1"/>
    <col min="252" max="252" width="29.42578125" style="32" bestFit="1" customWidth="1"/>
    <col min="253" max="253" width="11.140625" style="32" bestFit="1" customWidth="1"/>
    <col min="254" max="254" width="15" style="32" bestFit="1" customWidth="1"/>
    <col min="255" max="255" width="9.5703125" style="32" bestFit="1" customWidth="1"/>
    <col min="256" max="257" width="12" style="32" bestFit="1" customWidth="1"/>
    <col min="258" max="502" width="8.85546875" style="32"/>
    <col min="503" max="503" width="2.5703125" style="32" customWidth="1"/>
    <col min="504" max="504" width="14" style="32" bestFit="1" customWidth="1"/>
    <col min="505" max="505" width="61.140625" style="32" bestFit="1" customWidth="1"/>
    <col min="506" max="506" width="14.140625" style="32" bestFit="1" customWidth="1"/>
    <col min="507" max="507" width="18.7109375" style="32" bestFit="1" customWidth="1"/>
    <col min="508" max="508" width="29.42578125" style="32" bestFit="1" customWidth="1"/>
    <col min="509" max="509" width="11.140625" style="32" bestFit="1" customWidth="1"/>
    <col min="510" max="510" width="15" style="32" bestFit="1" customWidth="1"/>
    <col min="511" max="511" width="9.5703125" style="32" bestFit="1" customWidth="1"/>
    <col min="512" max="513" width="12" style="32" bestFit="1" customWidth="1"/>
    <col min="514" max="758" width="8.85546875" style="32"/>
    <col min="759" max="759" width="2.5703125" style="32" customWidth="1"/>
    <col min="760" max="760" width="14" style="32" bestFit="1" customWidth="1"/>
    <col min="761" max="761" width="61.140625" style="32" bestFit="1" customWidth="1"/>
    <col min="762" max="762" width="14.140625" style="32" bestFit="1" customWidth="1"/>
    <col min="763" max="763" width="18.7109375" style="32" bestFit="1" customWidth="1"/>
    <col min="764" max="764" width="29.42578125" style="32" bestFit="1" customWidth="1"/>
    <col min="765" max="765" width="11.140625" style="32" bestFit="1" customWidth="1"/>
    <col min="766" max="766" width="15" style="32" bestFit="1" customWidth="1"/>
    <col min="767" max="767" width="9.5703125" style="32" bestFit="1" customWidth="1"/>
    <col min="768" max="769" width="12" style="32" bestFit="1" customWidth="1"/>
    <col min="770" max="1014" width="8.85546875" style="32"/>
    <col min="1015" max="1015" width="2.5703125" style="32" customWidth="1"/>
    <col min="1016" max="1016" width="14" style="32" bestFit="1" customWidth="1"/>
    <col min="1017" max="1017" width="61.140625" style="32" bestFit="1" customWidth="1"/>
    <col min="1018" max="1018" width="14.140625" style="32" bestFit="1" customWidth="1"/>
    <col min="1019" max="1019" width="18.7109375" style="32" bestFit="1" customWidth="1"/>
    <col min="1020" max="1020" width="29.42578125" style="32" bestFit="1" customWidth="1"/>
    <col min="1021" max="1021" width="11.140625" style="32" bestFit="1" customWidth="1"/>
    <col min="1022" max="1022" width="15" style="32" bestFit="1" customWidth="1"/>
    <col min="1023" max="1023" width="9.5703125" style="32" bestFit="1" customWidth="1"/>
    <col min="1024" max="1025" width="12" style="32" bestFit="1" customWidth="1"/>
    <col min="1026" max="1270" width="8.85546875" style="32"/>
    <col min="1271" max="1271" width="2.5703125" style="32" customWidth="1"/>
    <col min="1272" max="1272" width="14" style="32" bestFit="1" customWidth="1"/>
    <col min="1273" max="1273" width="61.140625" style="32" bestFit="1" customWidth="1"/>
    <col min="1274" max="1274" width="14.140625" style="32" bestFit="1" customWidth="1"/>
    <col min="1275" max="1275" width="18.7109375" style="32" bestFit="1" customWidth="1"/>
    <col min="1276" max="1276" width="29.42578125" style="32" bestFit="1" customWidth="1"/>
    <col min="1277" max="1277" width="11.140625" style="32" bestFit="1" customWidth="1"/>
    <col min="1278" max="1278" width="15" style="32" bestFit="1" customWidth="1"/>
    <col min="1279" max="1279" width="9.5703125" style="32" bestFit="1" customWidth="1"/>
    <col min="1280" max="1281" width="12" style="32" bestFit="1" customWidth="1"/>
    <col min="1282" max="1526" width="8.85546875" style="32"/>
    <col min="1527" max="1527" width="2.5703125" style="32" customWidth="1"/>
    <col min="1528" max="1528" width="14" style="32" bestFit="1" customWidth="1"/>
    <col min="1529" max="1529" width="61.140625" style="32" bestFit="1" customWidth="1"/>
    <col min="1530" max="1530" width="14.140625" style="32" bestFit="1" customWidth="1"/>
    <col min="1531" max="1531" width="18.7109375" style="32" bestFit="1" customWidth="1"/>
    <col min="1532" max="1532" width="29.42578125" style="32" bestFit="1" customWidth="1"/>
    <col min="1533" max="1533" width="11.140625" style="32" bestFit="1" customWidth="1"/>
    <col min="1534" max="1534" width="15" style="32" bestFit="1" customWidth="1"/>
    <col min="1535" max="1535" width="9.5703125" style="32" bestFit="1" customWidth="1"/>
    <col min="1536" max="1537" width="12" style="32" bestFit="1" customWidth="1"/>
    <col min="1538" max="1782" width="8.85546875" style="32"/>
    <col min="1783" max="1783" width="2.5703125" style="32" customWidth="1"/>
    <col min="1784" max="1784" width="14" style="32" bestFit="1" customWidth="1"/>
    <col min="1785" max="1785" width="61.140625" style="32" bestFit="1" customWidth="1"/>
    <col min="1786" max="1786" width="14.140625" style="32" bestFit="1" customWidth="1"/>
    <col min="1787" max="1787" width="18.7109375" style="32" bestFit="1" customWidth="1"/>
    <col min="1788" max="1788" width="29.42578125" style="32" bestFit="1" customWidth="1"/>
    <col min="1789" max="1789" width="11.140625" style="32" bestFit="1" customWidth="1"/>
    <col min="1790" max="1790" width="15" style="32" bestFit="1" customWidth="1"/>
    <col min="1791" max="1791" width="9.5703125" style="32" bestFit="1" customWidth="1"/>
    <col min="1792" max="1793" width="12" style="32" bestFit="1" customWidth="1"/>
    <col min="1794" max="2038" width="8.85546875" style="32"/>
    <col min="2039" max="2039" width="2.5703125" style="32" customWidth="1"/>
    <col min="2040" max="2040" width="14" style="32" bestFit="1" customWidth="1"/>
    <col min="2041" max="2041" width="61.140625" style="32" bestFit="1" customWidth="1"/>
    <col min="2042" max="2042" width="14.140625" style="32" bestFit="1" customWidth="1"/>
    <col min="2043" max="2043" width="18.7109375" style="32" bestFit="1" customWidth="1"/>
    <col min="2044" max="2044" width="29.42578125" style="32" bestFit="1" customWidth="1"/>
    <col min="2045" max="2045" width="11.140625" style="32" bestFit="1" customWidth="1"/>
    <col min="2046" max="2046" width="15" style="32" bestFit="1" customWidth="1"/>
    <col min="2047" max="2047" width="9.5703125" style="32" bestFit="1" customWidth="1"/>
    <col min="2048" max="2049" width="12" style="32" bestFit="1" customWidth="1"/>
    <col min="2050" max="2294" width="8.85546875" style="32"/>
    <col min="2295" max="2295" width="2.5703125" style="32" customWidth="1"/>
    <col min="2296" max="2296" width="14" style="32" bestFit="1" customWidth="1"/>
    <col min="2297" max="2297" width="61.140625" style="32" bestFit="1" customWidth="1"/>
    <col min="2298" max="2298" width="14.140625" style="32" bestFit="1" customWidth="1"/>
    <col min="2299" max="2299" width="18.7109375" style="32" bestFit="1" customWidth="1"/>
    <col min="2300" max="2300" width="29.42578125" style="32" bestFit="1" customWidth="1"/>
    <col min="2301" max="2301" width="11.140625" style="32" bestFit="1" customWidth="1"/>
    <col min="2302" max="2302" width="15" style="32" bestFit="1" customWidth="1"/>
    <col min="2303" max="2303" width="9.5703125" style="32" bestFit="1" customWidth="1"/>
    <col min="2304" max="2305" width="12" style="32" bestFit="1" customWidth="1"/>
    <col min="2306" max="2550" width="8.85546875" style="32"/>
    <col min="2551" max="2551" width="2.5703125" style="32" customWidth="1"/>
    <col min="2552" max="2552" width="14" style="32" bestFit="1" customWidth="1"/>
    <col min="2553" max="2553" width="61.140625" style="32" bestFit="1" customWidth="1"/>
    <col min="2554" max="2554" width="14.140625" style="32" bestFit="1" customWidth="1"/>
    <col min="2555" max="2555" width="18.7109375" style="32" bestFit="1" customWidth="1"/>
    <col min="2556" max="2556" width="29.42578125" style="32" bestFit="1" customWidth="1"/>
    <col min="2557" max="2557" width="11.140625" style="32" bestFit="1" customWidth="1"/>
    <col min="2558" max="2558" width="15" style="32" bestFit="1" customWidth="1"/>
    <col min="2559" max="2559" width="9.5703125" style="32" bestFit="1" customWidth="1"/>
    <col min="2560" max="2561" width="12" style="32" bestFit="1" customWidth="1"/>
    <col min="2562" max="2806" width="8.85546875" style="32"/>
    <col min="2807" max="2807" width="2.5703125" style="32" customWidth="1"/>
    <col min="2808" max="2808" width="14" style="32" bestFit="1" customWidth="1"/>
    <col min="2809" max="2809" width="61.140625" style="32" bestFit="1" customWidth="1"/>
    <col min="2810" max="2810" width="14.140625" style="32" bestFit="1" customWidth="1"/>
    <col min="2811" max="2811" width="18.7109375" style="32" bestFit="1" customWidth="1"/>
    <col min="2812" max="2812" width="29.42578125" style="32" bestFit="1" customWidth="1"/>
    <col min="2813" max="2813" width="11.140625" style="32" bestFit="1" customWidth="1"/>
    <col min="2814" max="2814" width="15" style="32" bestFit="1" customWidth="1"/>
    <col min="2815" max="2815" width="9.5703125" style="32" bestFit="1" customWidth="1"/>
    <col min="2816" max="2817" width="12" style="32" bestFit="1" customWidth="1"/>
    <col min="2818" max="3062" width="8.85546875" style="32"/>
    <col min="3063" max="3063" width="2.5703125" style="32" customWidth="1"/>
    <col min="3064" max="3064" width="14" style="32" bestFit="1" customWidth="1"/>
    <col min="3065" max="3065" width="61.140625" style="32" bestFit="1" customWidth="1"/>
    <col min="3066" max="3066" width="14.140625" style="32" bestFit="1" customWidth="1"/>
    <col min="3067" max="3067" width="18.7109375" style="32" bestFit="1" customWidth="1"/>
    <col min="3068" max="3068" width="29.42578125" style="32" bestFit="1" customWidth="1"/>
    <col min="3069" max="3069" width="11.140625" style="32" bestFit="1" customWidth="1"/>
    <col min="3070" max="3070" width="15" style="32" bestFit="1" customWidth="1"/>
    <col min="3071" max="3071" width="9.5703125" style="32" bestFit="1" customWidth="1"/>
    <col min="3072" max="3073" width="12" style="32" bestFit="1" customWidth="1"/>
    <col min="3074" max="3318" width="8.85546875" style="32"/>
    <col min="3319" max="3319" width="2.5703125" style="32" customWidth="1"/>
    <col min="3320" max="3320" width="14" style="32" bestFit="1" customWidth="1"/>
    <col min="3321" max="3321" width="61.140625" style="32" bestFit="1" customWidth="1"/>
    <col min="3322" max="3322" width="14.140625" style="32" bestFit="1" customWidth="1"/>
    <col min="3323" max="3323" width="18.7109375" style="32" bestFit="1" customWidth="1"/>
    <col min="3324" max="3324" width="29.42578125" style="32" bestFit="1" customWidth="1"/>
    <col min="3325" max="3325" width="11.140625" style="32" bestFit="1" customWidth="1"/>
    <col min="3326" max="3326" width="15" style="32" bestFit="1" customWidth="1"/>
    <col min="3327" max="3327" width="9.5703125" style="32" bestFit="1" customWidth="1"/>
    <col min="3328" max="3329" width="12" style="32" bestFit="1" customWidth="1"/>
    <col min="3330" max="3574" width="8.85546875" style="32"/>
    <col min="3575" max="3575" width="2.5703125" style="32" customWidth="1"/>
    <col min="3576" max="3576" width="14" style="32" bestFit="1" customWidth="1"/>
    <col min="3577" max="3577" width="61.140625" style="32" bestFit="1" customWidth="1"/>
    <col min="3578" max="3578" width="14.140625" style="32" bestFit="1" customWidth="1"/>
    <col min="3579" max="3579" width="18.7109375" style="32" bestFit="1" customWidth="1"/>
    <col min="3580" max="3580" width="29.42578125" style="32" bestFit="1" customWidth="1"/>
    <col min="3581" max="3581" width="11.140625" style="32" bestFit="1" customWidth="1"/>
    <col min="3582" max="3582" width="15" style="32" bestFit="1" customWidth="1"/>
    <col min="3583" max="3583" width="9.5703125" style="32" bestFit="1" customWidth="1"/>
    <col min="3584" max="3585" width="12" style="32" bestFit="1" customWidth="1"/>
    <col min="3586" max="3830" width="8.85546875" style="32"/>
    <col min="3831" max="3831" width="2.5703125" style="32" customWidth="1"/>
    <col min="3832" max="3832" width="14" style="32" bestFit="1" customWidth="1"/>
    <col min="3833" max="3833" width="61.140625" style="32" bestFit="1" customWidth="1"/>
    <col min="3834" max="3834" width="14.140625" style="32" bestFit="1" customWidth="1"/>
    <col min="3835" max="3835" width="18.7109375" style="32" bestFit="1" customWidth="1"/>
    <col min="3836" max="3836" width="29.42578125" style="32" bestFit="1" customWidth="1"/>
    <col min="3837" max="3837" width="11.140625" style="32" bestFit="1" customWidth="1"/>
    <col min="3838" max="3838" width="15" style="32" bestFit="1" customWidth="1"/>
    <col min="3839" max="3839" width="9.5703125" style="32" bestFit="1" customWidth="1"/>
    <col min="3840" max="3841" width="12" style="32" bestFit="1" customWidth="1"/>
    <col min="3842" max="4086" width="8.85546875" style="32"/>
    <col min="4087" max="4087" width="2.5703125" style="32" customWidth="1"/>
    <col min="4088" max="4088" width="14" style="32" bestFit="1" customWidth="1"/>
    <col min="4089" max="4089" width="61.140625" style="32" bestFit="1" customWidth="1"/>
    <col min="4090" max="4090" width="14.140625" style="32" bestFit="1" customWidth="1"/>
    <col min="4091" max="4091" width="18.7109375" style="32" bestFit="1" customWidth="1"/>
    <col min="4092" max="4092" width="29.42578125" style="32" bestFit="1" customWidth="1"/>
    <col min="4093" max="4093" width="11.140625" style="32" bestFit="1" customWidth="1"/>
    <col min="4094" max="4094" width="15" style="32" bestFit="1" customWidth="1"/>
    <col min="4095" max="4095" width="9.5703125" style="32" bestFit="1" customWidth="1"/>
    <col min="4096" max="4097" width="12" style="32" bestFit="1" customWidth="1"/>
    <col min="4098" max="4342" width="8.85546875" style="32"/>
    <col min="4343" max="4343" width="2.5703125" style="32" customWidth="1"/>
    <col min="4344" max="4344" width="14" style="32" bestFit="1" customWidth="1"/>
    <col min="4345" max="4345" width="61.140625" style="32" bestFit="1" customWidth="1"/>
    <col min="4346" max="4346" width="14.140625" style="32" bestFit="1" customWidth="1"/>
    <col min="4347" max="4347" width="18.7109375" style="32" bestFit="1" customWidth="1"/>
    <col min="4348" max="4348" width="29.42578125" style="32" bestFit="1" customWidth="1"/>
    <col min="4349" max="4349" width="11.140625" style="32" bestFit="1" customWidth="1"/>
    <col min="4350" max="4350" width="15" style="32" bestFit="1" customWidth="1"/>
    <col min="4351" max="4351" width="9.5703125" style="32" bestFit="1" customWidth="1"/>
    <col min="4352" max="4353" width="12" style="32" bestFit="1" customWidth="1"/>
    <col min="4354" max="4598" width="8.85546875" style="32"/>
    <col min="4599" max="4599" width="2.5703125" style="32" customWidth="1"/>
    <col min="4600" max="4600" width="14" style="32" bestFit="1" customWidth="1"/>
    <col min="4601" max="4601" width="61.140625" style="32" bestFit="1" customWidth="1"/>
    <col min="4602" max="4602" width="14.140625" style="32" bestFit="1" customWidth="1"/>
    <col min="4603" max="4603" width="18.7109375" style="32" bestFit="1" customWidth="1"/>
    <col min="4604" max="4604" width="29.42578125" style="32" bestFit="1" customWidth="1"/>
    <col min="4605" max="4605" width="11.140625" style="32" bestFit="1" customWidth="1"/>
    <col min="4606" max="4606" width="15" style="32" bestFit="1" customWidth="1"/>
    <col min="4607" max="4607" width="9.5703125" style="32" bestFit="1" customWidth="1"/>
    <col min="4608" max="4609" width="12" style="32" bestFit="1" customWidth="1"/>
    <col min="4610" max="4854" width="8.85546875" style="32"/>
    <col min="4855" max="4855" width="2.5703125" style="32" customWidth="1"/>
    <col min="4856" max="4856" width="14" style="32" bestFit="1" customWidth="1"/>
    <col min="4857" max="4857" width="61.140625" style="32" bestFit="1" customWidth="1"/>
    <col min="4858" max="4858" width="14.140625" style="32" bestFit="1" customWidth="1"/>
    <col min="4859" max="4859" width="18.7109375" style="32" bestFit="1" customWidth="1"/>
    <col min="4860" max="4860" width="29.42578125" style="32" bestFit="1" customWidth="1"/>
    <col min="4861" max="4861" width="11.140625" style="32" bestFit="1" customWidth="1"/>
    <col min="4862" max="4862" width="15" style="32" bestFit="1" customWidth="1"/>
    <col min="4863" max="4863" width="9.5703125" style="32" bestFit="1" customWidth="1"/>
    <col min="4864" max="4865" width="12" style="32" bestFit="1" customWidth="1"/>
    <col min="4866" max="5110" width="8.85546875" style="32"/>
    <col min="5111" max="5111" width="2.5703125" style="32" customWidth="1"/>
    <col min="5112" max="5112" width="14" style="32" bestFit="1" customWidth="1"/>
    <col min="5113" max="5113" width="61.140625" style="32" bestFit="1" customWidth="1"/>
    <col min="5114" max="5114" width="14.140625" style="32" bestFit="1" customWidth="1"/>
    <col min="5115" max="5115" width="18.7109375" style="32" bestFit="1" customWidth="1"/>
    <col min="5116" max="5116" width="29.42578125" style="32" bestFit="1" customWidth="1"/>
    <col min="5117" max="5117" width="11.140625" style="32" bestFit="1" customWidth="1"/>
    <col min="5118" max="5118" width="15" style="32" bestFit="1" customWidth="1"/>
    <col min="5119" max="5119" width="9.5703125" style="32" bestFit="1" customWidth="1"/>
    <col min="5120" max="5121" width="12" style="32" bestFit="1" customWidth="1"/>
    <col min="5122" max="5366" width="8.85546875" style="32"/>
    <col min="5367" max="5367" width="2.5703125" style="32" customWidth="1"/>
    <col min="5368" max="5368" width="14" style="32" bestFit="1" customWidth="1"/>
    <col min="5369" max="5369" width="61.140625" style="32" bestFit="1" customWidth="1"/>
    <col min="5370" max="5370" width="14.140625" style="32" bestFit="1" customWidth="1"/>
    <col min="5371" max="5371" width="18.7109375" style="32" bestFit="1" customWidth="1"/>
    <col min="5372" max="5372" width="29.42578125" style="32" bestFit="1" customWidth="1"/>
    <col min="5373" max="5373" width="11.140625" style="32" bestFit="1" customWidth="1"/>
    <col min="5374" max="5374" width="15" style="32" bestFit="1" customWidth="1"/>
    <col min="5375" max="5375" width="9.5703125" style="32" bestFit="1" customWidth="1"/>
    <col min="5376" max="5377" width="12" style="32" bestFit="1" customWidth="1"/>
    <col min="5378" max="5622" width="8.85546875" style="32"/>
    <col min="5623" max="5623" width="2.5703125" style="32" customWidth="1"/>
    <col min="5624" max="5624" width="14" style="32" bestFit="1" customWidth="1"/>
    <col min="5625" max="5625" width="61.140625" style="32" bestFit="1" customWidth="1"/>
    <col min="5626" max="5626" width="14.140625" style="32" bestFit="1" customWidth="1"/>
    <col min="5627" max="5627" width="18.7109375" style="32" bestFit="1" customWidth="1"/>
    <col min="5628" max="5628" width="29.42578125" style="32" bestFit="1" customWidth="1"/>
    <col min="5629" max="5629" width="11.140625" style="32" bestFit="1" customWidth="1"/>
    <col min="5630" max="5630" width="15" style="32" bestFit="1" customWidth="1"/>
    <col min="5631" max="5631" width="9.5703125" style="32" bestFit="1" customWidth="1"/>
    <col min="5632" max="5633" width="12" style="32" bestFit="1" customWidth="1"/>
    <col min="5634" max="5878" width="8.85546875" style="32"/>
    <col min="5879" max="5879" width="2.5703125" style="32" customWidth="1"/>
    <col min="5880" max="5880" width="14" style="32" bestFit="1" customWidth="1"/>
    <col min="5881" max="5881" width="61.140625" style="32" bestFit="1" customWidth="1"/>
    <col min="5882" max="5882" width="14.140625" style="32" bestFit="1" customWidth="1"/>
    <col min="5883" max="5883" width="18.7109375" style="32" bestFit="1" customWidth="1"/>
    <col min="5884" max="5884" width="29.42578125" style="32" bestFit="1" customWidth="1"/>
    <col min="5885" max="5885" width="11.140625" style="32" bestFit="1" customWidth="1"/>
    <col min="5886" max="5886" width="15" style="32" bestFit="1" customWidth="1"/>
    <col min="5887" max="5887" width="9.5703125" style="32" bestFit="1" customWidth="1"/>
    <col min="5888" max="5889" width="12" style="32" bestFit="1" customWidth="1"/>
    <col min="5890" max="6134" width="8.85546875" style="32"/>
    <col min="6135" max="6135" width="2.5703125" style="32" customWidth="1"/>
    <col min="6136" max="6136" width="14" style="32" bestFit="1" customWidth="1"/>
    <col min="6137" max="6137" width="61.140625" style="32" bestFit="1" customWidth="1"/>
    <col min="6138" max="6138" width="14.140625" style="32" bestFit="1" customWidth="1"/>
    <col min="6139" max="6139" width="18.7109375" style="32" bestFit="1" customWidth="1"/>
    <col min="6140" max="6140" width="29.42578125" style="32" bestFit="1" customWidth="1"/>
    <col min="6141" max="6141" width="11.140625" style="32" bestFit="1" customWidth="1"/>
    <col min="6142" max="6142" width="15" style="32" bestFit="1" customWidth="1"/>
    <col min="6143" max="6143" width="9.5703125" style="32" bestFit="1" customWidth="1"/>
    <col min="6144" max="6145" width="12" style="32" bestFit="1" customWidth="1"/>
    <col min="6146" max="6390" width="8.85546875" style="32"/>
    <col min="6391" max="6391" width="2.5703125" style="32" customWidth="1"/>
    <col min="6392" max="6392" width="14" style="32" bestFit="1" customWidth="1"/>
    <col min="6393" max="6393" width="61.140625" style="32" bestFit="1" customWidth="1"/>
    <col min="6394" max="6394" width="14.140625" style="32" bestFit="1" customWidth="1"/>
    <col min="6395" max="6395" width="18.7109375" style="32" bestFit="1" customWidth="1"/>
    <col min="6396" max="6396" width="29.42578125" style="32" bestFit="1" customWidth="1"/>
    <col min="6397" max="6397" width="11.140625" style="32" bestFit="1" customWidth="1"/>
    <col min="6398" max="6398" width="15" style="32" bestFit="1" customWidth="1"/>
    <col min="6399" max="6399" width="9.5703125" style="32" bestFit="1" customWidth="1"/>
    <col min="6400" max="6401" width="12" style="32" bestFit="1" customWidth="1"/>
    <col min="6402" max="6646" width="8.85546875" style="32"/>
    <col min="6647" max="6647" width="2.5703125" style="32" customWidth="1"/>
    <col min="6648" max="6648" width="14" style="32" bestFit="1" customWidth="1"/>
    <col min="6649" max="6649" width="61.140625" style="32" bestFit="1" customWidth="1"/>
    <col min="6650" max="6650" width="14.140625" style="32" bestFit="1" customWidth="1"/>
    <col min="6651" max="6651" width="18.7109375" style="32" bestFit="1" customWidth="1"/>
    <col min="6652" max="6652" width="29.42578125" style="32" bestFit="1" customWidth="1"/>
    <col min="6653" max="6653" width="11.140625" style="32" bestFit="1" customWidth="1"/>
    <col min="6654" max="6654" width="15" style="32" bestFit="1" customWidth="1"/>
    <col min="6655" max="6655" width="9.5703125" style="32" bestFit="1" customWidth="1"/>
    <col min="6656" max="6657" width="12" style="32" bestFit="1" customWidth="1"/>
    <col min="6658" max="6902" width="8.85546875" style="32"/>
    <col min="6903" max="6903" width="2.5703125" style="32" customWidth="1"/>
    <col min="6904" max="6904" width="14" style="32" bestFit="1" customWidth="1"/>
    <col min="6905" max="6905" width="61.140625" style="32" bestFit="1" customWidth="1"/>
    <col min="6906" max="6906" width="14.140625" style="32" bestFit="1" customWidth="1"/>
    <col min="6907" max="6907" width="18.7109375" style="32" bestFit="1" customWidth="1"/>
    <col min="6908" max="6908" width="29.42578125" style="32" bestFit="1" customWidth="1"/>
    <col min="6909" max="6909" width="11.140625" style="32" bestFit="1" customWidth="1"/>
    <col min="6910" max="6910" width="15" style="32" bestFit="1" customWidth="1"/>
    <col min="6911" max="6911" width="9.5703125" style="32" bestFit="1" customWidth="1"/>
    <col min="6912" max="6913" width="12" style="32" bestFit="1" customWidth="1"/>
    <col min="6914" max="7158" width="8.85546875" style="32"/>
    <col min="7159" max="7159" width="2.5703125" style="32" customWidth="1"/>
    <col min="7160" max="7160" width="14" style="32" bestFit="1" customWidth="1"/>
    <col min="7161" max="7161" width="61.140625" style="32" bestFit="1" customWidth="1"/>
    <col min="7162" max="7162" width="14.140625" style="32" bestFit="1" customWidth="1"/>
    <col min="7163" max="7163" width="18.7109375" style="32" bestFit="1" customWidth="1"/>
    <col min="7164" max="7164" width="29.42578125" style="32" bestFit="1" customWidth="1"/>
    <col min="7165" max="7165" width="11.140625" style="32" bestFit="1" customWidth="1"/>
    <col min="7166" max="7166" width="15" style="32" bestFit="1" customWidth="1"/>
    <col min="7167" max="7167" width="9.5703125" style="32" bestFit="1" customWidth="1"/>
    <col min="7168" max="7169" width="12" style="32" bestFit="1" customWidth="1"/>
    <col min="7170" max="7414" width="8.85546875" style="32"/>
    <col min="7415" max="7415" width="2.5703125" style="32" customWidth="1"/>
    <col min="7416" max="7416" width="14" style="32" bestFit="1" customWidth="1"/>
    <col min="7417" max="7417" width="61.140625" style="32" bestFit="1" customWidth="1"/>
    <col min="7418" max="7418" width="14.140625" style="32" bestFit="1" customWidth="1"/>
    <col min="7419" max="7419" width="18.7109375" style="32" bestFit="1" customWidth="1"/>
    <col min="7420" max="7420" width="29.42578125" style="32" bestFit="1" customWidth="1"/>
    <col min="7421" max="7421" width="11.140625" style="32" bestFit="1" customWidth="1"/>
    <col min="7422" max="7422" width="15" style="32" bestFit="1" customWidth="1"/>
    <col min="7423" max="7423" width="9.5703125" style="32" bestFit="1" customWidth="1"/>
    <col min="7424" max="7425" width="12" style="32" bestFit="1" customWidth="1"/>
    <col min="7426" max="7670" width="8.85546875" style="32"/>
    <col min="7671" max="7671" width="2.5703125" style="32" customWidth="1"/>
    <col min="7672" max="7672" width="14" style="32" bestFit="1" customWidth="1"/>
    <col min="7673" max="7673" width="61.140625" style="32" bestFit="1" customWidth="1"/>
    <col min="7674" max="7674" width="14.140625" style="32" bestFit="1" customWidth="1"/>
    <col min="7675" max="7675" width="18.7109375" style="32" bestFit="1" customWidth="1"/>
    <col min="7676" max="7676" width="29.42578125" style="32" bestFit="1" customWidth="1"/>
    <col min="7677" max="7677" width="11.140625" style="32" bestFit="1" customWidth="1"/>
    <col min="7678" max="7678" width="15" style="32" bestFit="1" customWidth="1"/>
    <col min="7679" max="7679" width="9.5703125" style="32" bestFit="1" customWidth="1"/>
    <col min="7680" max="7681" width="12" style="32" bestFit="1" customWidth="1"/>
    <col min="7682" max="7926" width="8.85546875" style="32"/>
    <col min="7927" max="7927" width="2.5703125" style="32" customWidth="1"/>
    <col min="7928" max="7928" width="14" style="32" bestFit="1" customWidth="1"/>
    <col min="7929" max="7929" width="61.140625" style="32" bestFit="1" customWidth="1"/>
    <col min="7930" max="7930" width="14.140625" style="32" bestFit="1" customWidth="1"/>
    <col min="7931" max="7931" width="18.7109375" style="32" bestFit="1" customWidth="1"/>
    <col min="7932" max="7932" width="29.42578125" style="32" bestFit="1" customWidth="1"/>
    <col min="7933" max="7933" width="11.140625" style="32" bestFit="1" customWidth="1"/>
    <col min="7934" max="7934" width="15" style="32" bestFit="1" customWidth="1"/>
    <col min="7935" max="7935" width="9.5703125" style="32" bestFit="1" customWidth="1"/>
    <col min="7936" max="7937" width="12" style="32" bestFit="1" customWidth="1"/>
    <col min="7938" max="8182" width="8.85546875" style="32"/>
    <col min="8183" max="8183" width="2.5703125" style="32" customWidth="1"/>
    <col min="8184" max="8184" width="14" style="32" bestFit="1" customWidth="1"/>
    <col min="8185" max="8185" width="61.140625" style="32" bestFit="1" customWidth="1"/>
    <col min="8186" max="8186" width="14.140625" style="32" bestFit="1" customWidth="1"/>
    <col min="8187" max="8187" width="18.7109375" style="32" bestFit="1" customWidth="1"/>
    <col min="8188" max="8188" width="29.42578125" style="32" bestFit="1" customWidth="1"/>
    <col min="8189" max="8189" width="11.140625" style="32" bestFit="1" customWidth="1"/>
    <col min="8190" max="8190" width="15" style="32" bestFit="1" customWidth="1"/>
    <col min="8191" max="8191" width="9.5703125" style="32" bestFit="1" customWidth="1"/>
    <col min="8192" max="8193" width="12" style="32" bestFit="1" customWidth="1"/>
    <col min="8194" max="8438" width="8.85546875" style="32"/>
    <col min="8439" max="8439" width="2.5703125" style="32" customWidth="1"/>
    <col min="8440" max="8440" width="14" style="32" bestFit="1" customWidth="1"/>
    <col min="8441" max="8441" width="61.140625" style="32" bestFit="1" customWidth="1"/>
    <col min="8442" max="8442" width="14.140625" style="32" bestFit="1" customWidth="1"/>
    <col min="8443" max="8443" width="18.7109375" style="32" bestFit="1" customWidth="1"/>
    <col min="8444" max="8444" width="29.42578125" style="32" bestFit="1" customWidth="1"/>
    <col min="8445" max="8445" width="11.140625" style="32" bestFit="1" customWidth="1"/>
    <col min="8446" max="8446" width="15" style="32" bestFit="1" customWidth="1"/>
    <col min="8447" max="8447" width="9.5703125" style="32" bestFit="1" customWidth="1"/>
    <col min="8448" max="8449" width="12" style="32" bestFit="1" customWidth="1"/>
    <col min="8450" max="8694" width="8.85546875" style="32"/>
    <col min="8695" max="8695" width="2.5703125" style="32" customWidth="1"/>
    <col min="8696" max="8696" width="14" style="32" bestFit="1" customWidth="1"/>
    <col min="8697" max="8697" width="61.140625" style="32" bestFit="1" customWidth="1"/>
    <col min="8698" max="8698" width="14.140625" style="32" bestFit="1" customWidth="1"/>
    <col min="8699" max="8699" width="18.7109375" style="32" bestFit="1" customWidth="1"/>
    <col min="8700" max="8700" width="29.42578125" style="32" bestFit="1" customWidth="1"/>
    <col min="8701" max="8701" width="11.140625" style="32" bestFit="1" customWidth="1"/>
    <col min="8702" max="8702" width="15" style="32" bestFit="1" customWidth="1"/>
    <col min="8703" max="8703" width="9.5703125" style="32" bestFit="1" customWidth="1"/>
    <col min="8704" max="8705" width="12" style="32" bestFit="1" customWidth="1"/>
    <col min="8706" max="8950" width="8.85546875" style="32"/>
    <col min="8951" max="8951" width="2.5703125" style="32" customWidth="1"/>
    <col min="8952" max="8952" width="14" style="32" bestFit="1" customWidth="1"/>
    <col min="8953" max="8953" width="61.140625" style="32" bestFit="1" customWidth="1"/>
    <col min="8954" max="8954" width="14.140625" style="32" bestFit="1" customWidth="1"/>
    <col min="8955" max="8955" width="18.7109375" style="32" bestFit="1" customWidth="1"/>
    <col min="8956" max="8956" width="29.42578125" style="32" bestFit="1" customWidth="1"/>
    <col min="8957" max="8957" width="11.140625" style="32" bestFit="1" customWidth="1"/>
    <col min="8958" max="8958" width="15" style="32" bestFit="1" customWidth="1"/>
    <col min="8959" max="8959" width="9.5703125" style="32" bestFit="1" customWidth="1"/>
    <col min="8960" max="8961" width="12" style="32" bestFit="1" customWidth="1"/>
    <col min="8962" max="9206" width="8.85546875" style="32"/>
    <col min="9207" max="9207" width="2.5703125" style="32" customWidth="1"/>
    <col min="9208" max="9208" width="14" style="32" bestFit="1" customWidth="1"/>
    <col min="9209" max="9209" width="61.140625" style="32" bestFit="1" customWidth="1"/>
    <col min="9210" max="9210" width="14.140625" style="32" bestFit="1" customWidth="1"/>
    <col min="9211" max="9211" width="18.7109375" style="32" bestFit="1" customWidth="1"/>
    <col min="9212" max="9212" width="29.42578125" style="32" bestFit="1" customWidth="1"/>
    <col min="9213" max="9213" width="11.140625" style="32" bestFit="1" customWidth="1"/>
    <col min="9214" max="9214" width="15" style="32" bestFit="1" customWidth="1"/>
    <col min="9215" max="9215" width="9.5703125" style="32" bestFit="1" customWidth="1"/>
    <col min="9216" max="9217" width="12" style="32" bestFit="1" customWidth="1"/>
    <col min="9218" max="9462" width="8.85546875" style="32"/>
    <col min="9463" max="9463" width="2.5703125" style="32" customWidth="1"/>
    <col min="9464" max="9464" width="14" style="32" bestFit="1" customWidth="1"/>
    <col min="9465" max="9465" width="61.140625" style="32" bestFit="1" customWidth="1"/>
    <col min="9466" max="9466" width="14.140625" style="32" bestFit="1" customWidth="1"/>
    <col min="9467" max="9467" width="18.7109375" style="32" bestFit="1" customWidth="1"/>
    <col min="9468" max="9468" width="29.42578125" style="32" bestFit="1" customWidth="1"/>
    <col min="9469" max="9469" width="11.140625" style="32" bestFit="1" customWidth="1"/>
    <col min="9470" max="9470" width="15" style="32" bestFit="1" customWidth="1"/>
    <col min="9471" max="9471" width="9.5703125" style="32" bestFit="1" customWidth="1"/>
    <col min="9472" max="9473" width="12" style="32" bestFit="1" customWidth="1"/>
    <col min="9474" max="9718" width="8.85546875" style="32"/>
    <col min="9719" max="9719" width="2.5703125" style="32" customWidth="1"/>
    <col min="9720" max="9720" width="14" style="32" bestFit="1" customWidth="1"/>
    <col min="9721" max="9721" width="61.140625" style="32" bestFit="1" customWidth="1"/>
    <col min="9722" max="9722" width="14.140625" style="32" bestFit="1" customWidth="1"/>
    <col min="9723" max="9723" width="18.7109375" style="32" bestFit="1" customWidth="1"/>
    <col min="9724" max="9724" width="29.42578125" style="32" bestFit="1" customWidth="1"/>
    <col min="9725" max="9725" width="11.140625" style="32" bestFit="1" customWidth="1"/>
    <col min="9726" max="9726" width="15" style="32" bestFit="1" customWidth="1"/>
    <col min="9727" max="9727" width="9.5703125" style="32" bestFit="1" customWidth="1"/>
    <col min="9728" max="9729" width="12" style="32" bestFit="1" customWidth="1"/>
    <col min="9730" max="9974" width="8.85546875" style="32"/>
    <col min="9975" max="9975" width="2.5703125" style="32" customWidth="1"/>
    <col min="9976" max="9976" width="14" style="32" bestFit="1" customWidth="1"/>
    <col min="9977" max="9977" width="61.140625" style="32" bestFit="1" customWidth="1"/>
    <col min="9978" max="9978" width="14.140625" style="32" bestFit="1" customWidth="1"/>
    <col min="9979" max="9979" width="18.7109375" style="32" bestFit="1" customWidth="1"/>
    <col min="9980" max="9980" width="29.42578125" style="32" bestFit="1" customWidth="1"/>
    <col min="9981" max="9981" width="11.140625" style="32" bestFit="1" customWidth="1"/>
    <col min="9982" max="9982" width="15" style="32" bestFit="1" customWidth="1"/>
    <col min="9983" max="9983" width="9.5703125" style="32" bestFit="1" customWidth="1"/>
    <col min="9984" max="9985" width="12" style="32" bestFit="1" customWidth="1"/>
    <col min="9986" max="10230" width="8.85546875" style="32"/>
    <col min="10231" max="10231" width="2.5703125" style="32" customWidth="1"/>
    <col min="10232" max="10232" width="14" style="32" bestFit="1" customWidth="1"/>
    <col min="10233" max="10233" width="61.140625" style="32" bestFit="1" customWidth="1"/>
    <col min="10234" max="10234" width="14.140625" style="32" bestFit="1" customWidth="1"/>
    <col min="10235" max="10235" width="18.7109375" style="32" bestFit="1" customWidth="1"/>
    <col min="10236" max="10236" width="29.42578125" style="32" bestFit="1" customWidth="1"/>
    <col min="10237" max="10237" width="11.140625" style="32" bestFit="1" customWidth="1"/>
    <col min="10238" max="10238" width="15" style="32" bestFit="1" customWidth="1"/>
    <col min="10239" max="10239" width="9.5703125" style="32" bestFit="1" customWidth="1"/>
    <col min="10240" max="10241" width="12" style="32" bestFit="1" customWidth="1"/>
    <col min="10242" max="10486" width="8.85546875" style="32"/>
    <col min="10487" max="10487" width="2.5703125" style="32" customWidth="1"/>
    <col min="10488" max="10488" width="14" style="32" bestFit="1" customWidth="1"/>
    <col min="10489" max="10489" width="61.140625" style="32" bestFit="1" customWidth="1"/>
    <col min="10490" max="10490" width="14.140625" style="32" bestFit="1" customWidth="1"/>
    <col min="10491" max="10491" width="18.7109375" style="32" bestFit="1" customWidth="1"/>
    <col min="10492" max="10492" width="29.42578125" style="32" bestFit="1" customWidth="1"/>
    <col min="10493" max="10493" width="11.140625" style="32" bestFit="1" customWidth="1"/>
    <col min="10494" max="10494" width="15" style="32" bestFit="1" customWidth="1"/>
    <col min="10495" max="10495" width="9.5703125" style="32" bestFit="1" customWidth="1"/>
    <col min="10496" max="10497" width="12" style="32" bestFit="1" customWidth="1"/>
    <col min="10498" max="10742" width="8.85546875" style="32"/>
    <col min="10743" max="10743" width="2.5703125" style="32" customWidth="1"/>
    <col min="10744" max="10744" width="14" style="32" bestFit="1" customWidth="1"/>
    <col min="10745" max="10745" width="61.140625" style="32" bestFit="1" customWidth="1"/>
    <col min="10746" max="10746" width="14.140625" style="32" bestFit="1" customWidth="1"/>
    <col min="10747" max="10747" width="18.7109375" style="32" bestFit="1" customWidth="1"/>
    <col min="10748" max="10748" width="29.42578125" style="32" bestFit="1" customWidth="1"/>
    <col min="10749" max="10749" width="11.140625" style="32" bestFit="1" customWidth="1"/>
    <col min="10750" max="10750" width="15" style="32" bestFit="1" customWidth="1"/>
    <col min="10751" max="10751" width="9.5703125" style="32" bestFit="1" customWidth="1"/>
    <col min="10752" max="10753" width="12" style="32" bestFit="1" customWidth="1"/>
    <col min="10754" max="10998" width="8.85546875" style="32"/>
    <col min="10999" max="10999" width="2.5703125" style="32" customWidth="1"/>
    <col min="11000" max="11000" width="14" style="32" bestFit="1" customWidth="1"/>
    <col min="11001" max="11001" width="61.140625" style="32" bestFit="1" customWidth="1"/>
    <col min="11002" max="11002" width="14.140625" style="32" bestFit="1" customWidth="1"/>
    <col min="11003" max="11003" width="18.7109375" style="32" bestFit="1" customWidth="1"/>
    <col min="11004" max="11004" width="29.42578125" style="32" bestFit="1" customWidth="1"/>
    <col min="11005" max="11005" width="11.140625" style="32" bestFit="1" customWidth="1"/>
    <col min="11006" max="11006" width="15" style="32" bestFit="1" customWidth="1"/>
    <col min="11007" max="11007" width="9.5703125" style="32" bestFit="1" customWidth="1"/>
    <col min="11008" max="11009" width="12" style="32" bestFit="1" customWidth="1"/>
    <col min="11010" max="11254" width="8.85546875" style="32"/>
    <col min="11255" max="11255" width="2.5703125" style="32" customWidth="1"/>
    <col min="11256" max="11256" width="14" style="32" bestFit="1" customWidth="1"/>
    <col min="11257" max="11257" width="61.140625" style="32" bestFit="1" customWidth="1"/>
    <col min="11258" max="11258" width="14.140625" style="32" bestFit="1" customWidth="1"/>
    <col min="11259" max="11259" width="18.7109375" style="32" bestFit="1" customWidth="1"/>
    <col min="11260" max="11260" width="29.42578125" style="32" bestFit="1" customWidth="1"/>
    <col min="11261" max="11261" width="11.140625" style="32" bestFit="1" customWidth="1"/>
    <col min="11262" max="11262" width="15" style="32" bestFit="1" customWidth="1"/>
    <col min="11263" max="11263" width="9.5703125" style="32" bestFit="1" customWidth="1"/>
    <col min="11264" max="11265" width="12" style="32" bestFit="1" customWidth="1"/>
    <col min="11266" max="11510" width="8.85546875" style="32"/>
    <col min="11511" max="11511" width="2.5703125" style="32" customWidth="1"/>
    <col min="11512" max="11512" width="14" style="32" bestFit="1" customWidth="1"/>
    <col min="11513" max="11513" width="61.140625" style="32" bestFit="1" customWidth="1"/>
    <col min="11514" max="11514" width="14.140625" style="32" bestFit="1" customWidth="1"/>
    <col min="11515" max="11515" width="18.7109375" style="32" bestFit="1" customWidth="1"/>
    <col min="11516" max="11516" width="29.42578125" style="32" bestFit="1" customWidth="1"/>
    <col min="11517" max="11517" width="11.140625" style="32" bestFit="1" customWidth="1"/>
    <col min="11518" max="11518" width="15" style="32" bestFit="1" customWidth="1"/>
    <col min="11519" max="11519" width="9.5703125" style="32" bestFit="1" customWidth="1"/>
    <col min="11520" max="11521" width="12" style="32" bestFit="1" customWidth="1"/>
    <col min="11522" max="11766" width="8.85546875" style="32"/>
    <col min="11767" max="11767" width="2.5703125" style="32" customWidth="1"/>
    <col min="11768" max="11768" width="14" style="32" bestFit="1" customWidth="1"/>
    <col min="11769" max="11769" width="61.140625" style="32" bestFit="1" customWidth="1"/>
    <col min="11770" max="11770" width="14.140625" style="32" bestFit="1" customWidth="1"/>
    <col min="11771" max="11771" width="18.7109375" style="32" bestFit="1" customWidth="1"/>
    <col min="11772" max="11772" width="29.42578125" style="32" bestFit="1" customWidth="1"/>
    <col min="11773" max="11773" width="11.140625" style="32" bestFit="1" customWidth="1"/>
    <col min="11774" max="11774" width="15" style="32" bestFit="1" customWidth="1"/>
    <col min="11775" max="11775" width="9.5703125" style="32" bestFit="1" customWidth="1"/>
    <col min="11776" max="11777" width="12" style="32" bestFit="1" customWidth="1"/>
    <col min="11778" max="12022" width="8.85546875" style="32"/>
    <col min="12023" max="12023" width="2.5703125" style="32" customWidth="1"/>
    <col min="12024" max="12024" width="14" style="32" bestFit="1" customWidth="1"/>
    <col min="12025" max="12025" width="61.140625" style="32" bestFit="1" customWidth="1"/>
    <col min="12026" max="12026" width="14.140625" style="32" bestFit="1" customWidth="1"/>
    <col min="12027" max="12027" width="18.7109375" style="32" bestFit="1" customWidth="1"/>
    <col min="12028" max="12028" width="29.42578125" style="32" bestFit="1" customWidth="1"/>
    <col min="12029" max="12029" width="11.140625" style="32" bestFit="1" customWidth="1"/>
    <col min="12030" max="12030" width="15" style="32" bestFit="1" customWidth="1"/>
    <col min="12031" max="12031" width="9.5703125" style="32" bestFit="1" customWidth="1"/>
    <col min="12032" max="12033" width="12" style="32" bestFit="1" customWidth="1"/>
    <col min="12034" max="12278" width="8.85546875" style="32"/>
    <col min="12279" max="12279" width="2.5703125" style="32" customWidth="1"/>
    <col min="12280" max="12280" width="14" style="32" bestFit="1" customWidth="1"/>
    <col min="12281" max="12281" width="61.140625" style="32" bestFit="1" customWidth="1"/>
    <col min="12282" max="12282" width="14.140625" style="32" bestFit="1" customWidth="1"/>
    <col min="12283" max="12283" width="18.7109375" style="32" bestFit="1" customWidth="1"/>
    <col min="12284" max="12284" width="29.42578125" style="32" bestFit="1" customWidth="1"/>
    <col min="12285" max="12285" width="11.140625" style="32" bestFit="1" customWidth="1"/>
    <col min="12286" max="12286" width="15" style="32" bestFit="1" customWidth="1"/>
    <col min="12287" max="12287" width="9.5703125" style="32" bestFit="1" customWidth="1"/>
    <col min="12288" max="12289" width="12" style="32" bestFit="1" customWidth="1"/>
    <col min="12290" max="12534" width="8.85546875" style="32"/>
    <col min="12535" max="12535" width="2.5703125" style="32" customWidth="1"/>
    <col min="12536" max="12536" width="14" style="32" bestFit="1" customWidth="1"/>
    <col min="12537" max="12537" width="61.140625" style="32" bestFit="1" customWidth="1"/>
    <col min="12538" max="12538" width="14.140625" style="32" bestFit="1" customWidth="1"/>
    <col min="12539" max="12539" width="18.7109375" style="32" bestFit="1" customWidth="1"/>
    <col min="12540" max="12540" width="29.42578125" style="32" bestFit="1" customWidth="1"/>
    <col min="12541" max="12541" width="11.140625" style="32" bestFit="1" customWidth="1"/>
    <col min="12542" max="12542" width="15" style="32" bestFit="1" customWidth="1"/>
    <col min="12543" max="12543" width="9.5703125" style="32" bestFit="1" customWidth="1"/>
    <col min="12544" max="12545" width="12" style="32" bestFit="1" customWidth="1"/>
    <col min="12546" max="12790" width="8.85546875" style="32"/>
    <col min="12791" max="12791" width="2.5703125" style="32" customWidth="1"/>
    <col min="12792" max="12792" width="14" style="32" bestFit="1" customWidth="1"/>
    <col min="12793" max="12793" width="61.140625" style="32" bestFit="1" customWidth="1"/>
    <col min="12794" max="12794" width="14.140625" style="32" bestFit="1" customWidth="1"/>
    <col min="12795" max="12795" width="18.7109375" style="32" bestFit="1" customWidth="1"/>
    <col min="12796" max="12796" width="29.42578125" style="32" bestFit="1" customWidth="1"/>
    <col min="12797" max="12797" width="11.140625" style="32" bestFit="1" customWidth="1"/>
    <col min="12798" max="12798" width="15" style="32" bestFit="1" customWidth="1"/>
    <col min="12799" max="12799" width="9.5703125" style="32" bestFit="1" customWidth="1"/>
    <col min="12800" max="12801" width="12" style="32" bestFit="1" customWidth="1"/>
    <col min="12802" max="13046" width="8.85546875" style="32"/>
    <col min="13047" max="13047" width="2.5703125" style="32" customWidth="1"/>
    <col min="13048" max="13048" width="14" style="32" bestFit="1" customWidth="1"/>
    <col min="13049" max="13049" width="61.140625" style="32" bestFit="1" customWidth="1"/>
    <col min="13050" max="13050" width="14.140625" style="32" bestFit="1" customWidth="1"/>
    <col min="13051" max="13051" width="18.7109375" style="32" bestFit="1" customWidth="1"/>
    <col min="13052" max="13052" width="29.42578125" style="32" bestFit="1" customWidth="1"/>
    <col min="13053" max="13053" width="11.140625" style="32" bestFit="1" customWidth="1"/>
    <col min="13054" max="13054" width="15" style="32" bestFit="1" customWidth="1"/>
    <col min="13055" max="13055" width="9.5703125" style="32" bestFit="1" customWidth="1"/>
    <col min="13056" max="13057" width="12" style="32" bestFit="1" customWidth="1"/>
    <col min="13058" max="13302" width="8.85546875" style="32"/>
    <col min="13303" max="13303" width="2.5703125" style="32" customWidth="1"/>
    <col min="13304" max="13304" width="14" style="32" bestFit="1" customWidth="1"/>
    <col min="13305" max="13305" width="61.140625" style="32" bestFit="1" customWidth="1"/>
    <col min="13306" max="13306" width="14.140625" style="32" bestFit="1" customWidth="1"/>
    <col min="13307" max="13307" width="18.7109375" style="32" bestFit="1" customWidth="1"/>
    <col min="13308" max="13308" width="29.42578125" style="32" bestFit="1" customWidth="1"/>
    <col min="13309" max="13309" width="11.140625" style="32" bestFit="1" customWidth="1"/>
    <col min="13310" max="13310" width="15" style="32" bestFit="1" customWidth="1"/>
    <col min="13311" max="13311" width="9.5703125" style="32" bestFit="1" customWidth="1"/>
    <col min="13312" max="13313" width="12" style="32" bestFit="1" customWidth="1"/>
    <col min="13314" max="13558" width="8.85546875" style="32"/>
    <col min="13559" max="13559" width="2.5703125" style="32" customWidth="1"/>
    <col min="13560" max="13560" width="14" style="32" bestFit="1" customWidth="1"/>
    <col min="13561" max="13561" width="61.140625" style="32" bestFit="1" customWidth="1"/>
    <col min="13562" max="13562" width="14.140625" style="32" bestFit="1" customWidth="1"/>
    <col min="13563" max="13563" width="18.7109375" style="32" bestFit="1" customWidth="1"/>
    <col min="13564" max="13564" width="29.42578125" style="32" bestFit="1" customWidth="1"/>
    <col min="13565" max="13565" width="11.140625" style="32" bestFit="1" customWidth="1"/>
    <col min="13566" max="13566" width="15" style="32" bestFit="1" customWidth="1"/>
    <col min="13567" max="13567" width="9.5703125" style="32" bestFit="1" customWidth="1"/>
    <col min="13568" max="13569" width="12" style="32" bestFit="1" customWidth="1"/>
    <col min="13570" max="13814" width="8.85546875" style="32"/>
    <col min="13815" max="13815" width="2.5703125" style="32" customWidth="1"/>
    <col min="13816" max="13816" width="14" style="32" bestFit="1" customWidth="1"/>
    <col min="13817" max="13817" width="61.140625" style="32" bestFit="1" customWidth="1"/>
    <col min="13818" max="13818" width="14.140625" style="32" bestFit="1" customWidth="1"/>
    <col min="13819" max="13819" width="18.7109375" style="32" bestFit="1" customWidth="1"/>
    <col min="13820" max="13820" width="29.42578125" style="32" bestFit="1" customWidth="1"/>
    <col min="13821" max="13821" width="11.140625" style="32" bestFit="1" customWidth="1"/>
    <col min="13822" max="13822" width="15" style="32" bestFit="1" customWidth="1"/>
    <col min="13823" max="13823" width="9.5703125" style="32" bestFit="1" customWidth="1"/>
    <col min="13824" max="13825" width="12" style="32" bestFit="1" customWidth="1"/>
    <col min="13826" max="14070" width="8.85546875" style="32"/>
    <col min="14071" max="14071" width="2.5703125" style="32" customWidth="1"/>
    <col min="14072" max="14072" width="14" style="32" bestFit="1" customWidth="1"/>
    <col min="14073" max="14073" width="61.140625" style="32" bestFit="1" customWidth="1"/>
    <col min="14074" max="14074" width="14.140625" style="32" bestFit="1" customWidth="1"/>
    <col min="14075" max="14075" width="18.7109375" style="32" bestFit="1" customWidth="1"/>
    <col min="14076" max="14076" width="29.42578125" style="32" bestFit="1" customWidth="1"/>
    <col min="14077" max="14077" width="11.140625" style="32" bestFit="1" customWidth="1"/>
    <col min="14078" max="14078" width="15" style="32" bestFit="1" customWidth="1"/>
    <col min="14079" max="14079" width="9.5703125" style="32" bestFit="1" customWidth="1"/>
    <col min="14080" max="14081" width="12" style="32" bestFit="1" customWidth="1"/>
    <col min="14082" max="14326" width="8.85546875" style="32"/>
    <col min="14327" max="14327" width="2.5703125" style="32" customWidth="1"/>
    <col min="14328" max="14328" width="14" style="32" bestFit="1" customWidth="1"/>
    <col min="14329" max="14329" width="61.140625" style="32" bestFit="1" customWidth="1"/>
    <col min="14330" max="14330" width="14.140625" style="32" bestFit="1" customWidth="1"/>
    <col min="14331" max="14331" width="18.7109375" style="32" bestFit="1" customWidth="1"/>
    <col min="14332" max="14332" width="29.42578125" style="32" bestFit="1" customWidth="1"/>
    <col min="14333" max="14333" width="11.140625" style="32" bestFit="1" customWidth="1"/>
    <col min="14334" max="14334" width="15" style="32" bestFit="1" customWidth="1"/>
    <col min="14335" max="14335" width="9.5703125" style="32" bestFit="1" customWidth="1"/>
    <col min="14336" max="14337" width="12" style="32" bestFit="1" customWidth="1"/>
    <col min="14338" max="14582" width="8.85546875" style="32"/>
    <col min="14583" max="14583" width="2.5703125" style="32" customWidth="1"/>
    <col min="14584" max="14584" width="14" style="32" bestFit="1" customWidth="1"/>
    <col min="14585" max="14585" width="61.140625" style="32" bestFit="1" customWidth="1"/>
    <col min="14586" max="14586" width="14.140625" style="32" bestFit="1" customWidth="1"/>
    <col min="14587" max="14587" width="18.7109375" style="32" bestFit="1" customWidth="1"/>
    <col min="14588" max="14588" width="29.42578125" style="32" bestFit="1" customWidth="1"/>
    <col min="14589" max="14589" width="11.140625" style="32" bestFit="1" customWidth="1"/>
    <col min="14590" max="14590" width="15" style="32" bestFit="1" customWidth="1"/>
    <col min="14591" max="14591" width="9.5703125" style="32" bestFit="1" customWidth="1"/>
    <col min="14592" max="14593" width="12" style="32" bestFit="1" customWidth="1"/>
    <col min="14594" max="14838" width="8.85546875" style="32"/>
    <col min="14839" max="14839" width="2.5703125" style="32" customWidth="1"/>
    <col min="14840" max="14840" width="14" style="32" bestFit="1" customWidth="1"/>
    <col min="14841" max="14841" width="61.140625" style="32" bestFit="1" customWidth="1"/>
    <col min="14842" max="14842" width="14.140625" style="32" bestFit="1" customWidth="1"/>
    <col min="14843" max="14843" width="18.7109375" style="32" bestFit="1" customWidth="1"/>
    <col min="14844" max="14844" width="29.42578125" style="32" bestFit="1" customWidth="1"/>
    <col min="14845" max="14845" width="11.140625" style="32" bestFit="1" customWidth="1"/>
    <col min="14846" max="14846" width="15" style="32" bestFit="1" customWidth="1"/>
    <col min="14847" max="14847" width="9.5703125" style="32" bestFit="1" customWidth="1"/>
    <col min="14848" max="14849" width="12" style="32" bestFit="1" customWidth="1"/>
    <col min="14850" max="15094" width="8.85546875" style="32"/>
    <col min="15095" max="15095" width="2.5703125" style="32" customWidth="1"/>
    <col min="15096" max="15096" width="14" style="32" bestFit="1" customWidth="1"/>
    <col min="15097" max="15097" width="61.140625" style="32" bestFit="1" customWidth="1"/>
    <col min="15098" max="15098" width="14.140625" style="32" bestFit="1" customWidth="1"/>
    <col min="15099" max="15099" width="18.7109375" style="32" bestFit="1" customWidth="1"/>
    <col min="15100" max="15100" width="29.42578125" style="32" bestFit="1" customWidth="1"/>
    <col min="15101" max="15101" width="11.140625" style="32" bestFit="1" customWidth="1"/>
    <col min="15102" max="15102" width="15" style="32" bestFit="1" customWidth="1"/>
    <col min="15103" max="15103" width="9.5703125" style="32" bestFit="1" customWidth="1"/>
    <col min="15104" max="15105" width="12" style="32" bestFit="1" customWidth="1"/>
    <col min="15106" max="15350" width="8.85546875" style="32"/>
    <col min="15351" max="15351" width="2.5703125" style="32" customWidth="1"/>
    <col min="15352" max="15352" width="14" style="32" bestFit="1" customWidth="1"/>
    <col min="15353" max="15353" width="61.140625" style="32" bestFit="1" customWidth="1"/>
    <col min="15354" max="15354" width="14.140625" style="32" bestFit="1" customWidth="1"/>
    <col min="15355" max="15355" width="18.7109375" style="32" bestFit="1" customWidth="1"/>
    <col min="15356" max="15356" width="29.42578125" style="32" bestFit="1" customWidth="1"/>
    <col min="15357" max="15357" width="11.140625" style="32" bestFit="1" customWidth="1"/>
    <col min="15358" max="15358" width="15" style="32" bestFit="1" customWidth="1"/>
    <col min="15359" max="15359" width="9.5703125" style="32" bestFit="1" customWidth="1"/>
    <col min="15360" max="15361" width="12" style="32" bestFit="1" customWidth="1"/>
    <col min="15362" max="15606" width="8.85546875" style="32"/>
    <col min="15607" max="15607" width="2.5703125" style="32" customWidth="1"/>
    <col min="15608" max="15608" width="14" style="32" bestFit="1" customWidth="1"/>
    <col min="15609" max="15609" width="61.140625" style="32" bestFit="1" customWidth="1"/>
    <col min="15610" max="15610" width="14.140625" style="32" bestFit="1" customWidth="1"/>
    <col min="15611" max="15611" width="18.7109375" style="32" bestFit="1" customWidth="1"/>
    <col min="15612" max="15612" width="29.42578125" style="32" bestFit="1" customWidth="1"/>
    <col min="15613" max="15613" width="11.140625" style="32" bestFit="1" customWidth="1"/>
    <col min="15614" max="15614" width="15" style="32" bestFit="1" customWidth="1"/>
    <col min="15615" max="15615" width="9.5703125" style="32" bestFit="1" customWidth="1"/>
    <col min="15616" max="15617" width="12" style="32" bestFit="1" customWidth="1"/>
    <col min="15618" max="15862" width="8.85546875" style="32"/>
    <col min="15863" max="15863" width="2.5703125" style="32" customWidth="1"/>
    <col min="15864" max="15864" width="14" style="32" bestFit="1" customWidth="1"/>
    <col min="15865" max="15865" width="61.140625" style="32" bestFit="1" customWidth="1"/>
    <col min="15866" max="15866" width="14.140625" style="32" bestFit="1" customWidth="1"/>
    <col min="15867" max="15867" width="18.7109375" style="32" bestFit="1" customWidth="1"/>
    <col min="15868" max="15868" width="29.42578125" style="32" bestFit="1" customWidth="1"/>
    <col min="15869" max="15869" width="11.140625" style="32" bestFit="1" customWidth="1"/>
    <col min="15870" max="15870" width="15" style="32" bestFit="1" customWidth="1"/>
    <col min="15871" max="15871" width="9.5703125" style="32" bestFit="1" customWidth="1"/>
    <col min="15872" max="15873" width="12" style="32" bestFit="1" customWidth="1"/>
    <col min="15874" max="16118" width="8.85546875" style="32"/>
    <col min="16119" max="16119" width="2.5703125" style="32" customWidth="1"/>
    <col min="16120" max="16120" width="14" style="32" bestFit="1" customWidth="1"/>
    <col min="16121" max="16121" width="61.140625" style="32" bestFit="1" customWidth="1"/>
    <col min="16122" max="16122" width="14.140625" style="32" bestFit="1" customWidth="1"/>
    <col min="16123" max="16123" width="18.7109375" style="32" bestFit="1" customWidth="1"/>
    <col min="16124" max="16124" width="29.42578125" style="32" bestFit="1" customWidth="1"/>
    <col min="16125" max="16125" width="11.140625" style="32" bestFit="1" customWidth="1"/>
    <col min="16126" max="16126" width="15" style="32" bestFit="1" customWidth="1"/>
    <col min="16127" max="16127" width="9.5703125" style="32" bestFit="1" customWidth="1"/>
    <col min="16128" max="16129" width="12" style="32" bestFit="1" customWidth="1"/>
    <col min="16130" max="16384" width="8.85546875" style="32"/>
  </cols>
  <sheetData>
    <row r="1" spans="2:8" ht="15.75" thickBot="1" x14ac:dyDescent="0.3"/>
    <row r="2" spans="2:8" ht="15.75" thickBot="1" x14ac:dyDescent="0.3">
      <c r="B2" s="243" t="s">
        <v>750</v>
      </c>
      <c r="C2" s="244"/>
      <c r="D2" s="244"/>
      <c r="E2" s="244"/>
      <c r="F2" s="244"/>
      <c r="G2" s="244"/>
      <c r="H2" s="245"/>
    </row>
    <row r="3" spans="2:8" ht="15.75" thickBot="1" x14ac:dyDescent="0.3">
      <c r="B3" s="33"/>
      <c r="C3" s="33"/>
      <c r="D3" s="33"/>
      <c r="E3" s="33"/>
    </row>
    <row r="4" spans="2:8" x14ac:dyDescent="0.25">
      <c r="B4" s="246" t="s">
        <v>751</v>
      </c>
      <c r="C4" s="247"/>
      <c r="D4" s="247"/>
      <c r="E4" s="247"/>
      <c r="F4" s="247"/>
      <c r="G4" s="247"/>
      <c r="H4" s="248"/>
    </row>
    <row r="5" spans="2:8" x14ac:dyDescent="0.25">
      <c r="B5" s="34" t="s">
        <v>752</v>
      </c>
      <c r="C5" s="35" t="s">
        <v>753</v>
      </c>
      <c r="D5" s="249" t="s">
        <v>754</v>
      </c>
      <c r="E5" s="249"/>
      <c r="F5" s="249"/>
      <c r="G5" s="250" t="s">
        <v>755</v>
      </c>
      <c r="H5" s="251"/>
    </row>
    <row r="6" spans="2:8" s="38" customFormat="1" ht="12.75" x14ac:dyDescent="0.2">
      <c r="B6" s="36" t="s">
        <v>756</v>
      </c>
      <c r="C6" s="37" t="s">
        <v>757</v>
      </c>
      <c r="D6" s="252">
        <v>0</v>
      </c>
      <c r="E6" s="252"/>
      <c r="F6" s="252"/>
      <c r="G6" s="252">
        <v>0</v>
      </c>
      <c r="H6" s="253"/>
    </row>
    <row r="7" spans="2:8" x14ac:dyDescent="0.25">
      <c r="B7" s="39"/>
      <c r="C7" s="40"/>
      <c r="D7" s="230"/>
      <c r="E7" s="231"/>
      <c r="F7" s="232"/>
      <c r="G7" s="230"/>
      <c r="H7" s="233"/>
    </row>
    <row r="8" spans="2:8" x14ac:dyDescent="0.25">
      <c r="B8" s="234" t="s">
        <v>758</v>
      </c>
      <c r="C8" s="235"/>
      <c r="D8" s="235"/>
      <c r="E8" s="235"/>
      <c r="F8" s="235"/>
      <c r="G8" s="235"/>
      <c r="H8" s="236"/>
    </row>
    <row r="9" spans="2:8" x14ac:dyDescent="0.25">
      <c r="B9" s="237" t="s">
        <v>752</v>
      </c>
      <c r="C9" s="239" t="s">
        <v>753</v>
      </c>
      <c r="D9" s="241" t="s">
        <v>759</v>
      </c>
      <c r="E9" s="242"/>
      <c r="F9" s="242"/>
      <c r="G9" s="242"/>
      <c r="H9" s="41"/>
    </row>
    <row r="10" spans="2:8" ht="45" x14ac:dyDescent="0.25">
      <c r="B10" s="238"/>
      <c r="C10" s="240"/>
      <c r="D10" s="42" t="s">
        <v>760</v>
      </c>
      <c r="E10" s="42" t="s">
        <v>761</v>
      </c>
      <c r="F10" s="42" t="s">
        <v>762</v>
      </c>
      <c r="G10" s="42" t="s">
        <v>763</v>
      </c>
      <c r="H10" s="43" t="s">
        <v>987</v>
      </c>
    </row>
    <row r="11" spans="2:8" s="38" customFormat="1" ht="13.5" thickBot="1" x14ac:dyDescent="0.25">
      <c r="B11" s="44" t="s">
        <v>756</v>
      </c>
      <c r="C11" s="45" t="s">
        <v>757</v>
      </c>
      <c r="D11" s="46">
        <v>700</v>
      </c>
      <c r="E11" s="46">
        <v>24.098357999999998</v>
      </c>
      <c r="F11" s="47">
        <v>0</v>
      </c>
      <c r="G11" s="48">
        <v>724.09835799999996</v>
      </c>
      <c r="H11" s="49">
        <v>4.0000000000000001E-3</v>
      </c>
    </row>
    <row r="12" spans="2:8" x14ac:dyDescent="0.25">
      <c r="B12" s="50"/>
      <c r="C12" s="51"/>
      <c r="D12" s="52"/>
      <c r="E12" s="52"/>
      <c r="F12" s="53"/>
      <c r="G12" s="52"/>
      <c r="H12" s="54"/>
    </row>
    <row r="13" spans="2:8" ht="28.5" customHeight="1" thickBot="1" x14ac:dyDescent="0.3">
      <c r="B13" s="227" t="s">
        <v>764</v>
      </c>
      <c r="C13" s="228"/>
      <c r="D13" s="228"/>
      <c r="E13" s="228"/>
      <c r="F13" s="228"/>
      <c r="G13" s="228"/>
      <c r="H13" s="229"/>
    </row>
    <row r="17" spans="5:6" x14ac:dyDescent="0.25">
      <c r="E17" s="55"/>
    </row>
    <row r="18" spans="5:6" x14ac:dyDescent="0.25">
      <c r="E18" s="55"/>
      <c r="F18" s="56"/>
    </row>
    <row r="20" spans="5:6" x14ac:dyDescent="0.25">
      <c r="E20" s="57"/>
      <c r="F20" s="56"/>
    </row>
    <row r="23" spans="5:6" x14ac:dyDescent="0.25">
      <c r="F23" s="58"/>
    </row>
  </sheetData>
  <mergeCells count="13">
    <mergeCell ref="B2:H2"/>
    <mergeCell ref="B4:H4"/>
    <mergeCell ref="D5:F5"/>
    <mergeCell ref="G5:H5"/>
    <mergeCell ref="D6:F6"/>
    <mergeCell ref="G6:H6"/>
    <mergeCell ref="B13:H13"/>
    <mergeCell ref="D7:F7"/>
    <mergeCell ref="G7:H7"/>
    <mergeCell ref="B8:H8"/>
    <mergeCell ref="B9:B10"/>
    <mergeCell ref="C9:C10"/>
    <mergeCell ref="D9:G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SMALL6</vt:lpstr>
      <vt:lpstr>SMILE</vt:lpstr>
      <vt:lpstr>SRURAL</vt:lpstr>
      <vt:lpstr>SSFUND</vt:lpstr>
      <vt:lpstr>SSN100</vt:lpstr>
      <vt:lpstr>STAX</vt:lpstr>
      <vt:lpstr>SUNARF</vt:lpstr>
      <vt:lpstr>SUNBAF</vt:lpstr>
      <vt:lpstr>SUNBAL</vt:lpstr>
      <vt:lpstr>SUNBCF</vt:lpstr>
      <vt:lpstr>SUNEQF</vt:lpstr>
      <vt:lpstr>SUNESF</vt:lpstr>
      <vt:lpstr>SUNFOP</vt:lpstr>
      <vt:lpstr>SUNVALF10</vt:lpstr>
      <vt:lpstr>SUNVALF7</vt:lpstr>
      <vt:lpstr>SUNVALF9</vt:lpstr>
      <vt:lpstr>GLOB</vt:lpstr>
      <vt:lpstr>Annexure A</vt:lpstr>
      <vt:lpstr>Annexure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2021-07-04T04:32:41Z</dcterms:created>
  <dcterms:modified xsi:type="dcterms:W3CDTF">2021-07-10T09:44:48Z</dcterms:modified>
</cp:coreProperties>
</file>